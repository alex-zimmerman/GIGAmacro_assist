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the\Box Sync\RAship Spring 2017\"/>
    </mc:Choice>
  </mc:AlternateContent>
  <bookViews>
    <workbookView xWindow="0" yWindow="0" windowWidth="24000" windowHeight="8385"/>
  </bookViews>
  <sheets>
    <sheet name="Program Page" sheetId="1" r:id="rId1"/>
    <sheet name="Sheet1" sheetId="23" r:id="rId2"/>
    <sheet name="Custom Well" sheetId="22" r:id="rId3"/>
    <sheet name="Slide Measurements" sheetId="2" r:id="rId4"/>
    <sheet name="Base Data" sheetId="7" r:id="rId5"/>
    <sheet name="Transpose Calculations" sheetId="12" r:id="rId6"/>
    <sheet name="Expanded Base Data" sheetId="8" r:id="rId7"/>
    <sheet name="All Projects Calculations" sheetId="6" r:id="rId8"/>
    <sheet name="DropDown Lists" sheetId="3" r:id="rId9"/>
    <sheet name="Code List" sheetId="4" r:id="rId10"/>
    <sheet name="Code Comparison" sheetId="10" r:id="rId11"/>
    <sheet name="Project Generation" sheetId="5" r:id="rId12"/>
    <sheet name="Queue Generation" sheetId="11" r:id="rId13"/>
    <sheet name="Queue to txt File" sheetId="13" r:id="rId14"/>
    <sheet name="Grab Folder Names" sheetId="14" r:id="rId15"/>
    <sheet name="Create Shell Script" sheetId="15" r:id="rId16"/>
    <sheet name="IUPC List" sheetId="21" r:id="rId17"/>
  </sheets>
  <definedNames>
    <definedName name="BaseHolesX">'Slide Measurements'!$D$41:$D$124</definedName>
    <definedName name="BaseHolesY">'Slide Measurements'!$E$41:$E$124</definedName>
    <definedName name="BoxRows">'Program Page'!$T$9:$CY$13</definedName>
    <definedName name="CellDesignations">'Program Page'!$T$8:$CY$8</definedName>
    <definedName name="Custom_Focus">'Program Page'!$T$14:$CY$15</definedName>
    <definedName name="IUPC_Number">'Program Page'!$T$17:$CY$17</definedName>
    <definedName name="ProjectNames">'Project Generation'!$B$5:$C$1000</definedName>
    <definedName name="Queue_Generation">'Queue Generation'!$F$5:$F$675</definedName>
    <definedName name="QueueFileList">'Queue Generation'!$B$5:$F$643</definedName>
    <definedName name="QueueFileListCorrect">'Queue Generation'!$B$5:$F$713</definedName>
    <definedName name="rowtest">#REF!</definedName>
    <definedName name="TrayLayout">'Program Page'!$F$5:$L$16</definedName>
  </definedNames>
  <calcPr calcId="162913"/>
  <customWorkbookViews>
    <customWorkbookView name="Tray Layout" guid="{84F0FDFB-72A1-4214-8B2B-A048953E297B}" maximized="1" xWindow="-8" yWindow="-8" windowWidth="1616" windowHeight="87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675" i="6" l="1"/>
  <c r="Q675" i="6"/>
  <c r="M675" i="6"/>
  <c r="L675" i="6"/>
  <c r="A675" i="6"/>
  <c r="R674" i="6"/>
  <c r="Q674" i="6"/>
  <c r="M674" i="6"/>
  <c r="L674" i="6"/>
  <c r="P674" i="6" s="1"/>
  <c r="S674" i="6" s="1"/>
  <c r="F674" i="6"/>
  <c r="R673" i="6"/>
  <c r="Q673" i="6"/>
  <c r="M673" i="6"/>
  <c r="L673" i="6"/>
  <c r="P673" i="6" s="1"/>
  <c r="S673" i="6" s="1"/>
  <c r="F673" i="6"/>
  <c r="R672" i="6" s="1"/>
  <c r="Q672" i="6"/>
  <c r="M672" i="6"/>
  <c r="L672" i="6"/>
  <c r="P672" i="6" s="1"/>
  <c r="S672" i="6" s="1"/>
  <c r="F672" i="6"/>
  <c r="R671" i="6" s="1"/>
  <c r="Q671" i="6"/>
  <c r="P671" i="6"/>
  <c r="S671" i="6" s="1"/>
  <c r="M671" i="6"/>
  <c r="L671" i="6"/>
  <c r="F671" i="6"/>
  <c r="A671" i="6"/>
  <c r="R670" i="6"/>
  <c r="Q670" i="6"/>
  <c r="M670" i="6"/>
  <c r="L670" i="6"/>
  <c r="F670" i="6"/>
  <c r="R669" i="6"/>
  <c r="Q669" i="6"/>
  <c r="T669" i="6" s="1"/>
  <c r="M669" i="6"/>
  <c r="L669" i="6"/>
  <c r="P669" i="6" s="1"/>
  <c r="S669" i="6" s="1"/>
  <c r="J669" i="6"/>
  <c r="D669" i="6"/>
  <c r="D670" i="6" s="1"/>
  <c r="D671" i="6" s="1"/>
  <c r="D672" i="6" s="1"/>
  <c r="D673" i="6" s="1"/>
  <c r="D674" i="6" s="1"/>
  <c r="D675" i="6" s="1"/>
  <c r="Y668" i="6"/>
  <c r="F668" i="6"/>
  <c r="E668" i="6"/>
  <c r="D668" i="6"/>
  <c r="C668" i="6"/>
  <c r="K675" i="6" s="1"/>
  <c r="B668" i="6"/>
  <c r="A668" i="6"/>
  <c r="A674" i="6" s="1"/>
  <c r="R667" i="6"/>
  <c r="Q667" i="6"/>
  <c r="T667" i="6" s="1"/>
  <c r="M667" i="6"/>
  <c r="L667" i="6"/>
  <c r="P667" i="6" s="1"/>
  <c r="S667" i="6" s="1"/>
  <c r="D667" i="6"/>
  <c r="R666" i="6"/>
  <c r="Q666" i="6"/>
  <c r="M666" i="6"/>
  <c r="L666" i="6"/>
  <c r="P666" i="6" s="1"/>
  <c r="S666" i="6" s="1"/>
  <c r="F666" i="6"/>
  <c r="R665" i="6" s="1"/>
  <c r="Q665" i="6"/>
  <c r="M665" i="6"/>
  <c r="L665" i="6"/>
  <c r="P665" i="6" s="1"/>
  <c r="S665" i="6" s="1"/>
  <c r="G665" i="6"/>
  <c r="F665" i="6"/>
  <c r="R664" i="6" s="1"/>
  <c r="T664" i="6" s="1"/>
  <c r="Q664" i="6"/>
  <c r="P664" i="6"/>
  <c r="S664" i="6" s="1"/>
  <c r="M664" i="6"/>
  <c r="L664" i="6"/>
  <c r="H664" i="6"/>
  <c r="I664" i="6" s="1"/>
  <c r="N664" i="6" s="1"/>
  <c r="F664" i="6"/>
  <c r="A664" i="6"/>
  <c r="R663" i="6"/>
  <c r="Q663" i="6"/>
  <c r="M663" i="6"/>
  <c r="L663" i="6"/>
  <c r="F663" i="6"/>
  <c r="D663" i="6"/>
  <c r="D664" i="6" s="1"/>
  <c r="D665" i="6" s="1"/>
  <c r="D666" i="6" s="1"/>
  <c r="R662" i="6"/>
  <c r="Q662" i="6"/>
  <c r="M662" i="6"/>
  <c r="L662" i="6"/>
  <c r="P662" i="6" s="1"/>
  <c r="S662" i="6" s="1"/>
  <c r="F662" i="6"/>
  <c r="R661" i="6" s="1"/>
  <c r="S661" i="6"/>
  <c r="Q661" i="6"/>
  <c r="M661" i="6"/>
  <c r="L661" i="6"/>
  <c r="P661" i="6" s="1"/>
  <c r="G661" i="6"/>
  <c r="D661" i="6"/>
  <c r="D662" i="6" s="1"/>
  <c r="Y660" i="6"/>
  <c r="G660" i="6"/>
  <c r="F660" i="6"/>
  <c r="G664" i="6" s="1"/>
  <c r="E660" i="6"/>
  <c r="D660" i="6"/>
  <c r="C660" i="6"/>
  <c r="J667" i="6" s="1"/>
  <c r="B660" i="6"/>
  <c r="I667" i="6" s="1"/>
  <c r="A660" i="6"/>
  <c r="A667" i="6" s="1"/>
  <c r="R659" i="6"/>
  <c r="Q659" i="6"/>
  <c r="M659" i="6"/>
  <c r="L659" i="6"/>
  <c r="P659" i="6" s="1"/>
  <c r="S659" i="6" s="1"/>
  <c r="G659" i="6"/>
  <c r="S658" i="6"/>
  <c r="R658" i="6"/>
  <c r="Q658" i="6"/>
  <c r="T658" i="6" s="1"/>
  <c r="M658" i="6"/>
  <c r="L658" i="6"/>
  <c r="P658" i="6" s="1"/>
  <c r="G658" i="6"/>
  <c r="F658" i="6"/>
  <c r="R657" i="6" s="1"/>
  <c r="Q657" i="6"/>
  <c r="M657" i="6"/>
  <c r="L657" i="6"/>
  <c r="P657" i="6" s="1"/>
  <c r="S657" i="6" s="1"/>
  <c r="T657" i="6" s="1"/>
  <c r="H657" i="6"/>
  <c r="I657" i="6" s="1"/>
  <c r="N657" i="6" s="1"/>
  <c r="G657" i="6"/>
  <c r="F657" i="6"/>
  <c r="R656" i="6" s="1"/>
  <c r="A657" i="6"/>
  <c r="Q656" i="6"/>
  <c r="T656" i="6" s="1"/>
  <c r="P656" i="6"/>
  <c r="S656" i="6" s="1"/>
  <c r="M656" i="6"/>
  <c r="L656" i="6"/>
  <c r="I656" i="6"/>
  <c r="N656" i="6" s="1"/>
  <c r="H656" i="6"/>
  <c r="F656" i="6"/>
  <c r="A656" i="6"/>
  <c r="R655" i="6"/>
  <c r="Q655" i="6"/>
  <c r="M655" i="6"/>
  <c r="L655" i="6"/>
  <c r="F655" i="6"/>
  <c r="R654" i="6" s="1"/>
  <c r="Q654" i="6"/>
  <c r="T654" i="6" s="1"/>
  <c r="M654" i="6"/>
  <c r="L654" i="6"/>
  <c r="P654" i="6" s="1"/>
  <c r="S654" i="6" s="1"/>
  <c r="F654" i="6"/>
  <c r="R653" i="6" s="1"/>
  <c r="Q653" i="6"/>
  <c r="M653" i="6"/>
  <c r="L653" i="6"/>
  <c r="I653" i="6"/>
  <c r="N653" i="6" s="1"/>
  <c r="H653" i="6"/>
  <c r="G653" i="6"/>
  <c r="Y652" i="6"/>
  <c r="G652" i="6"/>
  <c r="F652" i="6"/>
  <c r="E652" i="6"/>
  <c r="D652" i="6"/>
  <c r="D653" i="6" s="1"/>
  <c r="D654" i="6" s="1"/>
  <c r="D655" i="6" s="1"/>
  <c r="D656" i="6" s="1"/>
  <c r="D657" i="6" s="1"/>
  <c r="D658" i="6" s="1"/>
  <c r="D659" i="6" s="1"/>
  <c r="C652" i="6"/>
  <c r="J659" i="6" s="1"/>
  <c r="B652" i="6"/>
  <c r="A652" i="6"/>
  <c r="R651" i="6"/>
  <c r="Q651" i="6"/>
  <c r="M651" i="6"/>
  <c r="L651" i="6"/>
  <c r="P651" i="6" s="1"/>
  <c r="S651" i="6" s="1"/>
  <c r="R650" i="6"/>
  <c r="Q650" i="6"/>
  <c r="M650" i="6"/>
  <c r="L650" i="6"/>
  <c r="F650" i="6"/>
  <c r="R649" i="6"/>
  <c r="Q649" i="6"/>
  <c r="M649" i="6"/>
  <c r="L649" i="6"/>
  <c r="P649" i="6" s="1"/>
  <c r="S649" i="6" s="1"/>
  <c r="F649" i="6"/>
  <c r="R648" i="6" s="1"/>
  <c r="Q648" i="6"/>
  <c r="M648" i="6"/>
  <c r="L648" i="6"/>
  <c r="P648" i="6" s="1"/>
  <c r="S648" i="6" s="1"/>
  <c r="G648" i="6"/>
  <c r="F648" i="6"/>
  <c r="R647" i="6" s="1"/>
  <c r="T647" i="6" s="1"/>
  <c r="Q647" i="6"/>
  <c r="P647" i="6"/>
  <c r="S647" i="6" s="1"/>
  <c r="M647" i="6"/>
  <c r="L647" i="6"/>
  <c r="H647" i="6"/>
  <c r="I647" i="6" s="1"/>
  <c r="N647" i="6" s="1"/>
  <c r="F647" i="6"/>
  <c r="R646" i="6" s="1"/>
  <c r="A647" i="6"/>
  <c r="Y647" i="6" s="1"/>
  <c r="Q646" i="6"/>
  <c r="M646" i="6"/>
  <c r="L646" i="6"/>
  <c r="P646" i="6" s="1"/>
  <c r="S646" i="6" s="1"/>
  <c r="F646" i="6"/>
  <c r="R645" i="6"/>
  <c r="Q645" i="6"/>
  <c r="T645" i="6" s="1"/>
  <c r="M645" i="6"/>
  <c r="L645" i="6"/>
  <c r="P645" i="6" s="1"/>
  <c r="S645" i="6" s="1"/>
  <c r="J645" i="6"/>
  <c r="D645" i="6"/>
  <c r="D646" i="6" s="1"/>
  <c r="D647" i="6" s="1"/>
  <c r="D648" i="6" s="1"/>
  <c r="D649" i="6" s="1"/>
  <c r="D650" i="6" s="1"/>
  <c r="D651" i="6" s="1"/>
  <c r="Y644" i="6"/>
  <c r="F644" i="6"/>
  <c r="E644" i="6"/>
  <c r="D644" i="6"/>
  <c r="C644" i="6"/>
  <c r="K651" i="6" s="1"/>
  <c r="B644" i="6"/>
  <c r="A644" i="6"/>
  <c r="R643" i="6"/>
  <c r="Q643" i="6"/>
  <c r="M643" i="6"/>
  <c r="L643" i="6"/>
  <c r="R642" i="6"/>
  <c r="Q642" i="6"/>
  <c r="M642" i="6"/>
  <c r="L642" i="6"/>
  <c r="P642" i="6" s="1"/>
  <c r="S642" i="6" s="1"/>
  <c r="F642" i="6"/>
  <c r="D642" i="6"/>
  <c r="D643" i="6" s="1"/>
  <c r="R641" i="6"/>
  <c r="Q641" i="6"/>
  <c r="M641" i="6"/>
  <c r="L641" i="6"/>
  <c r="P641" i="6" s="1"/>
  <c r="S641" i="6" s="1"/>
  <c r="G641" i="6"/>
  <c r="F641" i="6"/>
  <c r="R640" i="6" s="1"/>
  <c r="Q640" i="6"/>
  <c r="M640" i="6"/>
  <c r="L640" i="6"/>
  <c r="P640" i="6" s="1"/>
  <c r="S640" i="6" s="1"/>
  <c r="T640" i="6" s="1"/>
  <c r="H640" i="6"/>
  <c r="I640" i="6" s="1"/>
  <c r="N640" i="6" s="1"/>
  <c r="F640" i="6"/>
  <c r="R639" i="6" s="1"/>
  <c r="Q639" i="6"/>
  <c r="P639" i="6"/>
  <c r="S639" i="6" s="1"/>
  <c r="T639" i="6" s="1"/>
  <c r="M639" i="6"/>
  <c r="L639" i="6"/>
  <c r="H639" i="6"/>
  <c r="I639" i="6" s="1"/>
  <c r="N639" i="6" s="1"/>
  <c r="F639" i="6"/>
  <c r="R638" i="6"/>
  <c r="Q638" i="6"/>
  <c r="M638" i="6"/>
  <c r="L638" i="6"/>
  <c r="P638" i="6" s="1"/>
  <c r="S638" i="6" s="1"/>
  <c r="F638" i="6"/>
  <c r="D638" i="6"/>
  <c r="D639" i="6" s="1"/>
  <c r="D640" i="6" s="1"/>
  <c r="D641" i="6" s="1"/>
  <c r="S637" i="6"/>
  <c r="R637" i="6"/>
  <c r="Q637" i="6"/>
  <c r="M637" i="6"/>
  <c r="L637" i="6"/>
  <c r="P637" i="6" s="1"/>
  <c r="K637" i="6"/>
  <c r="D637" i="6"/>
  <c r="Y636" i="6"/>
  <c r="F636" i="6"/>
  <c r="E636" i="6"/>
  <c r="D636" i="6"/>
  <c r="C636" i="6"/>
  <c r="K643" i="6" s="1"/>
  <c r="B636" i="6"/>
  <c r="I643" i="6" s="1"/>
  <c r="A636" i="6"/>
  <c r="R635" i="6"/>
  <c r="Q635" i="6"/>
  <c r="M635" i="6"/>
  <c r="L635" i="6"/>
  <c r="P635" i="6" s="1"/>
  <c r="S635" i="6" s="1"/>
  <c r="K635" i="6"/>
  <c r="O635" i="6" s="1"/>
  <c r="G635" i="6"/>
  <c r="S634" i="6"/>
  <c r="R634" i="6"/>
  <c r="Q634" i="6"/>
  <c r="M634" i="6"/>
  <c r="L634" i="6"/>
  <c r="P634" i="6" s="1"/>
  <c r="G634" i="6"/>
  <c r="F634" i="6"/>
  <c r="Y633" i="6"/>
  <c r="R633" i="6"/>
  <c r="Q633" i="6"/>
  <c r="P633" i="6"/>
  <c r="S633" i="6" s="1"/>
  <c r="T633" i="6" s="1"/>
  <c r="M633" i="6"/>
  <c r="L633" i="6"/>
  <c r="H633" i="6"/>
  <c r="I633" i="6" s="1"/>
  <c r="N633" i="6" s="1"/>
  <c r="F633" i="6"/>
  <c r="R632" i="6" s="1"/>
  <c r="A633" i="6"/>
  <c r="Q632" i="6"/>
  <c r="M632" i="6"/>
  <c r="L632" i="6"/>
  <c r="F632" i="6"/>
  <c r="D632" i="6"/>
  <c r="D633" i="6" s="1"/>
  <c r="D634" i="6" s="1"/>
  <c r="D635" i="6" s="1"/>
  <c r="R631" i="6"/>
  <c r="Q631" i="6"/>
  <c r="M631" i="6"/>
  <c r="L631" i="6"/>
  <c r="P631" i="6" s="1"/>
  <c r="S631" i="6" s="1"/>
  <c r="F631" i="6"/>
  <c r="R630" i="6" s="1"/>
  <c r="Q630" i="6"/>
  <c r="M630" i="6"/>
  <c r="L630" i="6"/>
  <c r="P630" i="6" s="1"/>
  <c r="S630" i="6" s="1"/>
  <c r="G630" i="6"/>
  <c r="F630" i="6"/>
  <c r="R629" i="6"/>
  <c r="Q629" i="6"/>
  <c r="M629" i="6"/>
  <c r="L629" i="6"/>
  <c r="P629" i="6" s="1"/>
  <c r="S629" i="6" s="1"/>
  <c r="T629" i="6" s="1"/>
  <c r="J629" i="6"/>
  <c r="H629" i="6"/>
  <c r="Y628" i="6"/>
  <c r="F628" i="6"/>
  <c r="G633" i="6" s="1"/>
  <c r="E628" i="6"/>
  <c r="D628" i="6"/>
  <c r="D629" i="6" s="1"/>
  <c r="D630" i="6" s="1"/>
  <c r="D631" i="6" s="1"/>
  <c r="C628" i="6"/>
  <c r="J635" i="6" s="1"/>
  <c r="B628" i="6"/>
  <c r="H632" i="6" s="1"/>
  <c r="I632" i="6" s="1"/>
  <c r="N632" i="6" s="1"/>
  <c r="A628" i="6"/>
  <c r="A632" i="6" s="1"/>
  <c r="U632" i="6" s="1"/>
  <c r="V632" i="6" s="1"/>
  <c r="R627" i="6"/>
  <c r="Q627" i="6"/>
  <c r="M627" i="6"/>
  <c r="L627" i="6"/>
  <c r="P627" i="6" s="1"/>
  <c r="S627" i="6" s="1"/>
  <c r="T627" i="6" s="1"/>
  <c r="R626" i="6"/>
  <c r="Q626" i="6"/>
  <c r="M626" i="6"/>
  <c r="L626" i="6"/>
  <c r="P626" i="6" s="1"/>
  <c r="S626" i="6" s="1"/>
  <c r="T626" i="6" s="1"/>
  <c r="F626" i="6"/>
  <c r="R625" i="6"/>
  <c r="Q625" i="6"/>
  <c r="M625" i="6"/>
  <c r="L625" i="6"/>
  <c r="F625" i="6"/>
  <c r="R624" i="6"/>
  <c r="Q624" i="6"/>
  <c r="M624" i="6"/>
  <c r="L624" i="6"/>
  <c r="P624" i="6" s="1"/>
  <c r="S624" i="6" s="1"/>
  <c r="F624" i="6"/>
  <c r="R623" i="6" s="1"/>
  <c r="Q623" i="6"/>
  <c r="M623" i="6"/>
  <c r="L623" i="6"/>
  <c r="P623" i="6" s="1"/>
  <c r="S623" i="6" s="1"/>
  <c r="G623" i="6"/>
  <c r="F623" i="6"/>
  <c r="R622" i="6"/>
  <c r="Q622" i="6"/>
  <c r="M622" i="6"/>
  <c r="L622" i="6"/>
  <c r="P622" i="6" s="1"/>
  <c r="S622" i="6" s="1"/>
  <c r="T622" i="6" s="1"/>
  <c r="H622" i="6"/>
  <c r="I622" i="6" s="1"/>
  <c r="N622" i="6" s="1"/>
  <c r="G622" i="6"/>
  <c r="F622" i="6"/>
  <c r="R621" i="6" s="1"/>
  <c r="Q621" i="6"/>
  <c r="T621" i="6" s="1"/>
  <c r="M621" i="6"/>
  <c r="L621" i="6"/>
  <c r="P621" i="6" s="1"/>
  <c r="S621" i="6" s="1"/>
  <c r="I621" i="6"/>
  <c r="N621" i="6" s="1"/>
  <c r="H621" i="6"/>
  <c r="G621" i="6"/>
  <c r="Y620" i="6"/>
  <c r="G620" i="6"/>
  <c r="F620" i="6"/>
  <c r="E620" i="6"/>
  <c r="A620" i="6" s="1"/>
  <c r="D620" i="6"/>
  <c r="D621" i="6" s="1"/>
  <c r="D622" i="6" s="1"/>
  <c r="D623" i="6" s="1"/>
  <c r="D624" i="6" s="1"/>
  <c r="D625" i="6" s="1"/>
  <c r="D626" i="6" s="1"/>
  <c r="D627" i="6" s="1"/>
  <c r="C620" i="6"/>
  <c r="J621" i="6" s="1"/>
  <c r="B620" i="6"/>
  <c r="R619" i="6"/>
  <c r="Q619" i="6"/>
  <c r="M619" i="6"/>
  <c r="L619" i="6"/>
  <c r="A619" i="6"/>
  <c r="R618" i="6"/>
  <c r="Q618" i="6"/>
  <c r="M618" i="6"/>
  <c r="L618" i="6"/>
  <c r="P618" i="6" s="1"/>
  <c r="S618" i="6" s="1"/>
  <c r="F618" i="6"/>
  <c r="R617" i="6"/>
  <c r="Q617" i="6"/>
  <c r="M617" i="6"/>
  <c r="L617" i="6"/>
  <c r="P617" i="6" s="1"/>
  <c r="S617" i="6" s="1"/>
  <c r="F617" i="6"/>
  <c r="R616" i="6" s="1"/>
  <c r="Q616" i="6"/>
  <c r="M616" i="6"/>
  <c r="L616" i="6"/>
  <c r="P616" i="6" s="1"/>
  <c r="S616" i="6" s="1"/>
  <c r="F616" i="6"/>
  <c r="R615" i="6" s="1"/>
  <c r="Q615" i="6"/>
  <c r="P615" i="6"/>
  <c r="S615" i="6" s="1"/>
  <c r="M615" i="6"/>
  <c r="L615" i="6"/>
  <c r="F615" i="6"/>
  <c r="A615" i="6"/>
  <c r="R614" i="6"/>
  <c r="Q614" i="6"/>
  <c r="M614" i="6"/>
  <c r="L614" i="6"/>
  <c r="F614" i="6"/>
  <c r="R613" i="6"/>
  <c r="Q613" i="6"/>
  <c r="T613" i="6" s="1"/>
  <c r="M613" i="6"/>
  <c r="L613" i="6"/>
  <c r="P613" i="6" s="1"/>
  <c r="S613" i="6" s="1"/>
  <c r="J613" i="6"/>
  <c r="D613" i="6"/>
  <c r="D614" i="6" s="1"/>
  <c r="D615" i="6" s="1"/>
  <c r="D616" i="6" s="1"/>
  <c r="D617" i="6" s="1"/>
  <c r="D618" i="6" s="1"/>
  <c r="D619" i="6" s="1"/>
  <c r="Y612" i="6"/>
  <c r="F612" i="6"/>
  <c r="E612" i="6"/>
  <c r="D612" i="6"/>
  <c r="C612" i="6"/>
  <c r="K619" i="6" s="1"/>
  <c r="B612" i="6"/>
  <c r="A612" i="6"/>
  <c r="A618" i="6" s="1"/>
  <c r="R611" i="6"/>
  <c r="Q611" i="6"/>
  <c r="T611" i="6" s="1"/>
  <c r="M611" i="6"/>
  <c r="L611" i="6"/>
  <c r="P611" i="6" s="1"/>
  <c r="S611" i="6" s="1"/>
  <c r="D611" i="6"/>
  <c r="R610" i="6"/>
  <c r="Q610" i="6"/>
  <c r="M610" i="6"/>
  <c r="L610" i="6"/>
  <c r="P610" i="6" s="1"/>
  <c r="S610" i="6" s="1"/>
  <c r="F610" i="6"/>
  <c r="R609" i="6" s="1"/>
  <c r="Q609" i="6"/>
  <c r="M609" i="6"/>
  <c r="L609" i="6"/>
  <c r="P609" i="6" s="1"/>
  <c r="S609" i="6" s="1"/>
  <c r="G609" i="6"/>
  <c r="F609" i="6"/>
  <c r="R608" i="6" s="1"/>
  <c r="T608" i="6" s="1"/>
  <c r="Q608" i="6"/>
  <c r="P608" i="6"/>
  <c r="S608" i="6" s="1"/>
  <c r="M608" i="6"/>
  <c r="L608" i="6"/>
  <c r="H608" i="6"/>
  <c r="I608" i="6" s="1"/>
  <c r="N608" i="6" s="1"/>
  <c r="F608" i="6"/>
  <c r="A608" i="6"/>
  <c r="R607" i="6"/>
  <c r="Q607" i="6"/>
  <c r="M607" i="6"/>
  <c r="L607" i="6"/>
  <c r="F607" i="6"/>
  <c r="D607" i="6"/>
  <c r="D608" i="6" s="1"/>
  <c r="D609" i="6" s="1"/>
  <c r="D610" i="6" s="1"/>
  <c r="R606" i="6"/>
  <c r="Q606" i="6"/>
  <c r="M606" i="6"/>
  <c r="L606" i="6"/>
  <c r="P606" i="6" s="1"/>
  <c r="S606" i="6" s="1"/>
  <c r="F606" i="6"/>
  <c r="R605" i="6" s="1"/>
  <c r="S605" i="6"/>
  <c r="Q605" i="6"/>
  <c r="M605" i="6"/>
  <c r="L605" i="6"/>
  <c r="P605" i="6" s="1"/>
  <c r="G605" i="6"/>
  <c r="Y604" i="6"/>
  <c r="G604" i="6"/>
  <c r="F604" i="6"/>
  <c r="G608" i="6" s="1"/>
  <c r="E604" i="6"/>
  <c r="D604" i="6"/>
  <c r="D605" i="6" s="1"/>
  <c r="D606" i="6" s="1"/>
  <c r="C604" i="6"/>
  <c r="B604" i="6"/>
  <c r="I611" i="6" s="1"/>
  <c r="A604" i="6"/>
  <c r="A611" i="6" s="1"/>
  <c r="S603" i="6"/>
  <c r="R603" i="6"/>
  <c r="Q603" i="6"/>
  <c r="M603" i="6"/>
  <c r="L603" i="6"/>
  <c r="P603" i="6" s="1"/>
  <c r="S602" i="6"/>
  <c r="T602" i="6" s="1"/>
  <c r="R602" i="6"/>
  <c r="Q602" i="6"/>
  <c r="M602" i="6"/>
  <c r="L602" i="6"/>
  <c r="P602" i="6" s="1"/>
  <c r="G602" i="6"/>
  <c r="F602" i="6"/>
  <c r="R601" i="6"/>
  <c r="Q601" i="6"/>
  <c r="M601" i="6"/>
  <c r="L601" i="6"/>
  <c r="P601" i="6" s="1"/>
  <c r="S601" i="6" s="1"/>
  <c r="T601" i="6" s="1"/>
  <c r="H601" i="6"/>
  <c r="I601" i="6" s="1"/>
  <c r="N601" i="6" s="1"/>
  <c r="F601" i="6"/>
  <c r="R600" i="6"/>
  <c r="Q600" i="6"/>
  <c r="M600" i="6"/>
  <c r="L600" i="6"/>
  <c r="P600" i="6" s="1"/>
  <c r="S600" i="6" s="1"/>
  <c r="F600" i="6"/>
  <c r="R599" i="6"/>
  <c r="Q599" i="6"/>
  <c r="M599" i="6"/>
  <c r="L599" i="6"/>
  <c r="P599" i="6" s="1"/>
  <c r="S599" i="6" s="1"/>
  <c r="F599" i="6"/>
  <c r="R598" i="6" s="1"/>
  <c r="W598" i="6"/>
  <c r="Q598" i="6"/>
  <c r="M598" i="6"/>
  <c r="L598" i="6"/>
  <c r="P598" i="6" s="1"/>
  <c r="S598" i="6" s="1"/>
  <c r="G598" i="6"/>
  <c r="F598" i="6"/>
  <c r="A598" i="6"/>
  <c r="R597" i="6"/>
  <c r="Q597" i="6"/>
  <c r="P597" i="6"/>
  <c r="S597" i="6" s="1"/>
  <c r="T597" i="6" s="1"/>
  <c r="M597" i="6"/>
  <c r="L597" i="6"/>
  <c r="H597" i="6"/>
  <c r="G597" i="6"/>
  <c r="Y596" i="6"/>
  <c r="G596" i="6"/>
  <c r="F596" i="6"/>
  <c r="G603" i="6" s="1"/>
  <c r="E596" i="6"/>
  <c r="D596" i="6"/>
  <c r="D597" i="6" s="1"/>
  <c r="D598" i="6" s="1"/>
  <c r="D599" i="6" s="1"/>
  <c r="D600" i="6" s="1"/>
  <c r="D601" i="6" s="1"/>
  <c r="D602" i="6" s="1"/>
  <c r="D603" i="6" s="1"/>
  <c r="C596" i="6"/>
  <c r="K603" i="6" s="1"/>
  <c r="B596" i="6"/>
  <c r="H598" i="6" s="1"/>
  <c r="I598" i="6" s="1"/>
  <c r="N598" i="6" s="1"/>
  <c r="A596" i="6"/>
  <c r="R595" i="6"/>
  <c r="Q595" i="6"/>
  <c r="P595" i="6"/>
  <c r="S595" i="6" s="1"/>
  <c r="T595" i="6" s="1"/>
  <c r="M595" i="6"/>
  <c r="L595" i="6"/>
  <c r="K595" i="6"/>
  <c r="H595" i="6"/>
  <c r="G595" i="6"/>
  <c r="R594" i="6"/>
  <c r="Q594" i="6"/>
  <c r="M594" i="6"/>
  <c r="L594" i="6"/>
  <c r="P594" i="6" s="1"/>
  <c r="S594" i="6" s="1"/>
  <c r="T594" i="6" s="1"/>
  <c r="H594" i="6"/>
  <c r="I594" i="6" s="1"/>
  <c r="N594" i="6" s="1"/>
  <c r="G594" i="6"/>
  <c r="F594" i="6"/>
  <c r="R593" i="6" s="1"/>
  <c r="A594" i="6"/>
  <c r="Q593" i="6"/>
  <c r="M593" i="6"/>
  <c r="L593" i="6"/>
  <c r="P593" i="6" s="1"/>
  <c r="S593" i="6" s="1"/>
  <c r="I593" i="6"/>
  <c r="N593" i="6" s="1"/>
  <c r="H593" i="6"/>
  <c r="F593" i="6"/>
  <c r="D593" i="6"/>
  <c r="D594" i="6" s="1"/>
  <c r="D595" i="6" s="1"/>
  <c r="R592" i="6"/>
  <c r="Q592" i="6"/>
  <c r="M592" i="6"/>
  <c r="L592" i="6"/>
  <c r="P592" i="6" s="1"/>
  <c r="S592" i="6" s="1"/>
  <c r="F592" i="6"/>
  <c r="D592" i="6"/>
  <c r="R591" i="6"/>
  <c r="Q591" i="6"/>
  <c r="M591" i="6"/>
  <c r="L591" i="6"/>
  <c r="P591" i="6" s="1"/>
  <c r="S591" i="6" s="1"/>
  <c r="G591" i="6"/>
  <c r="F591" i="6"/>
  <c r="R590" i="6" s="1"/>
  <c r="Q590" i="6"/>
  <c r="M590" i="6"/>
  <c r="L590" i="6"/>
  <c r="P590" i="6" s="1"/>
  <c r="S590" i="6" s="1"/>
  <c r="T590" i="6" s="1"/>
  <c r="H590" i="6"/>
  <c r="I590" i="6" s="1"/>
  <c r="N590" i="6" s="1"/>
  <c r="G590" i="6"/>
  <c r="F590" i="6"/>
  <c r="R589" i="6" s="1"/>
  <c r="Q589" i="6"/>
  <c r="P589" i="6"/>
  <c r="S589" i="6" s="1"/>
  <c r="T589" i="6" s="1"/>
  <c r="M589" i="6"/>
  <c r="L589" i="6"/>
  <c r="I589" i="6"/>
  <c r="H589" i="6"/>
  <c r="G589" i="6"/>
  <c r="Y588" i="6"/>
  <c r="G588" i="6"/>
  <c r="F588" i="6"/>
  <c r="G593" i="6" s="1"/>
  <c r="E588" i="6"/>
  <c r="D588" i="6"/>
  <c r="D589" i="6" s="1"/>
  <c r="D590" i="6" s="1"/>
  <c r="D591" i="6" s="1"/>
  <c r="C588" i="6"/>
  <c r="J595" i="6" s="1"/>
  <c r="B588" i="6"/>
  <c r="H592" i="6" s="1"/>
  <c r="I592" i="6" s="1"/>
  <c r="N592" i="6" s="1"/>
  <c r="A588" i="6"/>
  <c r="A590" i="6" s="1"/>
  <c r="R587" i="6"/>
  <c r="Q587" i="6"/>
  <c r="P587" i="6"/>
  <c r="S587" i="6" s="1"/>
  <c r="T587" i="6" s="1"/>
  <c r="M587" i="6"/>
  <c r="L587" i="6"/>
  <c r="H587" i="6"/>
  <c r="R586" i="6"/>
  <c r="Q586" i="6"/>
  <c r="M586" i="6"/>
  <c r="L586" i="6"/>
  <c r="P586" i="6" s="1"/>
  <c r="S586" i="6" s="1"/>
  <c r="T586" i="6" s="1"/>
  <c r="F586" i="6"/>
  <c r="R585" i="6"/>
  <c r="Q585" i="6"/>
  <c r="M585" i="6"/>
  <c r="L585" i="6"/>
  <c r="F585" i="6"/>
  <c r="R584" i="6" s="1"/>
  <c r="S584" i="6"/>
  <c r="Q584" i="6"/>
  <c r="M584" i="6"/>
  <c r="L584" i="6"/>
  <c r="P584" i="6" s="1"/>
  <c r="G584" i="6"/>
  <c r="F584" i="6"/>
  <c r="R583" i="6" s="1"/>
  <c r="T583" i="6" s="1"/>
  <c r="Q583" i="6"/>
  <c r="P583" i="6"/>
  <c r="S583" i="6" s="1"/>
  <c r="M583" i="6"/>
  <c r="L583" i="6"/>
  <c r="H583" i="6"/>
  <c r="I583" i="6" s="1"/>
  <c r="N583" i="6" s="1"/>
  <c r="G583" i="6"/>
  <c r="F583" i="6"/>
  <c r="A583" i="6"/>
  <c r="W583" i="6" s="1"/>
  <c r="R582" i="6"/>
  <c r="Q582" i="6"/>
  <c r="M582" i="6"/>
  <c r="L582" i="6"/>
  <c r="P582" i="6" s="1"/>
  <c r="S582" i="6" s="1"/>
  <c r="H582" i="6"/>
  <c r="I582" i="6" s="1"/>
  <c r="N582" i="6" s="1"/>
  <c r="F582" i="6"/>
  <c r="R581" i="6"/>
  <c r="Q581" i="6"/>
  <c r="M581" i="6"/>
  <c r="L581" i="6"/>
  <c r="I581" i="6"/>
  <c r="N581" i="6" s="1"/>
  <c r="H581" i="6"/>
  <c r="G581" i="6"/>
  <c r="Y580" i="6"/>
  <c r="G580" i="6"/>
  <c r="F580" i="6"/>
  <c r="E580" i="6"/>
  <c r="D580" i="6"/>
  <c r="D581" i="6" s="1"/>
  <c r="D582" i="6" s="1"/>
  <c r="D583" i="6" s="1"/>
  <c r="D584" i="6" s="1"/>
  <c r="D585" i="6" s="1"/>
  <c r="D586" i="6" s="1"/>
  <c r="D587" i="6" s="1"/>
  <c r="C580" i="6"/>
  <c r="J581" i="6" s="1"/>
  <c r="B580" i="6"/>
  <c r="A580" i="6"/>
  <c r="R579" i="6"/>
  <c r="Q579" i="6"/>
  <c r="M579" i="6"/>
  <c r="L579" i="6"/>
  <c r="P579" i="6" s="1"/>
  <c r="S579" i="6" s="1"/>
  <c r="R578" i="6"/>
  <c r="Q578" i="6"/>
  <c r="M578" i="6"/>
  <c r="L578" i="6"/>
  <c r="P578" i="6" s="1"/>
  <c r="S578" i="6" s="1"/>
  <c r="F578" i="6"/>
  <c r="R577" i="6"/>
  <c r="Q577" i="6"/>
  <c r="M577" i="6"/>
  <c r="L577" i="6"/>
  <c r="P577" i="6" s="1"/>
  <c r="S577" i="6" s="1"/>
  <c r="F577" i="6"/>
  <c r="R576" i="6" s="1"/>
  <c r="Q576" i="6"/>
  <c r="M576" i="6"/>
  <c r="L576" i="6"/>
  <c r="P576" i="6" s="1"/>
  <c r="S576" i="6" s="1"/>
  <c r="F576" i="6"/>
  <c r="R575" i="6" s="1"/>
  <c r="T575" i="6" s="1"/>
  <c r="Q575" i="6"/>
  <c r="P575" i="6"/>
  <c r="S575" i="6" s="1"/>
  <c r="M575" i="6"/>
  <c r="L575" i="6"/>
  <c r="F575" i="6"/>
  <c r="R574" i="6" s="1"/>
  <c r="A575" i="6"/>
  <c r="Q574" i="6"/>
  <c r="M574" i="6"/>
  <c r="L574" i="6"/>
  <c r="P574" i="6" s="1"/>
  <c r="S574" i="6" s="1"/>
  <c r="F574" i="6"/>
  <c r="R573" i="6"/>
  <c r="Q573" i="6"/>
  <c r="M573" i="6"/>
  <c r="L573" i="6"/>
  <c r="P573" i="6" s="1"/>
  <c r="S573" i="6" s="1"/>
  <c r="J573" i="6"/>
  <c r="D573" i="6"/>
  <c r="D574" i="6" s="1"/>
  <c r="D575" i="6" s="1"/>
  <c r="D576" i="6" s="1"/>
  <c r="D577" i="6" s="1"/>
  <c r="D578" i="6" s="1"/>
  <c r="D579" i="6" s="1"/>
  <c r="Y572" i="6"/>
  <c r="F572" i="6"/>
  <c r="G576" i="6" s="1"/>
  <c r="E572" i="6"/>
  <c r="D572" i="6"/>
  <c r="C572" i="6"/>
  <c r="K579" i="6" s="1"/>
  <c r="B572" i="6"/>
  <c r="H575" i="6" s="1"/>
  <c r="I575" i="6" s="1"/>
  <c r="N575" i="6" s="1"/>
  <c r="A572" i="6"/>
  <c r="R571" i="6"/>
  <c r="Q571" i="6"/>
  <c r="M571" i="6"/>
  <c r="L571" i="6"/>
  <c r="R570" i="6"/>
  <c r="Q570" i="6"/>
  <c r="M570" i="6"/>
  <c r="L570" i="6"/>
  <c r="P570" i="6" s="1"/>
  <c r="S570" i="6" s="1"/>
  <c r="F570" i="6"/>
  <c r="S569" i="6"/>
  <c r="R569" i="6"/>
  <c r="Q569" i="6"/>
  <c r="M569" i="6"/>
  <c r="L569" i="6"/>
  <c r="P569" i="6" s="1"/>
  <c r="G569" i="6"/>
  <c r="F569" i="6"/>
  <c r="R568" i="6" s="1"/>
  <c r="Q568" i="6"/>
  <c r="P568" i="6"/>
  <c r="S568" i="6" s="1"/>
  <c r="T568" i="6" s="1"/>
  <c r="M568" i="6"/>
  <c r="L568" i="6"/>
  <c r="H568" i="6"/>
  <c r="I568" i="6" s="1"/>
  <c r="N568" i="6" s="1"/>
  <c r="F568" i="6"/>
  <c r="R567" i="6" s="1"/>
  <c r="A568" i="6"/>
  <c r="U568" i="6" s="1"/>
  <c r="V568" i="6" s="1"/>
  <c r="Y567" i="6"/>
  <c r="Q567" i="6"/>
  <c r="T567" i="6" s="1"/>
  <c r="P567" i="6"/>
  <c r="S567" i="6" s="1"/>
  <c r="M567" i="6"/>
  <c r="L567" i="6"/>
  <c r="H567" i="6"/>
  <c r="I567" i="6" s="1"/>
  <c r="N567" i="6" s="1"/>
  <c r="F567" i="6"/>
  <c r="A567" i="6"/>
  <c r="W567" i="6" s="1"/>
  <c r="R566" i="6"/>
  <c r="Q566" i="6"/>
  <c r="T566" i="6" s="1"/>
  <c r="M566" i="6"/>
  <c r="L566" i="6"/>
  <c r="P566" i="6" s="1"/>
  <c r="S566" i="6" s="1"/>
  <c r="H566" i="6"/>
  <c r="I566" i="6" s="1"/>
  <c r="N566" i="6" s="1"/>
  <c r="F566" i="6"/>
  <c r="R565" i="6" s="1"/>
  <c r="Q565" i="6"/>
  <c r="M565" i="6"/>
  <c r="L565" i="6"/>
  <c r="P565" i="6" s="1"/>
  <c r="S565" i="6" s="1"/>
  <c r="I565" i="6"/>
  <c r="G565" i="6"/>
  <c r="Y564" i="6"/>
  <c r="G564" i="6"/>
  <c r="F564" i="6"/>
  <c r="E564" i="6"/>
  <c r="D564" i="6"/>
  <c r="D565" i="6" s="1"/>
  <c r="D566" i="6" s="1"/>
  <c r="D567" i="6" s="1"/>
  <c r="D568" i="6" s="1"/>
  <c r="D569" i="6" s="1"/>
  <c r="D570" i="6" s="1"/>
  <c r="D571" i="6" s="1"/>
  <c r="C564" i="6"/>
  <c r="K571" i="6" s="1"/>
  <c r="B564" i="6"/>
  <c r="I571" i="6" s="1"/>
  <c r="A564" i="6"/>
  <c r="U563" i="6"/>
  <c r="V563" i="6" s="1"/>
  <c r="R563" i="6"/>
  <c r="Q563" i="6"/>
  <c r="M563" i="6"/>
  <c r="L563" i="6"/>
  <c r="A563" i="6"/>
  <c r="R562" i="6"/>
  <c r="Q562" i="6"/>
  <c r="M562" i="6"/>
  <c r="L562" i="6"/>
  <c r="P562" i="6" s="1"/>
  <c r="S562" i="6" s="1"/>
  <c r="F562" i="6"/>
  <c r="R561" i="6"/>
  <c r="Q561" i="6"/>
  <c r="M561" i="6"/>
  <c r="L561" i="6"/>
  <c r="P561" i="6" s="1"/>
  <c r="S561" i="6" s="1"/>
  <c r="F561" i="6"/>
  <c r="R560" i="6" s="1"/>
  <c r="Y560" i="6"/>
  <c r="Q560" i="6"/>
  <c r="M560" i="6"/>
  <c r="L560" i="6"/>
  <c r="P560" i="6" s="1"/>
  <c r="S560" i="6" s="1"/>
  <c r="T560" i="6" s="1"/>
  <c r="F560" i="6"/>
  <c r="A560" i="6"/>
  <c r="U560" i="6" s="1"/>
  <c r="V560" i="6" s="1"/>
  <c r="R559" i="6"/>
  <c r="Q559" i="6"/>
  <c r="M559" i="6"/>
  <c r="L559" i="6"/>
  <c r="F559" i="6"/>
  <c r="A559" i="6"/>
  <c r="W559" i="6" s="1"/>
  <c r="R558" i="6"/>
  <c r="Q558" i="6"/>
  <c r="M558" i="6"/>
  <c r="L558" i="6"/>
  <c r="F558" i="6"/>
  <c r="R557" i="6" s="1"/>
  <c r="S557" i="6"/>
  <c r="Q557" i="6"/>
  <c r="M557" i="6"/>
  <c r="L557" i="6"/>
  <c r="P557" i="6" s="1"/>
  <c r="J557" i="6"/>
  <c r="D557" i="6"/>
  <c r="D558" i="6" s="1"/>
  <c r="D559" i="6" s="1"/>
  <c r="D560" i="6" s="1"/>
  <c r="D561" i="6" s="1"/>
  <c r="D562" i="6" s="1"/>
  <c r="D563" i="6" s="1"/>
  <c r="Y556" i="6"/>
  <c r="G556" i="6"/>
  <c r="F556" i="6"/>
  <c r="G561" i="6" s="1"/>
  <c r="E556" i="6"/>
  <c r="D556" i="6"/>
  <c r="C556" i="6"/>
  <c r="B556" i="6"/>
  <c r="H560" i="6" s="1"/>
  <c r="I560" i="6" s="1"/>
  <c r="N560" i="6" s="1"/>
  <c r="A556" i="6"/>
  <c r="A562" i="6" s="1"/>
  <c r="S555" i="6"/>
  <c r="R555" i="6"/>
  <c r="Q555" i="6"/>
  <c r="M555" i="6"/>
  <c r="L555" i="6"/>
  <c r="P555" i="6" s="1"/>
  <c r="K555" i="6"/>
  <c r="G555" i="6"/>
  <c r="R554" i="6"/>
  <c r="Q554" i="6"/>
  <c r="M554" i="6"/>
  <c r="L554" i="6"/>
  <c r="P554" i="6" s="1"/>
  <c r="S554" i="6" s="1"/>
  <c r="G554" i="6"/>
  <c r="F554" i="6"/>
  <c r="R553" i="6" s="1"/>
  <c r="T553" i="6" s="1"/>
  <c r="S553" i="6"/>
  <c r="Q553" i="6"/>
  <c r="P553" i="6"/>
  <c r="M553" i="6"/>
  <c r="L553" i="6"/>
  <c r="H553" i="6"/>
  <c r="I553" i="6" s="1"/>
  <c r="N553" i="6" s="1"/>
  <c r="G553" i="6"/>
  <c r="F553" i="6"/>
  <c r="A553" i="6"/>
  <c r="U553" i="6" s="1"/>
  <c r="V553" i="6" s="1"/>
  <c r="U552" i="6"/>
  <c r="V552" i="6" s="1"/>
  <c r="R552" i="6"/>
  <c r="Q552" i="6"/>
  <c r="T552" i="6" s="1"/>
  <c r="P552" i="6"/>
  <c r="S552" i="6" s="1"/>
  <c r="M552" i="6"/>
  <c r="L552" i="6"/>
  <c r="H552" i="6"/>
  <c r="I552" i="6" s="1"/>
  <c r="N552" i="6" s="1"/>
  <c r="F552" i="6"/>
  <c r="A552" i="6"/>
  <c r="W552" i="6" s="1"/>
  <c r="R551" i="6"/>
  <c r="Q551" i="6"/>
  <c r="M551" i="6"/>
  <c r="L551" i="6"/>
  <c r="P551" i="6" s="1"/>
  <c r="S551" i="6" s="1"/>
  <c r="F551" i="6"/>
  <c r="R550" i="6"/>
  <c r="Q550" i="6"/>
  <c r="M550" i="6"/>
  <c r="L550" i="6"/>
  <c r="P550" i="6" s="1"/>
  <c r="S550" i="6" s="1"/>
  <c r="G550" i="6"/>
  <c r="F550" i="6"/>
  <c r="R549" i="6" s="1"/>
  <c r="Q549" i="6"/>
  <c r="M549" i="6"/>
  <c r="L549" i="6"/>
  <c r="P549" i="6" s="1"/>
  <c r="S549" i="6" s="1"/>
  <c r="T549" i="6" s="1"/>
  <c r="H549" i="6"/>
  <c r="G549" i="6"/>
  <c r="Y548" i="6"/>
  <c r="G548" i="6"/>
  <c r="F548" i="6"/>
  <c r="G552" i="6" s="1"/>
  <c r="E548" i="6"/>
  <c r="D548" i="6"/>
  <c r="D549" i="6" s="1"/>
  <c r="D550" i="6" s="1"/>
  <c r="D551" i="6" s="1"/>
  <c r="D552" i="6" s="1"/>
  <c r="D553" i="6" s="1"/>
  <c r="D554" i="6" s="1"/>
  <c r="D555" i="6" s="1"/>
  <c r="C548" i="6"/>
  <c r="J549" i="6" s="1"/>
  <c r="B548" i="6"/>
  <c r="I555" i="6" s="1"/>
  <c r="A548" i="6"/>
  <c r="A555" i="6" s="1"/>
  <c r="R547" i="6"/>
  <c r="Q547" i="6"/>
  <c r="P547" i="6"/>
  <c r="S547" i="6" s="1"/>
  <c r="T547" i="6" s="1"/>
  <c r="M547" i="6"/>
  <c r="L547" i="6"/>
  <c r="K547" i="6"/>
  <c r="G547" i="6"/>
  <c r="R546" i="6"/>
  <c r="Q546" i="6"/>
  <c r="M546" i="6"/>
  <c r="L546" i="6"/>
  <c r="P546" i="6" s="1"/>
  <c r="S546" i="6" s="1"/>
  <c r="T546" i="6" s="1"/>
  <c r="H546" i="6"/>
  <c r="I546" i="6" s="1"/>
  <c r="N546" i="6" s="1"/>
  <c r="F546" i="6"/>
  <c r="Y545" i="6"/>
  <c r="R545" i="6"/>
  <c r="Q545" i="6"/>
  <c r="T545" i="6" s="1"/>
  <c r="M545" i="6"/>
  <c r="L545" i="6"/>
  <c r="P545" i="6" s="1"/>
  <c r="S545" i="6" s="1"/>
  <c r="F545" i="6"/>
  <c r="A545" i="6"/>
  <c r="R544" i="6"/>
  <c r="Q544" i="6"/>
  <c r="M544" i="6"/>
  <c r="L544" i="6"/>
  <c r="F544" i="6"/>
  <c r="R543" i="6" s="1"/>
  <c r="T543" i="6" s="1"/>
  <c r="Q543" i="6"/>
  <c r="M543" i="6"/>
  <c r="L543" i="6"/>
  <c r="P543" i="6" s="1"/>
  <c r="S543" i="6" s="1"/>
  <c r="F543" i="6"/>
  <c r="R542" i="6" s="1"/>
  <c r="T542" i="6" s="1"/>
  <c r="S542" i="6"/>
  <c r="Q542" i="6"/>
  <c r="P542" i="6"/>
  <c r="M542" i="6"/>
  <c r="L542" i="6"/>
  <c r="G542" i="6"/>
  <c r="F542" i="6"/>
  <c r="A542" i="6"/>
  <c r="U542" i="6" s="1"/>
  <c r="V542" i="6" s="1"/>
  <c r="R541" i="6"/>
  <c r="Q541" i="6"/>
  <c r="T541" i="6" s="1"/>
  <c r="P541" i="6"/>
  <c r="S541" i="6" s="1"/>
  <c r="M541" i="6"/>
  <c r="L541" i="6"/>
  <c r="H541" i="6"/>
  <c r="Y540" i="6"/>
  <c r="F540" i="6"/>
  <c r="G543" i="6" s="1"/>
  <c r="E540" i="6"/>
  <c r="D540" i="6"/>
  <c r="D541" i="6" s="1"/>
  <c r="D542" i="6" s="1"/>
  <c r="D543" i="6" s="1"/>
  <c r="D544" i="6" s="1"/>
  <c r="D545" i="6" s="1"/>
  <c r="D546" i="6" s="1"/>
  <c r="D547" i="6" s="1"/>
  <c r="C540" i="6"/>
  <c r="B540" i="6"/>
  <c r="H547" i="6" s="1"/>
  <c r="A540" i="6"/>
  <c r="R539" i="6"/>
  <c r="Q539" i="6"/>
  <c r="P539" i="6"/>
  <c r="S539" i="6" s="1"/>
  <c r="T539" i="6" s="1"/>
  <c r="M539" i="6"/>
  <c r="L539" i="6"/>
  <c r="H539" i="6"/>
  <c r="R538" i="6"/>
  <c r="Q538" i="6"/>
  <c r="P538" i="6"/>
  <c r="S538" i="6" s="1"/>
  <c r="T538" i="6" s="1"/>
  <c r="M538" i="6"/>
  <c r="L538" i="6"/>
  <c r="H538" i="6"/>
  <c r="I538" i="6" s="1"/>
  <c r="N538" i="6" s="1"/>
  <c r="F538" i="6"/>
  <c r="R537" i="6" s="1"/>
  <c r="Q537" i="6"/>
  <c r="M537" i="6"/>
  <c r="L537" i="6"/>
  <c r="F537" i="6"/>
  <c r="D537" i="6"/>
  <c r="D538" i="6" s="1"/>
  <c r="D539" i="6" s="1"/>
  <c r="R536" i="6"/>
  <c r="Q536" i="6"/>
  <c r="N536" i="6"/>
  <c r="M536" i="6"/>
  <c r="L536" i="6"/>
  <c r="P536" i="6" s="1"/>
  <c r="S536" i="6" s="1"/>
  <c r="H536" i="6"/>
  <c r="I536" i="6" s="1"/>
  <c r="F536" i="6"/>
  <c r="R535" i="6" s="1"/>
  <c r="Q535" i="6"/>
  <c r="T535" i="6" s="1"/>
  <c r="M535" i="6"/>
  <c r="L535" i="6"/>
  <c r="P535" i="6" s="1"/>
  <c r="S535" i="6" s="1"/>
  <c r="G535" i="6"/>
  <c r="F535" i="6"/>
  <c r="R534" i="6"/>
  <c r="Q534" i="6"/>
  <c r="M534" i="6"/>
  <c r="L534" i="6"/>
  <c r="P534" i="6" s="1"/>
  <c r="S534" i="6" s="1"/>
  <c r="T534" i="6" s="1"/>
  <c r="H534" i="6"/>
  <c r="I534" i="6" s="1"/>
  <c r="N534" i="6" s="1"/>
  <c r="F534" i="6"/>
  <c r="R533" i="6" s="1"/>
  <c r="Q533" i="6"/>
  <c r="M533" i="6"/>
  <c r="L533" i="6"/>
  <c r="P533" i="6" s="1"/>
  <c r="S533" i="6" s="1"/>
  <c r="K533" i="6"/>
  <c r="I533" i="6"/>
  <c r="G533" i="6"/>
  <c r="D533" i="6"/>
  <c r="D534" i="6" s="1"/>
  <c r="D535" i="6" s="1"/>
  <c r="D536" i="6" s="1"/>
  <c r="Y532" i="6"/>
  <c r="G532" i="6"/>
  <c r="F532" i="6"/>
  <c r="G539" i="6" s="1"/>
  <c r="E532" i="6"/>
  <c r="D532" i="6"/>
  <c r="C532" i="6"/>
  <c r="B532" i="6"/>
  <c r="H537" i="6" s="1"/>
  <c r="I537" i="6" s="1"/>
  <c r="N537" i="6" s="1"/>
  <c r="A532" i="6"/>
  <c r="R531" i="6"/>
  <c r="Q531" i="6"/>
  <c r="M531" i="6"/>
  <c r="L531" i="6"/>
  <c r="P531" i="6" s="1"/>
  <c r="S531" i="6" s="1"/>
  <c r="A531" i="6"/>
  <c r="W530" i="6"/>
  <c r="R530" i="6"/>
  <c r="Q530" i="6"/>
  <c r="M530" i="6"/>
  <c r="L530" i="6"/>
  <c r="P530" i="6" s="1"/>
  <c r="S530" i="6" s="1"/>
  <c r="F530" i="6"/>
  <c r="T529" i="6"/>
  <c r="R529" i="6"/>
  <c r="Q529" i="6"/>
  <c r="P529" i="6"/>
  <c r="S529" i="6" s="1"/>
  <c r="M529" i="6"/>
  <c r="L529" i="6"/>
  <c r="H529" i="6"/>
  <c r="I529" i="6" s="1"/>
  <c r="N529" i="6" s="1"/>
  <c r="F529" i="6"/>
  <c r="R528" i="6" s="1"/>
  <c r="W528" i="6"/>
  <c r="Q528" i="6"/>
  <c r="T528" i="6" s="1"/>
  <c r="M528" i="6"/>
  <c r="L528" i="6"/>
  <c r="P528" i="6" s="1"/>
  <c r="S528" i="6" s="1"/>
  <c r="G528" i="6"/>
  <c r="F528" i="6"/>
  <c r="A528" i="6"/>
  <c r="U528" i="6" s="1"/>
  <c r="V528" i="6" s="1"/>
  <c r="R527" i="6"/>
  <c r="Q527" i="6"/>
  <c r="M527" i="6"/>
  <c r="L527" i="6"/>
  <c r="H527" i="6"/>
  <c r="I527" i="6" s="1"/>
  <c r="N527" i="6" s="1"/>
  <c r="F527" i="6"/>
  <c r="A527" i="6" s="1"/>
  <c r="R526" i="6"/>
  <c r="Q526" i="6"/>
  <c r="M526" i="6"/>
  <c r="L526" i="6"/>
  <c r="P526" i="6" s="1"/>
  <c r="S526" i="6" s="1"/>
  <c r="F526" i="6"/>
  <c r="R525" i="6" s="1"/>
  <c r="Q525" i="6"/>
  <c r="M525" i="6"/>
  <c r="L525" i="6"/>
  <c r="P525" i="6" s="1"/>
  <c r="S525" i="6" s="1"/>
  <c r="G525" i="6"/>
  <c r="D525" i="6"/>
  <c r="D526" i="6" s="1"/>
  <c r="D527" i="6" s="1"/>
  <c r="D528" i="6" s="1"/>
  <c r="D529" i="6" s="1"/>
  <c r="D530" i="6" s="1"/>
  <c r="D531" i="6" s="1"/>
  <c r="Y524" i="6"/>
  <c r="G524" i="6"/>
  <c r="F524" i="6"/>
  <c r="G531" i="6" s="1"/>
  <c r="E524" i="6"/>
  <c r="D524" i="6"/>
  <c r="C524" i="6"/>
  <c r="B524" i="6"/>
  <c r="I531" i="6" s="1"/>
  <c r="A524" i="6"/>
  <c r="A530" i="6" s="1"/>
  <c r="Y530" i="6" s="1"/>
  <c r="R523" i="6"/>
  <c r="Q523" i="6"/>
  <c r="M523" i="6"/>
  <c r="L523" i="6"/>
  <c r="P523" i="6" s="1"/>
  <c r="S523" i="6" s="1"/>
  <c r="G523" i="6"/>
  <c r="S522" i="6"/>
  <c r="R522" i="6"/>
  <c r="Q522" i="6"/>
  <c r="M522" i="6"/>
  <c r="L522" i="6"/>
  <c r="P522" i="6" s="1"/>
  <c r="G522" i="6"/>
  <c r="F522" i="6"/>
  <c r="R521" i="6" s="1"/>
  <c r="T521" i="6" s="1"/>
  <c r="Y521" i="6"/>
  <c r="Q521" i="6"/>
  <c r="P521" i="6"/>
  <c r="S521" i="6" s="1"/>
  <c r="M521" i="6"/>
  <c r="L521" i="6"/>
  <c r="H521" i="6"/>
  <c r="I521" i="6" s="1"/>
  <c r="N521" i="6" s="1"/>
  <c r="G521" i="6"/>
  <c r="F521" i="6"/>
  <c r="A521" i="6"/>
  <c r="R520" i="6"/>
  <c r="Q520" i="6"/>
  <c r="M520" i="6"/>
  <c r="L520" i="6"/>
  <c r="I520" i="6"/>
  <c r="N520" i="6" s="1"/>
  <c r="H520" i="6"/>
  <c r="F520" i="6"/>
  <c r="R519" i="6"/>
  <c r="Q519" i="6"/>
  <c r="M519" i="6"/>
  <c r="L519" i="6"/>
  <c r="P519" i="6" s="1"/>
  <c r="S519" i="6" s="1"/>
  <c r="G519" i="6"/>
  <c r="F519" i="6"/>
  <c r="R518" i="6" s="1"/>
  <c r="Q518" i="6"/>
  <c r="M518" i="6"/>
  <c r="L518" i="6"/>
  <c r="P518" i="6" s="1"/>
  <c r="S518" i="6" s="1"/>
  <c r="H518" i="6"/>
  <c r="I518" i="6" s="1"/>
  <c r="N518" i="6" s="1"/>
  <c r="G518" i="6"/>
  <c r="F518" i="6"/>
  <c r="R517" i="6" s="1"/>
  <c r="Q517" i="6"/>
  <c r="P517" i="6"/>
  <c r="S517" i="6" s="1"/>
  <c r="T517" i="6" s="1"/>
  <c r="M517" i="6"/>
  <c r="L517" i="6"/>
  <c r="K517" i="6"/>
  <c r="I517" i="6"/>
  <c r="N517" i="6" s="1"/>
  <c r="H517" i="6"/>
  <c r="G517" i="6"/>
  <c r="Y516" i="6"/>
  <c r="G516" i="6"/>
  <c r="F516" i="6"/>
  <c r="G520" i="6" s="1"/>
  <c r="E516" i="6"/>
  <c r="D516" i="6"/>
  <c r="D517" i="6" s="1"/>
  <c r="D518" i="6" s="1"/>
  <c r="D519" i="6" s="1"/>
  <c r="D520" i="6" s="1"/>
  <c r="D521" i="6" s="1"/>
  <c r="D522" i="6" s="1"/>
  <c r="D523" i="6" s="1"/>
  <c r="C516" i="6"/>
  <c r="B516" i="6"/>
  <c r="I523" i="6" s="1"/>
  <c r="A516" i="6"/>
  <c r="A520" i="6" s="1"/>
  <c r="R515" i="6"/>
  <c r="Q515" i="6"/>
  <c r="M515" i="6"/>
  <c r="L515" i="6"/>
  <c r="P515" i="6" s="1"/>
  <c r="S515" i="6" s="1"/>
  <c r="I515" i="6"/>
  <c r="N515" i="6" s="1"/>
  <c r="H515" i="6"/>
  <c r="R514" i="6"/>
  <c r="Q514" i="6"/>
  <c r="T514" i="6" s="1"/>
  <c r="M514" i="6"/>
  <c r="L514" i="6"/>
  <c r="P514" i="6" s="1"/>
  <c r="S514" i="6" s="1"/>
  <c r="I514" i="6"/>
  <c r="N514" i="6" s="1"/>
  <c r="H514" i="6"/>
  <c r="F514" i="6"/>
  <c r="R513" i="6"/>
  <c r="Q513" i="6"/>
  <c r="P513" i="6"/>
  <c r="S513" i="6" s="1"/>
  <c r="T513" i="6" s="1"/>
  <c r="M513" i="6"/>
  <c r="L513" i="6"/>
  <c r="F513" i="6"/>
  <c r="R512" i="6"/>
  <c r="Q512" i="6"/>
  <c r="M512" i="6"/>
  <c r="L512" i="6"/>
  <c r="F512" i="6"/>
  <c r="R511" i="6" s="1"/>
  <c r="Q511" i="6"/>
  <c r="M511" i="6"/>
  <c r="L511" i="6"/>
  <c r="P511" i="6" s="1"/>
  <c r="S511" i="6" s="1"/>
  <c r="G511" i="6"/>
  <c r="F511" i="6"/>
  <c r="R510" i="6" s="1"/>
  <c r="T510" i="6" s="1"/>
  <c r="Q510" i="6"/>
  <c r="M510" i="6"/>
  <c r="L510" i="6"/>
  <c r="P510" i="6" s="1"/>
  <c r="S510" i="6" s="1"/>
  <c r="H510" i="6"/>
  <c r="I510" i="6" s="1"/>
  <c r="N510" i="6" s="1"/>
  <c r="G510" i="6"/>
  <c r="F510" i="6"/>
  <c r="R509" i="6" s="1"/>
  <c r="Q509" i="6"/>
  <c r="M509" i="6"/>
  <c r="L509" i="6"/>
  <c r="P509" i="6" s="1"/>
  <c r="S509" i="6" s="1"/>
  <c r="I509" i="6"/>
  <c r="N509" i="6" s="1"/>
  <c r="H509" i="6"/>
  <c r="G509" i="6"/>
  <c r="Y508" i="6"/>
  <c r="G508" i="6"/>
  <c r="F508" i="6"/>
  <c r="G513" i="6" s="1"/>
  <c r="E508" i="6"/>
  <c r="A508" i="6" s="1"/>
  <c r="D508" i="6"/>
  <c r="D509" i="6" s="1"/>
  <c r="D510" i="6" s="1"/>
  <c r="D511" i="6" s="1"/>
  <c r="D512" i="6" s="1"/>
  <c r="D513" i="6" s="1"/>
  <c r="D514" i="6" s="1"/>
  <c r="D515" i="6" s="1"/>
  <c r="C508" i="6"/>
  <c r="J515" i="6" s="1"/>
  <c r="B508" i="6"/>
  <c r="H512" i="6" s="1"/>
  <c r="R507" i="6"/>
  <c r="Q507" i="6"/>
  <c r="M507" i="6"/>
  <c r="L507" i="6"/>
  <c r="A507" i="6"/>
  <c r="R506" i="6"/>
  <c r="Q506" i="6"/>
  <c r="M506" i="6"/>
  <c r="L506" i="6"/>
  <c r="P506" i="6" s="1"/>
  <c r="S506" i="6" s="1"/>
  <c r="F506" i="6"/>
  <c r="R505" i="6"/>
  <c r="Q505" i="6"/>
  <c r="M505" i="6"/>
  <c r="L505" i="6"/>
  <c r="P505" i="6" s="1"/>
  <c r="S505" i="6" s="1"/>
  <c r="F505" i="6"/>
  <c r="R504" i="6" s="1"/>
  <c r="Q504" i="6"/>
  <c r="M504" i="6"/>
  <c r="L504" i="6"/>
  <c r="P504" i="6" s="1"/>
  <c r="S504" i="6" s="1"/>
  <c r="F504" i="6"/>
  <c r="Y503" i="6"/>
  <c r="R503" i="6"/>
  <c r="Q503" i="6"/>
  <c r="P503" i="6"/>
  <c r="S503" i="6" s="1"/>
  <c r="T503" i="6" s="1"/>
  <c r="M503" i="6"/>
  <c r="L503" i="6"/>
  <c r="H503" i="6"/>
  <c r="I503" i="6" s="1"/>
  <c r="N503" i="6" s="1"/>
  <c r="F503" i="6"/>
  <c r="R502" i="6" s="1"/>
  <c r="A503" i="6"/>
  <c r="Q502" i="6"/>
  <c r="M502" i="6"/>
  <c r="L502" i="6"/>
  <c r="F502" i="6"/>
  <c r="R501" i="6"/>
  <c r="Q501" i="6"/>
  <c r="M501" i="6"/>
  <c r="L501" i="6"/>
  <c r="P501" i="6" s="1"/>
  <c r="S501" i="6" s="1"/>
  <c r="J501" i="6"/>
  <c r="D501" i="6"/>
  <c r="D502" i="6" s="1"/>
  <c r="D503" i="6" s="1"/>
  <c r="D504" i="6" s="1"/>
  <c r="D505" i="6" s="1"/>
  <c r="D506" i="6" s="1"/>
  <c r="D507" i="6" s="1"/>
  <c r="Y500" i="6"/>
  <c r="F500" i="6"/>
  <c r="E500" i="6"/>
  <c r="D500" i="6"/>
  <c r="C500" i="6"/>
  <c r="K507" i="6" s="1"/>
  <c r="B500" i="6"/>
  <c r="A500" i="6"/>
  <c r="A506" i="6" s="1"/>
  <c r="R499" i="6"/>
  <c r="Q499" i="6"/>
  <c r="M499" i="6"/>
  <c r="L499" i="6"/>
  <c r="P499" i="6" s="1"/>
  <c r="S499" i="6" s="1"/>
  <c r="R498" i="6"/>
  <c r="Q498" i="6"/>
  <c r="M498" i="6"/>
  <c r="L498" i="6"/>
  <c r="P498" i="6" s="1"/>
  <c r="S498" i="6" s="1"/>
  <c r="F498" i="6"/>
  <c r="R497" i="6" s="1"/>
  <c r="Q497" i="6"/>
  <c r="M497" i="6"/>
  <c r="L497" i="6"/>
  <c r="P497" i="6" s="1"/>
  <c r="S497" i="6" s="1"/>
  <c r="G497" i="6"/>
  <c r="F497" i="6"/>
  <c r="R496" i="6" s="1"/>
  <c r="T496" i="6" s="1"/>
  <c r="Q496" i="6"/>
  <c r="P496" i="6"/>
  <c r="S496" i="6" s="1"/>
  <c r="M496" i="6"/>
  <c r="L496" i="6"/>
  <c r="H496" i="6"/>
  <c r="I496" i="6" s="1"/>
  <c r="N496" i="6" s="1"/>
  <c r="F496" i="6"/>
  <c r="R495" i="6" s="1"/>
  <c r="A496" i="6"/>
  <c r="Q495" i="6"/>
  <c r="M495" i="6"/>
  <c r="L495" i="6"/>
  <c r="F495" i="6"/>
  <c r="R494" i="6"/>
  <c r="Q494" i="6"/>
  <c r="T494" i="6" s="1"/>
  <c r="M494" i="6"/>
  <c r="L494" i="6"/>
  <c r="P494" i="6" s="1"/>
  <c r="S494" i="6" s="1"/>
  <c r="J494" i="6"/>
  <c r="K494" i="6" s="1"/>
  <c r="F494" i="6"/>
  <c r="R493" i="6" s="1"/>
  <c r="Q493" i="6"/>
  <c r="T493" i="6" s="1"/>
  <c r="M493" i="6"/>
  <c r="L493" i="6"/>
  <c r="P493" i="6" s="1"/>
  <c r="S493" i="6" s="1"/>
  <c r="G493" i="6"/>
  <c r="D493" i="6"/>
  <c r="D494" i="6" s="1"/>
  <c r="D495" i="6" s="1"/>
  <c r="D496" i="6" s="1"/>
  <c r="D497" i="6" s="1"/>
  <c r="D498" i="6" s="1"/>
  <c r="D499" i="6" s="1"/>
  <c r="Y492" i="6"/>
  <c r="G492" i="6"/>
  <c r="F492" i="6"/>
  <c r="G496" i="6" s="1"/>
  <c r="E492" i="6"/>
  <c r="D492" i="6"/>
  <c r="C492" i="6"/>
  <c r="B492" i="6"/>
  <c r="I499" i="6" s="1"/>
  <c r="A492" i="6"/>
  <c r="A499" i="6" s="1"/>
  <c r="S491" i="6"/>
  <c r="R491" i="6"/>
  <c r="Q491" i="6"/>
  <c r="M491" i="6"/>
  <c r="L491" i="6"/>
  <c r="P491" i="6" s="1"/>
  <c r="S490" i="6"/>
  <c r="R490" i="6"/>
  <c r="Q490" i="6"/>
  <c r="M490" i="6"/>
  <c r="L490" i="6"/>
  <c r="P490" i="6" s="1"/>
  <c r="G490" i="6"/>
  <c r="F490" i="6"/>
  <c r="R489" i="6"/>
  <c r="Q489" i="6"/>
  <c r="M489" i="6"/>
  <c r="L489" i="6"/>
  <c r="P489" i="6" s="1"/>
  <c r="S489" i="6" s="1"/>
  <c r="T489" i="6" s="1"/>
  <c r="F489" i="6"/>
  <c r="R488" i="6" s="1"/>
  <c r="Q488" i="6"/>
  <c r="M488" i="6"/>
  <c r="L488" i="6"/>
  <c r="F488" i="6"/>
  <c r="R487" i="6"/>
  <c r="Q487" i="6"/>
  <c r="M487" i="6"/>
  <c r="L487" i="6"/>
  <c r="P487" i="6" s="1"/>
  <c r="S487" i="6" s="1"/>
  <c r="T487" i="6" s="1"/>
  <c r="H487" i="6"/>
  <c r="I487" i="6" s="1"/>
  <c r="N487" i="6" s="1"/>
  <c r="F487" i="6"/>
  <c r="A487" i="6"/>
  <c r="R486" i="6"/>
  <c r="Q486" i="6"/>
  <c r="M486" i="6"/>
  <c r="L486" i="6"/>
  <c r="G486" i="6"/>
  <c r="F486" i="6"/>
  <c r="R485" i="6"/>
  <c r="Q485" i="6"/>
  <c r="P485" i="6"/>
  <c r="S485" i="6" s="1"/>
  <c r="T485" i="6" s="1"/>
  <c r="M485" i="6"/>
  <c r="L485" i="6"/>
  <c r="J485" i="6"/>
  <c r="H485" i="6"/>
  <c r="Y484" i="6"/>
  <c r="F484" i="6"/>
  <c r="G491" i="6" s="1"/>
  <c r="E484" i="6"/>
  <c r="D484" i="6"/>
  <c r="D485" i="6" s="1"/>
  <c r="D486" i="6" s="1"/>
  <c r="D487" i="6" s="1"/>
  <c r="D488" i="6" s="1"/>
  <c r="D489" i="6" s="1"/>
  <c r="D490" i="6" s="1"/>
  <c r="D491" i="6" s="1"/>
  <c r="C484" i="6"/>
  <c r="J491" i="6" s="1"/>
  <c r="B484" i="6"/>
  <c r="H486" i="6" s="1"/>
  <c r="I486" i="6" s="1"/>
  <c r="N486" i="6" s="1"/>
  <c r="A484" i="6"/>
  <c r="R483" i="6"/>
  <c r="Q483" i="6"/>
  <c r="P483" i="6"/>
  <c r="S483" i="6" s="1"/>
  <c r="T483" i="6" s="1"/>
  <c r="M483" i="6"/>
  <c r="L483" i="6"/>
  <c r="H483" i="6"/>
  <c r="R482" i="6"/>
  <c r="Q482" i="6"/>
  <c r="P482" i="6"/>
  <c r="S482" i="6" s="1"/>
  <c r="T482" i="6" s="1"/>
  <c r="M482" i="6"/>
  <c r="L482" i="6"/>
  <c r="H482" i="6"/>
  <c r="I482" i="6" s="1"/>
  <c r="N482" i="6" s="1"/>
  <c r="F482" i="6"/>
  <c r="R481" i="6" s="1"/>
  <c r="Q481" i="6"/>
  <c r="M481" i="6"/>
  <c r="L481" i="6"/>
  <c r="F481" i="6"/>
  <c r="R480" i="6"/>
  <c r="Q480" i="6"/>
  <c r="M480" i="6"/>
  <c r="L480" i="6"/>
  <c r="P480" i="6" s="1"/>
  <c r="S480" i="6" s="1"/>
  <c r="F480" i="6"/>
  <c r="R479" i="6" s="1"/>
  <c r="Q479" i="6"/>
  <c r="M479" i="6"/>
  <c r="L479" i="6"/>
  <c r="P479" i="6" s="1"/>
  <c r="S479" i="6" s="1"/>
  <c r="G479" i="6"/>
  <c r="F479" i="6"/>
  <c r="R478" i="6"/>
  <c r="Q478" i="6"/>
  <c r="M478" i="6"/>
  <c r="L478" i="6"/>
  <c r="P478" i="6" s="1"/>
  <c r="S478" i="6" s="1"/>
  <c r="T478" i="6" s="1"/>
  <c r="H478" i="6"/>
  <c r="I478" i="6" s="1"/>
  <c r="N478" i="6" s="1"/>
  <c r="F478" i="6"/>
  <c r="R477" i="6" s="1"/>
  <c r="Q477" i="6"/>
  <c r="M477" i="6"/>
  <c r="L477" i="6"/>
  <c r="P477" i="6" s="1"/>
  <c r="S477" i="6" s="1"/>
  <c r="I477" i="6"/>
  <c r="N477" i="6" s="1"/>
  <c r="H477" i="6"/>
  <c r="G477" i="6"/>
  <c r="Y476" i="6"/>
  <c r="G476" i="6"/>
  <c r="F476" i="6"/>
  <c r="G483" i="6" s="1"/>
  <c r="E476" i="6"/>
  <c r="D476" i="6"/>
  <c r="D477" i="6" s="1"/>
  <c r="D478" i="6" s="1"/>
  <c r="D479" i="6" s="1"/>
  <c r="D480" i="6" s="1"/>
  <c r="D481" i="6" s="1"/>
  <c r="D482" i="6" s="1"/>
  <c r="D483" i="6" s="1"/>
  <c r="C476" i="6"/>
  <c r="K483" i="6" s="1"/>
  <c r="B476" i="6"/>
  <c r="H481" i="6" s="1"/>
  <c r="I481" i="6" s="1"/>
  <c r="N481" i="6" s="1"/>
  <c r="A476" i="6"/>
  <c r="U475" i="6"/>
  <c r="V475" i="6" s="1"/>
  <c r="R475" i="6"/>
  <c r="Q475" i="6"/>
  <c r="M475" i="6"/>
  <c r="L475" i="6"/>
  <c r="A475" i="6"/>
  <c r="R474" i="6"/>
  <c r="Q474" i="6"/>
  <c r="M474" i="6"/>
  <c r="L474" i="6"/>
  <c r="P474" i="6" s="1"/>
  <c r="S474" i="6" s="1"/>
  <c r="F474" i="6"/>
  <c r="R473" i="6"/>
  <c r="Q473" i="6"/>
  <c r="M473" i="6"/>
  <c r="L473" i="6"/>
  <c r="P473" i="6" s="1"/>
  <c r="S473" i="6" s="1"/>
  <c r="F473" i="6"/>
  <c r="R472" i="6" s="1"/>
  <c r="Q472" i="6"/>
  <c r="M472" i="6"/>
  <c r="L472" i="6"/>
  <c r="P472" i="6" s="1"/>
  <c r="S472" i="6" s="1"/>
  <c r="F472" i="6"/>
  <c r="Y471" i="6"/>
  <c r="R471" i="6"/>
  <c r="Q471" i="6"/>
  <c r="P471" i="6"/>
  <c r="S471" i="6" s="1"/>
  <c r="T471" i="6" s="1"/>
  <c r="M471" i="6"/>
  <c r="L471" i="6"/>
  <c r="H471" i="6"/>
  <c r="I471" i="6" s="1"/>
  <c r="N471" i="6" s="1"/>
  <c r="F471" i="6"/>
  <c r="R470" i="6" s="1"/>
  <c r="A471" i="6"/>
  <c r="Q470" i="6"/>
  <c r="M470" i="6"/>
  <c r="L470" i="6"/>
  <c r="F470" i="6"/>
  <c r="R469" i="6"/>
  <c r="Q469" i="6"/>
  <c r="M469" i="6"/>
  <c r="L469" i="6"/>
  <c r="P469" i="6" s="1"/>
  <c r="S469" i="6" s="1"/>
  <c r="J469" i="6"/>
  <c r="D469" i="6"/>
  <c r="D470" i="6" s="1"/>
  <c r="D471" i="6" s="1"/>
  <c r="D472" i="6" s="1"/>
  <c r="D473" i="6" s="1"/>
  <c r="D474" i="6" s="1"/>
  <c r="D475" i="6" s="1"/>
  <c r="Y468" i="6"/>
  <c r="F468" i="6"/>
  <c r="E468" i="6"/>
  <c r="D468" i="6"/>
  <c r="C468" i="6"/>
  <c r="K475" i="6" s="1"/>
  <c r="B468" i="6"/>
  <c r="A468" i="6"/>
  <c r="A474" i="6" s="1"/>
  <c r="U474" i="6" s="1"/>
  <c r="V474" i="6" s="1"/>
  <c r="R467" i="6"/>
  <c r="T467" i="6" s="1"/>
  <c r="Q467" i="6"/>
  <c r="M467" i="6"/>
  <c r="L467" i="6"/>
  <c r="P467" i="6" s="1"/>
  <c r="S467" i="6" s="1"/>
  <c r="R466" i="6"/>
  <c r="Q466" i="6"/>
  <c r="M466" i="6"/>
  <c r="P466" i="6" s="1"/>
  <c r="S466" i="6" s="1"/>
  <c r="T466" i="6" s="1"/>
  <c r="L466" i="6"/>
  <c r="F466" i="6"/>
  <c r="A466" i="6"/>
  <c r="R465" i="6"/>
  <c r="Q465" i="6"/>
  <c r="M465" i="6"/>
  <c r="L465" i="6"/>
  <c r="F465" i="6"/>
  <c r="R464" i="6" s="1"/>
  <c r="Q464" i="6"/>
  <c r="M464" i="6"/>
  <c r="L464" i="6"/>
  <c r="P464" i="6" s="1"/>
  <c r="S464" i="6" s="1"/>
  <c r="F464" i="6"/>
  <c r="R463" i="6" s="1"/>
  <c r="T463" i="6" s="1"/>
  <c r="Q463" i="6"/>
  <c r="P463" i="6"/>
  <c r="S463" i="6" s="1"/>
  <c r="M463" i="6"/>
  <c r="L463" i="6"/>
  <c r="F463" i="6"/>
  <c r="A463" i="6"/>
  <c r="R462" i="6"/>
  <c r="Q462" i="6"/>
  <c r="T462" i="6" s="1"/>
  <c r="M462" i="6"/>
  <c r="L462" i="6"/>
  <c r="P462" i="6" s="1"/>
  <c r="S462" i="6" s="1"/>
  <c r="F462" i="6"/>
  <c r="R461" i="6"/>
  <c r="Q461" i="6"/>
  <c r="T461" i="6" s="1"/>
  <c r="M461" i="6"/>
  <c r="L461" i="6"/>
  <c r="P461" i="6" s="1"/>
  <c r="S461" i="6" s="1"/>
  <c r="J461" i="6"/>
  <c r="D461" i="6"/>
  <c r="D462" i="6" s="1"/>
  <c r="D463" i="6" s="1"/>
  <c r="D464" i="6" s="1"/>
  <c r="D465" i="6" s="1"/>
  <c r="D466" i="6" s="1"/>
  <c r="D467" i="6" s="1"/>
  <c r="Y460" i="6"/>
  <c r="F460" i="6"/>
  <c r="E460" i="6"/>
  <c r="D460" i="6"/>
  <c r="C460" i="6"/>
  <c r="K467" i="6" s="1"/>
  <c r="B460" i="6"/>
  <c r="A460" i="6"/>
  <c r="A467" i="6" s="1"/>
  <c r="R459" i="6"/>
  <c r="Q459" i="6"/>
  <c r="M459" i="6"/>
  <c r="L459" i="6"/>
  <c r="P459" i="6" s="1"/>
  <c r="S459" i="6" s="1"/>
  <c r="D459" i="6"/>
  <c r="A459" i="6"/>
  <c r="U459" i="6" s="1"/>
  <c r="V459" i="6" s="1"/>
  <c r="R458" i="6"/>
  <c r="Q458" i="6"/>
  <c r="T458" i="6" s="1"/>
  <c r="M458" i="6"/>
  <c r="L458" i="6"/>
  <c r="P458" i="6" s="1"/>
  <c r="S458" i="6" s="1"/>
  <c r="F458" i="6"/>
  <c r="R457" i="6" s="1"/>
  <c r="Q457" i="6"/>
  <c r="M457" i="6"/>
  <c r="L457" i="6"/>
  <c r="P457" i="6" s="1"/>
  <c r="S457" i="6" s="1"/>
  <c r="G457" i="6"/>
  <c r="F457" i="6"/>
  <c r="R456" i="6" s="1"/>
  <c r="Q456" i="6"/>
  <c r="M456" i="6"/>
  <c r="L456" i="6"/>
  <c r="P456" i="6" s="1"/>
  <c r="S456" i="6" s="1"/>
  <c r="T456" i="6" s="1"/>
  <c r="H456" i="6"/>
  <c r="I456" i="6" s="1"/>
  <c r="N456" i="6" s="1"/>
  <c r="F456" i="6"/>
  <c r="A456" i="6"/>
  <c r="U455" i="6"/>
  <c r="V455" i="6" s="1"/>
  <c r="R455" i="6"/>
  <c r="Q455" i="6"/>
  <c r="M455" i="6"/>
  <c r="L455" i="6"/>
  <c r="P455" i="6" s="1"/>
  <c r="S455" i="6" s="1"/>
  <c r="F455" i="6"/>
  <c r="D455" i="6"/>
  <c r="D456" i="6" s="1"/>
  <c r="D457" i="6" s="1"/>
  <c r="D458" i="6" s="1"/>
  <c r="A455" i="6"/>
  <c r="Y455" i="6" s="1"/>
  <c r="R454" i="6"/>
  <c r="Q454" i="6"/>
  <c r="M454" i="6"/>
  <c r="L454" i="6"/>
  <c r="P454" i="6" s="1"/>
  <c r="S454" i="6" s="1"/>
  <c r="F454" i="6"/>
  <c r="R453" i="6" s="1"/>
  <c r="Q453" i="6"/>
  <c r="M453" i="6"/>
  <c r="L453" i="6"/>
  <c r="P453" i="6" s="1"/>
  <c r="S453" i="6" s="1"/>
  <c r="G453" i="6"/>
  <c r="D453" i="6"/>
  <c r="D454" i="6" s="1"/>
  <c r="Y452" i="6"/>
  <c r="G452" i="6"/>
  <c r="F452" i="6"/>
  <c r="G456" i="6" s="1"/>
  <c r="E452" i="6"/>
  <c r="D452" i="6"/>
  <c r="C452" i="6"/>
  <c r="B452" i="6"/>
  <c r="I459" i="6" s="1"/>
  <c r="A452" i="6"/>
  <c r="A458" i="6" s="1"/>
  <c r="R451" i="6"/>
  <c r="Q451" i="6"/>
  <c r="M451" i="6"/>
  <c r="L451" i="6"/>
  <c r="R450" i="6"/>
  <c r="Q450" i="6"/>
  <c r="M450" i="6"/>
  <c r="L450" i="6"/>
  <c r="P450" i="6" s="1"/>
  <c r="S450" i="6" s="1"/>
  <c r="F450" i="6"/>
  <c r="R449" i="6"/>
  <c r="Q449" i="6"/>
  <c r="M449" i="6"/>
  <c r="L449" i="6"/>
  <c r="P449" i="6" s="1"/>
  <c r="S449" i="6" s="1"/>
  <c r="F449" i="6"/>
  <c r="R448" i="6"/>
  <c r="Q448" i="6"/>
  <c r="M448" i="6"/>
  <c r="L448" i="6"/>
  <c r="P448" i="6" s="1"/>
  <c r="S448" i="6" s="1"/>
  <c r="G448" i="6"/>
  <c r="F448" i="6"/>
  <c r="R447" i="6" s="1"/>
  <c r="Q447" i="6"/>
  <c r="M447" i="6"/>
  <c r="L447" i="6"/>
  <c r="P447" i="6" s="1"/>
  <c r="S447" i="6" s="1"/>
  <c r="H447" i="6"/>
  <c r="I447" i="6" s="1"/>
  <c r="N447" i="6" s="1"/>
  <c r="G447" i="6"/>
  <c r="F447" i="6"/>
  <c r="R446" i="6" s="1"/>
  <c r="Q446" i="6"/>
  <c r="M446" i="6"/>
  <c r="P446" i="6" s="1"/>
  <c r="S446" i="6" s="1"/>
  <c r="T446" i="6" s="1"/>
  <c r="L446" i="6"/>
  <c r="H446" i="6"/>
  <c r="I446" i="6" s="1"/>
  <c r="N446" i="6" s="1"/>
  <c r="F446" i="6"/>
  <c r="R445" i="6"/>
  <c r="Q445" i="6"/>
  <c r="M445" i="6"/>
  <c r="L445" i="6"/>
  <c r="J445" i="6"/>
  <c r="I445" i="6"/>
  <c r="D445" i="6"/>
  <c r="D446" i="6" s="1"/>
  <c r="D447" i="6" s="1"/>
  <c r="D448" i="6" s="1"/>
  <c r="D449" i="6" s="1"/>
  <c r="D450" i="6" s="1"/>
  <c r="D451" i="6" s="1"/>
  <c r="Y444" i="6"/>
  <c r="F444" i="6"/>
  <c r="E444" i="6"/>
  <c r="D444" i="6"/>
  <c r="C444" i="6"/>
  <c r="K451" i="6" s="1"/>
  <c r="B444" i="6"/>
  <c r="A444" i="6"/>
  <c r="R443" i="6"/>
  <c r="Q443" i="6"/>
  <c r="M443" i="6"/>
  <c r="L443" i="6"/>
  <c r="P443" i="6" s="1"/>
  <c r="S443" i="6" s="1"/>
  <c r="A443" i="6"/>
  <c r="R442" i="6"/>
  <c r="Q442" i="6"/>
  <c r="M442" i="6"/>
  <c r="L442" i="6"/>
  <c r="F442" i="6"/>
  <c r="R441" i="6" s="1"/>
  <c r="Q441" i="6"/>
  <c r="M441" i="6"/>
  <c r="L441" i="6"/>
  <c r="P441" i="6" s="1"/>
  <c r="S441" i="6" s="1"/>
  <c r="F441" i="6"/>
  <c r="R440" i="6" s="1"/>
  <c r="Y440" i="6"/>
  <c r="S440" i="6"/>
  <c r="Q440" i="6"/>
  <c r="M440" i="6"/>
  <c r="L440" i="6"/>
  <c r="P440" i="6" s="1"/>
  <c r="G440" i="6"/>
  <c r="F440" i="6"/>
  <c r="R439" i="6" s="1"/>
  <c r="A440" i="6"/>
  <c r="U440" i="6" s="1"/>
  <c r="V440" i="6" s="1"/>
  <c r="U439" i="6"/>
  <c r="V439" i="6" s="1"/>
  <c r="T439" i="6"/>
  <c r="Q439" i="6"/>
  <c r="M439" i="6"/>
  <c r="L439" i="6"/>
  <c r="P439" i="6" s="1"/>
  <c r="S439" i="6" s="1"/>
  <c r="F439" i="6"/>
  <c r="A439" i="6"/>
  <c r="W439" i="6" s="1"/>
  <c r="R438" i="6"/>
  <c r="Q438" i="6"/>
  <c r="M438" i="6"/>
  <c r="L438" i="6"/>
  <c r="P438" i="6" s="1"/>
  <c r="S438" i="6" s="1"/>
  <c r="F438" i="6"/>
  <c r="R437" i="6" s="1"/>
  <c r="D438" i="6"/>
  <c r="D439" i="6" s="1"/>
  <c r="D440" i="6" s="1"/>
  <c r="D441" i="6" s="1"/>
  <c r="D442" i="6" s="1"/>
  <c r="D443" i="6" s="1"/>
  <c r="S437" i="6"/>
  <c r="Q437" i="6"/>
  <c r="M437" i="6"/>
  <c r="L437" i="6"/>
  <c r="P437" i="6" s="1"/>
  <c r="D437" i="6"/>
  <c r="Y436" i="6"/>
  <c r="G436" i="6"/>
  <c r="F436" i="6"/>
  <c r="E436" i="6"/>
  <c r="D436" i="6"/>
  <c r="C436" i="6"/>
  <c r="J437" i="6" s="1"/>
  <c r="B436" i="6"/>
  <c r="A436" i="6"/>
  <c r="A442" i="6" s="1"/>
  <c r="S435" i="6"/>
  <c r="R435" i="6"/>
  <c r="Q435" i="6"/>
  <c r="M435" i="6"/>
  <c r="L435" i="6"/>
  <c r="P435" i="6" s="1"/>
  <c r="K435" i="6"/>
  <c r="R434" i="6"/>
  <c r="Q434" i="6"/>
  <c r="T434" i="6" s="1"/>
  <c r="M434" i="6"/>
  <c r="L434" i="6"/>
  <c r="P434" i="6" s="1"/>
  <c r="S434" i="6" s="1"/>
  <c r="F434" i="6"/>
  <c r="R433" i="6" s="1"/>
  <c r="S433" i="6"/>
  <c r="Q433" i="6"/>
  <c r="M433" i="6"/>
  <c r="L433" i="6"/>
  <c r="P433" i="6" s="1"/>
  <c r="G433" i="6"/>
  <c r="F433" i="6"/>
  <c r="R432" i="6" s="1"/>
  <c r="Q432" i="6"/>
  <c r="M432" i="6"/>
  <c r="L432" i="6"/>
  <c r="F432" i="6"/>
  <c r="R431" i="6"/>
  <c r="Q431" i="6"/>
  <c r="M431" i="6"/>
  <c r="L431" i="6"/>
  <c r="P431" i="6" s="1"/>
  <c r="S431" i="6" s="1"/>
  <c r="F431" i="6"/>
  <c r="R430" i="6" s="1"/>
  <c r="Q430" i="6"/>
  <c r="M430" i="6"/>
  <c r="L430" i="6"/>
  <c r="J430" i="6"/>
  <c r="K430" i="6" s="1"/>
  <c r="G430" i="6"/>
  <c r="F430" i="6"/>
  <c r="R429" i="6" s="1"/>
  <c r="T429" i="6"/>
  <c r="Q429" i="6"/>
  <c r="P429" i="6"/>
  <c r="S429" i="6" s="1"/>
  <c r="M429" i="6"/>
  <c r="L429" i="6"/>
  <c r="H429" i="6"/>
  <c r="G429" i="6"/>
  <c r="Y428" i="6"/>
  <c r="G428" i="6"/>
  <c r="F428" i="6"/>
  <c r="G434" i="6" s="1"/>
  <c r="E428" i="6"/>
  <c r="D428" i="6"/>
  <c r="D429" i="6" s="1"/>
  <c r="D430" i="6" s="1"/>
  <c r="D431" i="6" s="1"/>
  <c r="D432" i="6" s="1"/>
  <c r="D433" i="6" s="1"/>
  <c r="D434" i="6" s="1"/>
  <c r="D435" i="6" s="1"/>
  <c r="C428" i="6"/>
  <c r="J429" i="6" s="1"/>
  <c r="B428" i="6"/>
  <c r="H433" i="6" s="1"/>
  <c r="I433" i="6" s="1"/>
  <c r="N433" i="6" s="1"/>
  <c r="A428" i="6"/>
  <c r="R427" i="6"/>
  <c r="Q427" i="6"/>
  <c r="P427" i="6"/>
  <c r="S427" i="6" s="1"/>
  <c r="T427" i="6" s="1"/>
  <c r="M427" i="6"/>
  <c r="L427" i="6"/>
  <c r="K427" i="6"/>
  <c r="O427" i="6" s="1"/>
  <c r="H427" i="6"/>
  <c r="G427" i="6"/>
  <c r="R426" i="6"/>
  <c r="Q426" i="6"/>
  <c r="M426" i="6"/>
  <c r="L426" i="6"/>
  <c r="P426" i="6" s="1"/>
  <c r="S426" i="6" s="1"/>
  <c r="T426" i="6" s="1"/>
  <c r="H426" i="6"/>
  <c r="I426" i="6" s="1"/>
  <c r="N426" i="6" s="1"/>
  <c r="G426" i="6"/>
  <c r="F426" i="6"/>
  <c r="R425" i="6" s="1"/>
  <c r="U425" i="6"/>
  <c r="V425" i="6" s="1"/>
  <c r="T425" i="6"/>
  <c r="Q425" i="6"/>
  <c r="M425" i="6"/>
  <c r="L425" i="6"/>
  <c r="P425" i="6" s="1"/>
  <c r="S425" i="6" s="1"/>
  <c r="I425" i="6"/>
  <c r="N425" i="6" s="1"/>
  <c r="H425" i="6"/>
  <c r="F425" i="6"/>
  <c r="A425" i="6"/>
  <c r="W425" i="6" s="1"/>
  <c r="R424" i="6"/>
  <c r="Q424" i="6"/>
  <c r="M424" i="6"/>
  <c r="L424" i="6"/>
  <c r="F424" i="6"/>
  <c r="D424" i="6"/>
  <c r="D425" i="6" s="1"/>
  <c r="D426" i="6" s="1"/>
  <c r="D427" i="6" s="1"/>
  <c r="S423" i="6"/>
  <c r="R423" i="6"/>
  <c r="Q423" i="6"/>
  <c r="M423" i="6"/>
  <c r="L423" i="6"/>
  <c r="P423" i="6" s="1"/>
  <c r="G423" i="6"/>
  <c r="F423" i="6"/>
  <c r="R422" i="6" s="1"/>
  <c r="Q422" i="6"/>
  <c r="P422" i="6"/>
  <c r="S422" i="6" s="1"/>
  <c r="T422" i="6" s="1"/>
  <c r="M422" i="6"/>
  <c r="L422" i="6"/>
  <c r="H422" i="6"/>
  <c r="I422" i="6" s="1"/>
  <c r="N422" i="6" s="1"/>
  <c r="G422" i="6"/>
  <c r="F422" i="6"/>
  <c r="R421" i="6" s="1"/>
  <c r="A422" i="6"/>
  <c r="Q421" i="6"/>
  <c r="P421" i="6"/>
  <c r="S421" i="6" s="1"/>
  <c r="M421" i="6"/>
  <c r="L421" i="6"/>
  <c r="I421" i="6"/>
  <c r="H421" i="6"/>
  <c r="G421" i="6"/>
  <c r="Y420" i="6"/>
  <c r="G420" i="6"/>
  <c r="F420" i="6"/>
  <c r="G425" i="6" s="1"/>
  <c r="E420" i="6"/>
  <c r="D420" i="6"/>
  <c r="D421" i="6" s="1"/>
  <c r="D422" i="6" s="1"/>
  <c r="D423" i="6" s="1"/>
  <c r="C420" i="6"/>
  <c r="J427" i="6" s="1"/>
  <c r="B420" i="6"/>
  <c r="H424" i="6" s="1"/>
  <c r="I424" i="6" s="1"/>
  <c r="N424" i="6" s="1"/>
  <c r="A420" i="6"/>
  <c r="R419" i="6"/>
  <c r="Q419" i="6"/>
  <c r="M419" i="6"/>
  <c r="L419" i="6"/>
  <c r="P419" i="6" s="1"/>
  <c r="S419" i="6" s="1"/>
  <c r="A419" i="6"/>
  <c r="U419" i="6" s="1"/>
  <c r="V419" i="6" s="1"/>
  <c r="R418" i="6"/>
  <c r="Q418" i="6"/>
  <c r="T418" i="6" s="1"/>
  <c r="M418" i="6"/>
  <c r="L418" i="6"/>
  <c r="P418" i="6" s="1"/>
  <c r="S418" i="6" s="1"/>
  <c r="F418" i="6"/>
  <c r="R417" i="6"/>
  <c r="Q417" i="6"/>
  <c r="M417" i="6"/>
  <c r="L417" i="6"/>
  <c r="P417" i="6" s="1"/>
  <c r="S417" i="6" s="1"/>
  <c r="G417" i="6"/>
  <c r="F417" i="6"/>
  <c r="R416" i="6" s="1"/>
  <c r="Y416" i="6"/>
  <c r="Q416" i="6"/>
  <c r="M416" i="6"/>
  <c r="L416" i="6"/>
  <c r="P416" i="6" s="1"/>
  <c r="S416" i="6" s="1"/>
  <c r="H416" i="6"/>
  <c r="I416" i="6" s="1"/>
  <c r="N416" i="6" s="1"/>
  <c r="G416" i="6"/>
  <c r="F416" i="6"/>
  <c r="R415" i="6" s="1"/>
  <c r="A416" i="6"/>
  <c r="U416" i="6" s="1"/>
  <c r="V416" i="6" s="1"/>
  <c r="Y415" i="6"/>
  <c r="U415" i="6"/>
  <c r="V415" i="6" s="1"/>
  <c r="Q415" i="6"/>
  <c r="M415" i="6"/>
  <c r="P415" i="6" s="1"/>
  <c r="S415" i="6" s="1"/>
  <c r="T415" i="6" s="1"/>
  <c r="L415" i="6"/>
  <c r="H415" i="6"/>
  <c r="I415" i="6" s="1"/>
  <c r="N415" i="6" s="1"/>
  <c r="F415" i="6"/>
  <c r="A415" i="6"/>
  <c r="W415" i="6" s="1"/>
  <c r="R414" i="6"/>
  <c r="Q414" i="6"/>
  <c r="M414" i="6"/>
  <c r="L414" i="6"/>
  <c r="F414" i="6"/>
  <c r="R413" i="6" s="1"/>
  <c r="D414" i="6"/>
  <c r="D415" i="6" s="1"/>
  <c r="D416" i="6" s="1"/>
  <c r="D417" i="6" s="1"/>
  <c r="D418" i="6" s="1"/>
  <c r="D419" i="6" s="1"/>
  <c r="S413" i="6"/>
  <c r="Q413" i="6"/>
  <c r="M413" i="6"/>
  <c r="L413" i="6"/>
  <c r="P413" i="6" s="1"/>
  <c r="D413" i="6"/>
  <c r="Y412" i="6"/>
  <c r="G412" i="6"/>
  <c r="F412" i="6"/>
  <c r="E412" i="6"/>
  <c r="D412" i="6"/>
  <c r="C412" i="6"/>
  <c r="K419" i="6" s="1"/>
  <c r="B412" i="6"/>
  <c r="I419" i="6" s="1"/>
  <c r="A412" i="6"/>
  <c r="A418" i="6" s="1"/>
  <c r="W411" i="6"/>
  <c r="R411" i="6"/>
  <c r="Q411" i="6"/>
  <c r="M411" i="6"/>
  <c r="L411" i="6"/>
  <c r="P411" i="6" s="1"/>
  <c r="S411" i="6" s="1"/>
  <c r="K411" i="6"/>
  <c r="R410" i="6"/>
  <c r="Q410" i="6"/>
  <c r="M410" i="6"/>
  <c r="L410" i="6"/>
  <c r="P410" i="6" s="1"/>
  <c r="S410" i="6" s="1"/>
  <c r="F410" i="6"/>
  <c r="R409" i="6" s="1"/>
  <c r="Y409" i="6"/>
  <c r="Q409" i="6"/>
  <c r="M409" i="6"/>
  <c r="L409" i="6"/>
  <c r="P409" i="6" s="1"/>
  <c r="S409" i="6" s="1"/>
  <c r="F409" i="6"/>
  <c r="R408" i="6" s="1"/>
  <c r="A409" i="6"/>
  <c r="U409" i="6" s="1"/>
  <c r="V409" i="6" s="1"/>
  <c r="Y408" i="6"/>
  <c r="U408" i="6"/>
  <c r="V408" i="6" s="1"/>
  <c r="Q408" i="6"/>
  <c r="M408" i="6"/>
  <c r="P408" i="6" s="1"/>
  <c r="S408" i="6" s="1"/>
  <c r="T408" i="6" s="1"/>
  <c r="L408" i="6"/>
  <c r="F408" i="6"/>
  <c r="A408" i="6"/>
  <c r="W408" i="6" s="1"/>
  <c r="R407" i="6"/>
  <c r="Q407" i="6"/>
  <c r="M407" i="6"/>
  <c r="L407" i="6"/>
  <c r="F407" i="6"/>
  <c r="R406" i="6" s="1"/>
  <c r="S406" i="6"/>
  <c r="Q406" i="6"/>
  <c r="M406" i="6"/>
  <c r="L406" i="6"/>
  <c r="P406" i="6" s="1"/>
  <c r="J406" i="6"/>
  <c r="K406" i="6" s="1"/>
  <c r="F406" i="6"/>
  <c r="R405" i="6" s="1"/>
  <c r="Q405" i="6"/>
  <c r="M405" i="6"/>
  <c r="L405" i="6"/>
  <c r="P405" i="6" s="1"/>
  <c r="S405" i="6" s="1"/>
  <c r="T405" i="6" s="1"/>
  <c r="D405" i="6"/>
  <c r="D406" i="6" s="1"/>
  <c r="D407" i="6" s="1"/>
  <c r="D408" i="6" s="1"/>
  <c r="D409" i="6" s="1"/>
  <c r="D410" i="6" s="1"/>
  <c r="D411" i="6" s="1"/>
  <c r="Y404" i="6"/>
  <c r="F404" i="6"/>
  <c r="E404" i="6"/>
  <c r="D404" i="6"/>
  <c r="C404" i="6"/>
  <c r="J411" i="6" s="1"/>
  <c r="B404" i="6"/>
  <c r="A404" i="6"/>
  <c r="A411" i="6" s="1"/>
  <c r="R403" i="6"/>
  <c r="T403" i="6" s="1"/>
  <c r="Q403" i="6"/>
  <c r="M403" i="6"/>
  <c r="L403" i="6"/>
  <c r="P403" i="6" s="1"/>
  <c r="S403" i="6" s="1"/>
  <c r="I403" i="6"/>
  <c r="A403" i="6"/>
  <c r="R402" i="6"/>
  <c r="Q402" i="6"/>
  <c r="M402" i="6"/>
  <c r="L402" i="6"/>
  <c r="F402" i="6"/>
  <c r="R401" i="6"/>
  <c r="Q401" i="6"/>
  <c r="T401" i="6" s="1"/>
  <c r="M401" i="6"/>
  <c r="L401" i="6"/>
  <c r="P401" i="6" s="1"/>
  <c r="S401" i="6" s="1"/>
  <c r="F401" i="6"/>
  <c r="R400" i="6" s="1"/>
  <c r="W400" i="6"/>
  <c r="Q400" i="6"/>
  <c r="M400" i="6"/>
  <c r="L400" i="6"/>
  <c r="P400" i="6" s="1"/>
  <c r="S400" i="6" s="1"/>
  <c r="G400" i="6"/>
  <c r="F400" i="6"/>
  <c r="R399" i="6" s="1"/>
  <c r="A400" i="6"/>
  <c r="U400" i="6" s="1"/>
  <c r="V400" i="6" s="1"/>
  <c r="Q399" i="6"/>
  <c r="M399" i="6"/>
  <c r="L399" i="6"/>
  <c r="P399" i="6" s="1"/>
  <c r="S399" i="6" s="1"/>
  <c r="T399" i="6" s="1"/>
  <c r="F399" i="6"/>
  <c r="A399" i="6"/>
  <c r="Y399" i="6" s="1"/>
  <c r="R398" i="6"/>
  <c r="Q398" i="6"/>
  <c r="M398" i="6"/>
  <c r="L398" i="6"/>
  <c r="P398" i="6" s="1"/>
  <c r="S398" i="6" s="1"/>
  <c r="F398" i="6"/>
  <c r="R397" i="6"/>
  <c r="Q397" i="6"/>
  <c r="T397" i="6" s="1"/>
  <c r="M397" i="6"/>
  <c r="L397" i="6"/>
  <c r="P397" i="6" s="1"/>
  <c r="S397" i="6" s="1"/>
  <c r="J397" i="6"/>
  <c r="D397" i="6"/>
  <c r="D398" i="6" s="1"/>
  <c r="D399" i="6" s="1"/>
  <c r="D400" i="6" s="1"/>
  <c r="D401" i="6" s="1"/>
  <c r="D402" i="6" s="1"/>
  <c r="D403" i="6" s="1"/>
  <c r="Y396" i="6"/>
  <c r="F396" i="6"/>
  <c r="E396" i="6"/>
  <c r="D396" i="6"/>
  <c r="C396" i="6"/>
  <c r="K403" i="6" s="1"/>
  <c r="B396" i="6"/>
  <c r="A396" i="6"/>
  <c r="A402" i="6" s="1"/>
  <c r="R395" i="6"/>
  <c r="Q395" i="6"/>
  <c r="M395" i="6"/>
  <c r="L395" i="6"/>
  <c r="A395" i="6"/>
  <c r="R394" i="6"/>
  <c r="Q394" i="6"/>
  <c r="M394" i="6"/>
  <c r="L394" i="6"/>
  <c r="P394" i="6" s="1"/>
  <c r="S394" i="6" s="1"/>
  <c r="F394" i="6"/>
  <c r="R393" i="6"/>
  <c r="Q393" i="6"/>
  <c r="M393" i="6"/>
  <c r="L393" i="6"/>
  <c r="P393" i="6" s="1"/>
  <c r="S393" i="6" s="1"/>
  <c r="F393" i="6"/>
  <c r="R392" i="6" s="1"/>
  <c r="Q392" i="6"/>
  <c r="M392" i="6"/>
  <c r="L392" i="6"/>
  <c r="P392" i="6" s="1"/>
  <c r="S392" i="6" s="1"/>
  <c r="F392" i="6"/>
  <c r="R391" i="6" s="1"/>
  <c r="Q391" i="6"/>
  <c r="P391" i="6"/>
  <c r="S391" i="6" s="1"/>
  <c r="M391" i="6"/>
  <c r="L391" i="6"/>
  <c r="F391" i="6"/>
  <c r="A391" i="6"/>
  <c r="R390" i="6"/>
  <c r="Q390" i="6"/>
  <c r="M390" i="6"/>
  <c r="L390" i="6"/>
  <c r="F390" i="6"/>
  <c r="R389" i="6"/>
  <c r="Q389" i="6"/>
  <c r="T389" i="6" s="1"/>
  <c r="M389" i="6"/>
  <c r="L389" i="6"/>
  <c r="P389" i="6" s="1"/>
  <c r="S389" i="6" s="1"/>
  <c r="J389" i="6"/>
  <c r="D389" i="6"/>
  <c r="D390" i="6" s="1"/>
  <c r="D391" i="6" s="1"/>
  <c r="D392" i="6" s="1"/>
  <c r="D393" i="6" s="1"/>
  <c r="D394" i="6" s="1"/>
  <c r="D395" i="6" s="1"/>
  <c r="Y388" i="6"/>
  <c r="F388" i="6"/>
  <c r="E388" i="6"/>
  <c r="D388" i="6"/>
  <c r="C388" i="6"/>
  <c r="K395" i="6" s="1"/>
  <c r="B388" i="6"/>
  <c r="A388" i="6"/>
  <c r="A394" i="6" s="1"/>
  <c r="R387" i="6"/>
  <c r="Q387" i="6"/>
  <c r="T387" i="6" s="1"/>
  <c r="M387" i="6"/>
  <c r="L387" i="6"/>
  <c r="P387" i="6" s="1"/>
  <c r="S387" i="6" s="1"/>
  <c r="D387" i="6"/>
  <c r="R386" i="6"/>
  <c r="Q386" i="6"/>
  <c r="M386" i="6"/>
  <c r="L386" i="6"/>
  <c r="P386" i="6" s="1"/>
  <c r="S386" i="6" s="1"/>
  <c r="F386" i="6"/>
  <c r="R385" i="6" s="1"/>
  <c r="Q385" i="6"/>
  <c r="M385" i="6"/>
  <c r="L385" i="6"/>
  <c r="P385" i="6" s="1"/>
  <c r="S385" i="6" s="1"/>
  <c r="G385" i="6"/>
  <c r="F385" i="6"/>
  <c r="R384" i="6" s="1"/>
  <c r="T384" i="6" s="1"/>
  <c r="Q384" i="6"/>
  <c r="P384" i="6"/>
  <c r="S384" i="6" s="1"/>
  <c r="M384" i="6"/>
  <c r="L384" i="6"/>
  <c r="H384" i="6"/>
  <c r="I384" i="6" s="1"/>
  <c r="N384" i="6" s="1"/>
  <c r="F384" i="6"/>
  <c r="A384" i="6"/>
  <c r="R383" i="6"/>
  <c r="Q383" i="6"/>
  <c r="M383" i="6"/>
  <c r="L383" i="6"/>
  <c r="F383" i="6"/>
  <c r="D383" i="6"/>
  <c r="D384" i="6" s="1"/>
  <c r="D385" i="6" s="1"/>
  <c r="D386" i="6" s="1"/>
  <c r="R382" i="6"/>
  <c r="Q382" i="6"/>
  <c r="M382" i="6"/>
  <c r="L382" i="6"/>
  <c r="P382" i="6" s="1"/>
  <c r="S382" i="6" s="1"/>
  <c r="F382" i="6"/>
  <c r="R381" i="6" s="1"/>
  <c r="S381" i="6"/>
  <c r="Q381" i="6"/>
  <c r="M381" i="6"/>
  <c r="L381" i="6"/>
  <c r="P381" i="6" s="1"/>
  <c r="G381" i="6"/>
  <c r="Y380" i="6"/>
  <c r="G380" i="6"/>
  <c r="F380" i="6"/>
  <c r="G384" i="6" s="1"/>
  <c r="E380" i="6"/>
  <c r="D380" i="6"/>
  <c r="D381" i="6" s="1"/>
  <c r="D382" i="6" s="1"/>
  <c r="C380" i="6"/>
  <c r="B380" i="6"/>
  <c r="I387" i="6" s="1"/>
  <c r="A380" i="6"/>
  <c r="A387" i="6" s="1"/>
  <c r="S379" i="6"/>
  <c r="R379" i="6"/>
  <c r="Q379" i="6"/>
  <c r="M379" i="6"/>
  <c r="L379" i="6"/>
  <c r="P379" i="6" s="1"/>
  <c r="S378" i="6"/>
  <c r="R378" i="6"/>
  <c r="Q378" i="6"/>
  <c r="M378" i="6"/>
  <c r="L378" i="6"/>
  <c r="P378" i="6" s="1"/>
  <c r="G378" i="6"/>
  <c r="F378" i="6"/>
  <c r="R377" i="6"/>
  <c r="Q377" i="6"/>
  <c r="M377" i="6"/>
  <c r="L377" i="6"/>
  <c r="P377" i="6" s="1"/>
  <c r="S377" i="6" s="1"/>
  <c r="T377" i="6" s="1"/>
  <c r="H377" i="6"/>
  <c r="I377" i="6" s="1"/>
  <c r="N377" i="6" s="1"/>
  <c r="F377" i="6"/>
  <c r="R376" i="6"/>
  <c r="Q376" i="6"/>
  <c r="M376" i="6"/>
  <c r="L376" i="6"/>
  <c r="P376" i="6" s="1"/>
  <c r="S376" i="6" s="1"/>
  <c r="F376" i="6"/>
  <c r="R375" i="6"/>
  <c r="Q375" i="6"/>
  <c r="M375" i="6"/>
  <c r="L375" i="6"/>
  <c r="P375" i="6" s="1"/>
  <c r="S375" i="6" s="1"/>
  <c r="F375" i="6"/>
  <c r="R374" i="6" s="1"/>
  <c r="Q374" i="6"/>
  <c r="M374" i="6"/>
  <c r="L374" i="6"/>
  <c r="P374" i="6" s="1"/>
  <c r="S374" i="6" s="1"/>
  <c r="F374" i="6"/>
  <c r="R373" i="6"/>
  <c r="Q373" i="6"/>
  <c r="T373" i="6" s="1"/>
  <c r="P373" i="6"/>
  <c r="S373" i="6" s="1"/>
  <c r="M373" i="6"/>
  <c r="L373" i="6"/>
  <c r="I373" i="6"/>
  <c r="N373" i="6" s="1"/>
  <c r="H373" i="6"/>
  <c r="G373" i="6"/>
  <c r="Y372" i="6"/>
  <c r="G372" i="6"/>
  <c r="F372" i="6"/>
  <c r="E372" i="6"/>
  <c r="D372" i="6"/>
  <c r="D373" i="6" s="1"/>
  <c r="D374" i="6" s="1"/>
  <c r="D375" i="6" s="1"/>
  <c r="D376" i="6" s="1"/>
  <c r="D377" i="6" s="1"/>
  <c r="D378" i="6" s="1"/>
  <c r="D379" i="6" s="1"/>
  <c r="C372" i="6"/>
  <c r="B372" i="6"/>
  <c r="A372" i="6"/>
  <c r="R371" i="6"/>
  <c r="Q371" i="6"/>
  <c r="M371" i="6"/>
  <c r="L371" i="6"/>
  <c r="I371" i="6"/>
  <c r="R370" i="6"/>
  <c r="Q370" i="6"/>
  <c r="T370" i="6" s="1"/>
  <c r="M370" i="6"/>
  <c r="L370" i="6"/>
  <c r="P370" i="6" s="1"/>
  <c r="S370" i="6" s="1"/>
  <c r="F370" i="6"/>
  <c r="R369" i="6"/>
  <c r="Q369" i="6"/>
  <c r="M369" i="6"/>
  <c r="L369" i="6"/>
  <c r="F369" i="6"/>
  <c r="R368" i="6" s="1"/>
  <c r="S368" i="6"/>
  <c r="Q368" i="6"/>
  <c r="M368" i="6"/>
  <c r="L368" i="6"/>
  <c r="P368" i="6" s="1"/>
  <c r="F368" i="6"/>
  <c r="R367" i="6" s="1"/>
  <c r="Q367" i="6"/>
  <c r="P367" i="6"/>
  <c r="S367" i="6" s="1"/>
  <c r="M367" i="6"/>
  <c r="L367" i="6"/>
  <c r="G367" i="6"/>
  <c r="F367" i="6"/>
  <c r="R366" i="6" s="1"/>
  <c r="A367" i="6"/>
  <c r="Q366" i="6"/>
  <c r="T366" i="6" s="1"/>
  <c r="M366" i="6"/>
  <c r="L366" i="6"/>
  <c r="P366" i="6" s="1"/>
  <c r="S366" i="6" s="1"/>
  <c r="F366" i="6"/>
  <c r="A366" i="6"/>
  <c r="R365" i="6"/>
  <c r="Q365" i="6"/>
  <c r="M365" i="6"/>
  <c r="L365" i="6"/>
  <c r="J365" i="6"/>
  <c r="D365" i="6"/>
  <c r="D366" i="6" s="1"/>
  <c r="D367" i="6" s="1"/>
  <c r="D368" i="6" s="1"/>
  <c r="D369" i="6" s="1"/>
  <c r="D370" i="6" s="1"/>
  <c r="D371" i="6" s="1"/>
  <c r="Y364" i="6"/>
  <c r="F364" i="6"/>
  <c r="E364" i="6"/>
  <c r="D364" i="6"/>
  <c r="C364" i="6"/>
  <c r="K371" i="6" s="1"/>
  <c r="B364" i="6"/>
  <c r="A364" i="6"/>
  <c r="A365" i="6" s="1"/>
  <c r="R363" i="6"/>
  <c r="Q363" i="6"/>
  <c r="M363" i="6"/>
  <c r="L363" i="6"/>
  <c r="R362" i="6"/>
  <c r="Q362" i="6"/>
  <c r="M362" i="6"/>
  <c r="L362" i="6"/>
  <c r="P362" i="6" s="1"/>
  <c r="S362" i="6" s="1"/>
  <c r="F362" i="6"/>
  <c r="R361" i="6"/>
  <c r="Q361" i="6"/>
  <c r="M361" i="6"/>
  <c r="L361" i="6"/>
  <c r="P361" i="6" s="1"/>
  <c r="S361" i="6" s="1"/>
  <c r="G361" i="6"/>
  <c r="F361" i="6"/>
  <c r="R360" i="6" s="1"/>
  <c r="Q360" i="6"/>
  <c r="M360" i="6"/>
  <c r="L360" i="6"/>
  <c r="P360" i="6" s="1"/>
  <c r="S360" i="6" s="1"/>
  <c r="T360" i="6" s="1"/>
  <c r="H360" i="6"/>
  <c r="I360" i="6" s="1"/>
  <c r="N360" i="6" s="1"/>
  <c r="F360" i="6"/>
  <c r="R359" i="6" s="1"/>
  <c r="Q359" i="6"/>
  <c r="P359" i="6"/>
  <c r="S359" i="6" s="1"/>
  <c r="T359" i="6" s="1"/>
  <c r="M359" i="6"/>
  <c r="L359" i="6"/>
  <c r="H359" i="6"/>
  <c r="I359" i="6" s="1"/>
  <c r="N359" i="6" s="1"/>
  <c r="F359" i="6"/>
  <c r="R358" i="6"/>
  <c r="Q358" i="6"/>
  <c r="M358" i="6"/>
  <c r="L358" i="6"/>
  <c r="P358" i="6" s="1"/>
  <c r="S358" i="6" s="1"/>
  <c r="F358" i="6"/>
  <c r="S357" i="6"/>
  <c r="R357" i="6"/>
  <c r="Q357" i="6"/>
  <c r="M357" i="6"/>
  <c r="L357" i="6"/>
  <c r="P357" i="6" s="1"/>
  <c r="K357" i="6"/>
  <c r="Y356" i="6"/>
  <c r="F356" i="6"/>
  <c r="E356" i="6"/>
  <c r="D356" i="6"/>
  <c r="D357" i="6" s="1"/>
  <c r="D358" i="6" s="1"/>
  <c r="D359" i="6" s="1"/>
  <c r="D360" i="6" s="1"/>
  <c r="D361" i="6" s="1"/>
  <c r="D362" i="6" s="1"/>
  <c r="D363" i="6" s="1"/>
  <c r="C356" i="6"/>
  <c r="K363" i="6" s="1"/>
  <c r="B356" i="6"/>
  <c r="I363" i="6" s="1"/>
  <c r="A356" i="6"/>
  <c r="T355" i="6"/>
  <c r="R355" i="6"/>
  <c r="Q355" i="6"/>
  <c r="P355" i="6"/>
  <c r="S355" i="6" s="1"/>
  <c r="M355" i="6"/>
  <c r="L355" i="6"/>
  <c r="H355" i="6"/>
  <c r="T354" i="6"/>
  <c r="R354" i="6"/>
  <c r="Q354" i="6"/>
  <c r="P354" i="6"/>
  <c r="S354" i="6" s="1"/>
  <c r="M354" i="6"/>
  <c r="L354" i="6"/>
  <c r="H354" i="6"/>
  <c r="I354" i="6" s="1"/>
  <c r="N354" i="6" s="1"/>
  <c r="F354" i="6"/>
  <c r="R353" i="6" s="1"/>
  <c r="A354" i="6"/>
  <c r="Y354" i="6" s="1"/>
  <c r="Q353" i="6"/>
  <c r="M353" i="6"/>
  <c r="L353" i="6"/>
  <c r="P353" i="6" s="1"/>
  <c r="S353" i="6" s="1"/>
  <c r="F353" i="6"/>
  <c r="D353" i="6"/>
  <c r="D354" i="6" s="1"/>
  <c r="D355" i="6" s="1"/>
  <c r="R352" i="6"/>
  <c r="Q352" i="6"/>
  <c r="M352" i="6"/>
  <c r="L352" i="6"/>
  <c r="P352" i="6" s="1"/>
  <c r="S352" i="6" s="1"/>
  <c r="F352" i="6"/>
  <c r="R351" i="6" s="1"/>
  <c r="Q351" i="6"/>
  <c r="M351" i="6"/>
  <c r="L351" i="6"/>
  <c r="P351" i="6" s="1"/>
  <c r="S351" i="6" s="1"/>
  <c r="G351" i="6"/>
  <c r="F351" i="6"/>
  <c r="R350" i="6"/>
  <c r="Q350" i="6"/>
  <c r="M350" i="6"/>
  <c r="L350" i="6"/>
  <c r="P350" i="6" s="1"/>
  <c r="S350" i="6" s="1"/>
  <c r="T350" i="6" s="1"/>
  <c r="H350" i="6"/>
  <c r="I350" i="6" s="1"/>
  <c r="N350" i="6" s="1"/>
  <c r="F350" i="6"/>
  <c r="R349" i="6" s="1"/>
  <c r="Q349" i="6"/>
  <c r="M349" i="6"/>
  <c r="L349" i="6"/>
  <c r="I349" i="6"/>
  <c r="G349" i="6"/>
  <c r="Y348" i="6"/>
  <c r="G348" i="6"/>
  <c r="F348" i="6"/>
  <c r="G355" i="6" s="1"/>
  <c r="E348" i="6"/>
  <c r="D348" i="6"/>
  <c r="D349" i="6" s="1"/>
  <c r="D350" i="6" s="1"/>
  <c r="D351" i="6" s="1"/>
  <c r="D352" i="6" s="1"/>
  <c r="C348" i="6"/>
  <c r="K355" i="6" s="1"/>
  <c r="B348" i="6"/>
  <c r="H353" i="6" s="1"/>
  <c r="I353" i="6" s="1"/>
  <c r="N353" i="6" s="1"/>
  <c r="A348" i="6"/>
  <c r="A350" i="6" s="1"/>
  <c r="R347" i="6"/>
  <c r="Q347" i="6"/>
  <c r="M347" i="6"/>
  <c r="L347" i="6"/>
  <c r="A347" i="6"/>
  <c r="R346" i="6"/>
  <c r="Q346" i="6"/>
  <c r="M346" i="6"/>
  <c r="L346" i="6"/>
  <c r="F346" i="6"/>
  <c r="R345" i="6"/>
  <c r="Q345" i="6"/>
  <c r="T345" i="6" s="1"/>
  <c r="M345" i="6"/>
  <c r="L345" i="6"/>
  <c r="P345" i="6" s="1"/>
  <c r="S345" i="6" s="1"/>
  <c r="F345" i="6"/>
  <c r="R344" i="6" s="1"/>
  <c r="Q344" i="6"/>
  <c r="M344" i="6"/>
  <c r="L344" i="6"/>
  <c r="P344" i="6" s="1"/>
  <c r="S344" i="6" s="1"/>
  <c r="F344" i="6"/>
  <c r="R343" i="6" s="1"/>
  <c r="Q343" i="6"/>
  <c r="M343" i="6"/>
  <c r="L343" i="6"/>
  <c r="P343" i="6" s="1"/>
  <c r="S343" i="6" s="1"/>
  <c r="T343" i="6" s="1"/>
  <c r="F343" i="6"/>
  <c r="R342" i="6" s="1"/>
  <c r="Y342" i="6"/>
  <c r="Q342" i="6"/>
  <c r="T342" i="6" s="1"/>
  <c r="P342" i="6"/>
  <c r="S342" i="6" s="1"/>
  <c r="M342" i="6"/>
  <c r="L342" i="6"/>
  <c r="F342" i="6"/>
  <c r="A342" i="6"/>
  <c r="W342" i="6" s="1"/>
  <c r="R341" i="6"/>
  <c r="Q341" i="6"/>
  <c r="M341" i="6"/>
  <c r="L341" i="6"/>
  <c r="P341" i="6" s="1"/>
  <c r="S341" i="6" s="1"/>
  <c r="J341" i="6"/>
  <c r="D341" i="6"/>
  <c r="D342" i="6" s="1"/>
  <c r="D343" i="6" s="1"/>
  <c r="D344" i="6" s="1"/>
  <c r="D345" i="6" s="1"/>
  <c r="D346" i="6" s="1"/>
  <c r="D347" i="6" s="1"/>
  <c r="Y340" i="6"/>
  <c r="F340" i="6"/>
  <c r="E340" i="6"/>
  <c r="D340" i="6"/>
  <c r="C340" i="6"/>
  <c r="B340" i="6"/>
  <c r="H341" i="6" s="1"/>
  <c r="A340" i="6"/>
  <c r="A343" i="6" s="1"/>
  <c r="R339" i="6"/>
  <c r="Q339" i="6"/>
  <c r="M339" i="6"/>
  <c r="L339" i="6"/>
  <c r="A339" i="6"/>
  <c r="R338" i="6"/>
  <c r="Q338" i="6"/>
  <c r="M338" i="6"/>
  <c r="L338" i="6"/>
  <c r="P338" i="6" s="1"/>
  <c r="S338" i="6" s="1"/>
  <c r="F338" i="6"/>
  <c r="R337" i="6"/>
  <c r="Q337" i="6"/>
  <c r="M337" i="6"/>
  <c r="L337" i="6"/>
  <c r="P337" i="6" s="1"/>
  <c r="S337" i="6" s="1"/>
  <c r="F337" i="6"/>
  <c r="R336" i="6" s="1"/>
  <c r="Q336" i="6"/>
  <c r="M336" i="6"/>
  <c r="L336" i="6"/>
  <c r="P336" i="6" s="1"/>
  <c r="S336" i="6" s="1"/>
  <c r="F336" i="6"/>
  <c r="R335" i="6" s="1"/>
  <c r="Q335" i="6"/>
  <c r="P335" i="6"/>
  <c r="S335" i="6" s="1"/>
  <c r="M335" i="6"/>
  <c r="L335" i="6"/>
  <c r="F335" i="6"/>
  <c r="A335" i="6"/>
  <c r="R334" i="6"/>
  <c r="Q334" i="6"/>
  <c r="M334" i="6"/>
  <c r="L334" i="6"/>
  <c r="F334" i="6"/>
  <c r="R333" i="6"/>
  <c r="Q333" i="6"/>
  <c r="T333" i="6" s="1"/>
  <c r="M333" i="6"/>
  <c r="L333" i="6"/>
  <c r="P333" i="6" s="1"/>
  <c r="S333" i="6" s="1"/>
  <c r="J333" i="6"/>
  <c r="D333" i="6"/>
  <c r="D334" i="6" s="1"/>
  <c r="D335" i="6" s="1"/>
  <c r="D336" i="6" s="1"/>
  <c r="D337" i="6" s="1"/>
  <c r="D338" i="6" s="1"/>
  <c r="D339" i="6" s="1"/>
  <c r="Y332" i="6"/>
  <c r="F332" i="6"/>
  <c r="E332" i="6"/>
  <c r="D332" i="6"/>
  <c r="C332" i="6"/>
  <c r="K339" i="6" s="1"/>
  <c r="B332" i="6"/>
  <c r="A332" i="6"/>
  <c r="A338" i="6" s="1"/>
  <c r="R331" i="6"/>
  <c r="Q331" i="6"/>
  <c r="M331" i="6"/>
  <c r="L331" i="6"/>
  <c r="P331" i="6" s="1"/>
  <c r="S331" i="6" s="1"/>
  <c r="D331" i="6"/>
  <c r="R330" i="6"/>
  <c r="Q330" i="6"/>
  <c r="M330" i="6"/>
  <c r="L330" i="6"/>
  <c r="P330" i="6" s="1"/>
  <c r="S330" i="6" s="1"/>
  <c r="F330" i="6"/>
  <c r="R329" i="6" s="1"/>
  <c r="Q329" i="6"/>
  <c r="M329" i="6"/>
  <c r="L329" i="6"/>
  <c r="P329" i="6" s="1"/>
  <c r="S329" i="6" s="1"/>
  <c r="G329" i="6"/>
  <c r="F329" i="6"/>
  <c r="R328" i="6" s="1"/>
  <c r="T328" i="6" s="1"/>
  <c r="Q328" i="6"/>
  <c r="P328" i="6"/>
  <c r="S328" i="6" s="1"/>
  <c r="M328" i="6"/>
  <c r="L328" i="6"/>
  <c r="H328" i="6"/>
  <c r="I328" i="6" s="1"/>
  <c r="N328" i="6" s="1"/>
  <c r="F328" i="6"/>
  <c r="A328" i="6"/>
  <c r="R327" i="6"/>
  <c r="Q327" i="6"/>
  <c r="M327" i="6"/>
  <c r="L327" i="6"/>
  <c r="F327" i="6"/>
  <c r="D327" i="6"/>
  <c r="D328" i="6" s="1"/>
  <c r="D329" i="6" s="1"/>
  <c r="D330" i="6" s="1"/>
  <c r="R326" i="6"/>
  <c r="Q326" i="6"/>
  <c r="M326" i="6"/>
  <c r="L326" i="6"/>
  <c r="P326" i="6" s="1"/>
  <c r="S326" i="6" s="1"/>
  <c r="F326" i="6"/>
  <c r="R325" i="6" s="1"/>
  <c r="S325" i="6"/>
  <c r="Q325" i="6"/>
  <c r="M325" i="6"/>
  <c r="L325" i="6"/>
  <c r="P325" i="6" s="1"/>
  <c r="G325" i="6"/>
  <c r="Y324" i="6"/>
  <c r="G324" i="6"/>
  <c r="F324" i="6"/>
  <c r="G328" i="6" s="1"/>
  <c r="E324" i="6"/>
  <c r="D324" i="6"/>
  <c r="D325" i="6" s="1"/>
  <c r="D326" i="6" s="1"/>
  <c r="C324" i="6"/>
  <c r="B324" i="6"/>
  <c r="I331" i="6" s="1"/>
  <c r="A324" i="6"/>
  <c r="A331" i="6" s="1"/>
  <c r="S323" i="6"/>
  <c r="R323" i="6"/>
  <c r="Q323" i="6"/>
  <c r="M323" i="6"/>
  <c r="L323" i="6"/>
  <c r="P323" i="6" s="1"/>
  <c r="R322" i="6"/>
  <c r="Q322" i="6"/>
  <c r="M322" i="6"/>
  <c r="L322" i="6"/>
  <c r="P322" i="6" s="1"/>
  <c r="S322" i="6" s="1"/>
  <c r="G322" i="6"/>
  <c r="F322" i="6"/>
  <c r="R321" i="6"/>
  <c r="Q321" i="6"/>
  <c r="M321" i="6"/>
  <c r="L321" i="6"/>
  <c r="P321" i="6" s="1"/>
  <c r="S321" i="6" s="1"/>
  <c r="T321" i="6" s="1"/>
  <c r="F321" i="6"/>
  <c r="R320" i="6"/>
  <c r="Q320" i="6"/>
  <c r="M320" i="6"/>
  <c r="L320" i="6"/>
  <c r="P320" i="6" s="1"/>
  <c r="S320" i="6" s="1"/>
  <c r="F320" i="6"/>
  <c r="R319" i="6"/>
  <c r="Q319" i="6"/>
  <c r="M319" i="6"/>
  <c r="L319" i="6"/>
  <c r="P319" i="6" s="1"/>
  <c r="S319" i="6" s="1"/>
  <c r="F319" i="6"/>
  <c r="R318" i="6" s="1"/>
  <c r="Q318" i="6"/>
  <c r="M318" i="6"/>
  <c r="L318" i="6"/>
  <c r="P318" i="6" s="1"/>
  <c r="S318" i="6" s="1"/>
  <c r="F318" i="6"/>
  <c r="R317" i="6"/>
  <c r="Q317" i="6"/>
  <c r="M317" i="6"/>
  <c r="L317" i="6"/>
  <c r="P317" i="6" s="1"/>
  <c r="S317" i="6" s="1"/>
  <c r="J317" i="6"/>
  <c r="H317" i="6"/>
  <c r="Y316" i="6"/>
  <c r="F316" i="6"/>
  <c r="G323" i="6" s="1"/>
  <c r="E316" i="6"/>
  <c r="D316" i="6"/>
  <c r="D317" i="6" s="1"/>
  <c r="D318" i="6" s="1"/>
  <c r="D319" i="6" s="1"/>
  <c r="D320" i="6" s="1"/>
  <c r="D321" i="6" s="1"/>
  <c r="D322" i="6" s="1"/>
  <c r="D323" i="6" s="1"/>
  <c r="C316" i="6"/>
  <c r="K323" i="6" s="1"/>
  <c r="B316" i="6"/>
  <c r="I317" i="6" s="1"/>
  <c r="N317" i="6" s="1"/>
  <c r="A316" i="6"/>
  <c r="R315" i="6"/>
  <c r="Q315" i="6"/>
  <c r="M315" i="6"/>
  <c r="L315" i="6"/>
  <c r="P315" i="6" s="1"/>
  <c r="S315" i="6" s="1"/>
  <c r="T315" i="6" s="1"/>
  <c r="H315" i="6"/>
  <c r="R314" i="6"/>
  <c r="Q314" i="6"/>
  <c r="M314" i="6"/>
  <c r="L314" i="6"/>
  <c r="P314" i="6" s="1"/>
  <c r="S314" i="6" s="1"/>
  <c r="T314" i="6" s="1"/>
  <c r="H314" i="6"/>
  <c r="I314" i="6" s="1"/>
  <c r="N314" i="6" s="1"/>
  <c r="F314" i="6"/>
  <c r="R313" i="6" s="1"/>
  <c r="Q313" i="6"/>
  <c r="M313" i="6"/>
  <c r="L313" i="6"/>
  <c r="G313" i="6"/>
  <c r="F313" i="6"/>
  <c r="R312" i="6"/>
  <c r="Q312" i="6"/>
  <c r="M312" i="6"/>
  <c r="L312" i="6"/>
  <c r="P312" i="6" s="1"/>
  <c r="S312" i="6" s="1"/>
  <c r="H312" i="6"/>
  <c r="F312" i="6"/>
  <c r="R311" i="6" s="1"/>
  <c r="Q311" i="6"/>
  <c r="M311" i="6"/>
  <c r="L311" i="6"/>
  <c r="P311" i="6" s="1"/>
  <c r="S311" i="6" s="1"/>
  <c r="G311" i="6"/>
  <c r="F311" i="6"/>
  <c r="R310" i="6"/>
  <c r="Q310" i="6"/>
  <c r="P310" i="6"/>
  <c r="S310" i="6" s="1"/>
  <c r="T310" i="6" s="1"/>
  <c r="M310" i="6"/>
  <c r="L310" i="6"/>
  <c r="H310" i="6"/>
  <c r="I310" i="6" s="1"/>
  <c r="N310" i="6" s="1"/>
  <c r="G310" i="6"/>
  <c r="F310" i="6"/>
  <c r="R309" i="6" s="1"/>
  <c r="Q309" i="6"/>
  <c r="M309" i="6"/>
  <c r="L309" i="6"/>
  <c r="I309" i="6"/>
  <c r="N309" i="6" s="1"/>
  <c r="H309" i="6"/>
  <c r="G309" i="6"/>
  <c r="Y308" i="6"/>
  <c r="G308" i="6"/>
  <c r="F308" i="6"/>
  <c r="G315" i="6" s="1"/>
  <c r="E308" i="6"/>
  <c r="D308" i="6"/>
  <c r="D309" i="6" s="1"/>
  <c r="D310" i="6" s="1"/>
  <c r="D311" i="6" s="1"/>
  <c r="D312" i="6" s="1"/>
  <c r="D313" i="6" s="1"/>
  <c r="D314" i="6" s="1"/>
  <c r="D315" i="6" s="1"/>
  <c r="C308" i="6"/>
  <c r="K315" i="6" s="1"/>
  <c r="B308" i="6"/>
  <c r="H313" i="6" s="1"/>
  <c r="I313" i="6" s="1"/>
  <c r="N313" i="6" s="1"/>
  <c r="A308" i="6"/>
  <c r="U307" i="6"/>
  <c r="V307" i="6" s="1"/>
  <c r="R307" i="6"/>
  <c r="Q307" i="6"/>
  <c r="M307" i="6"/>
  <c r="L307" i="6"/>
  <c r="P307" i="6" s="1"/>
  <c r="S307" i="6" s="1"/>
  <c r="K307" i="6"/>
  <c r="A307" i="6"/>
  <c r="U306" i="6"/>
  <c r="V306" i="6" s="1"/>
  <c r="R306" i="6"/>
  <c r="Q306" i="6"/>
  <c r="M306" i="6"/>
  <c r="L306" i="6"/>
  <c r="P306" i="6" s="1"/>
  <c r="S306" i="6" s="1"/>
  <c r="F306" i="6"/>
  <c r="R305" i="6"/>
  <c r="Q305" i="6"/>
  <c r="M305" i="6"/>
  <c r="L305" i="6"/>
  <c r="P305" i="6" s="1"/>
  <c r="S305" i="6" s="1"/>
  <c r="F305" i="6"/>
  <c r="R304" i="6" s="1"/>
  <c r="Q304" i="6"/>
  <c r="M304" i="6"/>
  <c r="L304" i="6"/>
  <c r="G304" i="6"/>
  <c r="F304" i="6"/>
  <c r="R303" i="6"/>
  <c r="Q303" i="6"/>
  <c r="P303" i="6"/>
  <c r="S303" i="6" s="1"/>
  <c r="T303" i="6" s="1"/>
  <c r="M303" i="6"/>
  <c r="L303" i="6"/>
  <c r="F303" i="6"/>
  <c r="R302" i="6" s="1"/>
  <c r="A303" i="6"/>
  <c r="Q302" i="6"/>
  <c r="M302" i="6"/>
  <c r="L302" i="6"/>
  <c r="F302" i="6"/>
  <c r="R301" i="6"/>
  <c r="T301" i="6" s="1"/>
  <c r="Q301" i="6"/>
  <c r="M301" i="6"/>
  <c r="L301" i="6"/>
  <c r="P301" i="6" s="1"/>
  <c r="S301" i="6" s="1"/>
  <c r="J301" i="6"/>
  <c r="Y300" i="6"/>
  <c r="F300" i="6"/>
  <c r="E300" i="6"/>
  <c r="D300" i="6"/>
  <c r="D301" i="6" s="1"/>
  <c r="D302" i="6" s="1"/>
  <c r="D303" i="6" s="1"/>
  <c r="D304" i="6" s="1"/>
  <c r="D305" i="6" s="1"/>
  <c r="D306" i="6" s="1"/>
  <c r="D307" i="6" s="1"/>
  <c r="C300" i="6"/>
  <c r="J307" i="6" s="1"/>
  <c r="B300" i="6"/>
  <c r="I307" i="6" s="1"/>
  <c r="A300" i="6"/>
  <c r="A306" i="6" s="1"/>
  <c r="R299" i="6"/>
  <c r="Q299" i="6"/>
  <c r="T299" i="6" s="1"/>
  <c r="P299" i="6"/>
  <c r="S299" i="6" s="1"/>
  <c r="M299" i="6"/>
  <c r="L299" i="6"/>
  <c r="J299" i="6"/>
  <c r="A299" i="6"/>
  <c r="Y299" i="6" s="1"/>
  <c r="T298" i="6"/>
  <c r="R298" i="6"/>
  <c r="Q298" i="6"/>
  <c r="P298" i="6"/>
  <c r="S298" i="6" s="1"/>
  <c r="M298" i="6"/>
  <c r="L298" i="6"/>
  <c r="F298" i="6"/>
  <c r="R297" i="6" s="1"/>
  <c r="A298" i="6"/>
  <c r="W298" i="6" s="1"/>
  <c r="S297" i="6"/>
  <c r="Q297" i="6"/>
  <c r="M297" i="6"/>
  <c r="L297" i="6"/>
  <c r="P297" i="6" s="1"/>
  <c r="F297" i="6"/>
  <c r="R296" i="6" s="1"/>
  <c r="Q296" i="6"/>
  <c r="T296" i="6" s="1"/>
  <c r="M296" i="6"/>
  <c r="L296" i="6"/>
  <c r="P296" i="6" s="1"/>
  <c r="S296" i="6" s="1"/>
  <c r="F296" i="6"/>
  <c r="T295" i="6"/>
  <c r="R295" i="6"/>
  <c r="Q295" i="6"/>
  <c r="P295" i="6"/>
  <c r="S295" i="6" s="1"/>
  <c r="M295" i="6"/>
  <c r="L295" i="6"/>
  <c r="H295" i="6"/>
  <c r="I295" i="6" s="1"/>
  <c r="N295" i="6" s="1"/>
  <c r="F295" i="6"/>
  <c r="R294" i="6" s="1"/>
  <c r="A295" i="6"/>
  <c r="Q294" i="6"/>
  <c r="T294" i="6" s="1"/>
  <c r="M294" i="6"/>
  <c r="L294" i="6"/>
  <c r="P294" i="6" s="1"/>
  <c r="S294" i="6" s="1"/>
  <c r="F294" i="6"/>
  <c r="R293" i="6"/>
  <c r="Q293" i="6"/>
  <c r="M293" i="6"/>
  <c r="L293" i="6"/>
  <c r="P293" i="6" s="1"/>
  <c r="S293" i="6" s="1"/>
  <c r="J293" i="6"/>
  <c r="D293" i="6"/>
  <c r="D294" i="6" s="1"/>
  <c r="D295" i="6" s="1"/>
  <c r="D296" i="6" s="1"/>
  <c r="D297" i="6" s="1"/>
  <c r="D298" i="6" s="1"/>
  <c r="D299" i="6" s="1"/>
  <c r="Y292" i="6"/>
  <c r="F292" i="6"/>
  <c r="E292" i="6"/>
  <c r="D292" i="6"/>
  <c r="C292" i="6"/>
  <c r="K299" i="6" s="1"/>
  <c r="B292" i="6"/>
  <c r="A292" i="6"/>
  <c r="A294" i="6" s="1"/>
  <c r="R291" i="6"/>
  <c r="Q291" i="6"/>
  <c r="M291" i="6"/>
  <c r="L291" i="6"/>
  <c r="P291" i="6" s="1"/>
  <c r="S291" i="6" s="1"/>
  <c r="R290" i="6"/>
  <c r="Q290" i="6"/>
  <c r="M290" i="6"/>
  <c r="L290" i="6"/>
  <c r="P290" i="6" s="1"/>
  <c r="S290" i="6" s="1"/>
  <c r="F290" i="6"/>
  <c r="R289" i="6" s="1"/>
  <c r="Q289" i="6"/>
  <c r="M289" i="6"/>
  <c r="L289" i="6"/>
  <c r="P289" i="6" s="1"/>
  <c r="S289" i="6" s="1"/>
  <c r="G289" i="6"/>
  <c r="F289" i="6"/>
  <c r="Y288" i="6"/>
  <c r="R288" i="6"/>
  <c r="Q288" i="6"/>
  <c r="M288" i="6"/>
  <c r="L288" i="6"/>
  <c r="P288" i="6" s="1"/>
  <c r="S288" i="6" s="1"/>
  <c r="T288" i="6" s="1"/>
  <c r="H288" i="6"/>
  <c r="I288" i="6" s="1"/>
  <c r="N288" i="6" s="1"/>
  <c r="F288" i="6"/>
  <c r="R287" i="6" s="1"/>
  <c r="A288" i="6"/>
  <c r="Q287" i="6"/>
  <c r="M287" i="6"/>
  <c r="L287" i="6"/>
  <c r="F287" i="6"/>
  <c r="R286" i="6"/>
  <c r="Q286" i="6"/>
  <c r="M286" i="6"/>
  <c r="L286" i="6"/>
  <c r="P286" i="6" s="1"/>
  <c r="S286" i="6" s="1"/>
  <c r="F286" i="6"/>
  <c r="R285" i="6" s="1"/>
  <c r="Q285" i="6"/>
  <c r="M285" i="6"/>
  <c r="L285" i="6"/>
  <c r="P285" i="6" s="1"/>
  <c r="S285" i="6" s="1"/>
  <c r="I285" i="6"/>
  <c r="G285" i="6"/>
  <c r="Y284" i="6"/>
  <c r="G284" i="6"/>
  <c r="F284" i="6"/>
  <c r="G288" i="6" s="1"/>
  <c r="E284" i="6"/>
  <c r="D284" i="6"/>
  <c r="D285" i="6" s="1"/>
  <c r="D286" i="6" s="1"/>
  <c r="D287" i="6" s="1"/>
  <c r="D288" i="6" s="1"/>
  <c r="D289" i="6" s="1"/>
  <c r="D290" i="6" s="1"/>
  <c r="D291" i="6" s="1"/>
  <c r="C284" i="6"/>
  <c r="J291" i="6" s="1"/>
  <c r="B284" i="6"/>
  <c r="I291" i="6" s="1"/>
  <c r="A284" i="6"/>
  <c r="A291" i="6" s="1"/>
  <c r="U283" i="6"/>
  <c r="V283" i="6" s="1"/>
  <c r="R283" i="6"/>
  <c r="Q283" i="6"/>
  <c r="M283" i="6"/>
  <c r="L283" i="6"/>
  <c r="A283" i="6"/>
  <c r="U282" i="6"/>
  <c r="V282" i="6" s="1"/>
  <c r="R282" i="6"/>
  <c r="Q282" i="6"/>
  <c r="M282" i="6"/>
  <c r="L282" i="6"/>
  <c r="P282" i="6" s="1"/>
  <c r="S282" i="6" s="1"/>
  <c r="F282" i="6"/>
  <c r="R281" i="6"/>
  <c r="Q281" i="6"/>
  <c r="M281" i="6"/>
  <c r="L281" i="6"/>
  <c r="P281" i="6" s="1"/>
  <c r="S281" i="6" s="1"/>
  <c r="F281" i="6"/>
  <c r="W280" i="6"/>
  <c r="U280" i="6"/>
  <c r="V280" i="6" s="1"/>
  <c r="Q280" i="6"/>
  <c r="M280" i="6"/>
  <c r="L280" i="6"/>
  <c r="P280" i="6" s="1"/>
  <c r="S280" i="6" s="1"/>
  <c r="F280" i="6"/>
  <c r="A280" i="6"/>
  <c r="Y280" i="6" s="1"/>
  <c r="R279" i="6"/>
  <c r="Q279" i="6"/>
  <c r="P279" i="6"/>
  <c r="S279" i="6" s="1"/>
  <c r="T279" i="6" s="1"/>
  <c r="M279" i="6"/>
  <c r="L279" i="6"/>
  <c r="F279" i="6"/>
  <c r="R278" i="6" s="1"/>
  <c r="Q278" i="6"/>
  <c r="M278" i="6"/>
  <c r="L278" i="6"/>
  <c r="F278" i="6"/>
  <c r="R277" i="6"/>
  <c r="Q277" i="6"/>
  <c r="M277" i="6"/>
  <c r="L277" i="6"/>
  <c r="P277" i="6" s="1"/>
  <c r="S277" i="6" s="1"/>
  <c r="T277" i="6" s="1"/>
  <c r="J277" i="6"/>
  <c r="Y276" i="6"/>
  <c r="F276" i="6"/>
  <c r="G280" i="6" s="1"/>
  <c r="E276" i="6"/>
  <c r="D276" i="6"/>
  <c r="D277" i="6" s="1"/>
  <c r="D278" i="6" s="1"/>
  <c r="D279" i="6" s="1"/>
  <c r="D280" i="6" s="1"/>
  <c r="D281" i="6" s="1"/>
  <c r="D282" i="6" s="1"/>
  <c r="D283" i="6" s="1"/>
  <c r="C276" i="6"/>
  <c r="K283" i="6" s="1"/>
  <c r="B276" i="6"/>
  <c r="I283" i="6" s="1"/>
  <c r="A276" i="6"/>
  <c r="A282" i="6" s="1"/>
  <c r="R275" i="6"/>
  <c r="Q275" i="6"/>
  <c r="P275" i="6"/>
  <c r="S275" i="6" s="1"/>
  <c r="T275" i="6" s="1"/>
  <c r="M275" i="6"/>
  <c r="L275" i="6"/>
  <c r="J275" i="6"/>
  <c r="H275" i="6"/>
  <c r="G275" i="6"/>
  <c r="R274" i="6"/>
  <c r="Q274" i="6"/>
  <c r="M274" i="6"/>
  <c r="L274" i="6"/>
  <c r="P274" i="6" s="1"/>
  <c r="S274" i="6" s="1"/>
  <c r="T274" i="6" s="1"/>
  <c r="H274" i="6"/>
  <c r="G274" i="6"/>
  <c r="F274" i="6"/>
  <c r="R273" i="6" s="1"/>
  <c r="S273" i="6"/>
  <c r="Q273" i="6"/>
  <c r="M273" i="6"/>
  <c r="L273" i="6"/>
  <c r="P273" i="6" s="1"/>
  <c r="I273" i="6"/>
  <c r="N273" i="6" s="1"/>
  <c r="H273" i="6"/>
  <c r="G273" i="6"/>
  <c r="F273" i="6"/>
  <c r="R272" i="6"/>
  <c r="Q272" i="6"/>
  <c r="P272" i="6"/>
  <c r="S272" i="6" s="1"/>
  <c r="T272" i="6" s="1"/>
  <c r="M272" i="6"/>
  <c r="L272" i="6"/>
  <c r="H272" i="6"/>
  <c r="I272" i="6" s="1"/>
  <c r="N272" i="6" s="1"/>
  <c r="F272" i="6"/>
  <c r="R271" i="6" s="1"/>
  <c r="Q271" i="6"/>
  <c r="M271" i="6"/>
  <c r="L271" i="6"/>
  <c r="G271" i="6"/>
  <c r="F271" i="6"/>
  <c r="R270" i="6"/>
  <c r="Q270" i="6"/>
  <c r="M270" i="6"/>
  <c r="L270" i="6"/>
  <c r="P270" i="6" s="1"/>
  <c r="S270" i="6" s="1"/>
  <c r="T270" i="6" s="1"/>
  <c r="J270" i="6"/>
  <c r="K270" i="6" s="1"/>
  <c r="H270" i="6"/>
  <c r="G270" i="6"/>
  <c r="F270" i="6"/>
  <c r="R269" i="6" s="1"/>
  <c r="S269" i="6"/>
  <c r="Q269" i="6"/>
  <c r="M269" i="6"/>
  <c r="L269" i="6"/>
  <c r="P269" i="6" s="1"/>
  <c r="K269" i="6"/>
  <c r="I269" i="6"/>
  <c r="N269" i="6" s="1"/>
  <c r="H269" i="6"/>
  <c r="G269" i="6"/>
  <c r="Y268" i="6"/>
  <c r="G268" i="6"/>
  <c r="F268" i="6"/>
  <c r="G272" i="6" s="1"/>
  <c r="E268" i="6"/>
  <c r="D268" i="6"/>
  <c r="D269" i="6" s="1"/>
  <c r="D270" i="6" s="1"/>
  <c r="D271" i="6" s="1"/>
  <c r="D272" i="6" s="1"/>
  <c r="D273" i="6" s="1"/>
  <c r="D274" i="6" s="1"/>
  <c r="D275" i="6" s="1"/>
  <c r="C268" i="6"/>
  <c r="B268" i="6"/>
  <c r="I275" i="6" s="1"/>
  <c r="N275" i="6" s="1"/>
  <c r="A268" i="6"/>
  <c r="A272" i="6" s="1"/>
  <c r="R267" i="6"/>
  <c r="Q267" i="6"/>
  <c r="T267" i="6" s="1"/>
  <c r="M267" i="6"/>
  <c r="L267" i="6"/>
  <c r="P267" i="6" s="1"/>
  <c r="S267" i="6" s="1"/>
  <c r="G267" i="6"/>
  <c r="R266" i="6"/>
  <c r="Q266" i="6"/>
  <c r="M266" i="6"/>
  <c r="L266" i="6"/>
  <c r="P266" i="6" s="1"/>
  <c r="S266" i="6" s="1"/>
  <c r="G266" i="6"/>
  <c r="F266" i="6"/>
  <c r="R265" i="6"/>
  <c r="Q265" i="6"/>
  <c r="M265" i="6"/>
  <c r="L265" i="6"/>
  <c r="H265" i="6"/>
  <c r="I265" i="6" s="1"/>
  <c r="N265" i="6" s="1"/>
  <c r="F265" i="6"/>
  <c r="W264" i="6"/>
  <c r="R264" i="6"/>
  <c r="Q264" i="6"/>
  <c r="M264" i="6"/>
  <c r="L264" i="6"/>
  <c r="I264" i="6"/>
  <c r="N264" i="6" s="1"/>
  <c r="F264" i="6"/>
  <c r="S263" i="6"/>
  <c r="R263" i="6"/>
  <c r="Q263" i="6"/>
  <c r="M263" i="6"/>
  <c r="L263" i="6"/>
  <c r="P263" i="6" s="1"/>
  <c r="F263" i="6"/>
  <c r="Q262" i="6"/>
  <c r="P262" i="6"/>
  <c r="S262" i="6" s="1"/>
  <c r="M262" i="6"/>
  <c r="L262" i="6"/>
  <c r="F262" i="6"/>
  <c r="R261" i="6"/>
  <c r="Q261" i="6"/>
  <c r="T261" i="6" s="1"/>
  <c r="M261" i="6"/>
  <c r="L261" i="6"/>
  <c r="P261" i="6" s="1"/>
  <c r="S261" i="6" s="1"/>
  <c r="G261" i="6"/>
  <c r="D261" i="6"/>
  <c r="D262" i="6" s="1"/>
  <c r="D263" i="6" s="1"/>
  <c r="D264" i="6" s="1"/>
  <c r="D265" i="6" s="1"/>
  <c r="D266" i="6" s="1"/>
  <c r="D267" i="6" s="1"/>
  <c r="Y260" i="6"/>
  <c r="G260" i="6"/>
  <c r="F260" i="6"/>
  <c r="G265" i="6" s="1"/>
  <c r="E260" i="6"/>
  <c r="D260" i="6"/>
  <c r="C260" i="6"/>
  <c r="B260" i="6"/>
  <c r="H264" i="6" s="1"/>
  <c r="A260" i="6"/>
  <c r="A264" i="6" s="1"/>
  <c r="Y264" i="6" s="1"/>
  <c r="W259" i="6"/>
  <c r="R259" i="6"/>
  <c r="Q259" i="6"/>
  <c r="M259" i="6"/>
  <c r="L259" i="6"/>
  <c r="P259" i="6" s="1"/>
  <c r="S259" i="6" s="1"/>
  <c r="G259" i="6"/>
  <c r="S258" i="6"/>
  <c r="R258" i="6"/>
  <c r="Q258" i="6"/>
  <c r="T258" i="6" s="1"/>
  <c r="M258" i="6"/>
  <c r="L258" i="6"/>
  <c r="P258" i="6" s="1"/>
  <c r="G258" i="6"/>
  <c r="F258" i="6"/>
  <c r="R257" i="6" s="1"/>
  <c r="Q257" i="6"/>
  <c r="M257" i="6"/>
  <c r="L257" i="6"/>
  <c r="P257" i="6" s="1"/>
  <c r="S257" i="6" s="1"/>
  <c r="T257" i="6" s="1"/>
  <c r="H257" i="6"/>
  <c r="I257" i="6" s="1"/>
  <c r="N257" i="6" s="1"/>
  <c r="F257" i="6"/>
  <c r="R256" i="6" s="1"/>
  <c r="A257" i="6"/>
  <c r="U256" i="6"/>
  <c r="V256" i="6" s="1"/>
  <c r="Q256" i="6"/>
  <c r="M256" i="6"/>
  <c r="L256" i="6"/>
  <c r="I256" i="6"/>
  <c r="N256" i="6" s="1"/>
  <c r="F256" i="6"/>
  <c r="D256" i="6"/>
  <c r="D257" i="6" s="1"/>
  <c r="D258" i="6" s="1"/>
  <c r="D259" i="6" s="1"/>
  <c r="A256" i="6"/>
  <c r="Y256" i="6" s="1"/>
  <c r="R255" i="6"/>
  <c r="Q255" i="6"/>
  <c r="T255" i="6" s="1"/>
  <c r="M255" i="6"/>
  <c r="L255" i="6"/>
  <c r="P255" i="6" s="1"/>
  <c r="S255" i="6" s="1"/>
  <c r="F255" i="6"/>
  <c r="Q254" i="6"/>
  <c r="M254" i="6"/>
  <c r="L254" i="6"/>
  <c r="P254" i="6" s="1"/>
  <c r="S254" i="6" s="1"/>
  <c r="G254" i="6"/>
  <c r="F254" i="6"/>
  <c r="R253" i="6" s="1"/>
  <c r="T253" i="6" s="1"/>
  <c r="Q253" i="6"/>
  <c r="P253" i="6"/>
  <c r="S253" i="6" s="1"/>
  <c r="M253" i="6"/>
  <c r="L253" i="6"/>
  <c r="H253" i="6"/>
  <c r="G253" i="6"/>
  <c r="Y252" i="6"/>
  <c r="G252" i="6"/>
  <c r="F252" i="6"/>
  <c r="G257" i="6" s="1"/>
  <c r="E252" i="6"/>
  <c r="D252" i="6"/>
  <c r="D253" i="6" s="1"/>
  <c r="D254" i="6" s="1"/>
  <c r="D255" i="6" s="1"/>
  <c r="C252" i="6"/>
  <c r="K259" i="6" s="1"/>
  <c r="B252" i="6"/>
  <c r="H256" i="6" s="1"/>
  <c r="A252" i="6"/>
  <c r="A259" i="6" s="1"/>
  <c r="S251" i="6"/>
  <c r="T251" i="6" s="1"/>
  <c r="R251" i="6"/>
  <c r="Q251" i="6"/>
  <c r="M251" i="6"/>
  <c r="L251" i="6"/>
  <c r="P251" i="6" s="1"/>
  <c r="H251" i="6"/>
  <c r="R250" i="6"/>
  <c r="Q250" i="6"/>
  <c r="P250" i="6"/>
  <c r="S250" i="6" s="1"/>
  <c r="T250" i="6" s="1"/>
  <c r="M250" i="6"/>
  <c r="L250" i="6"/>
  <c r="G250" i="6"/>
  <c r="F250" i="6"/>
  <c r="R249" i="6" s="1"/>
  <c r="A250" i="6"/>
  <c r="S249" i="6"/>
  <c r="T249" i="6" s="1"/>
  <c r="Q249" i="6"/>
  <c r="M249" i="6"/>
  <c r="P249" i="6" s="1"/>
  <c r="L249" i="6"/>
  <c r="H249" i="6"/>
  <c r="I249" i="6" s="1"/>
  <c r="N249" i="6" s="1"/>
  <c r="F249" i="6"/>
  <c r="A249" i="6"/>
  <c r="T248" i="6"/>
  <c r="R248" i="6"/>
  <c r="Q248" i="6"/>
  <c r="M248" i="6"/>
  <c r="L248" i="6"/>
  <c r="P248" i="6" s="1"/>
  <c r="S248" i="6" s="1"/>
  <c r="F248" i="6"/>
  <c r="R247" i="6" s="1"/>
  <c r="A248" i="6"/>
  <c r="Q247" i="6"/>
  <c r="M247" i="6"/>
  <c r="L247" i="6"/>
  <c r="P247" i="6" s="1"/>
  <c r="S247" i="6" s="1"/>
  <c r="G247" i="6"/>
  <c r="F247" i="6"/>
  <c r="D247" i="6"/>
  <c r="D248" i="6" s="1"/>
  <c r="D249" i="6" s="1"/>
  <c r="D250" i="6" s="1"/>
  <c r="D251" i="6" s="1"/>
  <c r="R246" i="6"/>
  <c r="Q246" i="6"/>
  <c r="M246" i="6"/>
  <c r="L246" i="6"/>
  <c r="P246" i="6" s="1"/>
  <c r="S246" i="6" s="1"/>
  <c r="H246" i="6"/>
  <c r="I246" i="6" s="1"/>
  <c r="N246" i="6" s="1"/>
  <c r="G246" i="6"/>
  <c r="F246" i="6"/>
  <c r="R245" i="6" s="1"/>
  <c r="Q245" i="6"/>
  <c r="M245" i="6"/>
  <c r="L245" i="6"/>
  <c r="P245" i="6" s="1"/>
  <c r="S245" i="6" s="1"/>
  <c r="I245" i="6"/>
  <c r="N245" i="6" s="1"/>
  <c r="H245" i="6"/>
  <c r="G245" i="6"/>
  <c r="Y244" i="6"/>
  <c r="G244" i="6"/>
  <c r="F244" i="6"/>
  <c r="G248" i="6" s="1"/>
  <c r="E244" i="6"/>
  <c r="D244" i="6"/>
  <c r="D245" i="6" s="1"/>
  <c r="D246" i="6" s="1"/>
  <c r="C244" i="6"/>
  <c r="J246" i="6" s="1"/>
  <c r="K246" i="6" s="1"/>
  <c r="B244" i="6"/>
  <c r="I251" i="6" s="1"/>
  <c r="A244" i="6"/>
  <c r="A251" i="6" s="1"/>
  <c r="U251" i="6" s="1"/>
  <c r="V251" i="6" s="1"/>
  <c r="W243" i="6"/>
  <c r="S243" i="6"/>
  <c r="R243" i="6"/>
  <c r="Q243" i="6"/>
  <c r="T243" i="6" s="1"/>
  <c r="M243" i="6"/>
  <c r="L243" i="6"/>
  <c r="P243" i="6" s="1"/>
  <c r="K243" i="6"/>
  <c r="O243" i="6" s="1"/>
  <c r="A243" i="6"/>
  <c r="U243" i="6" s="1"/>
  <c r="V243" i="6" s="1"/>
  <c r="S242" i="6"/>
  <c r="R242" i="6"/>
  <c r="Q242" i="6"/>
  <c r="M242" i="6"/>
  <c r="L242" i="6"/>
  <c r="P242" i="6" s="1"/>
  <c r="F242" i="6"/>
  <c r="R241" i="6"/>
  <c r="Q241" i="6"/>
  <c r="P241" i="6"/>
  <c r="S241" i="6" s="1"/>
  <c r="T241" i="6" s="1"/>
  <c r="M241" i="6"/>
  <c r="L241" i="6"/>
  <c r="F241" i="6"/>
  <c r="R240" i="6" s="1"/>
  <c r="A241" i="6"/>
  <c r="Q240" i="6"/>
  <c r="M240" i="6"/>
  <c r="L240" i="6"/>
  <c r="F240" i="6"/>
  <c r="R239" i="6"/>
  <c r="Q239" i="6"/>
  <c r="M239" i="6"/>
  <c r="L239" i="6"/>
  <c r="P239" i="6" s="1"/>
  <c r="S239" i="6" s="1"/>
  <c r="T239" i="6" s="1"/>
  <c r="F239" i="6"/>
  <c r="R238" i="6" s="1"/>
  <c r="Q238" i="6"/>
  <c r="M238" i="6"/>
  <c r="L238" i="6"/>
  <c r="F238" i="6"/>
  <c r="R237" i="6"/>
  <c r="Q237" i="6"/>
  <c r="P237" i="6"/>
  <c r="S237" i="6" s="1"/>
  <c r="T237" i="6" s="1"/>
  <c r="M237" i="6"/>
  <c r="L237" i="6"/>
  <c r="J237" i="6"/>
  <c r="Y236" i="6"/>
  <c r="F236" i="6"/>
  <c r="E236" i="6"/>
  <c r="D236" i="6"/>
  <c r="D237" i="6" s="1"/>
  <c r="D238" i="6" s="1"/>
  <c r="D239" i="6" s="1"/>
  <c r="D240" i="6" s="1"/>
  <c r="D241" i="6" s="1"/>
  <c r="D242" i="6" s="1"/>
  <c r="D243" i="6" s="1"/>
  <c r="C236" i="6"/>
  <c r="J243" i="6" s="1"/>
  <c r="B236" i="6"/>
  <c r="A236" i="6"/>
  <c r="A240" i="6" s="1"/>
  <c r="U240" i="6" s="1"/>
  <c r="V240" i="6" s="1"/>
  <c r="R235" i="6"/>
  <c r="Q235" i="6"/>
  <c r="M235" i="6"/>
  <c r="L235" i="6"/>
  <c r="P235" i="6" s="1"/>
  <c r="S235" i="6" s="1"/>
  <c r="T235" i="6" s="1"/>
  <c r="H235" i="6"/>
  <c r="R234" i="6"/>
  <c r="Q234" i="6"/>
  <c r="M234" i="6"/>
  <c r="L234" i="6"/>
  <c r="P234" i="6" s="1"/>
  <c r="S234" i="6" s="1"/>
  <c r="T234" i="6" s="1"/>
  <c r="H234" i="6"/>
  <c r="I234" i="6" s="1"/>
  <c r="N234" i="6" s="1"/>
  <c r="F234" i="6"/>
  <c r="R233" i="6" s="1"/>
  <c r="Q233" i="6"/>
  <c r="M233" i="6"/>
  <c r="L233" i="6"/>
  <c r="G233" i="6"/>
  <c r="F233" i="6"/>
  <c r="R232" i="6"/>
  <c r="Q232" i="6"/>
  <c r="P232" i="6"/>
  <c r="S232" i="6" s="1"/>
  <c r="T232" i="6" s="1"/>
  <c r="M232" i="6"/>
  <c r="L232" i="6"/>
  <c r="F232" i="6"/>
  <c r="R231" i="6" s="1"/>
  <c r="W231" i="6"/>
  <c r="Q231" i="6"/>
  <c r="M231" i="6"/>
  <c r="L231" i="6"/>
  <c r="I231" i="6"/>
  <c r="N231" i="6" s="1"/>
  <c r="H231" i="6"/>
  <c r="F231" i="6"/>
  <c r="A231" i="6"/>
  <c r="Y231" i="6" s="1"/>
  <c r="U230" i="6"/>
  <c r="V230" i="6" s="1"/>
  <c r="R230" i="6"/>
  <c r="Q230" i="6"/>
  <c r="P230" i="6"/>
  <c r="S230" i="6" s="1"/>
  <c r="T230" i="6" s="1"/>
  <c r="M230" i="6"/>
  <c r="L230" i="6"/>
  <c r="J230" i="6"/>
  <c r="K230" i="6" s="1"/>
  <c r="F230" i="6"/>
  <c r="A230" i="6"/>
  <c r="W230" i="6" s="1"/>
  <c r="R229" i="6"/>
  <c r="Q229" i="6"/>
  <c r="M229" i="6"/>
  <c r="L229" i="6"/>
  <c r="P229" i="6" s="1"/>
  <c r="S229" i="6" s="1"/>
  <c r="H229" i="6"/>
  <c r="G229" i="6"/>
  <c r="Y228" i="6"/>
  <c r="G228" i="6"/>
  <c r="F228" i="6"/>
  <c r="E228" i="6"/>
  <c r="D228" i="6"/>
  <c r="D229" i="6" s="1"/>
  <c r="D230" i="6" s="1"/>
  <c r="D231" i="6" s="1"/>
  <c r="D232" i="6" s="1"/>
  <c r="D233" i="6" s="1"/>
  <c r="D234" i="6" s="1"/>
  <c r="D235" i="6" s="1"/>
  <c r="C228" i="6"/>
  <c r="K235" i="6" s="1"/>
  <c r="B228" i="6"/>
  <c r="I229" i="6" s="1"/>
  <c r="N229" i="6" s="1"/>
  <c r="A228" i="6"/>
  <c r="R227" i="6"/>
  <c r="Q227" i="6"/>
  <c r="M227" i="6"/>
  <c r="L227" i="6"/>
  <c r="A227" i="6"/>
  <c r="R226" i="6"/>
  <c r="Q226" i="6"/>
  <c r="M226" i="6"/>
  <c r="L226" i="6"/>
  <c r="P226" i="6" s="1"/>
  <c r="S226" i="6" s="1"/>
  <c r="F226" i="6"/>
  <c r="R225" i="6"/>
  <c r="Q225" i="6"/>
  <c r="M225" i="6"/>
  <c r="L225" i="6"/>
  <c r="P225" i="6" s="1"/>
  <c r="S225" i="6" s="1"/>
  <c r="F225" i="6"/>
  <c r="R224" i="6" s="1"/>
  <c r="Q224" i="6"/>
  <c r="M224" i="6"/>
  <c r="L224" i="6"/>
  <c r="P224" i="6" s="1"/>
  <c r="S224" i="6" s="1"/>
  <c r="F224" i="6"/>
  <c r="Y223" i="6"/>
  <c r="R223" i="6"/>
  <c r="Q223" i="6"/>
  <c r="P223" i="6"/>
  <c r="S223" i="6" s="1"/>
  <c r="T223" i="6" s="1"/>
  <c r="M223" i="6"/>
  <c r="L223" i="6"/>
  <c r="H223" i="6"/>
  <c r="I223" i="6" s="1"/>
  <c r="N223" i="6" s="1"/>
  <c r="F223" i="6"/>
  <c r="R222" i="6" s="1"/>
  <c r="A223" i="6"/>
  <c r="Q222" i="6"/>
  <c r="M222" i="6"/>
  <c r="L222" i="6"/>
  <c r="F222" i="6"/>
  <c r="R221" i="6"/>
  <c r="Q221" i="6"/>
  <c r="M221" i="6"/>
  <c r="L221" i="6"/>
  <c r="P221" i="6" s="1"/>
  <c r="S221" i="6" s="1"/>
  <c r="J221" i="6"/>
  <c r="D221" i="6"/>
  <c r="D222" i="6" s="1"/>
  <c r="D223" i="6" s="1"/>
  <c r="D224" i="6" s="1"/>
  <c r="D225" i="6" s="1"/>
  <c r="D226" i="6" s="1"/>
  <c r="D227" i="6" s="1"/>
  <c r="Y220" i="6"/>
  <c r="F220" i="6"/>
  <c r="E220" i="6"/>
  <c r="D220" i="6"/>
  <c r="C220" i="6"/>
  <c r="K227" i="6" s="1"/>
  <c r="B220" i="6"/>
  <c r="A220" i="6"/>
  <c r="A226" i="6" s="1"/>
  <c r="U226" i="6" s="1"/>
  <c r="V226" i="6" s="1"/>
  <c r="R219" i="6"/>
  <c r="Q219" i="6"/>
  <c r="M219" i="6"/>
  <c r="L219" i="6"/>
  <c r="P219" i="6" s="1"/>
  <c r="S219" i="6" s="1"/>
  <c r="R218" i="6"/>
  <c r="Q218" i="6"/>
  <c r="M218" i="6"/>
  <c r="L218" i="6"/>
  <c r="P218" i="6" s="1"/>
  <c r="S218" i="6" s="1"/>
  <c r="F218" i="6"/>
  <c r="R217" i="6" s="1"/>
  <c r="Q217" i="6"/>
  <c r="M217" i="6"/>
  <c r="L217" i="6"/>
  <c r="P217" i="6" s="1"/>
  <c r="S217" i="6" s="1"/>
  <c r="G217" i="6"/>
  <c r="F217" i="6"/>
  <c r="R216" i="6" s="1"/>
  <c r="T216" i="6" s="1"/>
  <c r="Q216" i="6"/>
  <c r="P216" i="6"/>
  <c r="S216" i="6" s="1"/>
  <c r="M216" i="6"/>
  <c r="L216" i="6"/>
  <c r="H216" i="6"/>
  <c r="I216" i="6" s="1"/>
  <c r="N216" i="6" s="1"/>
  <c r="F216" i="6"/>
  <c r="R215" i="6" s="1"/>
  <c r="A216" i="6"/>
  <c r="Q215" i="6"/>
  <c r="M215" i="6"/>
  <c r="L215" i="6"/>
  <c r="F215" i="6"/>
  <c r="R214" i="6"/>
  <c r="Q214" i="6"/>
  <c r="T214" i="6" s="1"/>
  <c r="M214" i="6"/>
  <c r="L214" i="6"/>
  <c r="P214" i="6" s="1"/>
  <c r="S214" i="6" s="1"/>
  <c r="J214" i="6"/>
  <c r="K214" i="6" s="1"/>
  <c r="F214" i="6"/>
  <c r="R213" i="6" s="1"/>
  <c r="Q213" i="6"/>
  <c r="T213" i="6" s="1"/>
  <c r="M213" i="6"/>
  <c r="L213" i="6"/>
  <c r="P213" i="6" s="1"/>
  <c r="S213" i="6" s="1"/>
  <c r="G213" i="6"/>
  <c r="D213" i="6"/>
  <c r="D214" i="6" s="1"/>
  <c r="D215" i="6" s="1"/>
  <c r="D216" i="6" s="1"/>
  <c r="D217" i="6" s="1"/>
  <c r="D218" i="6" s="1"/>
  <c r="D219" i="6" s="1"/>
  <c r="Y212" i="6"/>
  <c r="G212" i="6"/>
  <c r="F212" i="6"/>
  <c r="G216" i="6" s="1"/>
  <c r="E212" i="6"/>
  <c r="D212" i="6"/>
  <c r="C212" i="6"/>
  <c r="B212" i="6"/>
  <c r="I219" i="6" s="1"/>
  <c r="A212" i="6"/>
  <c r="A219" i="6" s="1"/>
  <c r="S211" i="6"/>
  <c r="R211" i="6"/>
  <c r="Q211" i="6"/>
  <c r="M211" i="6"/>
  <c r="L211" i="6"/>
  <c r="P211" i="6" s="1"/>
  <c r="S210" i="6"/>
  <c r="R210" i="6"/>
  <c r="Q210" i="6"/>
  <c r="M210" i="6"/>
  <c r="L210" i="6"/>
  <c r="P210" i="6" s="1"/>
  <c r="G210" i="6"/>
  <c r="F210" i="6"/>
  <c r="R209" i="6"/>
  <c r="Q209" i="6"/>
  <c r="M209" i="6"/>
  <c r="L209" i="6"/>
  <c r="P209" i="6" s="1"/>
  <c r="S209" i="6" s="1"/>
  <c r="T209" i="6" s="1"/>
  <c r="F209" i="6"/>
  <c r="R208" i="6" s="1"/>
  <c r="Q208" i="6"/>
  <c r="M208" i="6"/>
  <c r="L208" i="6"/>
  <c r="F208" i="6"/>
  <c r="R207" i="6"/>
  <c r="Q207" i="6"/>
  <c r="M207" i="6"/>
  <c r="L207" i="6"/>
  <c r="P207" i="6" s="1"/>
  <c r="S207" i="6" s="1"/>
  <c r="T207" i="6" s="1"/>
  <c r="F207" i="6"/>
  <c r="R206" i="6" s="1"/>
  <c r="A207" i="6"/>
  <c r="Y207" i="6" s="1"/>
  <c r="Q206" i="6"/>
  <c r="M206" i="6"/>
  <c r="L206" i="6"/>
  <c r="G206" i="6"/>
  <c r="F206" i="6"/>
  <c r="R205" i="6"/>
  <c r="Q205" i="6"/>
  <c r="P205" i="6"/>
  <c r="S205" i="6" s="1"/>
  <c r="T205" i="6" s="1"/>
  <c r="M205" i="6"/>
  <c r="L205" i="6"/>
  <c r="H205" i="6"/>
  <c r="Y204" i="6"/>
  <c r="F204" i="6"/>
  <c r="G211" i="6" s="1"/>
  <c r="E204" i="6"/>
  <c r="D204" i="6"/>
  <c r="D205" i="6" s="1"/>
  <c r="D206" i="6" s="1"/>
  <c r="D207" i="6" s="1"/>
  <c r="D208" i="6" s="1"/>
  <c r="D209" i="6" s="1"/>
  <c r="D210" i="6" s="1"/>
  <c r="D211" i="6" s="1"/>
  <c r="C204" i="6"/>
  <c r="J211" i="6" s="1"/>
  <c r="B204" i="6"/>
  <c r="H206" i="6" s="1"/>
  <c r="I206" i="6" s="1"/>
  <c r="N206" i="6" s="1"/>
  <c r="A204" i="6"/>
  <c r="T203" i="6"/>
  <c r="R203" i="6"/>
  <c r="Q203" i="6"/>
  <c r="P203" i="6"/>
  <c r="S203" i="6" s="1"/>
  <c r="M203" i="6"/>
  <c r="L203" i="6"/>
  <c r="H203" i="6"/>
  <c r="T202" i="6"/>
  <c r="R202" i="6"/>
  <c r="Q202" i="6"/>
  <c r="P202" i="6"/>
  <c r="S202" i="6" s="1"/>
  <c r="M202" i="6"/>
  <c r="L202" i="6"/>
  <c r="H202" i="6"/>
  <c r="I202" i="6" s="1"/>
  <c r="N202" i="6" s="1"/>
  <c r="F202" i="6"/>
  <c r="R201" i="6" s="1"/>
  <c r="A202" i="6"/>
  <c r="Y202" i="6" s="1"/>
  <c r="Q201" i="6"/>
  <c r="M201" i="6"/>
  <c r="L201" i="6"/>
  <c r="P201" i="6" s="1"/>
  <c r="S201" i="6" s="1"/>
  <c r="F201" i="6"/>
  <c r="R200" i="6"/>
  <c r="Q200" i="6"/>
  <c r="M200" i="6"/>
  <c r="L200" i="6"/>
  <c r="P200" i="6" s="1"/>
  <c r="S200" i="6" s="1"/>
  <c r="F200" i="6"/>
  <c r="R199" i="6" s="1"/>
  <c r="Q199" i="6"/>
  <c r="M199" i="6"/>
  <c r="L199" i="6"/>
  <c r="P199" i="6" s="1"/>
  <c r="S199" i="6" s="1"/>
  <c r="G199" i="6"/>
  <c r="F199" i="6"/>
  <c r="R198" i="6"/>
  <c r="Q198" i="6"/>
  <c r="M198" i="6"/>
  <c r="L198" i="6"/>
  <c r="P198" i="6" s="1"/>
  <c r="S198" i="6" s="1"/>
  <c r="T198" i="6" s="1"/>
  <c r="H198" i="6"/>
  <c r="I198" i="6" s="1"/>
  <c r="N198" i="6" s="1"/>
  <c r="F198" i="6"/>
  <c r="R197" i="6" s="1"/>
  <c r="Q197" i="6"/>
  <c r="M197" i="6"/>
  <c r="L197" i="6"/>
  <c r="I197" i="6"/>
  <c r="N197" i="6" s="1"/>
  <c r="H197" i="6"/>
  <c r="G197" i="6"/>
  <c r="Y196" i="6"/>
  <c r="G196" i="6"/>
  <c r="F196" i="6"/>
  <c r="G203" i="6" s="1"/>
  <c r="E196" i="6"/>
  <c r="D196" i="6"/>
  <c r="D197" i="6" s="1"/>
  <c r="D198" i="6" s="1"/>
  <c r="D199" i="6" s="1"/>
  <c r="D200" i="6" s="1"/>
  <c r="D201" i="6" s="1"/>
  <c r="D202" i="6" s="1"/>
  <c r="D203" i="6" s="1"/>
  <c r="C196" i="6"/>
  <c r="K203" i="6" s="1"/>
  <c r="B196" i="6"/>
  <c r="H201" i="6" s="1"/>
  <c r="I201" i="6" s="1"/>
  <c r="N201" i="6" s="1"/>
  <c r="A196" i="6"/>
  <c r="R195" i="6"/>
  <c r="Q195" i="6"/>
  <c r="M195" i="6"/>
  <c r="L195" i="6"/>
  <c r="P195" i="6" s="1"/>
  <c r="S195" i="6" s="1"/>
  <c r="I195" i="6"/>
  <c r="R194" i="6"/>
  <c r="Q194" i="6"/>
  <c r="M194" i="6"/>
  <c r="L194" i="6"/>
  <c r="F194" i="6"/>
  <c r="R193" i="6"/>
  <c r="Q193" i="6"/>
  <c r="T193" i="6" s="1"/>
  <c r="M193" i="6"/>
  <c r="L193" i="6"/>
  <c r="P193" i="6" s="1"/>
  <c r="S193" i="6" s="1"/>
  <c r="F193" i="6"/>
  <c r="R192" i="6" s="1"/>
  <c r="Q192" i="6"/>
  <c r="M192" i="6"/>
  <c r="L192" i="6"/>
  <c r="P192" i="6" s="1"/>
  <c r="S192" i="6" s="1"/>
  <c r="F192" i="6"/>
  <c r="T191" i="6"/>
  <c r="R191" i="6"/>
  <c r="Q191" i="6"/>
  <c r="P191" i="6"/>
  <c r="S191" i="6" s="1"/>
  <c r="M191" i="6"/>
  <c r="L191" i="6"/>
  <c r="F191" i="6"/>
  <c r="R190" i="6" s="1"/>
  <c r="Q190" i="6"/>
  <c r="M190" i="6"/>
  <c r="L190" i="6"/>
  <c r="P190" i="6" s="1"/>
  <c r="S190" i="6" s="1"/>
  <c r="F190" i="6"/>
  <c r="R189" i="6"/>
  <c r="Q189" i="6"/>
  <c r="P189" i="6"/>
  <c r="S189" i="6" s="1"/>
  <c r="T189" i="6" s="1"/>
  <c r="M189" i="6"/>
  <c r="L189" i="6"/>
  <c r="J189" i="6"/>
  <c r="D189" i="6"/>
  <c r="D190" i="6" s="1"/>
  <c r="D191" i="6" s="1"/>
  <c r="D192" i="6" s="1"/>
  <c r="D193" i="6" s="1"/>
  <c r="D194" i="6" s="1"/>
  <c r="D195" i="6" s="1"/>
  <c r="Y188" i="6"/>
  <c r="F188" i="6"/>
  <c r="E188" i="6"/>
  <c r="D188" i="6"/>
  <c r="C188" i="6"/>
  <c r="B188" i="6"/>
  <c r="A188" i="6"/>
  <c r="R187" i="6"/>
  <c r="Q187" i="6"/>
  <c r="M187" i="6"/>
  <c r="L187" i="6"/>
  <c r="P187" i="6" s="1"/>
  <c r="S187" i="6" s="1"/>
  <c r="A187" i="6"/>
  <c r="R186" i="6"/>
  <c r="Q186" i="6"/>
  <c r="M186" i="6"/>
  <c r="L186" i="6"/>
  <c r="F186" i="6"/>
  <c r="R185" i="6"/>
  <c r="Q185" i="6"/>
  <c r="M185" i="6"/>
  <c r="L185" i="6"/>
  <c r="P185" i="6" s="1"/>
  <c r="S185" i="6" s="1"/>
  <c r="F185" i="6"/>
  <c r="R184" i="6" s="1"/>
  <c r="Q184" i="6"/>
  <c r="M184" i="6"/>
  <c r="L184" i="6"/>
  <c r="P184" i="6" s="1"/>
  <c r="S184" i="6" s="1"/>
  <c r="F184" i="6"/>
  <c r="R183" i="6" s="1"/>
  <c r="Q183" i="6"/>
  <c r="M183" i="6"/>
  <c r="L183" i="6"/>
  <c r="P183" i="6" s="1"/>
  <c r="S183" i="6" s="1"/>
  <c r="T183" i="6" s="1"/>
  <c r="F183" i="6"/>
  <c r="A183" i="6"/>
  <c r="R182" i="6"/>
  <c r="Q182" i="6"/>
  <c r="M182" i="6"/>
  <c r="L182" i="6"/>
  <c r="F182" i="6"/>
  <c r="R181" i="6"/>
  <c r="Q181" i="6"/>
  <c r="M181" i="6"/>
  <c r="L181" i="6"/>
  <c r="P181" i="6" s="1"/>
  <c r="S181" i="6" s="1"/>
  <c r="J181" i="6"/>
  <c r="D181" i="6"/>
  <c r="D182" i="6" s="1"/>
  <c r="D183" i="6" s="1"/>
  <c r="D184" i="6" s="1"/>
  <c r="D185" i="6" s="1"/>
  <c r="D186" i="6" s="1"/>
  <c r="D187" i="6" s="1"/>
  <c r="Y180" i="6"/>
  <c r="F180" i="6"/>
  <c r="E180" i="6"/>
  <c r="D180" i="6"/>
  <c r="C180" i="6"/>
  <c r="K187" i="6" s="1"/>
  <c r="B180" i="6"/>
  <c r="A180" i="6"/>
  <c r="A186" i="6" s="1"/>
  <c r="R179" i="6"/>
  <c r="Q179" i="6"/>
  <c r="T179" i="6" s="1"/>
  <c r="M179" i="6"/>
  <c r="L179" i="6"/>
  <c r="P179" i="6" s="1"/>
  <c r="S179" i="6" s="1"/>
  <c r="R178" i="6"/>
  <c r="Q178" i="6"/>
  <c r="T178" i="6" s="1"/>
  <c r="M178" i="6"/>
  <c r="L178" i="6"/>
  <c r="P178" i="6" s="1"/>
  <c r="S178" i="6" s="1"/>
  <c r="F178" i="6"/>
  <c r="R177" i="6" s="1"/>
  <c r="Q177" i="6"/>
  <c r="M177" i="6"/>
  <c r="L177" i="6"/>
  <c r="P177" i="6" s="1"/>
  <c r="S177" i="6" s="1"/>
  <c r="G177" i="6"/>
  <c r="F177" i="6"/>
  <c r="R176" i="6"/>
  <c r="Q176" i="6"/>
  <c r="P176" i="6"/>
  <c r="S176" i="6" s="1"/>
  <c r="T176" i="6" s="1"/>
  <c r="M176" i="6"/>
  <c r="L176" i="6"/>
  <c r="H176" i="6"/>
  <c r="I176" i="6" s="1"/>
  <c r="N176" i="6" s="1"/>
  <c r="F176" i="6"/>
  <c r="A176" i="6"/>
  <c r="R175" i="6"/>
  <c r="Q175" i="6"/>
  <c r="M175" i="6"/>
  <c r="L175" i="6"/>
  <c r="F175" i="6"/>
  <c r="R174" i="6"/>
  <c r="Q174" i="6"/>
  <c r="M174" i="6"/>
  <c r="L174" i="6"/>
  <c r="P174" i="6" s="1"/>
  <c r="S174" i="6" s="1"/>
  <c r="F174" i="6"/>
  <c r="R173" i="6" s="1"/>
  <c r="Q173" i="6"/>
  <c r="M173" i="6"/>
  <c r="L173" i="6"/>
  <c r="P173" i="6" s="1"/>
  <c r="S173" i="6" s="1"/>
  <c r="H173" i="6"/>
  <c r="G173" i="6"/>
  <c r="Y172" i="6"/>
  <c r="G172" i="6"/>
  <c r="F172" i="6"/>
  <c r="G176" i="6" s="1"/>
  <c r="E172" i="6"/>
  <c r="D172" i="6"/>
  <c r="D173" i="6" s="1"/>
  <c r="D174" i="6" s="1"/>
  <c r="D175" i="6" s="1"/>
  <c r="D176" i="6" s="1"/>
  <c r="D177" i="6" s="1"/>
  <c r="D178" i="6" s="1"/>
  <c r="D179" i="6" s="1"/>
  <c r="C172" i="6"/>
  <c r="J179" i="6" s="1"/>
  <c r="B172" i="6"/>
  <c r="I179" i="6" s="1"/>
  <c r="A172" i="6"/>
  <c r="A179" i="6" s="1"/>
  <c r="R171" i="6"/>
  <c r="Q171" i="6"/>
  <c r="M171" i="6"/>
  <c r="L171" i="6"/>
  <c r="A171" i="6"/>
  <c r="R170" i="6"/>
  <c r="Q170" i="6"/>
  <c r="M170" i="6"/>
  <c r="L170" i="6"/>
  <c r="P170" i="6" s="1"/>
  <c r="S170" i="6" s="1"/>
  <c r="F170" i="6"/>
  <c r="R169" i="6"/>
  <c r="Q169" i="6"/>
  <c r="M169" i="6"/>
  <c r="L169" i="6"/>
  <c r="P169" i="6" s="1"/>
  <c r="S169" i="6" s="1"/>
  <c r="F169" i="6"/>
  <c r="R168" i="6" s="1"/>
  <c r="Q168" i="6"/>
  <c r="M168" i="6"/>
  <c r="L168" i="6"/>
  <c r="P168" i="6" s="1"/>
  <c r="S168" i="6" s="1"/>
  <c r="F168" i="6"/>
  <c r="R167" i="6" s="1"/>
  <c r="Q167" i="6"/>
  <c r="P167" i="6"/>
  <c r="S167" i="6" s="1"/>
  <c r="M167" i="6"/>
  <c r="L167" i="6"/>
  <c r="F167" i="6"/>
  <c r="A167" i="6"/>
  <c r="R166" i="6"/>
  <c r="Q166" i="6"/>
  <c r="M166" i="6"/>
  <c r="L166" i="6"/>
  <c r="F166" i="6"/>
  <c r="R165" i="6"/>
  <c r="Q165" i="6"/>
  <c r="T165" i="6" s="1"/>
  <c r="M165" i="6"/>
  <c r="L165" i="6"/>
  <c r="P165" i="6" s="1"/>
  <c r="S165" i="6" s="1"/>
  <c r="J165" i="6"/>
  <c r="D165" i="6"/>
  <c r="D166" i="6" s="1"/>
  <c r="D167" i="6" s="1"/>
  <c r="D168" i="6" s="1"/>
  <c r="D169" i="6" s="1"/>
  <c r="D170" i="6" s="1"/>
  <c r="D171" i="6" s="1"/>
  <c r="Y164" i="6"/>
  <c r="F164" i="6"/>
  <c r="E164" i="6"/>
  <c r="D164" i="6"/>
  <c r="C164" i="6"/>
  <c r="K171" i="6" s="1"/>
  <c r="B164" i="6"/>
  <c r="A164" i="6"/>
  <c r="A170" i="6" s="1"/>
  <c r="R163" i="6"/>
  <c r="Q163" i="6"/>
  <c r="T163" i="6" s="1"/>
  <c r="M163" i="6"/>
  <c r="L163" i="6"/>
  <c r="P163" i="6" s="1"/>
  <c r="S163" i="6" s="1"/>
  <c r="D163" i="6"/>
  <c r="R162" i="6"/>
  <c r="Q162" i="6"/>
  <c r="M162" i="6"/>
  <c r="L162" i="6"/>
  <c r="P162" i="6" s="1"/>
  <c r="S162" i="6" s="1"/>
  <c r="F162" i="6"/>
  <c r="R161" i="6" s="1"/>
  <c r="Q161" i="6"/>
  <c r="M161" i="6"/>
  <c r="L161" i="6"/>
  <c r="P161" i="6" s="1"/>
  <c r="S161" i="6" s="1"/>
  <c r="G161" i="6"/>
  <c r="F161" i="6"/>
  <c r="R160" i="6" s="1"/>
  <c r="T160" i="6" s="1"/>
  <c r="Q160" i="6"/>
  <c r="P160" i="6"/>
  <c r="S160" i="6" s="1"/>
  <c r="M160" i="6"/>
  <c r="L160" i="6"/>
  <c r="H160" i="6"/>
  <c r="I160" i="6" s="1"/>
  <c r="N160" i="6" s="1"/>
  <c r="F160" i="6"/>
  <c r="A160" i="6"/>
  <c r="R159" i="6"/>
  <c r="Q159" i="6"/>
  <c r="M159" i="6"/>
  <c r="L159" i="6"/>
  <c r="F159" i="6"/>
  <c r="D159" i="6"/>
  <c r="D160" i="6" s="1"/>
  <c r="D161" i="6" s="1"/>
  <c r="D162" i="6" s="1"/>
  <c r="R158" i="6"/>
  <c r="Q158" i="6"/>
  <c r="M158" i="6"/>
  <c r="L158" i="6"/>
  <c r="P158" i="6" s="1"/>
  <c r="S158" i="6" s="1"/>
  <c r="F158" i="6"/>
  <c r="R157" i="6" s="1"/>
  <c r="S157" i="6"/>
  <c r="Q157" i="6"/>
  <c r="M157" i="6"/>
  <c r="L157" i="6"/>
  <c r="P157" i="6" s="1"/>
  <c r="G157" i="6"/>
  <c r="Y156" i="6"/>
  <c r="G156" i="6"/>
  <c r="F156" i="6"/>
  <c r="G160" i="6" s="1"/>
  <c r="E156" i="6"/>
  <c r="D156" i="6"/>
  <c r="D157" i="6" s="1"/>
  <c r="D158" i="6" s="1"/>
  <c r="C156" i="6"/>
  <c r="B156" i="6"/>
  <c r="I163" i="6" s="1"/>
  <c r="A156" i="6"/>
  <c r="A163" i="6" s="1"/>
  <c r="S155" i="6"/>
  <c r="R155" i="6"/>
  <c r="Q155" i="6"/>
  <c r="M155" i="6"/>
  <c r="L155" i="6"/>
  <c r="P155" i="6" s="1"/>
  <c r="S154" i="6"/>
  <c r="R154" i="6"/>
  <c r="Q154" i="6"/>
  <c r="M154" i="6"/>
  <c r="L154" i="6"/>
  <c r="P154" i="6" s="1"/>
  <c r="G154" i="6"/>
  <c r="F154" i="6"/>
  <c r="R153" i="6"/>
  <c r="Q153" i="6"/>
  <c r="M153" i="6"/>
  <c r="L153" i="6"/>
  <c r="P153" i="6" s="1"/>
  <c r="S153" i="6" s="1"/>
  <c r="T153" i="6" s="1"/>
  <c r="H153" i="6"/>
  <c r="I153" i="6" s="1"/>
  <c r="N153" i="6" s="1"/>
  <c r="F153" i="6"/>
  <c r="R152" i="6"/>
  <c r="Q152" i="6"/>
  <c r="M152" i="6"/>
  <c r="L152" i="6"/>
  <c r="P152" i="6" s="1"/>
  <c r="S152" i="6" s="1"/>
  <c r="F152" i="6"/>
  <c r="R151" i="6"/>
  <c r="Q151" i="6"/>
  <c r="M151" i="6"/>
  <c r="L151" i="6"/>
  <c r="P151" i="6" s="1"/>
  <c r="S151" i="6" s="1"/>
  <c r="F151" i="6"/>
  <c r="R150" i="6" s="1"/>
  <c r="Q150" i="6"/>
  <c r="M150" i="6"/>
  <c r="L150" i="6"/>
  <c r="P150" i="6" s="1"/>
  <c r="S150" i="6" s="1"/>
  <c r="F150" i="6"/>
  <c r="R149" i="6"/>
  <c r="Q149" i="6"/>
  <c r="T149" i="6" s="1"/>
  <c r="P149" i="6"/>
  <c r="S149" i="6" s="1"/>
  <c r="M149" i="6"/>
  <c r="L149" i="6"/>
  <c r="I149" i="6"/>
  <c r="N149" i="6" s="1"/>
  <c r="H149" i="6"/>
  <c r="G149" i="6"/>
  <c r="Y148" i="6"/>
  <c r="G148" i="6"/>
  <c r="F148" i="6"/>
  <c r="E148" i="6"/>
  <c r="D148" i="6"/>
  <c r="D149" i="6" s="1"/>
  <c r="D150" i="6" s="1"/>
  <c r="D151" i="6" s="1"/>
  <c r="D152" i="6" s="1"/>
  <c r="D153" i="6" s="1"/>
  <c r="D154" i="6" s="1"/>
  <c r="D155" i="6" s="1"/>
  <c r="C148" i="6"/>
  <c r="B148" i="6"/>
  <c r="A148" i="6"/>
  <c r="R147" i="6"/>
  <c r="Q147" i="6"/>
  <c r="M147" i="6"/>
  <c r="L147" i="6"/>
  <c r="I147" i="6"/>
  <c r="R146" i="6"/>
  <c r="Q146" i="6"/>
  <c r="T146" i="6" s="1"/>
  <c r="M146" i="6"/>
  <c r="L146" i="6"/>
  <c r="P146" i="6" s="1"/>
  <c r="S146" i="6" s="1"/>
  <c r="F146" i="6"/>
  <c r="R145" i="6"/>
  <c r="Q145" i="6"/>
  <c r="T145" i="6" s="1"/>
  <c r="M145" i="6"/>
  <c r="L145" i="6"/>
  <c r="P145" i="6" s="1"/>
  <c r="S145" i="6" s="1"/>
  <c r="F145" i="6"/>
  <c r="R144" i="6" s="1"/>
  <c r="Q144" i="6"/>
  <c r="T144" i="6" s="1"/>
  <c r="M144" i="6"/>
  <c r="L144" i="6"/>
  <c r="P144" i="6" s="1"/>
  <c r="S144" i="6" s="1"/>
  <c r="F144" i="6"/>
  <c r="R143" i="6" s="1"/>
  <c r="T143" i="6"/>
  <c r="Q143" i="6"/>
  <c r="P143" i="6"/>
  <c r="S143" i="6" s="1"/>
  <c r="M143" i="6"/>
  <c r="L143" i="6"/>
  <c r="G143" i="6"/>
  <c r="F143" i="6"/>
  <c r="R142" i="6" s="1"/>
  <c r="Q142" i="6"/>
  <c r="M142" i="6"/>
  <c r="P142" i="6" s="1"/>
  <c r="S142" i="6" s="1"/>
  <c r="L142" i="6"/>
  <c r="F142" i="6"/>
  <c r="R141" i="6"/>
  <c r="Q141" i="6"/>
  <c r="M141" i="6"/>
  <c r="L141" i="6"/>
  <c r="J141" i="6"/>
  <c r="D141" i="6"/>
  <c r="D142" i="6" s="1"/>
  <c r="D143" i="6" s="1"/>
  <c r="D144" i="6" s="1"/>
  <c r="D145" i="6" s="1"/>
  <c r="D146" i="6" s="1"/>
  <c r="D147" i="6" s="1"/>
  <c r="Y140" i="6"/>
  <c r="F140" i="6"/>
  <c r="E140" i="6"/>
  <c r="D140" i="6"/>
  <c r="C140" i="6"/>
  <c r="K147" i="6" s="1"/>
  <c r="B140" i="6"/>
  <c r="A140" i="6"/>
  <c r="R139" i="6"/>
  <c r="Q139" i="6"/>
  <c r="M139" i="6"/>
  <c r="L139" i="6"/>
  <c r="J139" i="6"/>
  <c r="A139" i="6"/>
  <c r="R138" i="6"/>
  <c r="Q138" i="6"/>
  <c r="M138" i="6"/>
  <c r="L138" i="6"/>
  <c r="P138" i="6" s="1"/>
  <c r="S138" i="6" s="1"/>
  <c r="F138" i="6"/>
  <c r="R137" i="6"/>
  <c r="Q137" i="6"/>
  <c r="M137" i="6"/>
  <c r="L137" i="6"/>
  <c r="P137" i="6" s="1"/>
  <c r="S137" i="6" s="1"/>
  <c r="G137" i="6"/>
  <c r="F137" i="6"/>
  <c r="R136" i="6" s="1"/>
  <c r="Y136" i="6"/>
  <c r="Q136" i="6"/>
  <c r="M136" i="6"/>
  <c r="L136" i="6"/>
  <c r="P136" i="6" s="1"/>
  <c r="S136" i="6" s="1"/>
  <c r="T136" i="6" s="1"/>
  <c r="H136" i="6"/>
  <c r="I136" i="6" s="1"/>
  <c r="N136" i="6" s="1"/>
  <c r="G136" i="6"/>
  <c r="F136" i="6"/>
  <c r="A136" i="6"/>
  <c r="U136" i="6" s="1"/>
  <c r="V136" i="6" s="1"/>
  <c r="T135" i="6"/>
  <c r="R135" i="6"/>
  <c r="Q135" i="6"/>
  <c r="M135" i="6"/>
  <c r="P135" i="6" s="1"/>
  <c r="S135" i="6" s="1"/>
  <c r="L135" i="6"/>
  <c r="I135" i="6"/>
  <c r="N135" i="6" s="1"/>
  <c r="H135" i="6"/>
  <c r="F135" i="6"/>
  <c r="A135" i="6"/>
  <c r="W135" i="6" s="1"/>
  <c r="R134" i="6"/>
  <c r="Q134" i="6"/>
  <c r="M134" i="6"/>
  <c r="L134" i="6"/>
  <c r="F134" i="6"/>
  <c r="R133" i="6" s="1"/>
  <c r="S133" i="6"/>
  <c r="Q133" i="6"/>
  <c r="M133" i="6"/>
  <c r="L133" i="6"/>
  <c r="P133" i="6" s="1"/>
  <c r="J133" i="6"/>
  <c r="D133" i="6"/>
  <c r="D134" i="6" s="1"/>
  <c r="D135" i="6" s="1"/>
  <c r="D136" i="6" s="1"/>
  <c r="D137" i="6" s="1"/>
  <c r="D138" i="6" s="1"/>
  <c r="D139" i="6" s="1"/>
  <c r="Y132" i="6"/>
  <c r="G132" i="6"/>
  <c r="F132" i="6"/>
  <c r="E132" i="6"/>
  <c r="D132" i="6"/>
  <c r="C132" i="6"/>
  <c r="B132" i="6"/>
  <c r="A132" i="6"/>
  <c r="A138" i="6" s="1"/>
  <c r="R131" i="6"/>
  <c r="Q131" i="6"/>
  <c r="O131" i="6"/>
  <c r="M131" i="6"/>
  <c r="L131" i="6"/>
  <c r="K131" i="6"/>
  <c r="G131" i="6"/>
  <c r="R130" i="6"/>
  <c r="Q130" i="6"/>
  <c r="M130" i="6"/>
  <c r="L130" i="6"/>
  <c r="P130" i="6" s="1"/>
  <c r="S130" i="6" s="1"/>
  <c r="G130" i="6"/>
  <c r="F130" i="6"/>
  <c r="T129" i="6"/>
  <c r="R129" i="6"/>
  <c r="Q129" i="6"/>
  <c r="P129" i="6"/>
  <c r="S129" i="6" s="1"/>
  <c r="M129" i="6"/>
  <c r="L129" i="6"/>
  <c r="H129" i="6"/>
  <c r="I129" i="6" s="1"/>
  <c r="N129" i="6" s="1"/>
  <c r="F129" i="6"/>
  <c r="R128" i="6" s="1"/>
  <c r="A129" i="6"/>
  <c r="Y129" i="6" s="1"/>
  <c r="Q128" i="6"/>
  <c r="M128" i="6"/>
  <c r="L128" i="6"/>
  <c r="P128" i="6" s="1"/>
  <c r="S128" i="6" s="1"/>
  <c r="F128" i="6"/>
  <c r="R127" i="6"/>
  <c r="Q127" i="6"/>
  <c r="M127" i="6"/>
  <c r="L127" i="6"/>
  <c r="P127" i="6" s="1"/>
  <c r="S127" i="6" s="1"/>
  <c r="F127" i="6"/>
  <c r="Q126" i="6"/>
  <c r="M126" i="6"/>
  <c r="L126" i="6"/>
  <c r="P126" i="6" s="1"/>
  <c r="S126" i="6" s="1"/>
  <c r="G126" i="6"/>
  <c r="F126" i="6"/>
  <c r="R125" i="6"/>
  <c r="Q125" i="6"/>
  <c r="M125" i="6"/>
  <c r="L125" i="6"/>
  <c r="P125" i="6" s="1"/>
  <c r="S125" i="6" s="1"/>
  <c r="T125" i="6" s="1"/>
  <c r="J125" i="6"/>
  <c r="H125" i="6"/>
  <c r="Y124" i="6"/>
  <c r="F124" i="6"/>
  <c r="G129" i="6" s="1"/>
  <c r="E124" i="6"/>
  <c r="D124" i="6"/>
  <c r="D125" i="6" s="1"/>
  <c r="D126" i="6" s="1"/>
  <c r="D127" i="6" s="1"/>
  <c r="D128" i="6" s="1"/>
  <c r="D129" i="6" s="1"/>
  <c r="D130" i="6" s="1"/>
  <c r="D131" i="6" s="1"/>
  <c r="C124" i="6"/>
  <c r="J131" i="6" s="1"/>
  <c r="B124" i="6"/>
  <c r="H128" i="6" s="1"/>
  <c r="I128" i="6" s="1"/>
  <c r="N128" i="6" s="1"/>
  <c r="A124" i="6"/>
  <c r="A128" i="6" s="1"/>
  <c r="R123" i="6"/>
  <c r="Q123" i="6"/>
  <c r="P123" i="6"/>
  <c r="S123" i="6" s="1"/>
  <c r="T123" i="6" s="1"/>
  <c r="M123" i="6"/>
  <c r="L123" i="6"/>
  <c r="R122" i="6"/>
  <c r="Q122" i="6"/>
  <c r="P122" i="6"/>
  <c r="S122" i="6" s="1"/>
  <c r="T122" i="6" s="1"/>
  <c r="M122" i="6"/>
  <c r="L122" i="6"/>
  <c r="F122" i="6"/>
  <c r="R121" i="6" s="1"/>
  <c r="Q121" i="6"/>
  <c r="T121" i="6" s="1"/>
  <c r="M121" i="6"/>
  <c r="L121" i="6"/>
  <c r="P121" i="6" s="1"/>
  <c r="S121" i="6" s="1"/>
  <c r="F121" i="6"/>
  <c r="R120" i="6"/>
  <c r="Q120" i="6"/>
  <c r="M120" i="6"/>
  <c r="L120" i="6"/>
  <c r="P120" i="6" s="1"/>
  <c r="S120" i="6" s="1"/>
  <c r="F120" i="6"/>
  <c r="R119" i="6" s="1"/>
  <c r="Q119" i="6"/>
  <c r="M119" i="6"/>
  <c r="L119" i="6"/>
  <c r="P119" i="6" s="1"/>
  <c r="S119" i="6" s="1"/>
  <c r="F119" i="6"/>
  <c r="R118" i="6"/>
  <c r="Q118" i="6"/>
  <c r="M118" i="6"/>
  <c r="P118" i="6" s="1"/>
  <c r="S118" i="6" s="1"/>
  <c r="T118" i="6" s="1"/>
  <c r="L118" i="6"/>
  <c r="F118" i="6"/>
  <c r="R117" i="6"/>
  <c r="Q117" i="6"/>
  <c r="T117" i="6" s="1"/>
  <c r="M117" i="6"/>
  <c r="L117" i="6"/>
  <c r="P117" i="6" s="1"/>
  <c r="S117" i="6" s="1"/>
  <c r="J117" i="6"/>
  <c r="D117" i="6"/>
  <c r="D118" i="6" s="1"/>
  <c r="D119" i="6" s="1"/>
  <c r="D120" i="6" s="1"/>
  <c r="D121" i="6" s="1"/>
  <c r="D122" i="6" s="1"/>
  <c r="D123" i="6" s="1"/>
  <c r="Y116" i="6"/>
  <c r="F116" i="6"/>
  <c r="G119" i="6" s="1"/>
  <c r="E116" i="6"/>
  <c r="D116" i="6"/>
  <c r="C116" i="6"/>
  <c r="B116" i="6"/>
  <c r="H120" i="6" s="1"/>
  <c r="I120" i="6" s="1"/>
  <c r="N120" i="6" s="1"/>
  <c r="A116" i="6"/>
  <c r="A122" i="6" s="1"/>
  <c r="R115" i="6"/>
  <c r="Q115" i="6"/>
  <c r="M115" i="6"/>
  <c r="L115" i="6"/>
  <c r="J115" i="6"/>
  <c r="A115" i="6"/>
  <c r="R114" i="6"/>
  <c r="Q114" i="6"/>
  <c r="M114" i="6"/>
  <c r="L114" i="6"/>
  <c r="P114" i="6" s="1"/>
  <c r="S114" i="6" s="1"/>
  <c r="F114" i="6"/>
  <c r="R113" i="6"/>
  <c r="Q113" i="6"/>
  <c r="M113" i="6"/>
  <c r="L113" i="6"/>
  <c r="P113" i="6" s="1"/>
  <c r="S113" i="6" s="1"/>
  <c r="F113" i="6"/>
  <c r="R112" i="6" s="1"/>
  <c r="Y112" i="6"/>
  <c r="Q112" i="6"/>
  <c r="M112" i="6"/>
  <c r="L112" i="6"/>
  <c r="P112" i="6" s="1"/>
  <c r="S112" i="6" s="1"/>
  <c r="T112" i="6" s="1"/>
  <c r="F112" i="6"/>
  <c r="R111" i="6" s="1"/>
  <c r="A112" i="6"/>
  <c r="U112" i="6" s="1"/>
  <c r="V112" i="6" s="1"/>
  <c r="Y111" i="6"/>
  <c r="U111" i="6"/>
  <c r="V111" i="6" s="1"/>
  <c r="T111" i="6"/>
  <c r="Q111" i="6"/>
  <c r="M111" i="6"/>
  <c r="L111" i="6"/>
  <c r="P111" i="6" s="1"/>
  <c r="S111" i="6" s="1"/>
  <c r="F111" i="6"/>
  <c r="D111" i="6"/>
  <c r="D112" i="6" s="1"/>
  <c r="D113" i="6" s="1"/>
  <c r="D114" i="6" s="1"/>
  <c r="D115" i="6" s="1"/>
  <c r="A111" i="6"/>
  <c r="W111" i="6" s="1"/>
  <c r="R110" i="6"/>
  <c r="Q110" i="6"/>
  <c r="M110" i="6"/>
  <c r="L110" i="6"/>
  <c r="P110" i="6" s="1"/>
  <c r="S110" i="6" s="1"/>
  <c r="F110" i="6"/>
  <c r="D110" i="6"/>
  <c r="S109" i="6"/>
  <c r="R109" i="6"/>
  <c r="Q109" i="6"/>
  <c r="M109" i="6"/>
  <c r="L109" i="6"/>
  <c r="P109" i="6" s="1"/>
  <c r="K109" i="6"/>
  <c r="G109" i="6"/>
  <c r="D109" i="6"/>
  <c r="Y108" i="6"/>
  <c r="F108" i="6"/>
  <c r="E108" i="6"/>
  <c r="D108" i="6"/>
  <c r="C108" i="6"/>
  <c r="K115" i="6" s="1"/>
  <c r="B108" i="6"/>
  <c r="A108" i="6"/>
  <c r="A114" i="6" s="1"/>
  <c r="S107" i="6"/>
  <c r="R107" i="6"/>
  <c r="Q107" i="6"/>
  <c r="M107" i="6"/>
  <c r="L107" i="6"/>
  <c r="P107" i="6" s="1"/>
  <c r="J107" i="6"/>
  <c r="G107" i="6"/>
  <c r="R106" i="6"/>
  <c r="Q106" i="6"/>
  <c r="M106" i="6"/>
  <c r="L106" i="6"/>
  <c r="P106" i="6" s="1"/>
  <c r="S106" i="6" s="1"/>
  <c r="G106" i="6"/>
  <c r="F106" i="6"/>
  <c r="R105" i="6" s="1"/>
  <c r="Y105" i="6"/>
  <c r="Q105" i="6"/>
  <c r="M105" i="6"/>
  <c r="L105" i="6"/>
  <c r="P105" i="6" s="1"/>
  <c r="S105" i="6" s="1"/>
  <c r="T105" i="6" s="1"/>
  <c r="H105" i="6"/>
  <c r="I105" i="6" s="1"/>
  <c r="N105" i="6" s="1"/>
  <c r="G105" i="6"/>
  <c r="F105" i="6"/>
  <c r="R104" i="6" s="1"/>
  <c r="A105" i="6"/>
  <c r="U105" i="6" s="1"/>
  <c r="V105" i="6" s="1"/>
  <c r="Y104" i="6"/>
  <c r="U104" i="6"/>
  <c r="V104" i="6" s="1"/>
  <c r="T104" i="6"/>
  <c r="Q104" i="6"/>
  <c r="M104" i="6"/>
  <c r="L104" i="6"/>
  <c r="P104" i="6" s="1"/>
  <c r="S104" i="6" s="1"/>
  <c r="H104" i="6"/>
  <c r="I104" i="6" s="1"/>
  <c r="N104" i="6" s="1"/>
  <c r="F104" i="6"/>
  <c r="A104" i="6"/>
  <c r="W104" i="6" s="1"/>
  <c r="R103" i="6"/>
  <c r="Q103" i="6"/>
  <c r="M103" i="6"/>
  <c r="L103" i="6"/>
  <c r="P103" i="6" s="1"/>
  <c r="S103" i="6" s="1"/>
  <c r="F103" i="6"/>
  <c r="D103" i="6"/>
  <c r="D104" i="6" s="1"/>
  <c r="D105" i="6" s="1"/>
  <c r="D106" i="6" s="1"/>
  <c r="D107" i="6" s="1"/>
  <c r="S102" i="6"/>
  <c r="R102" i="6"/>
  <c r="Q102" i="6"/>
  <c r="M102" i="6"/>
  <c r="L102" i="6"/>
  <c r="P102" i="6" s="1"/>
  <c r="G102" i="6"/>
  <c r="F102" i="6"/>
  <c r="R101" i="6" s="1"/>
  <c r="T101" i="6"/>
  <c r="Q101" i="6"/>
  <c r="M101" i="6"/>
  <c r="L101" i="6"/>
  <c r="P101" i="6" s="1"/>
  <c r="S101" i="6" s="1"/>
  <c r="H101" i="6"/>
  <c r="G101" i="6"/>
  <c r="Y100" i="6"/>
  <c r="G100" i="6"/>
  <c r="F100" i="6"/>
  <c r="G104" i="6" s="1"/>
  <c r="E100" i="6"/>
  <c r="D100" i="6"/>
  <c r="D101" i="6" s="1"/>
  <c r="D102" i="6" s="1"/>
  <c r="C100" i="6"/>
  <c r="J101" i="6" s="1"/>
  <c r="B100" i="6"/>
  <c r="I107" i="6" s="1"/>
  <c r="A100" i="6"/>
  <c r="A107" i="6" s="1"/>
  <c r="W107" i="6" s="1"/>
  <c r="R99" i="6"/>
  <c r="Q99" i="6"/>
  <c r="P99" i="6"/>
  <c r="S99" i="6" s="1"/>
  <c r="T99" i="6" s="1"/>
  <c r="M99" i="6"/>
  <c r="L99" i="6"/>
  <c r="K99" i="6"/>
  <c r="R98" i="6"/>
  <c r="Q98" i="6"/>
  <c r="M98" i="6"/>
  <c r="L98" i="6"/>
  <c r="P98" i="6" s="1"/>
  <c r="S98" i="6" s="1"/>
  <c r="T98" i="6" s="1"/>
  <c r="F98" i="6"/>
  <c r="T97" i="6"/>
  <c r="R97" i="6"/>
  <c r="Q97" i="6"/>
  <c r="M97" i="6"/>
  <c r="P97" i="6" s="1"/>
  <c r="S97" i="6" s="1"/>
  <c r="L97" i="6"/>
  <c r="F97" i="6"/>
  <c r="A97" i="6"/>
  <c r="W97" i="6" s="1"/>
  <c r="R96" i="6"/>
  <c r="Q96" i="6"/>
  <c r="M96" i="6"/>
  <c r="L96" i="6"/>
  <c r="F96" i="6"/>
  <c r="R95" i="6" s="1"/>
  <c r="T95" i="6" s="1"/>
  <c r="S95" i="6"/>
  <c r="Q95" i="6"/>
  <c r="M95" i="6"/>
  <c r="L95" i="6"/>
  <c r="P95" i="6" s="1"/>
  <c r="F95" i="6"/>
  <c r="R94" i="6" s="1"/>
  <c r="W94" i="6"/>
  <c r="Q94" i="6"/>
  <c r="P94" i="6"/>
  <c r="S94" i="6" s="1"/>
  <c r="M94" i="6"/>
  <c r="L94" i="6"/>
  <c r="F94" i="6"/>
  <c r="A94" i="6"/>
  <c r="R93" i="6"/>
  <c r="T93" i="6" s="1"/>
  <c r="Q93" i="6"/>
  <c r="M93" i="6"/>
  <c r="P93" i="6" s="1"/>
  <c r="S93" i="6" s="1"/>
  <c r="L93" i="6"/>
  <c r="J93" i="6"/>
  <c r="H93" i="6"/>
  <c r="Y92" i="6"/>
  <c r="F92" i="6"/>
  <c r="G98" i="6" s="1"/>
  <c r="E92" i="6"/>
  <c r="D92" i="6"/>
  <c r="D93" i="6" s="1"/>
  <c r="D94" i="6" s="1"/>
  <c r="D95" i="6" s="1"/>
  <c r="D96" i="6" s="1"/>
  <c r="D97" i="6" s="1"/>
  <c r="D98" i="6" s="1"/>
  <c r="D99" i="6" s="1"/>
  <c r="C92" i="6"/>
  <c r="B92" i="6"/>
  <c r="H97" i="6" s="1"/>
  <c r="I97" i="6" s="1"/>
  <c r="N97" i="6" s="1"/>
  <c r="A92" i="6"/>
  <c r="R91" i="6"/>
  <c r="Q91" i="6"/>
  <c r="P91" i="6"/>
  <c r="S91" i="6" s="1"/>
  <c r="T91" i="6" s="1"/>
  <c r="M91" i="6"/>
  <c r="L91" i="6"/>
  <c r="H91" i="6"/>
  <c r="R90" i="6"/>
  <c r="Q90" i="6"/>
  <c r="P90" i="6"/>
  <c r="S90" i="6" s="1"/>
  <c r="T90" i="6" s="1"/>
  <c r="M90" i="6"/>
  <c r="L90" i="6"/>
  <c r="H90" i="6"/>
  <c r="I90" i="6" s="1"/>
  <c r="N90" i="6" s="1"/>
  <c r="F90" i="6"/>
  <c r="R89" i="6" s="1"/>
  <c r="Q89" i="6"/>
  <c r="M89" i="6"/>
  <c r="L89" i="6"/>
  <c r="G89" i="6"/>
  <c r="F89" i="6"/>
  <c r="R88" i="6"/>
  <c r="T88" i="6" s="1"/>
  <c r="Q88" i="6"/>
  <c r="M88" i="6"/>
  <c r="L88" i="6"/>
  <c r="P88" i="6" s="1"/>
  <c r="S88" i="6" s="1"/>
  <c r="H88" i="6"/>
  <c r="I88" i="6" s="1"/>
  <c r="N88" i="6" s="1"/>
  <c r="F88" i="6"/>
  <c r="R87" i="6" s="1"/>
  <c r="S87" i="6"/>
  <c r="Q87" i="6"/>
  <c r="M87" i="6"/>
  <c r="L87" i="6"/>
  <c r="P87" i="6" s="1"/>
  <c r="G87" i="6"/>
  <c r="F87" i="6"/>
  <c r="T86" i="6"/>
  <c r="R86" i="6"/>
  <c r="Q86" i="6"/>
  <c r="P86" i="6"/>
  <c r="S86" i="6" s="1"/>
  <c r="M86" i="6"/>
  <c r="L86" i="6"/>
  <c r="H86" i="6"/>
  <c r="I86" i="6" s="1"/>
  <c r="N86" i="6" s="1"/>
  <c r="F86" i="6"/>
  <c r="R85" i="6" s="1"/>
  <c r="Q85" i="6"/>
  <c r="M85" i="6"/>
  <c r="L85" i="6"/>
  <c r="I85" i="6"/>
  <c r="G85" i="6"/>
  <c r="Y84" i="6"/>
  <c r="G84" i="6"/>
  <c r="F84" i="6"/>
  <c r="G91" i="6" s="1"/>
  <c r="E84" i="6"/>
  <c r="D84" i="6"/>
  <c r="D85" i="6" s="1"/>
  <c r="D86" i="6" s="1"/>
  <c r="D87" i="6" s="1"/>
  <c r="D88" i="6" s="1"/>
  <c r="D89" i="6" s="1"/>
  <c r="D90" i="6" s="1"/>
  <c r="D91" i="6" s="1"/>
  <c r="C84" i="6"/>
  <c r="B84" i="6"/>
  <c r="H89" i="6" s="1"/>
  <c r="I89" i="6" s="1"/>
  <c r="N89" i="6" s="1"/>
  <c r="A84" i="6"/>
  <c r="A86" i="6" s="1"/>
  <c r="R83" i="6"/>
  <c r="Q83" i="6"/>
  <c r="M83" i="6"/>
  <c r="L83" i="6"/>
  <c r="I83" i="6"/>
  <c r="G83" i="6"/>
  <c r="U82" i="6"/>
  <c r="V82" i="6" s="1"/>
  <c r="R82" i="6"/>
  <c r="Q82" i="6"/>
  <c r="M82" i="6"/>
  <c r="L82" i="6"/>
  <c r="G82" i="6"/>
  <c r="F82" i="6"/>
  <c r="R81" i="6"/>
  <c r="Q81" i="6"/>
  <c r="P81" i="6"/>
  <c r="S81" i="6" s="1"/>
  <c r="T81" i="6" s="1"/>
  <c r="M81" i="6"/>
  <c r="L81" i="6"/>
  <c r="F81" i="6"/>
  <c r="A81" i="6"/>
  <c r="Y81" i="6" s="1"/>
  <c r="R80" i="6"/>
  <c r="Q80" i="6"/>
  <c r="M80" i="6"/>
  <c r="L80" i="6"/>
  <c r="H80" i="6"/>
  <c r="I80" i="6" s="1"/>
  <c r="N80" i="6" s="1"/>
  <c r="F80" i="6"/>
  <c r="A80" i="6"/>
  <c r="R79" i="6"/>
  <c r="Q79" i="6"/>
  <c r="M79" i="6"/>
  <c r="L79" i="6"/>
  <c r="F79" i="6"/>
  <c r="R78" i="6" s="1"/>
  <c r="S78" i="6"/>
  <c r="Q78" i="6"/>
  <c r="M78" i="6"/>
  <c r="L78" i="6"/>
  <c r="P78" i="6" s="1"/>
  <c r="G78" i="6"/>
  <c r="F78" i="6"/>
  <c r="R77" i="6" s="1"/>
  <c r="Q77" i="6"/>
  <c r="P77" i="6"/>
  <c r="S77" i="6" s="1"/>
  <c r="M77" i="6"/>
  <c r="L77" i="6"/>
  <c r="H77" i="6"/>
  <c r="G77" i="6"/>
  <c r="Y76" i="6"/>
  <c r="G76" i="6"/>
  <c r="F76" i="6"/>
  <c r="G81" i="6" s="1"/>
  <c r="E76" i="6"/>
  <c r="D76" i="6"/>
  <c r="D77" i="6" s="1"/>
  <c r="D78" i="6" s="1"/>
  <c r="D79" i="6" s="1"/>
  <c r="D80" i="6" s="1"/>
  <c r="D81" i="6" s="1"/>
  <c r="D82" i="6" s="1"/>
  <c r="D83" i="6" s="1"/>
  <c r="C76" i="6"/>
  <c r="B76" i="6"/>
  <c r="H78" i="6" s="1"/>
  <c r="A76" i="6"/>
  <c r="A82" i="6" s="1"/>
  <c r="Y82" i="6" s="1"/>
  <c r="R75" i="6"/>
  <c r="Q75" i="6"/>
  <c r="M75" i="6"/>
  <c r="L75" i="6"/>
  <c r="P75" i="6" s="1"/>
  <c r="S75" i="6" s="1"/>
  <c r="T75" i="6" s="1"/>
  <c r="K75" i="6"/>
  <c r="H75" i="6"/>
  <c r="G75" i="6"/>
  <c r="S74" i="6"/>
  <c r="T74" i="6" s="1"/>
  <c r="R74" i="6"/>
  <c r="Q74" i="6"/>
  <c r="P74" i="6"/>
  <c r="M74" i="6"/>
  <c r="L74" i="6"/>
  <c r="H74" i="6"/>
  <c r="I74" i="6" s="1"/>
  <c r="N74" i="6" s="1"/>
  <c r="G74" i="6"/>
  <c r="F74" i="6"/>
  <c r="R73" i="6"/>
  <c r="Q73" i="6"/>
  <c r="T73" i="6" s="1"/>
  <c r="P73" i="6"/>
  <c r="S73" i="6" s="1"/>
  <c r="M73" i="6"/>
  <c r="L73" i="6"/>
  <c r="H73" i="6"/>
  <c r="I73" i="6" s="1"/>
  <c r="N73" i="6" s="1"/>
  <c r="F73" i="6"/>
  <c r="R72" i="6"/>
  <c r="Q72" i="6"/>
  <c r="T72" i="6" s="1"/>
  <c r="M72" i="6"/>
  <c r="L72" i="6"/>
  <c r="P72" i="6" s="1"/>
  <c r="S72" i="6" s="1"/>
  <c r="I72" i="6"/>
  <c r="N72" i="6" s="1"/>
  <c r="F72" i="6"/>
  <c r="R71" i="6"/>
  <c r="Q71" i="6"/>
  <c r="M71" i="6"/>
  <c r="L71" i="6"/>
  <c r="P71" i="6" s="1"/>
  <c r="S71" i="6" s="1"/>
  <c r="G71" i="6"/>
  <c r="F71" i="6"/>
  <c r="R70" i="6" s="1"/>
  <c r="T70" i="6" s="1"/>
  <c r="Q70" i="6"/>
  <c r="M70" i="6"/>
  <c r="L70" i="6"/>
  <c r="P70" i="6" s="1"/>
  <c r="S70" i="6" s="1"/>
  <c r="H70" i="6"/>
  <c r="I70" i="6" s="1"/>
  <c r="N70" i="6" s="1"/>
  <c r="G70" i="6"/>
  <c r="F70" i="6"/>
  <c r="R69" i="6"/>
  <c r="Q69" i="6"/>
  <c r="M69" i="6"/>
  <c r="P69" i="6" s="1"/>
  <c r="S69" i="6" s="1"/>
  <c r="T69" i="6" s="1"/>
  <c r="L69" i="6"/>
  <c r="I69" i="6"/>
  <c r="H69" i="6"/>
  <c r="A69" i="6"/>
  <c r="W69" i="6" s="1"/>
  <c r="Y68" i="6"/>
  <c r="F68" i="6"/>
  <c r="G73" i="6" s="1"/>
  <c r="E68" i="6"/>
  <c r="D68" i="6"/>
  <c r="D69" i="6" s="1"/>
  <c r="D70" i="6" s="1"/>
  <c r="D71" i="6" s="1"/>
  <c r="D72" i="6" s="1"/>
  <c r="D73" i="6" s="1"/>
  <c r="D74" i="6" s="1"/>
  <c r="D75" i="6" s="1"/>
  <c r="C68" i="6"/>
  <c r="J75" i="6" s="1"/>
  <c r="O75" i="6" s="1"/>
  <c r="B68" i="6"/>
  <c r="H72" i="6" s="1"/>
  <c r="A68" i="6"/>
  <c r="R67" i="6"/>
  <c r="Q67" i="6"/>
  <c r="M67" i="6"/>
  <c r="L67" i="6"/>
  <c r="P67" i="6" s="1"/>
  <c r="S67" i="6" s="1"/>
  <c r="U66" i="6"/>
  <c r="V66" i="6" s="1"/>
  <c r="R66" i="6"/>
  <c r="Q66" i="6"/>
  <c r="T66" i="6" s="1"/>
  <c r="P66" i="6"/>
  <c r="S66" i="6" s="1"/>
  <c r="M66" i="6"/>
  <c r="L66" i="6"/>
  <c r="F66" i="6"/>
  <c r="A66" i="6"/>
  <c r="W66" i="6" s="1"/>
  <c r="R65" i="6"/>
  <c r="Q65" i="6"/>
  <c r="T65" i="6" s="1"/>
  <c r="M65" i="6"/>
  <c r="L65" i="6"/>
  <c r="P65" i="6" s="1"/>
  <c r="S65" i="6" s="1"/>
  <c r="F65" i="6"/>
  <c r="R64" i="6"/>
  <c r="Q64" i="6"/>
  <c r="M64" i="6"/>
  <c r="L64" i="6"/>
  <c r="P64" i="6" s="1"/>
  <c r="S64" i="6" s="1"/>
  <c r="F64" i="6"/>
  <c r="R63" i="6" s="1"/>
  <c r="Q63" i="6"/>
  <c r="M63" i="6"/>
  <c r="L63" i="6"/>
  <c r="P63" i="6" s="1"/>
  <c r="S63" i="6" s="1"/>
  <c r="F63" i="6"/>
  <c r="A63" i="6"/>
  <c r="U63" i="6" s="1"/>
  <c r="V63" i="6" s="1"/>
  <c r="R62" i="6"/>
  <c r="Q62" i="6"/>
  <c r="T62" i="6" s="1"/>
  <c r="M62" i="6"/>
  <c r="L62" i="6"/>
  <c r="P62" i="6" s="1"/>
  <c r="S62" i="6" s="1"/>
  <c r="F62" i="6"/>
  <c r="R61" i="6"/>
  <c r="T61" i="6" s="1"/>
  <c r="Q61" i="6"/>
  <c r="M61" i="6"/>
  <c r="L61" i="6"/>
  <c r="P61" i="6" s="1"/>
  <c r="S61" i="6" s="1"/>
  <c r="J61" i="6"/>
  <c r="D61" i="6"/>
  <c r="D62" i="6" s="1"/>
  <c r="D63" i="6" s="1"/>
  <c r="D64" i="6" s="1"/>
  <c r="D65" i="6" s="1"/>
  <c r="D66" i="6" s="1"/>
  <c r="D67" i="6" s="1"/>
  <c r="Y60" i="6"/>
  <c r="F60" i="6"/>
  <c r="G60" i="6" s="1"/>
  <c r="E60" i="6"/>
  <c r="D60" i="6"/>
  <c r="C60" i="6"/>
  <c r="J62" i="6" s="1"/>
  <c r="K62" i="6" s="1"/>
  <c r="B60" i="6"/>
  <c r="H61" i="6" s="1"/>
  <c r="A60" i="6"/>
  <c r="A67" i="6" s="1"/>
  <c r="R59" i="6"/>
  <c r="Q59" i="6"/>
  <c r="M59" i="6"/>
  <c r="L59" i="6"/>
  <c r="P59" i="6" s="1"/>
  <c r="S59" i="6" s="1"/>
  <c r="A59" i="6"/>
  <c r="Y59" i="6" s="1"/>
  <c r="R58" i="6"/>
  <c r="Q58" i="6"/>
  <c r="M58" i="6"/>
  <c r="L58" i="6"/>
  <c r="P58" i="6" s="1"/>
  <c r="S58" i="6" s="1"/>
  <c r="F58" i="6"/>
  <c r="R57" i="6"/>
  <c r="Q57" i="6"/>
  <c r="T57" i="6" s="1"/>
  <c r="M57" i="6"/>
  <c r="L57" i="6"/>
  <c r="P57" i="6" s="1"/>
  <c r="S57" i="6" s="1"/>
  <c r="F57" i="6"/>
  <c r="R56" i="6" s="1"/>
  <c r="Q56" i="6"/>
  <c r="T56" i="6" s="1"/>
  <c r="M56" i="6"/>
  <c r="L56" i="6"/>
  <c r="P56" i="6" s="1"/>
  <c r="S56" i="6" s="1"/>
  <c r="F56" i="6"/>
  <c r="R55" i="6" s="1"/>
  <c r="Q55" i="6"/>
  <c r="M55" i="6"/>
  <c r="L55" i="6"/>
  <c r="P55" i="6" s="1"/>
  <c r="S55" i="6" s="1"/>
  <c r="F55" i="6"/>
  <c r="A55" i="6"/>
  <c r="W55" i="6" s="1"/>
  <c r="R54" i="6"/>
  <c r="Q54" i="6"/>
  <c r="M54" i="6"/>
  <c r="L54" i="6"/>
  <c r="P54" i="6" s="1"/>
  <c r="S54" i="6" s="1"/>
  <c r="F54" i="6"/>
  <c r="R53" i="6"/>
  <c r="Q53" i="6"/>
  <c r="M53" i="6"/>
  <c r="L53" i="6"/>
  <c r="P53" i="6" s="1"/>
  <c r="S53" i="6" s="1"/>
  <c r="J53" i="6"/>
  <c r="D53" i="6"/>
  <c r="D54" i="6" s="1"/>
  <c r="D55" i="6" s="1"/>
  <c r="D56" i="6" s="1"/>
  <c r="D57" i="6" s="1"/>
  <c r="D58" i="6" s="1"/>
  <c r="D59" i="6" s="1"/>
  <c r="Y52" i="6"/>
  <c r="F52" i="6"/>
  <c r="G55" i="6" s="1"/>
  <c r="E52" i="6"/>
  <c r="D52" i="6"/>
  <c r="C52" i="6"/>
  <c r="K59" i="6" s="1"/>
  <c r="B52" i="6"/>
  <c r="H59" i="6" s="1"/>
  <c r="A52" i="6"/>
  <c r="A58" i="6" s="1"/>
  <c r="R51" i="6"/>
  <c r="Q51" i="6"/>
  <c r="M51" i="6"/>
  <c r="L51" i="6"/>
  <c r="P51" i="6" s="1"/>
  <c r="S51" i="6" s="1"/>
  <c r="A51" i="6"/>
  <c r="Y51" i="6" s="1"/>
  <c r="R50" i="6"/>
  <c r="Q50" i="6"/>
  <c r="M50" i="6"/>
  <c r="L50" i="6"/>
  <c r="P50" i="6" s="1"/>
  <c r="S50" i="6" s="1"/>
  <c r="F50" i="6"/>
  <c r="R49" i="6"/>
  <c r="Q49" i="6"/>
  <c r="T49" i="6" s="1"/>
  <c r="M49" i="6"/>
  <c r="L49" i="6"/>
  <c r="P49" i="6" s="1"/>
  <c r="S49" i="6" s="1"/>
  <c r="F49" i="6"/>
  <c r="R48" i="6" s="1"/>
  <c r="Q48" i="6"/>
  <c r="T48" i="6" s="1"/>
  <c r="M48" i="6"/>
  <c r="L48" i="6"/>
  <c r="P48" i="6" s="1"/>
  <c r="S48" i="6" s="1"/>
  <c r="F48" i="6"/>
  <c r="R47" i="6"/>
  <c r="Q47" i="6"/>
  <c r="M47" i="6"/>
  <c r="L47" i="6"/>
  <c r="P47" i="6" s="1"/>
  <c r="S47" i="6" s="1"/>
  <c r="T47" i="6" s="1"/>
  <c r="F47" i="6"/>
  <c r="R46" i="6" s="1"/>
  <c r="A47" i="6"/>
  <c r="W47" i="6" s="1"/>
  <c r="Q46" i="6"/>
  <c r="M46" i="6"/>
  <c r="L46" i="6"/>
  <c r="P46" i="6" s="1"/>
  <c r="S46" i="6" s="1"/>
  <c r="F46" i="6"/>
  <c r="R45" i="6"/>
  <c r="Q45" i="6"/>
  <c r="M45" i="6"/>
  <c r="L45" i="6"/>
  <c r="P45" i="6" s="1"/>
  <c r="S45" i="6" s="1"/>
  <c r="J45" i="6"/>
  <c r="D45" i="6"/>
  <c r="D46" i="6" s="1"/>
  <c r="D47" i="6" s="1"/>
  <c r="D48" i="6" s="1"/>
  <c r="D49" i="6" s="1"/>
  <c r="D50" i="6" s="1"/>
  <c r="D51" i="6" s="1"/>
  <c r="Y44" i="6"/>
  <c r="F44" i="6"/>
  <c r="G47" i="6" s="1"/>
  <c r="E44" i="6"/>
  <c r="D44" i="6"/>
  <c r="C44" i="6"/>
  <c r="K51" i="6" s="1"/>
  <c r="B44" i="6"/>
  <c r="H51" i="6" s="1"/>
  <c r="A44" i="6"/>
  <c r="A50" i="6" s="1"/>
  <c r="R43" i="6"/>
  <c r="Q43" i="6"/>
  <c r="R42" i="6"/>
  <c r="Q42" i="6"/>
  <c r="Q41" i="6"/>
  <c r="Q40" i="6"/>
  <c r="Q39" i="6"/>
  <c r="Q38" i="6"/>
  <c r="Q37" i="6"/>
  <c r="J37" i="6"/>
  <c r="D37" i="6"/>
  <c r="D38" i="6" s="1"/>
  <c r="D39" i="6" s="1"/>
  <c r="D40" i="6" s="1"/>
  <c r="D41" i="6" s="1"/>
  <c r="D42" i="6" s="1"/>
  <c r="D43" i="6" s="1"/>
  <c r="Y36" i="6"/>
  <c r="D36" i="6"/>
  <c r="C36" i="6"/>
  <c r="K43" i="6" s="1"/>
  <c r="B36" i="6"/>
  <c r="H43" i="6" s="1"/>
  <c r="R35" i="6"/>
  <c r="Q35" i="6"/>
  <c r="R34" i="6"/>
  <c r="Q34" i="6"/>
  <c r="F34" i="6"/>
  <c r="R33" i="6"/>
  <c r="Q33" i="6"/>
  <c r="F33" i="6"/>
  <c r="R32" i="6" s="1"/>
  <c r="Q32" i="6"/>
  <c r="Q31" i="6"/>
  <c r="Q30" i="6"/>
  <c r="Q29" i="6"/>
  <c r="J29" i="6"/>
  <c r="D29" i="6"/>
  <c r="D30" i="6" s="1"/>
  <c r="D31" i="6" s="1"/>
  <c r="D32" i="6" s="1"/>
  <c r="D33" i="6" s="1"/>
  <c r="D34" i="6" s="1"/>
  <c r="D35" i="6" s="1"/>
  <c r="Y28" i="6"/>
  <c r="D28" i="6"/>
  <c r="C28" i="6"/>
  <c r="K35" i="6" s="1"/>
  <c r="B28" i="6"/>
  <c r="H35" i="6" s="1"/>
  <c r="R27" i="6"/>
  <c r="Q27" i="6"/>
  <c r="R26" i="6"/>
  <c r="Q26" i="6"/>
  <c r="F26" i="6"/>
  <c r="R25" i="6"/>
  <c r="Q25" i="6"/>
  <c r="F25" i="6"/>
  <c r="R24" i="6" s="1"/>
  <c r="Q24" i="6"/>
  <c r="F24" i="6"/>
  <c r="R23" i="6"/>
  <c r="Q23" i="6"/>
  <c r="Q22" i="6"/>
  <c r="Q21" i="6"/>
  <c r="J21" i="6"/>
  <c r="D21" i="6"/>
  <c r="D22" i="6" s="1"/>
  <c r="D23" i="6" s="1"/>
  <c r="D24" i="6" s="1"/>
  <c r="D25" i="6" s="1"/>
  <c r="D26" i="6" s="1"/>
  <c r="D27" i="6" s="1"/>
  <c r="Y20" i="6"/>
  <c r="D20" i="6"/>
  <c r="C20" i="6"/>
  <c r="K27" i="6" s="1"/>
  <c r="B20" i="6"/>
  <c r="H27" i="6" s="1"/>
  <c r="R19" i="6"/>
  <c r="Q19" i="6"/>
  <c r="M19" i="6"/>
  <c r="L19" i="6"/>
  <c r="P19" i="6" s="1"/>
  <c r="S19" i="6" s="1"/>
  <c r="A19" i="6"/>
  <c r="Y19" i="6" s="1"/>
  <c r="R18" i="6"/>
  <c r="Q18" i="6"/>
  <c r="T18" i="6" s="1"/>
  <c r="M18" i="6"/>
  <c r="L18" i="6"/>
  <c r="P18" i="6" s="1"/>
  <c r="S18" i="6" s="1"/>
  <c r="F18" i="6"/>
  <c r="R17" i="6"/>
  <c r="Q17" i="6"/>
  <c r="T17" i="6" s="1"/>
  <c r="M17" i="6"/>
  <c r="L17" i="6"/>
  <c r="P17" i="6" s="1"/>
  <c r="S17" i="6" s="1"/>
  <c r="F17" i="6"/>
  <c r="R16" i="6" s="1"/>
  <c r="W16" i="6"/>
  <c r="Q16" i="6"/>
  <c r="M16" i="6"/>
  <c r="L16" i="6"/>
  <c r="P16" i="6" s="1"/>
  <c r="S16" i="6" s="1"/>
  <c r="F16" i="6"/>
  <c r="R15" i="6" s="1"/>
  <c r="A16" i="6"/>
  <c r="U16" i="6" s="1"/>
  <c r="V16" i="6" s="1"/>
  <c r="Q15" i="6"/>
  <c r="M15" i="6"/>
  <c r="L15" i="6"/>
  <c r="P15" i="6" s="1"/>
  <c r="S15" i="6" s="1"/>
  <c r="Q14" i="6"/>
  <c r="M14" i="6"/>
  <c r="L14" i="6"/>
  <c r="P14" i="6" s="1"/>
  <c r="S14" i="6" s="1"/>
  <c r="F14" i="6"/>
  <c r="R13" i="6" s="1"/>
  <c r="Q13" i="6"/>
  <c r="T13" i="6" s="1"/>
  <c r="M13" i="6"/>
  <c r="L13" i="6"/>
  <c r="P13" i="6" s="1"/>
  <c r="S13" i="6" s="1"/>
  <c r="J13" i="6"/>
  <c r="D13" i="6"/>
  <c r="D14" i="6" s="1"/>
  <c r="D15" i="6" s="1"/>
  <c r="D16" i="6" s="1"/>
  <c r="D17" i="6" s="1"/>
  <c r="D18" i="6" s="1"/>
  <c r="D19" i="6" s="1"/>
  <c r="Y12" i="6"/>
  <c r="E12" i="6"/>
  <c r="D12" i="6"/>
  <c r="C12" i="6"/>
  <c r="J14" i="6" s="1"/>
  <c r="K14" i="6" s="1"/>
  <c r="B12" i="6"/>
  <c r="H19" i="6" s="1"/>
  <c r="A12" i="6"/>
  <c r="A18" i="6" s="1"/>
  <c r="K11" i="6"/>
  <c r="K6" i="6"/>
  <c r="J6" i="6"/>
  <c r="I7" i="6"/>
  <c r="H7" i="6"/>
  <c r="H6" i="6"/>
  <c r="A625" i="6" l="1"/>
  <c r="A624" i="6"/>
  <c r="A627" i="6"/>
  <c r="A623" i="6"/>
  <c r="A626" i="6"/>
  <c r="A621" i="6"/>
  <c r="A622" i="6"/>
  <c r="H625" i="6"/>
  <c r="I625" i="6" s="1"/>
  <c r="N625" i="6" s="1"/>
  <c r="H624" i="6"/>
  <c r="I624" i="6" s="1"/>
  <c r="N624" i="6" s="1"/>
  <c r="I627" i="6"/>
  <c r="H623" i="6"/>
  <c r="I623" i="6" s="1"/>
  <c r="N623" i="6" s="1"/>
  <c r="G627" i="6"/>
  <c r="G626" i="6"/>
  <c r="G625" i="6"/>
  <c r="G624" i="6"/>
  <c r="T623" i="6"/>
  <c r="T631" i="6"/>
  <c r="T630" i="6"/>
  <c r="W656" i="6"/>
  <c r="Y656" i="6"/>
  <c r="U656" i="6"/>
  <c r="V656" i="6" s="1"/>
  <c r="K627" i="6"/>
  <c r="O627" i="6" s="1"/>
  <c r="J627" i="6"/>
  <c r="K621" i="6"/>
  <c r="O621" i="6" s="1"/>
  <c r="J622" i="6"/>
  <c r="K622" i="6" s="1"/>
  <c r="T624" i="6"/>
  <c r="H626" i="6"/>
  <c r="I626" i="6" s="1"/>
  <c r="N626" i="6" s="1"/>
  <c r="H627" i="6"/>
  <c r="Y632" i="6"/>
  <c r="W632" i="6"/>
  <c r="P632" i="6"/>
  <c r="S632" i="6" s="1"/>
  <c r="T632" i="6" s="1"/>
  <c r="W633" i="6"/>
  <c r="U633" i="6"/>
  <c r="V633" i="6" s="1"/>
  <c r="T634" i="6"/>
  <c r="W647" i="6"/>
  <c r="U647" i="6"/>
  <c r="V647" i="6" s="1"/>
  <c r="W657" i="6"/>
  <c r="U657" i="6"/>
  <c r="V657" i="6" s="1"/>
  <c r="Y657" i="6"/>
  <c r="P625" i="6"/>
  <c r="S625" i="6" s="1"/>
  <c r="T625" i="6" s="1"/>
  <c r="T635" i="6"/>
  <c r="A629" i="6"/>
  <c r="I629" i="6"/>
  <c r="N629" i="6" s="1"/>
  <c r="A630" i="6"/>
  <c r="H630" i="6"/>
  <c r="I630" i="6" s="1"/>
  <c r="N630" i="6" s="1"/>
  <c r="G631" i="6"/>
  <c r="A634" i="6"/>
  <c r="H634" i="6"/>
  <c r="I634" i="6" s="1"/>
  <c r="N634" i="6" s="1"/>
  <c r="H635" i="6"/>
  <c r="A642" i="6"/>
  <c r="A638" i="6"/>
  <c r="A637" i="6"/>
  <c r="A641" i="6"/>
  <c r="T637" i="6"/>
  <c r="J638" i="6"/>
  <c r="K638" i="6" s="1"/>
  <c r="T638" i="6"/>
  <c r="A639" i="6"/>
  <c r="A640" i="6"/>
  <c r="P650" i="6"/>
  <c r="S650" i="6" s="1"/>
  <c r="T650" i="6" s="1"/>
  <c r="A659" i="6"/>
  <c r="A655" i="6"/>
  <c r="A658" i="6"/>
  <c r="A654" i="6"/>
  <c r="A653" i="6"/>
  <c r="P653" i="6"/>
  <c r="S653" i="6" s="1"/>
  <c r="A631" i="6"/>
  <c r="H631" i="6"/>
  <c r="I631" i="6" s="1"/>
  <c r="N631" i="6" s="1"/>
  <c r="G632" i="6"/>
  <c r="A635" i="6"/>
  <c r="I635" i="6"/>
  <c r="N635" i="6" s="1"/>
  <c r="H643" i="6"/>
  <c r="N643" i="6" s="1"/>
  <c r="H642" i="6"/>
  <c r="I642" i="6" s="1"/>
  <c r="N642" i="6" s="1"/>
  <c r="H638" i="6"/>
  <c r="I638" i="6" s="1"/>
  <c r="N638" i="6" s="1"/>
  <c r="I637" i="6"/>
  <c r="H641" i="6"/>
  <c r="I641" i="6" s="1"/>
  <c r="N641" i="6" s="1"/>
  <c r="H637" i="6"/>
  <c r="G639" i="6"/>
  <c r="G643" i="6"/>
  <c r="G642" i="6"/>
  <c r="G638" i="6"/>
  <c r="G637" i="6"/>
  <c r="J643" i="6"/>
  <c r="T643" i="6"/>
  <c r="A650" i="6"/>
  <c r="A646" i="6"/>
  <c r="A645" i="6"/>
  <c r="A649" i="6"/>
  <c r="A648" i="6"/>
  <c r="T646" i="6"/>
  <c r="A651" i="6"/>
  <c r="T651" i="6"/>
  <c r="Y674" i="6"/>
  <c r="W674" i="6"/>
  <c r="T671" i="6"/>
  <c r="U674" i="6"/>
  <c r="V674" i="6" s="1"/>
  <c r="G628" i="6"/>
  <c r="G629" i="6"/>
  <c r="K629" i="6"/>
  <c r="O629" i="6" s="1"/>
  <c r="J630" i="6"/>
  <c r="K630" i="6" s="1"/>
  <c r="O643" i="6"/>
  <c r="G636" i="6"/>
  <c r="J637" i="6"/>
  <c r="O637" i="6" s="1"/>
  <c r="G640" i="6"/>
  <c r="T641" i="6"/>
  <c r="T642" i="6"/>
  <c r="A643" i="6"/>
  <c r="P643" i="6"/>
  <c r="S643" i="6" s="1"/>
  <c r="H651" i="6"/>
  <c r="H650" i="6"/>
  <c r="I650" i="6" s="1"/>
  <c r="N650" i="6" s="1"/>
  <c r="H646" i="6"/>
  <c r="I646" i="6" s="1"/>
  <c r="N646" i="6" s="1"/>
  <c r="I645" i="6"/>
  <c r="H649" i="6"/>
  <c r="I649" i="6" s="1"/>
  <c r="N649" i="6" s="1"/>
  <c r="H645" i="6"/>
  <c r="H648" i="6"/>
  <c r="I648" i="6" s="1"/>
  <c r="N648" i="6" s="1"/>
  <c r="G647" i="6"/>
  <c r="G651" i="6"/>
  <c r="G650" i="6"/>
  <c r="G646" i="6"/>
  <c r="G649" i="6"/>
  <c r="G645" i="6"/>
  <c r="G644" i="6"/>
  <c r="T648" i="6"/>
  <c r="T649" i="6"/>
  <c r="I651" i="6"/>
  <c r="N651" i="6" s="1"/>
  <c r="T653" i="6"/>
  <c r="K645" i="6"/>
  <c r="O645" i="6" s="1"/>
  <c r="J646" i="6"/>
  <c r="K646" i="6" s="1"/>
  <c r="J651" i="6"/>
  <c r="O651" i="6" s="1"/>
  <c r="I659" i="6"/>
  <c r="N659" i="6" s="1"/>
  <c r="H655" i="6"/>
  <c r="I655" i="6" s="1"/>
  <c r="N655" i="6" s="1"/>
  <c r="H659" i="6"/>
  <c r="H658" i="6"/>
  <c r="I658" i="6" s="1"/>
  <c r="N658" i="6" s="1"/>
  <c r="H654" i="6"/>
  <c r="I654" i="6" s="1"/>
  <c r="N654" i="6" s="1"/>
  <c r="G656" i="6"/>
  <c r="G655" i="6"/>
  <c r="J653" i="6"/>
  <c r="G654" i="6"/>
  <c r="P655" i="6"/>
  <c r="S655" i="6" s="1"/>
  <c r="T655" i="6" s="1"/>
  <c r="K659" i="6"/>
  <c r="O659" i="6" s="1"/>
  <c r="T659" i="6"/>
  <c r="U667" i="6"/>
  <c r="V667" i="6" s="1"/>
  <c r="Y667" i="6"/>
  <c r="W667" i="6"/>
  <c r="P663" i="6"/>
  <c r="S663" i="6" s="1"/>
  <c r="T663" i="6" s="1"/>
  <c r="T665" i="6"/>
  <c r="T666" i="6"/>
  <c r="H675" i="6"/>
  <c r="H674" i="6"/>
  <c r="I674" i="6" s="1"/>
  <c r="N674" i="6" s="1"/>
  <c r="H670" i="6"/>
  <c r="I670" i="6" s="1"/>
  <c r="N670" i="6" s="1"/>
  <c r="I669" i="6"/>
  <c r="H673" i="6"/>
  <c r="I673" i="6" s="1"/>
  <c r="N673" i="6" s="1"/>
  <c r="H669" i="6"/>
  <c r="H672" i="6"/>
  <c r="I672" i="6" s="1"/>
  <c r="N672" i="6" s="1"/>
  <c r="G671" i="6"/>
  <c r="G675" i="6"/>
  <c r="G674" i="6"/>
  <c r="G670" i="6"/>
  <c r="G673" i="6"/>
  <c r="G669" i="6"/>
  <c r="G668" i="6"/>
  <c r="H671" i="6"/>
  <c r="I671" i="6" s="1"/>
  <c r="N671" i="6" s="1"/>
  <c r="G672" i="6"/>
  <c r="Y675" i="6"/>
  <c r="W675" i="6"/>
  <c r="T675" i="6"/>
  <c r="K653" i="6"/>
  <c r="J654" i="6"/>
  <c r="K654" i="6" s="1"/>
  <c r="W664" i="6"/>
  <c r="U664" i="6"/>
  <c r="V664" i="6" s="1"/>
  <c r="Y664" i="6"/>
  <c r="P670" i="6"/>
  <c r="S670" i="6" s="1"/>
  <c r="T670" i="6" s="1"/>
  <c r="T672" i="6"/>
  <c r="T673" i="6"/>
  <c r="T674" i="6"/>
  <c r="I675" i="6"/>
  <c r="N675" i="6" s="1"/>
  <c r="J661" i="6"/>
  <c r="K667" i="6"/>
  <c r="O667" i="6" s="1"/>
  <c r="K661" i="6"/>
  <c r="T661" i="6"/>
  <c r="J662" i="6"/>
  <c r="K662" i="6" s="1"/>
  <c r="T662" i="6"/>
  <c r="W671" i="6"/>
  <c r="U671" i="6"/>
  <c r="V671" i="6" s="1"/>
  <c r="Y671" i="6"/>
  <c r="P675" i="6"/>
  <c r="S675" i="6" s="1"/>
  <c r="U675" i="6"/>
  <c r="V675" i="6" s="1"/>
  <c r="H661" i="6"/>
  <c r="G662" i="6"/>
  <c r="A665" i="6"/>
  <c r="H665" i="6"/>
  <c r="I665" i="6" s="1"/>
  <c r="N665" i="6" s="1"/>
  <c r="G666" i="6"/>
  <c r="G667" i="6"/>
  <c r="K669" i="6"/>
  <c r="O669" i="6" s="1"/>
  <c r="J670" i="6"/>
  <c r="K670" i="6" s="1"/>
  <c r="A672" i="6"/>
  <c r="J675" i="6"/>
  <c r="O675" i="6" s="1"/>
  <c r="A661" i="6"/>
  <c r="I661" i="6"/>
  <c r="N661" i="6" s="1"/>
  <c r="A662" i="6"/>
  <c r="H662" i="6"/>
  <c r="I662" i="6" s="1"/>
  <c r="N662" i="6" s="1"/>
  <c r="G663" i="6"/>
  <c r="A666" i="6"/>
  <c r="H666" i="6"/>
  <c r="I666" i="6" s="1"/>
  <c r="N666" i="6" s="1"/>
  <c r="H667" i="6"/>
  <c r="N667" i="6" s="1"/>
  <c r="A673" i="6"/>
  <c r="A663" i="6"/>
  <c r="H663" i="6"/>
  <c r="I663" i="6" s="1"/>
  <c r="N663" i="6" s="1"/>
  <c r="A669" i="6"/>
  <c r="A670" i="6"/>
  <c r="T565" i="6"/>
  <c r="W568" i="6"/>
  <c r="A585" i="6"/>
  <c r="A584" i="6"/>
  <c r="A587" i="6"/>
  <c r="A582" i="6"/>
  <c r="A586" i="6"/>
  <c r="A581" i="6"/>
  <c r="U590" i="6"/>
  <c r="V590" i="6" s="1"/>
  <c r="Y590" i="6"/>
  <c r="W590" i="6"/>
  <c r="W575" i="6"/>
  <c r="U575" i="6"/>
  <c r="V575" i="6" s="1"/>
  <c r="Y575" i="6"/>
  <c r="A570" i="6"/>
  <c r="A569" i="6"/>
  <c r="A565" i="6"/>
  <c r="J565" i="6"/>
  <c r="A566" i="6"/>
  <c r="Y568" i="6"/>
  <c r="J571" i="6"/>
  <c r="T571" i="6"/>
  <c r="A578" i="6"/>
  <c r="A574" i="6"/>
  <c r="A573" i="6"/>
  <c r="A577" i="6"/>
  <c r="A576" i="6"/>
  <c r="T573" i="6"/>
  <c r="T574" i="6"/>
  <c r="A579" i="6"/>
  <c r="T579" i="6"/>
  <c r="T582" i="6"/>
  <c r="O571" i="6"/>
  <c r="O579" i="6"/>
  <c r="U583" i="6"/>
  <c r="V583" i="6" s="1"/>
  <c r="Y583" i="6"/>
  <c r="W594" i="6"/>
  <c r="U594" i="6"/>
  <c r="V594" i="6" s="1"/>
  <c r="Y594" i="6"/>
  <c r="H571" i="6"/>
  <c r="N571" i="6" s="1"/>
  <c r="H570" i="6"/>
  <c r="I570" i="6" s="1"/>
  <c r="N570" i="6" s="1"/>
  <c r="H569" i="6"/>
  <c r="I569" i="6" s="1"/>
  <c r="N569" i="6" s="1"/>
  <c r="H565" i="6"/>
  <c r="N565" i="6" s="1"/>
  <c r="G567" i="6"/>
  <c r="G571" i="6"/>
  <c r="G570" i="6"/>
  <c r="G566" i="6"/>
  <c r="K565" i="6"/>
  <c r="J566" i="6"/>
  <c r="K566" i="6" s="1"/>
  <c r="U567" i="6"/>
  <c r="V567" i="6" s="1"/>
  <c r="G568" i="6"/>
  <c r="T569" i="6"/>
  <c r="T570" i="6"/>
  <c r="A571" i="6"/>
  <c r="P571" i="6"/>
  <c r="S571" i="6" s="1"/>
  <c r="H579" i="6"/>
  <c r="H578" i="6"/>
  <c r="I578" i="6" s="1"/>
  <c r="N578" i="6" s="1"/>
  <c r="H574" i="6"/>
  <c r="I574" i="6" s="1"/>
  <c r="N574" i="6" s="1"/>
  <c r="I573" i="6"/>
  <c r="H577" i="6"/>
  <c r="I577" i="6" s="1"/>
  <c r="N577" i="6" s="1"/>
  <c r="H573" i="6"/>
  <c r="H576" i="6"/>
  <c r="I576" i="6" s="1"/>
  <c r="N576" i="6" s="1"/>
  <c r="G575" i="6"/>
  <c r="G579" i="6"/>
  <c r="G578" i="6"/>
  <c r="G574" i="6"/>
  <c r="G577" i="6"/>
  <c r="G573" i="6"/>
  <c r="G572" i="6"/>
  <c r="T576" i="6"/>
  <c r="T577" i="6"/>
  <c r="T578" i="6"/>
  <c r="I579" i="6"/>
  <c r="N579" i="6" s="1"/>
  <c r="K573" i="6"/>
  <c r="O573" i="6" s="1"/>
  <c r="J574" i="6"/>
  <c r="K574" i="6" s="1"/>
  <c r="J579" i="6"/>
  <c r="H585" i="6"/>
  <c r="I585" i="6" s="1"/>
  <c r="N585" i="6" s="1"/>
  <c r="H584" i="6"/>
  <c r="I584" i="6" s="1"/>
  <c r="N584" i="6" s="1"/>
  <c r="G587" i="6"/>
  <c r="G586" i="6"/>
  <c r="G582" i="6"/>
  <c r="G585" i="6"/>
  <c r="H586" i="6"/>
  <c r="I586" i="6" s="1"/>
  <c r="N586" i="6" s="1"/>
  <c r="I587" i="6"/>
  <c r="N587" i="6" s="1"/>
  <c r="N589" i="6"/>
  <c r="O595" i="6"/>
  <c r="K587" i="6"/>
  <c r="J587" i="6"/>
  <c r="J582" i="6"/>
  <c r="K582" i="6" s="1"/>
  <c r="K581" i="6"/>
  <c r="O581" i="6" s="1"/>
  <c r="T584" i="6"/>
  <c r="A592" i="6"/>
  <c r="A595" i="6"/>
  <c r="A591" i="6"/>
  <c r="A589" i="6"/>
  <c r="T593" i="6"/>
  <c r="J605" i="6"/>
  <c r="K611" i="6"/>
  <c r="J606" i="6"/>
  <c r="K606" i="6" s="1"/>
  <c r="K605" i="6"/>
  <c r="J611" i="6"/>
  <c r="Y618" i="6"/>
  <c r="W618" i="6"/>
  <c r="T615" i="6"/>
  <c r="U618" i="6"/>
  <c r="V618" i="6" s="1"/>
  <c r="P581" i="6"/>
  <c r="S581" i="6" s="1"/>
  <c r="T581" i="6" s="1"/>
  <c r="P585" i="6"/>
  <c r="S585" i="6" s="1"/>
  <c r="T585" i="6" s="1"/>
  <c r="T591" i="6"/>
  <c r="T592" i="6"/>
  <c r="A593" i="6"/>
  <c r="O603" i="6"/>
  <c r="J589" i="6"/>
  <c r="H591" i="6"/>
  <c r="I591" i="6" s="1"/>
  <c r="N591" i="6" s="1"/>
  <c r="G592" i="6"/>
  <c r="I595" i="6"/>
  <c r="N595" i="6" s="1"/>
  <c r="A600" i="6"/>
  <c r="A603" i="6"/>
  <c r="A599" i="6"/>
  <c r="A602" i="6"/>
  <c r="A597" i="6"/>
  <c r="I597" i="6"/>
  <c r="N597" i="6" s="1"/>
  <c r="T598" i="6"/>
  <c r="A601" i="6"/>
  <c r="P607" i="6"/>
  <c r="S607" i="6" s="1"/>
  <c r="T609" i="6"/>
  <c r="T610" i="6"/>
  <c r="H619" i="6"/>
  <c r="H618" i="6"/>
  <c r="I618" i="6" s="1"/>
  <c r="N618" i="6" s="1"/>
  <c r="H614" i="6"/>
  <c r="I614" i="6" s="1"/>
  <c r="N614" i="6" s="1"/>
  <c r="I613" i="6"/>
  <c r="H617" i="6"/>
  <c r="I617" i="6" s="1"/>
  <c r="N617" i="6" s="1"/>
  <c r="H613" i="6"/>
  <c r="H616" i="6"/>
  <c r="I616" i="6" s="1"/>
  <c r="N616" i="6" s="1"/>
  <c r="G615" i="6"/>
  <c r="G619" i="6"/>
  <c r="G618" i="6"/>
  <c r="G614" i="6"/>
  <c r="G617" i="6"/>
  <c r="G613" i="6"/>
  <c r="G612" i="6"/>
  <c r="H615" i="6"/>
  <c r="I615" i="6" s="1"/>
  <c r="N615" i="6" s="1"/>
  <c r="G616" i="6"/>
  <c r="Y619" i="6"/>
  <c r="W619" i="6"/>
  <c r="K589" i="6"/>
  <c r="O589" i="6" s="1"/>
  <c r="J590" i="6"/>
  <c r="K590" i="6" s="1"/>
  <c r="H600" i="6"/>
  <c r="I600" i="6" s="1"/>
  <c r="N600" i="6" s="1"/>
  <c r="I603" i="6"/>
  <c r="H599" i="6"/>
  <c r="I599" i="6" s="1"/>
  <c r="N599" i="6" s="1"/>
  <c r="H603" i="6"/>
  <c r="H602" i="6"/>
  <c r="I602" i="6" s="1"/>
  <c r="N602" i="6" s="1"/>
  <c r="G601" i="6"/>
  <c r="G600" i="6"/>
  <c r="G599" i="6"/>
  <c r="U598" i="6"/>
  <c r="V598" i="6" s="1"/>
  <c r="Y598" i="6"/>
  <c r="T599" i="6"/>
  <c r="T600" i="6"/>
  <c r="T603" i="6"/>
  <c r="U611" i="6"/>
  <c r="V611" i="6" s="1"/>
  <c r="Y611" i="6"/>
  <c r="W611" i="6"/>
  <c r="W608" i="6"/>
  <c r="U608" i="6"/>
  <c r="V608" i="6" s="1"/>
  <c r="Y608" i="6"/>
  <c r="O619" i="6"/>
  <c r="P614" i="6"/>
  <c r="S614" i="6" s="1"/>
  <c r="T614" i="6" s="1"/>
  <c r="T616" i="6"/>
  <c r="T617" i="6"/>
  <c r="T618" i="6"/>
  <c r="I619" i="6"/>
  <c r="J603" i="6"/>
  <c r="J598" i="6"/>
  <c r="K598" i="6" s="1"/>
  <c r="K597" i="6"/>
  <c r="O597" i="6" s="1"/>
  <c r="J597" i="6"/>
  <c r="T605" i="6"/>
  <c r="T606" i="6"/>
  <c r="T607" i="6"/>
  <c r="W615" i="6"/>
  <c r="U615" i="6"/>
  <c r="V615" i="6" s="1"/>
  <c r="Y615" i="6"/>
  <c r="P619" i="6"/>
  <c r="S619" i="6" s="1"/>
  <c r="T619" i="6" s="1"/>
  <c r="U619" i="6"/>
  <c r="V619" i="6" s="1"/>
  <c r="H605" i="6"/>
  <c r="G606" i="6"/>
  <c r="A609" i="6"/>
  <c r="H609" i="6"/>
  <c r="I609" i="6" s="1"/>
  <c r="N609" i="6" s="1"/>
  <c r="G610" i="6"/>
  <c r="G611" i="6"/>
  <c r="K613" i="6"/>
  <c r="O613" i="6" s="1"/>
  <c r="J614" i="6"/>
  <c r="K614" i="6" s="1"/>
  <c r="A616" i="6"/>
  <c r="J619" i="6"/>
  <c r="A605" i="6"/>
  <c r="I605" i="6"/>
  <c r="A606" i="6"/>
  <c r="H606" i="6"/>
  <c r="I606" i="6" s="1"/>
  <c r="N606" i="6" s="1"/>
  <c r="G607" i="6"/>
  <c r="A610" i="6"/>
  <c r="H610" i="6"/>
  <c r="I610" i="6" s="1"/>
  <c r="N610" i="6" s="1"/>
  <c r="H611" i="6"/>
  <c r="N611" i="6" s="1"/>
  <c r="A617" i="6"/>
  <c r="A607" i="6"/>
  <c r="H607" i="6"/>
  <c r="I607" i="6" s="1"/>
  <c r="N607" i="6" s="1"/>
  <c r="A613" i="6"/>
  <c r="A614" i="6"/>
  <c r="T515" i="6"/>
  <c r="A514" i="6"/>
  <c r="A513" i="6"/>
  <c r="A512" i="6"/>
  <c r="A509" i="6"/>
  <c r="A515" i="6"/>
  <c r="A511" i="6"/>
  <c r="A510" i="6"/>
  <c r="T511" i="6"/>
  <c r="T509" i="6"/>
  <c r="T518" i="6"/>
  <c r="T525" i="6"/>
  <c r="J509" i="6"/>
  <c r="H511" i="6"/>
  <c r="I511" i="6" s="1"/>
  <c r="N511" i="6" s="1"/>
  <c r="G512" i="6"/>
  <c r="P512" i="6"/>
  <c r="S512" i="6" s="1"/>
  <c r="T512" i="6"/>
  <c r="K515" i="6"/>
  <c r="O515" i="6" s="1"/>
  <c r="Y520" i="6"/>
  <c r="W520" i="6"/>
  <c r="P520" i="6"/>
  <c r="S520" i="6" s="1"/>
  <c r="T520" i="6" s="1"/>
  <c r="U520" i="6"/>
  <c r="V520" i="6" s="1"/>
  <c r="J531" i="6"/>
  <c r="K531" i="6"/>
  <c r="O531" i="6" s="1"/>
  <c r="J525" i="6"/>
  <c r="K525" i="6"/>
  <c r="J526" i="6"/>
  <c r="K526" i="6" s="1"/>
  <c r="Y531" i="6"/>
  <c r="W531" i="6"/>
  <c r="U531" i="6"/>
  <c r="V531" i="6" s="1"/>
  <c r="T533" i="6"/>
  <c r="O555" i="6"/>
  <c r="W527" i="6"/>
  <c r="U527" i="6"/>
  <c r="V527" i="6" s="1"/>
  <c r="K509" i="6"/>
  <c r="J510" i="6"/>
  <c r="K510" i="6" s="1"/>
  <c r="I512" i="6"/>
  <c r="N512" i="6" s="1"/>
  <c r="H513" i="6"/>
  <c r="I513" i="6" s="1"/>
  <c r="N513" i="6" s="1"/>
  <c r="G514" i="6"/>
  <c r="G515" i="6"/>
  <c r="N523" i="6"/>
  <c r="T519" i="6"/>
  <c r="W521" i="6"/>
  <c r="U521" i="6"/>
  <c r="V521" i="6" s="1"/>
  <c r="P527" i="6"/>
  <c r="S527" i="6" s="1"/>
  <c r="T527" i="6" s="1"/>
  <c r="Y527" i="6"/>
  <c r="A537" i="6"/>
  <c r="A536" i="6"/>
  <c r="A539" i="6"/>
  <c r="A535" i="6"/>
  <c r="A538" i="6"/>
  <c r="A533" i="6"/>
  <c r="O533" i="6"/>
  <c r="A534" i="6"/>
  <c r="T523" i="6"/>
  <c r="J523" i="6"/>
  <c r="J518" i="6"/>
  <c r="K518" i="6" s="1"/>
  <c r="J517" i="6"/>
  <c r="O517" i="6" s="1"/>
  <c r="T522" i="6"/>
  <c r="K523" i="6"/>
  <c r="O523" i="6" s="1"/>
  <c r="A517" i="6"/>
  <c r="A518" i="6"/>
  <c r="A522" i="6"/>
  <c r="H522" i="6"/>
  <c r="I522" i="6" s="1"/>
  <c r="N522" i="6" s="1"/>
  <c r="H523" i="6"/>
  <c r="H525" i="6"/>
  <c r="G526" i="6"/>
  <c r="H528" i="6"/>
  <c r="I528" i="6" s="1"/>
  <c r="N528" i="6" s="1"/>
  <c r="Y528" i="6"/>
  <c r="G530" i="6"/>
  <c r="K563" i="6"/>
  <c r="J558" i="6"/>
  <c r="K558" i="6" s="1"/>
  <c r="K557" i="6"/>
  <c r="O557" i="6" s="1"/>
  <c r="A519" i="6"/>
  <c r="H519" i="6"/>
  <c r="I519" i="6" s="1"/>
  <c r="N519" i="6" s="1"/>
  <c r="A523" i="6"/>
  <c r="A525" i="6"/>
  <c r="I525" i="6"/>
  <c r="A526" i="6"/>
  <c r="H526" i="6"/>
  <c r="I526" i="6" s="1"/>
  <c r="N526" i="6" s="1"/>
  <c r="A529" i="6"/>
  <c r="U530" i="6"/>
  <c r="V530" i="6" s="1"/>
  <c r="K539" i="6"/>
  <c r="J539" i="6"/>
  <c r="J534" i="6"/>
  <c r="K534" i="6" s="1"/>
  <c r="J533" i="6"/>
  <c r="T536" i="6"/>
  <c r="W545" i="6"/>
  <c r="U545" i="6"/>
  <c r="V545" i="6" s="1"/>
  <c r="T557" i="6"/>
  <c r="P559" i="6"/>
  <c r="S559" i="6" s="1"/>
  <c r="T559" i="6" s="1"/>
  <c r="J563" i="6"/>
  <c r="H531" i="6"/>
  <c r="N531" i="6" s="1"/>
  <c r="H530" i="6"/>
  <c r="I530" i="6" s="1"/>
  <c r="N530" i="6" s="1"/>
  <c r="G527" i="6"/>
  <c r="G529" i="6"/>
  <c r="T526" i="6"/>
  <c r="T530" i="6"/>
  <c r="T531" i="6"/>
  <c r="N533" i="6"/>
  <c r="P537" i="6"/>
  <c r="S537" i="6" s="1"/>
  <c r="T537" i="6" s="1"/>
  <c r="T554" i="6"/>
  <c r="H535" i="6"/>
  <c r="I535" i="6" s="1"/>
  <c r="N535" i="6" s="1"/>
  <c r="G536" i="6"/>
  <c r="I539" i="6"/>
  <c r="N539" i="6" s="1"/>
  <c r="A544" i="6"/>
  <c r="A547" i="6"/>
  <c r="A543" i="6"/>
  <c r="A541" i="6"/>
  <c r="I541" i="6"/>
  <c r="N541" i="6" s="1"/>
  <c r="H542" i="6"/>
  <c r="I542" i="6" s="1"/>
  <c r="N542" i="6" s="1"/>
  <c r="P544" i="6"/>
  <c r="S544" i="6" s="1"/>
  <c r="T544" i="6" s="1"/>
  <c r="A546" i="6"/>
  <c r="U555" i="6"/>
  <c r="V555" i="6" s="1"/>
  <c r="Y555" i="6"/>
  <c r="T550" i="6"/>
  <c r="T551" i="6"/>
  <c r="Y552" i="6"/>
  <c r="T555" i="6"/>
  <c r="W555" i="6"/>
  <c r="H559" i="6"/>
  <c r="I559" i="6" s="1"/>
  <c r="N559" i="6" s="1"/>
  <c r="U559" i="6"/>
  <c r="V559" i="6" s="1"/>
  <c r="G560" i="6"/>
  <c r="T562" i="6"/>
  <c r="Y563" i="6"/>
  <c r="W563" i="6"/>
  <c r="P563" i="6"/>
  <c r="S563" i="6" s="1"/>
  <c r="T563" i="6" s="1"/>
  <c r="G537" i="6"/>
  <c r="H544" i="6"/>
  <c r="I544" i="6" s="1"/>
  <c r="N544" i="6" s="1"/>
  <c r="I547" i="6"/>
  <c r="N547" i="6" s="1"/>
  <c r="H543" i="6"/>
  <c r="I543" i="6" s="1"/>
  <c r="N543" i="6" s="1"/>
  <c r="G545" i="6"/>
  <c r="G544" i="6"/>
  <c r="W542" i="6"/>
  <c r="W553" i="6"/>
  <c r="Y562" i="6"/>
  <c r="W562" i="6"/>
  <c r="T558" i="6"/>
  <c r="Y559" i="6"/>
  <c r="T561" i="6"/>
  <c r="H533" i="6"/>
  <c r="G534" i="6"/>
  <c r="G538" i="6"/>
  <c r="J547" i="6"/>
  <c r="O547" i="6" s="1"/>
  <c r="J542" i="6"/>
  <c r="K542" i="6" s="1"/>
  <c r="K541" i="6"/>
  <c r="J541" i="6"/>
  <c r="G540" i="6"/>
  <c r="G541" i="6"/>
  <c r="Y542" i="6"/>
  <c r="H545" i="6"/>
  <c r="I545" i="6" s="1"/>
  <c r="N545" i="6" s="1"/>
  <c r="G546" i="6"/>
  <c r="K549" i="6"/>
  <c r="O549" i="6" s="1"/>
  <c r="J550" i="6"/>
  <c r="K550" i="6" s="1"/>
  <c r="Y553" i="6"/>
  <c r="J555" i="6"/>
  <c r="H563" i="6"/>
  <c r="H562" i="6"/>
  <c r="I562" i="6" s="1"/>
  <c r="N562" i="6" s="1"/>
  <c r="H558" i="6"/>
  <c r="I558" i="6" s="1"/>
  <c r="N558" i="6" s="1"/>
  <c r="I557" i="6"/>
  <c r="H561" i="6"/>
  <c r="I561" i="6" s="1"/>
  <c r="N561" i="6" s="1"/>
  <c r="H557" i="6"/>
  <c r="G559" i="6"/>
  <c r="G563" i="6"/>
  <c r="G562" i="6"/>
  <c r="G558" i="6"/>
  <c r="G557" i="6"/>
  <c r="P558" i="6"/>
  <c r="S558" i="6" s="1"/>
  <c r="W560" i="6"/>
  <c r="U562" i="6"/>
  <c r="V562" i="6" s="1"/>
  <c r="I563" i="6"/>
  <c r="N563" i="6" s="1"/>
  <c r="A549" i="6"/>
  <c r="I549" i="6"/>
  <c r="N549" i="6" s="1"/>
  <c r="A550" i="6"/>
  <c r="H550" i="6"/>
  <c r="I550" i="6" s="1"/>
  <c r="N550" i="6" s="1"/>
  <c r="G551" i="6"/>
  <c r="A554" i="6"/>
  <c r="H554" i="6"/>
  <c r="I554" i="6" s="1"/>
  <c r="N554" i="6" s="1"/>
  <c r="H555" i="6"/>
  <c r="N555" i="6" s="1"/>
  <c r="A561" i="6"/>
  <c r="A551" i="6"/>
  <c r="H551" i="6"/>
  <c r="I551" i="6" s="1"/>
  <c r="N551" i="6" s="1"/>
  <c r="A557" i="6"/>
  <c r="A558" i="6"/>
  <c r="T453" i="6"/>
  <c r="A481" i="6"/>
  <c r="A480" i="6"/>
  <c r="A483" i="6"/>
  <c r="A479" i="6"/>
  <c r="A478" i="6"/>
  <c r="A482" i="6"/>
  <c r="A477" i="6"/>
  <c r="J453" i="6"/>
  <c r="K459" i="6"/>
  <c r="K453" i="6"/>
  <c r="O453" i="6" s="1"/>
  <c r="J454" i="6"/>
  <c r="K454" i="6" s="1"/>
  <c r="T454" i="6"/>
  <c r="W456" i="6"/>
  <c r="U456" i="6"/>
  <c r="V456" i="6" s="1"/>
  <c r="Y456" i="6"/>
  <c r="J459" i="6"/>
  <c r="T459" i="6"/>
  <c r="I467" i="6"/>
  <c r="N467" i="6" s="1"/>
  <c r="H466" i="6"/>
  <c r="I466" i="6" s="1"/>
  <c r="N466" i="6" s="1"/>
  <c r="H462" i="6"/>
  <c r="I462" i="6" s="1"/>
  <c r="N462" i="6" s="1"/>
  <c r="I461" i="6"/>
  <c r="H465" i="6"/>
  <c r="I465" i="6" s="1"/>
  <c r="N465" i="6" s="1"/>
  <c r="H461" i="6"/>
  <c r="H467" i="6"/>
  <c r="H464" i="6"/>
  <c r="I464" i="6" s="1"/>
  <c r="N464" i="6" s="1"/>
  <c r="G467" i="6"/>
  <c r="G466" i="6"/>
  <c r="G463" i="6"/>
  <c r="G462" i="6"/>
  <c r="G465" i="6"/>
  <c r="G461" i="6"/>
  <c r="G460" i="6"/>
  <c r="H463" i="6"/>
  <c r="I463" i="6" s="1"/>
  <c r="N463" i="6" s="1"/>
  <c r="G464" i="6"/>
  <c r="T464" i="6"/>
  <c r="W466" i="6"/>
  <c r="Y466" i="6"/>
  <c r="U466" i="6"/>
  <c r="V466" i="6" s="1"/>
  <c r="T455" i="6"/>
  <c r="U458" i="6"/>
  <c r="V458" i="6" s="1"/>
  <c r="Y458" i="6"/>
  <c r="W458" i="6"/>
  <c r="T457" i="6"/>
  <c r="W463" i="6"/>
  <c r="U463" i="6"/>
  <c r="V463" i="6" s="1"/>
  <c r="Y463" i="6"/>
  <c r="Y474" i="6"/>
  <c r="W474" i="6"/>
  <c r="Y506" i="6"/>
  <c r="W506" i="6"/>
  <c r="H453" i="6"/>
  <c r="G454" i="6"/>
  <c r="A457" i="6"/>
  <c r="H457" i="6"/>
  <c r="I457" i="6" s="1"/>
  <c r="N457" i="6" s="1"/>
  <c r="G458" i="6"/>
  <c r="G459" i="6"/>
  <c r="W459" i="6"/>
  <c r="K461" i="6"/>
  <c r="O461" i="6" s="1"/>
  <c r="J462" i="6"/>
  <c r="K462" i="6" s="1"/>
  <c r="A464" i="6"/>
  <c r="H475" i="6"/>
  <c r="H474" i="6"/>
  <c r="I474" i="6" s="1"/>
  <c r="N474" i="6" s="1"/>
  <c r="H470" i="6"/>
  <c r="I470" i="6" s="1"/>
  <c r="N470" i="6" s="1"/>
  <c r="I469" i="6"/>
  <c r="H473" i="6"/>
  <c r="I473" i="6" s="1"/>
  <c r="N473" i="6" s="1"/>
  <c r="H469" i="6"/>
  <c r="H472" i="6"/>
  <c r="I472" i="6" s="1"/>
  <c r="N472" i="6" s="1"/>
  <c r="G471" i="6"/>
  <c r="G475" i="6"/>
  <c r="G474" i="6"/>
  <c r="G470" i="6"/>
  <c r="G473" i="6"/>
  <c r="G469" i="6"/>
  <c r="G468" i="6"/>
  <c r="T469" i="6"/>
  <c r="G472" i="6"/>
  <c r="Y475" i="6"/>
  <c r="W475" i="6"/>
  <c r="T475" i="6"/>
  <c r="T480" i="6"/>
  <c r="J493" i="6"/>
  <c r="K499" i="6"/>
  <c r="J499" i="6"/>
  <c r="K493" i="6"/>
  <c r="T479" i="6"/>
  <c r="A453" i="6"/>
  <c r="I453" i="6"/>
  <c r="N453" i="6" s="1"/>
  <c r="A454" i="6"/>
  <c r="H454" i="6"/>
  <c r="I454" i="6" s="1"/>
  <c r="N454" i="6" s="1"/>
  <c r="G455" i="6"/>
  <c r="W455" i="6"/>
  <c r="H458" i="6"/>
  <c r="I458" i="6" s="1"/>
  <c r="N458" i="6" s="1"/>
  <c r="H459" i="6"/>
  <c r="N459" i="6" s="1"/>
  <c r="Y459" i="6"/>
  <c r="A465" i="6"/>
  <c r="P465" i="6"/>
  <c r="S465" i="6" s="1"/>
  <c r="T465" i="6" s="1"/>
  <c r="J467" i="6"/>
  <c r="O467" i="6" s="1"/>
  <c r="P470" i="6"/>
  <c r="S470" i="6" s="1"/>
  <c r="T470" i="6" s="1"/>
  <c r="W471" i="6"/>
  <c r="U471" i="6"/>
  <c r="V471" i="6" s="1"/>
  <c r="T472" i="6"/>
  <c r="T474" i="6"/>
  <c r="I475" i="6"/>
  <c r="N475" i="6" s="1"/>
  <c r="O483" i="6"/>
  <c r="T477" i="6"/>
  <c r="P481" i="6"/>
  <c r="S481" i="6" s="1"/>
  <c r="T481" i="6" s="1"/>
  <c r="J495" i="6"/>
  <c r="K495" i="6" s="1"/>
  <c r="O494" i="6"/>
  <c r="U506" i="6"/>
  <c r="V506" i="6" s="1"/>
  <c r="H455" i="6"/>
  <c r="I455" i="6" s="1"/>
  <c r="N455" i="6" s="1"/>
  <c r="U467" i="6"/>
  <c r="V467" i="6" s="1"/>
  <c r="W467" i="6"/>
  <c r="A461" i="6"/>
  <c r="A462" i="6"/>
  <c r="Y467" i="6"/>
  <c r="T473" i="6"/>
  <c r="P475" i="6"/>
  <c r="S475" i="6" s="1"/>
  <c r="K469" i="6"/>
  <c r="O469" i="6" s="1"/>
  <c r="J470" i="6"/>
  <c r="K470" i="6" s="1"/>
  <c r="A472" i="6"/>
  <c r="J475" i="6"/>
  <c r="O475" i="6" s="1"/>
  <c r="J477" i="6"/>
  <c r="H479" i="6"/>
  <c r="I479" i="6" s="1"/>
  <c r="N479" i="6" s="1"/>
  <c r="G480" i="6"/>
  <c r="I483" i="6"/>
  <c r="N483" i="6" s="1"/>
  <c r="A488" i="6"/>
  <c r="A491" i="6"/>
  <c r="A490" i="6"/>
  <c r="A485" i="6"/>
  <c r="I485" i="6"/>
  <c r="N485" i="6" s="1"/>
  <c r="A486" i="6"/>
  <c r="P486" i="6"/>
  <c r="S486" i="6" s="1"/>
  <c r="T486" i="6"/>
  <c r="P488" i="6"/>
  <c r="S488" i="6" s="1"/>
  <c r="A489" i="6"/>
  <c r="T490" i="6"/>
  <c r="T497" i="6"/>
  <c r="T498" i="6"/>
  <c r="T499" i="6"/>
  <c r="H507" i="6"/>
  <c r="H506" i="6"/>
  <c r="I506" i="6" s="1"/>
  <c r="N506" i="6" s="1"/>
  <c r="H502" i="6"/>
  <c r="I502" i="6" s="1"/>
  <c r="N502" i="6" s="1"/>
  <c r="I501" i="6"/>
  <c r="N501" i="6" s="1"/>
  <c r="H505" i="6"/>
  <c r="I505" i="6" s="1"/>
  <c r="N505" i="6" s="1"/>
  <c r="H501" i="6"/>
  <c r="H504" i="6"/>
  <c r="I504" i="6" s="1"/>
  <c r="N504" i="6" s="1"/>
  <c r="G503" i="6"/>
  <c r="G507" i="6"/>
  <c r="G506" i="6"/>
  <c r="G502" i="6"/>
  <c r="G505" i="6"/>
  <c r="G501" i="6"/>
  <c r="G500" i="6"/>
  <c r="T501" i="6"/>
  <c r="G504" i="6"/>
  <c r="Y507" i="6"/>
  <c r="W507" i="6"/>
  <c r="A473" i="6"/>
  <c r="K477" i="6"/>
  <c r="O477" i="6" s="1"/>
  <c r="J478" i="6"/>
  <c r="K478" i="6" s="1"/>
  <c r="H480" i="6"/>
  <c r="I480" i="6" s="1"/>
  <c r="N480" i="6" s="1"/>
  <c r="G481" i="6"/>
  <c r="J483" i="6"/>
  <c r="H488" i="6"/>
  <c r="I488" i="6" s="1"/>
  <c r="N488" i="6" s="1"/>
  <c r="I491" i="6"/>
  <c r="H491" i="6"/>
  <c r="H490" i="6"/>
  <c r="I490" i="6" s="1"/>
  <c r="N490" i="6" s="1"/>
  <c r="G489" i="6"/>
  <c r="G488" i="6"/>
  <c r="G487" i="6"/>
  <c r="U487" i="6"/>
  <c r="V487" i="6" s="1"/>
  <c r="Y487" i="6"/>
  <c r="W487" i="6"/>
  <c r="K491" i="6"/>
  <c r="O491" i="6" s="1"/>
  <c r="T491" i="6"/>
  <c r="U499" i="6"/>
  <c r="V499" i="6" s="1"/>
  <c r="Y499" i="6"/>
  <c r="W499" i="6"/>
  <c r="P495" i="6"/>
  <c r="S495" i="6" s="1"/>
  <c r="T495" i="6" s="1"/>
  <c r="W496" i="6"/>
  <c r="U496" i="6"/>
  <c r="V496" i="6" s="1"/>
  <c r="Y496" i="6"/>
  <c r="P502" i="6"/>
  <c r="S502" i="6" s="1"/>
  <c r="T502" i="6" s="1"/>
  <c r="W503" i="6"/>
  <c r="U503" i="6"/>
  <c r="V503" i="6" s="1"/>
  <c r="T504" i="6"/>
  <c r="T505" i="6"/>
  <c r="T506" i="6"/>
  <c r="I507" i="6"/>
  <c r="N507" i="6" s="1"/>
  <c r="A469" i="6"/>
  <c r="A470" i="6"/>
  <c r="G478" i="6"/>
  <c r="G482" i="6"/>
  <c r="G484" i="6"/>
  <c r="G485" i="6"/>
  <c r="K485" i="6"/>
  <c r="O485" i="6" s="1"/>
  <c r="J486" i="6"/>
  <c r="K486" i="6" s="1"/>
  <c r="T488" i="6"/>
  <c r="H489" i="6"/>
  <c r="I489" i="6" s="1"/>
  <c r="N489" i="6" s="1"/>
  <c r="P507" i="6"/>
  <c r="S507" i="6" s="1"/>
  <c r="T507" i="6" s="1"/>
  <c r="U507" i="6"/>
  <c r="V507" i="6" s="1"/>
  <c r="H493" i="6"/>
  <c r="G494" i="6"/>
  <c r="A497" i="6"/>
  <c r="H497" i="6"/>
  <c r="I497" i="6" s="1"/>
  <c r="N497" i="6" s="1"/>
  <c r="G498" i="6"/>
  <c r="G499" i="6"/>
  <c r="K501" i="6"/>
  <c r="O501" i="6" s="1"/>
  <c r="J502" i="6"/>
  <c r="K502" i="6" s="1"/>
  <c r="A504" i="6"/>
  <c r="J507" i="6"/>
  <c r="O507" i="6" s="1"/>
  <c r="A493" i="6"/>
  <c r="I493" i="6"/>
  <c r="N493" i="6" s="1"/>
  <c r="A494" i="6"/>
  <c r="H494" i="6"/>
  <c r="I494" i="6" s="1"/>
  <c r="N494" i="6" s="1"/>
  <c r="G495" i="6"/>
  <c r="A498" i="6"/>
  <c r="H498" i="6"/>
  <c r="I498" i="6" s="1"/>
  <c r="N498" i="6" s="1"/>
  <c r="H499" i="6"/>
  <c r="N499" i="6" s="1"/>
  <c r="A505" i="6"/>
  <c r="A495" i="6"/>
  <c r="H495" i="6"/>
  <c r="I495" i="6" s="1"/>
  <c r="N495" i="6" s="1"/>
  <c r="A501" i="6"/>
  <c r="A502" i="6"/>
  <c r="U403" i="6"/>
  <c r="V403" i="6" s="1"/>
  <c r="Y403" i="6"/>
  <c r="W403" i="6"/>
  <c r="T409" i="6"/>
  <c r="N419" i="6"/>
  <c r="T400" i="6"/>
  <c r="W399" i="6"/>
  <c r="U399" i="6"/>
  <c r="V399" i="6" s="1"/>
  <c r="O435" i="6"/>
  <c r="Y402" i="6"/>
  <c r="W402" i="6"/>
  <c r="T398" i="6"/>
  <c r="J407" i="6"/>
  <c r="K407" i="6" s="1"/>
  <c r="O406" i="6"/>
  <c r="O411" i="6"/>
  <c r="O419" i="6"/>
  <c r="H403" i="6"/>
  <c r="N403" i="6" s="1"/>
  <c r="H402" i="6"/>
  <c r="I402" i="6" s="1"/>
  <c r="N402" i="6" s="1"/>
  <c r="H398" i="6"/>
  <c r="I398" i="6" s="1"/>
  <c r="N398" i="6" s="1"/>
  <c r="I397" i="6"/>
  <c r="N397" i="6" s="1"/>
  <c r="H401" i="6"/>
  <c r="I401" i="6" s="1"/>
  <c r="N401" i="6" s="1"/>
  <c r="H397" i="6"/>
  <c r="H400" i="6"/>
  <c r="I400" i="6" s="1"/>
  <c r="N400" i="6" s="1"/>
  <c r="G399" i="6"/>
  <c r="G403" i="6"/>
  <c r="G402" i="6"/>
  <c r="G398" i="6"/>
  <c r="G401" i="6"/>
  <c r="G397" i="6"/>
  <c r="G396" i="6"/>
  <c r="H399" i="6"/>
  <c r="I399" i="6" s="1"/>
  <c r="N399" i="6" s="1"/>
  <c r="P402" i="6"/>
  <c r="S402" i="6" s="1"/>
  <c r="T402" i="6" s="1"/>
  <c r="U402" i="6"/>
  <c r="V402" i="6" s="1"/>
  <c r="T416" i="6"/>
  <c r="I411" i="6"/>
  <c r="N411" i="6" s="1"/>
  <c r="H407" i="6"/>
  <c r="I407" i="6" s="1"/>
  <c r="N407" i="6" s="1"/>
  <c r="H411" i="6"/>
  <c r="H410" i="6"/>
  <c r="I410" i="6" s="1"/>
  <c r="N410" i="6" s="1"/>
  <c r="H406" i="6"/>
  <c r="I406" i="6" s="1"/>
  <c r="N406" i="6" s="1"/>
  <c r="I405" i="6"/>
  <c r="N405" i="6" s="1"/>
  <c r="G408" i="6"/>
  <c r="G407" i="6"/>
  <c r="G405" i="6"/>
  <c r="G409" i="6"/>
  <c r="T410" i="6"/>
  <c r="J413" i="6"/>
  <c r="T417" i="6"/>
  <c r="U422" i="6"/>
  <c r="V422" i="6" s="1"/>
  <c r="Y422" i="6"/>
  <c r="A449" i="6"/>
  <c r="A448" i="6"/>
  <c r="A445" i="6"/>
  <c r="A447" i="6"/>
  <c r="A446" i="6"/>
  <c r="A451" i="6"/>
  <c r="A450" i="6"/>
  <c r="K397" i="6"/>
  <c r="O397" i="6" s="1"/>
  <c r="J398" i="6"/>
  <c r="K398" i="6" s="1"/>
  <c r="Y400" i="6"/>
  <c r="J403" i="6"/>
  <c r="O403" i="6" s="1"/>
  <c r="G404" i="6"/>
  <c r="H405" i="6"/>
  <c r="H408" i="6"/>
  <c r="I408" i="6" s="1"/>
  <c r="N408" i="6" s="1"/>
  <c r="H409" i="6"/>
  <c r="I409" i="6" s="1"/>
  <c r="N409" i="6" s="1"/>
  <c r="G410" i="6"/>
  <c r="T411" i="6"/>
  <c r="K413" i="6"/>
  <c r="O413" i="6" s="1"/>
  <c r="J431" i="6"/>
  <c r="K431" i="6" s="1"/>
  <c r="O430" i="6"/>
  <c r="A401" i="6"/>
  <c r="J405" i="6"/>
  <c r="T406" i="6"/>
  <c r="W409" i="6"/>
  <c r="G411" i="6"/>
  <c r="Y418" i="6"/>
  <c r="W418" i="6"/>
  <c r="T413" i="6"/>
  <c r="J414" i="6"/>
  <c r="K414" i="6" s="1"/>
  <c r="W416" i="6"/>
  <c r="U418" i="6"/>
  <c r="V418" i="6" s="1"/>
  <c r="W419" i="6"/>
  <c r="N421" i="6"/>
  <c r="T421" i="6"/>
  <c r="A397" i="6"/>
  <c r="A398" i="6"/>
  <c r="U411" i="6"/>
  <c r="V411" i="6" s="1"/>
  <c r="Y411" i="6"/>
  <c r="K405" i="6"/>
  <c r="G406" i="6"/>
  <c r="P407" i="6"/>
  <c r="S407" i="6" s="1"/>
  <c r="T407" i="6" s="1"/>
  <c r="H419" i="6"/>
  <c r="H418" i="6"/>
  <c r="I418" i="6" s="1"/>
  <c r="N418" i="6" s="1"/>
  <c r="H414" i="6"/>
  <c r="I414" i="6" s="1"/>
  <c r="N414" i="6" s="1"/>
  <c r="I413" i="6"/>
  <c r="N413" i="6" s="1"/>
  <c r="H417" i="6"/>
  <c r="I417" i="6" s="1"/>
  <c r="N417" i="6" s="1"/>
  <c r="H413" i="6"/>
  <c r="G415" i="6"/>
  <c r="G419" i="6"/>
  <c r="G418" i="6"/>
  <c r="G414" i="6"/>
  <c r="G413" i="6"/>
  <c r="P414" i="6"/>
  <c r="S414" i="6" s="1"/>
  <c r="T414" i="6" s="1"/>
  <c r="J419" i="6"/>
  <c r="T419" i="6"/>
  <c r="Y419" i="6"/>
  <c r="W422" i="6"/>
  <c r="P424" i="6"/>
  <c r="S424" i="6" s="1"/>
  <c r="K429" i="6"/>
  <c r="O429" i="6" s="1"/>
  <c r="T432" i="6"/>
  <c r="J435" i="6"/>
  <c r="K443" i="6"/>
  <c r="J438" i="6"/>
  <c r="K438" i="6" s="1"/>
  <c r="K437" i="6"/>
  <c r="O437" i="6" s="1"/>
  <c r="J443" i="6"/>
  <c r="T447" i="6"/>
  <c r="A405" i="6"/>
  <c r="A406" i="6"/>
  <c r="A410" i="6"/>
  <c r="A417" i="6"/>
  <c r="A424" i="6"/>
  <c r="A427" i="6"/>
  <c r="A423" i="6"/>
  <c r="A421" i="6"/>
  <c r="Y425" i="6"/>
  <c r="T440" i="6"/>
  <c r="H449" i="6"/>
  <c r="I449" i="6" s="1"/>
  <c r="N449" i="6" s="1"/>
  <c r="H445" i="6"/>
  <c r="N445" i="6" s="1"/>
  <c r="H448" i="6"/>
  <c r="I448" i="6" s="1"/>
  <c r="N448" i="6" s="1"/>
  <c r="I451" i="6"/>
  <c r="N451" i="6" s="1"/>
  <c r="H450" i="6"/>
  <c r="I450" i="6" s="1"/>
  <c r="N450" i="6" s="1"/>
  <c r="H451" i="6"/>
  <c r="G451" i="6"/>
  <c r="G450" i="6"/>
  <c r="G446" i="6"/>
  <c r="G449" i="6"/>
  <c r="G445" i="6"/>
  <c r="G444" i="6"/>
  <c r="A407" i="6"/>
  <c r="A413" i="6"/>
  <c r="A414" i="6"/>
  <c r="T423" i="6"/>
  <c r="T424" i="6"/>
  <c r="A426" i="6"/>
  <c r="P432" i="6"/>
  <c r="S432" i="6" s="1"/>
  <c r="T433" i="6"/>
  <c r="H443" i="6"/>
  <c r="H442" i="6"/>
  <c r="I442" i="6" s="1"/>
  <c r="N442" i="6" s="1"/>
  <c r="H438" i="6"/>
  <c r="I438" i="6" s="1"/>
  <c r="N438" i="6" s="1"/>
  <c r="I437" i="6"/>
  <c r="N437" i="6" s="1"/>
  <c r="H441" i="6"/>
  <c r="I441" i="6" s="1"/>
  <c r="N441" i="6" s="1"/>
  <c r="H437" i="6"/>
  <c r="I443" i="6"/>
  <c r="H440" i="6"/>
  <c r="I440" i="6" s="1"/>
  <c r="N440" i="6" s="1"/>
  <c r="H439" i="6"/>
  <c r="I439" i="6" s="1"/>
  <c r="N439" i="6" s="1"/>
  <c r="G439" i="6"/>
  <c r="G443" i="6"/>
  <c r="G442" i="6"/>
  <c r="G438" i="6"/>
  <c r="G441" i="6"/>
  <c r="G437" i="6"/>
  <c r="T441" i="6"/>
  <c r="Y443" i="6"/>
  <c r="W443" i="6"/>
  <c r="U443" i="6"/>
  <c r="V443" i="6" s="1"/>
  <c r="T443" i="6"/>
  <c r="T448" i="6"/>
  <c r="T449" i="6"/>
  <c r="T450" i="6"/>
  <c r="P451" i="6"/>
  <c r="S451" i="6" s="1"/>
  <c r="T451" i="6" s="1"/>
  <c r="J421" i="6"/>
  <c r="H423" i="6"/>
  <c r="I423" i="6" s="1"/>
  <c r="N423" i="6" s="1"/>
  <c r="G424" i="6"/>
  <c r="I427" i="6"/>
  <c r="N427" i="6" s="1"/>
  <c r="A435" i="6"/>
  <c r="A431" i="6"/>
  <c r="A434" i="6"/>
  <c r="A429" i="6"/>
  <c r="I429" i="6"/>
  <c r="N429" i="6" s="1"/>
  <c r="A430" i="6"/>
  <c r="H430" i="6"/>
  <c r="I430" i="6" s="1"/>
  <c r="N430" i="6" s="1"/>
  <c r="P430" i="6"/>
  <c r="S430" i="6" s="1"/>
  <c r="T430" i="6" s="1"/>
  <c r="H432" i="6"/>
  <c r="I432" i="6" s="1"/>
  <c r="N432" i="6" s="1"/>
  <c r="T435" i="6"/>
  <c r="Y439" i="6"/>
  <c r="P442" i="6"/>
  <c r="S442" i="6" s="1"/>
  <c r="T442" i="6" s="1"/>
  <c r="T445" i="6"/>
  <c r="K421" i="6"/>
  <c r="O421" i="6" s="1"/>
  <c r="J422" i="6"/>
  <c r="K422" i="6" s="1"/>
  <c r="I435" i="6"/>
  <c r="H431" i="6"/>
  <c r="I431" i="6" s="1"/>
  <c r="N431" i="6" s="1"/>
  <c r="H435" i="6"/>
  <c r="H434" i="6"/>
  <c r="I434" i="6" s="1"/>
  <c r="N434" i="6" s="1"/>
  <c r="G432" i="6"/>
  <c r="G431" i="6"/>
  <c r="T431" i="6"/>
  <c r="A432" i="6"/>
  <c r="A433" i="6"/>
  <c r="G435" i="6"/>
  <c r="Y442" i="6"/>
  <c r="W442" i="6"/>
  <c r="T437" i="6"/>
  <c r="T438" i="6"/>
  <c r="W440" i="6"/>
  <c r="U442" i="6"/>
  <c r="V442" i="6" s="1"/>
  <c r="P445" i="6"/>
  <c r="S445" i="6" s="1"/>
  <c r="A441" i="6"/>
  <c r="K445" i="6"/>
  <c r="O445" i="6" s="1"/>
  <c r="J446" i="6"/>
  <c r="K446" i="6" s="1"/>
  <c r="J451" i="6"/>
  <c r="O451" i="6" s="1"/>
  <c r="A437" i="6"/>
  <c r="A438" i="6"/>
  <c r="W350" i="6"/>
  <c r="U350" i="6"/>
  <c r="V350" i="6" s="1"/>
  <c r="Y350" i="6"/>
  <c r="W343" i="6"/>
  <c r="U343" i="6"/>
  <c r="V343" i="6" s="1"/>
  <c r="Y343" i="6"/>
  <c r="T341" i="6"/>
  <c r="G347" i="6"/>
  <c r="G346" i="6"/>
  <c r="G342" i="6"/>
  <c r="G345" i="6"/>
  <c r="H343" i="6"/>
  <c r="I343" i="6" s="1"/>
  <c r="N343" i="6" s="1"/>
  <c r="Y347" i="6"/>
  <c r="W347" i="6"/>
  <c r="T349" i="6"/>
  <c r="U367" i="6"/>
  <c r="V367" i="6" s="1"/>
  <c r="Y367" i="6"/>
  <c r="W367" i="6"/>
  <c r="K347" i="6"/>
  <c r="O347" i="6" s="1"/>
  <c r="J347" i="6"/>
  <c r="J342" i="6"/>
  <c r="K342" i="6" s="1"/>
  <c r="G340" i="6"/>
  <c r="G341" i="6"/>
  <c r="K341" i="6"/>
  <c r="O341" i="6" s="1"/>
  <c r="T344" i="6"/>
  <c r="I347" i="6"/>
  <c r="N347" i="6" s="1"/>
  <c r="Y365" i="6"/>
  <c r="W365" i="6"/>
  <c r="U365" i="6"/>
  <c r="V365" i="6" s="1"/>
  <c r="T367" i="6"/>
  <c r="G344" i="6"/>
  <c r="W354" i="6"/>
  <c r="U354" i="6"/>
  <c r="V354" i="6" s="1"/>
  <c r="P347" i="6"/>
  <c r="S347" i="6" s="1"/>
  <c r="T347" i="6" s="1"/>
  <c r="U347" i="6"/>
  <c r="V347" i="6" s="1"/>
  <c r="P349" i="6"/>
  <c r="S349" i="6" s="1"/>
  <c r="T351" i="6"/>
  <c r="T353" i="6"/>
  <c r="W366" i="6"/>
  <c r="Y366" i="6"/>
  <c r="U366" i="6"/>
  <c r="V366" i="6" s="1"/>
  <c r="H347" i="6"/>
  <c r="H346" i="6"/>
  <c r="I346" i="6" s="1"/>
  <c r="N346" i="6" s="1"/>
  <c r="H345" i="6"/>
  <c r="I345" i="6" s="1"/>
  <c r="N345" i="6" s="1"/>
  <c r="H344" i="6"/>
  <c r="I344" i="6" s="1"/>
  <c r="N344" i="6" s="1"/>
  <c r="H342" i="6"/>
  <c r="I342" i="6" s="1"/>
  <c r="N342" i="6" s="1"/>
  <c r="A346" i="6"/>
  <c r="A345" i="6"/>
  <c r="A344" i="6"/>
  <c r="A341" i="6"/>
  <c r="I341" i="6"/>
  <c r="N341" i="6" s="1"/>
  <c r="U342" i="6"/>
  <c r="V342" i="6" s="1"/>
  <c r="G343" i="6"/>
  <c r="P346" i="6"/>
  <c r="S346" i="6" s="1"/>
  <c r="T346" i="6" s="1"/>
  <c r="A353" i="6"/>
  <c r="A352" i="6"/>
  <c r="A355" i="6"/>
  <c r="A351" i="6"/>
  <c r="A349" i="6"/>
  <c r="T352" i="6"/>
  <c r="N371" i="6"/>
  <c r="J349" i="6"/>
  <c r="H351" i="6"/>
  <c r="I351" i="6" s="1"/>
  <c r="N351" i="6" s="1"/>
  <c r="G352" i="6"/>
  <c r="I355" i="6"/>
  <c r="N355" i="6" s="1"/>
  <c r="A362" i="6"/>
  <c r="A358" i="6"/>
  <c r="A357" i="6"/>
  <c r="A361" i="6"/>
  <c r="T357" i="6"/>
  <c r="J358" i="6"/>
  <c r="K358" i="6" s="1"/>
  <c r="T358" i="6"/>
  <c r="A359" i="6"/>
  <c r="A360" i="6"/>
  <c r="P365" i="6"/>
  <c r="S365" i="6" s="1"/>
  <c r="T365" i="6" s="1"/>
  <c r="P371" i="6"/>
  <c r="S371" i="6" s="1"/>
  <c r="K349" i="6"/>
  <c r="O349" i="6" s="1"/>
  <c r="J350" i="6"/>
  <c r="K350" i="6" s="1"/>
  <c r="H352" i="6"/>
  <c r="I352" i="6" s="1"/>
  <c r="N352" i="6" s="1"/>
  <c r="G353" i="6"/>
  <c r="J355" i="6"/>
  <c r="O355" i="6" s="1"/>
  <c r="H363" i="6"/>
  <c r="N363" i="6" s="1"/>
  <c r="H362" i="6"/>
  <c r="I362" i="6" s="1"/>
  <c r="N362" i="6" s="1"/>
  <c r="H358" i="6"/>
  <c r="I358" i="6" s="1"/>
  <c r="N358" i="6" s="1"/>
  <c r="I357" i="6"/>
  <c r="N357" i="6" s="1"/>
  <c r="H361" i="6"/>
  <c r="I361" i="6" s="1"/>
  <c r="N361" i="6" s="1"/>
  <c r="H357" i="6"/>
  <c r="G359" i="6"/>
  <c r="G363" i="6"/>
  <c r="G362" i="6"/>
  <c r="G358" i="6"/>
  <c r="G357" i="6"/>
  <c r="J363" i="6"/>
  <c r="O363" i="6" s="1"/>
  <c r="A369" i="6"/>
  <c r="A368" i="6"/>
  <c r="T368" i="6"/>
  <c r="A370" i="6"/>
  <c r="A376" i="6"/>
  <c r="A379" i="6"/>
  <c r="A375" i="6"/>
  <c r="A378" i="6"/>
  <c r="A374" i="6"/>
  <c r="A377" i="6"/>
  <c r="A373" i="6"/>
  <c r="J381" i="6"/>
  <c r="K387" i="6"/>
  <c r="J382" i="6"/>
  <c r="K382" i="6" s="1"/>
  <c r="K381" i="6"/>
  <c r="O381" i="6" s="1"/>
  <c r="J387" i="6"/>
  <c r="Y394" i="6"/>
  <c r="W394" i="6"/>
  <c r="T391" i="6"/>
  <c r="U394" i="6"/>
  <c r="V394" i="6" s="1"/>
  <c r="H349" i="6"/>
  <c r="N349" i="6" s="1"/>
  <c r="G350" i="6"/>
  <c r="G354" i="6"/>
  <c r="G356" i="6"/>
  <c r="J357" i="6"/>
  <c r="O357" i="6" s="1"/>
  <c r="G360" i="6"/>
  <c r="T361" i="6"/>
  <c r="T362" i="6"/>
  <c r="A363" i="6"/>
  <c r="P363" i="6"/>
  <c r="S363" i="6" s="1"/>
  <c r="T363" i="6" s="1"/>
  <c r="H371" i="6"/>
  <c r="H370" i="6"/>
  <c r="I370" i="6" s="1"/>
  <c r="N370" i="6" s="1"/>
  <c r="H369" i="6"/>
  <c r="I369" i="6" s="1"/>
  <c r="N369" i="6" s="1"/>
  <c r="H365" i="6"/>
  <c r="H368" i="6"/>
  <c r="I368" i="6" s="1"/>
  <c r="N368" i="6" s="1"/>
  <c r="G371" i="6"/>
  <c r="G370" i="6"/>
  <c r="G366" i="6"/>
  <c r="G369" i="6"/>
  <c r="G365" i="6"/>
  <c r="G364" i="6"/>
  <c r="I365" i="6"/>
  <c r="N365" i="6" s="1"/>
  <c r="H366" i="6"/>
  <c r="I366" i="6" s="1"/>
  <c r="N366" i="6" s="1"/>
  <c r="H367" i="6"/>
  <c r="I367" i="6" s="1"/>
  <c r="N367" i="6" s="1"/>
  <c r="G368" i="6"/>
  <c r="P369" i="6"/>
  <c r="S369" i="6" s="1"/>
  <c r="T369" i="6" s="1"/>
  <c r="A371" i="6"/>
  <c r="T371" i="6"/>
  <c r="K365" i="6"/>
  <c r="O365" i="6" s="1"/>
  <c r="J366" i="6"/>
  <c r="K366" i="6" s="1"/>
  <c r="J371" i="6"/>
  <c r="O371" i="6" s="1"/>
  <c r="H376" i="6"/>
  <c r="I376" i="6" s="1"/>
  <c r="N376" i="6" s="1"/>
  <c r="I379" i="6"/>
  <c r="N379" i="6" s="1"/>
  <c r="H375" i="6"/>
  <c r="I375" i="6" s="1"/>
  <c r="N375" i="6" s="1"/>
  <c r="H379" i="6"/>
  <c r="H378" i="6"/>
  <c r="I378" i="6" s="1"/>
  <c r="N378" i="6" s="1"/>
  <c r="H374" i="6"/>
  <c r="I374" i="6" s="1"/>
  <c r="N374" i="6" s="1"/>
  <c r="G377" i="6"/>
  <c r="G376" i="6"/>
  <c r="G375" i="6"/>
  <c r="G374" i="6"/>
  <c r="T374" i="6"/>
  <c r="T378" i="6"/>
  <c r="G379" i="6"/>
  <c r="P383" i="6"/>
  <c r="S383" i="6" s="1"/>
  <c r="T385" i="6"/>
  <c r="T386" i="6"/>
  <c r="H395" i="6"/>
  <c r="H394" i="6"/>
  <c r="I394" i="6" s="1"/>
  <c r="N394" i="6" s="1"/>
  <c r="H390" i="6"/>
  <c r="I390" i="6" s="1"/>
  <c r="N390" i="6" s="1"/>
  <c r="I389" i="6"/>
  <c r="H393" i="6"/>
  <c r="I393" i="6" s="1"/>
  <c r="N393" i="6" s="1"/>
  <c r="H389" i="6"/>
  <c r="H392" i="6"/>
  <c r="I392" i="6" s="1"/>
  <c r="N392" i="6" s="1"/>
  <c r="G391" i="6"/>
  <c r="G395" i="6"/>
  <c r="G394" i="6"/>
  <c r="G390" i="6"/>
  <c r="G393" i="6"/>
  <c r="G389" i="6"/>
  <c r="G388" i="6"/>
  <c r="H391" i="6"/>
  <c r="I391" i="6" s="1"/>
  <c r="N391" i="6" s="1"/>
  <c r="G392" i="6"/>
  <c r="Y395" i="6"/>
  <c r="W395" i="6"/>
  <c r="J379" i="6"/>
  <c r="J374" i="6"/>
  <c r="K374" i="6" s="1"/>
  <c r="K373" i="6"/>
  <c r="O373" i="6" s="1"/>
  <c r="J373" i="6"/>
  <c r="T375" i="6"/>
  <c r="T376" i="6"/>
  <c r="K379" i="6"/>
  <c r="O379" i="6" s="1"/>
  <c r="T379" i="6"/>
  <c r="U387" i="6"/>
  <c r="V387" i="6" s="1"/>
  <c r="Y387" i="6"/>
  <c r="W387" i="6"/>
  <c r="W384" i="6"/>
  <c r="U384" i="6"/>
  <c r="V384" i="6" s="1"/>
  <c r="Y384" i="6"/>
  <c r="P390" i="6"/>
  <c r="S390" i="6" s="1"/>
  <c r="T390" i="6" s="1"/>
  <c r="T392" i="6"/>
  <c r="T393" i="6"/>
  <c r="T394" i="6"/>
  <c r="I395" i="6"/>
  <c r="T381" i="6"/>
  <c r="T382" i="6"/>
  <c r="T383" i="6"/>
  <c r="W391" i="6"/>
  <c r="U391" i="6"/>
  <c r="V391" i="6" s="1"/>
  <c r="Y391" i="6"/>
  <c r="P395" i="6"/>
  <c r="S395" i="6" s="1"/>
  <c r="T395" i="6" s="1"/>
  <c r="U395" i="6"/>
  <c r="V395" i="6" s="1"/>
  <c r="H381" i="6"/>
  <c r="G382" i="6"/>
  <c r="A385" i="6"/>
  <c r="H385" i="6"/>
  <c r="I385" i="6" s="1"/>
  <c r="N385" i="6" s="1"/>
  <c r="G386" i="6"/>
  <c r="G387" i="6"/>
  <c r="K389" i="6"/>
  <c r="O389" i="6" s="1"/>
  <c r="J390" i="6"/>
  <c r="K390" i="6" s="1"/>
  <c r="A392" i="6"/>
  <c r="J395" i="6"/>
  <c r="O395" i="6" s="1"/>
  <c r="A381" i="6"/>
  <c r="I381" i="6"/>
  <c r="N381" i="6" s="1"/>
  <c r="A382" i="6"/>
  <c r="H382" i="6"/>
  <c r="I382" i="6" s="1"/>
  <c r="N382" i="6" s="1"/>
  <c r="G383" i="6"/>
  <c r="A386" i="6"/>
  <c r="H386" i="6"/>
  <c r="I386" i="6" s="1"/>
  <c r="N386" i="6" s="1"/>
  <c r="H387" i="6"/>
  <c r="N387" i="6" s="1"/>
  <c r="A393" i="6"/>
  <c r="A383" i="6"/>
  <c r="H383" i="6"/>
  <c r="I383" i="6" s="1"/>
  <c r="N383" i="6" s="1"/>
  <c r="A389" i="6"/>
  <c r="A390" i="6"/>
  <c r="T286" i="6"/>
  <c r="Y294" i="6"/>
  <c r="W294" i="6"/>
  <c r="U291" i="6"/>
  <c r="V291" i="6" s="1"/>
  <c r="Y291" i="6"/>
  <c r="W291" i="6"/>
  <c r="P287" i="6"/>
  <c r="S287" i="6" s="1"/>
  <c r="W288" i="6"/>
  <c r="U288" i="6"/>
  <c r="V288" i="6" s="1"/>
  <c r="T289" i="6"/>
  <c r="I299" i="6"/>
  <c r="H298" i="6"/>
  <c r="I298" i="6" s="1"/>
  <c r="N298" i="6" s="1"/>
  <c r="H294" i="6"/>
  <c r="I294" i="6" s="1"/>
  <c r="N294" i="6" s="1"/>
  <c r="I293" i="6"/>
  <c r="H299" i="6"/>
  <c r="H297" i="6"/>
  <c r="I297" i="6" s="1"/>
  <c r="N297" i="6" s="1"/>
  <c r="H293" i="6"/>
  <c r="H296" i="6"/>
  <c r="I296" i="6" s="1"/>
  <c r="N296" i="6" s="1"/>
  <c r="G299" i="6"/>
  <c r="G298" i="6"/>
  <c r="G295" i="6"/>
  <c r="G294" i="6"/>
  <c r="G297" i="6"/>
  <c r="G293" i="6"/>
  <c r="G292" i="6"/>
  <c r="T293" i="6"/>
  <c r="U294" i="6"/>
  <c r="V294" i="6" s="1"/>
  <c r="G296" i="6"/>
  <c r="T290" i="6"/>
  <c r="T291" i="6"/>
  <c r="W295" i="6"/>
  <c r="U295" i="6"/>
  <c r="V295" i="6" s="1"/>
  <c r="J285" i="6"/>
  <c r="K291" i="6"/>
  <c r="O291" i="6" s="1"/>
  <c r="K285" i="6"/>
  <c r="O285" i="6" s="1"/>
  <c r="T285" i="6"/>
  <c r="J286" i="6"/>
  <c r="K286" i="6" s="1"/>
  <c r="T287" i="6"/>
  <c r="Y295" i="6"/>
  <c r="T312" i="6"/>
  <c r="H285" i="6"/>
  <c r="N285" i="6" s="1"/>
  <c r="G286" i="6"/>
  <c r="A289" i="6"/>
  <c r="H289" i="6"/>
  <c r="I289" i="6" s="1"/>
  <c r="N289" i="6" s="1"/>
  <c r="G290" i="6"/>
  <c r="G291" i="6"/>
  <c r="O299" i="6"/>
  <c r="K293" i="6"/>
  <c r="O293" i="6" s="1"/>
  <c r="J294" i="6"/>
  <c r="K294" i="6" s="1"/>
  <c r="A296" i="6"/>
  <c r="U298" i="6"/>
  <c r="V298" i="6" s="1"/>
  <c r="W303" i="6"/>
  <c r="U303" i="6"/>
  <c r="V303" i="6" s="1"/>
  <c r="Y303" i="6"/>
  <c r="Y307" i="6"/>
  <c r="W307" i="6"/>
  <c r="A313" i="6"/>
  <c r="A312" i="6"/>
  <c r="A315" i="6"/>
  <c r="A311" i="6"/>
  <c r="A309" i="6"/>
  <c r="P309" i="6"/>
  <c r="S309" i="6" s="1"/>
  <c r="A310" i="6"/>
  <c r="U299" i="6"/>
  <c r="V299" i="6" s="1"/>
  <c r="W299" i="6"/>
  <c r="A285" i="6"/>
  <c r="A286" i="6"/>
  <c r="H286" i="6"/>
  <c r="I286" i="6" s="1"/>
  <c r="N286" i="6" s="1"/>
  <c r="G287" i="6"/>
  <c r="A290" i="6"/>
  <c r="H290" i="6"/>
  <c r="I290" i="6" s="1"/>
  <c r="N290" i="6" s="1"/>
  <c r="H291" i="6"/>
  <c r="N291" i="6" s="1"/>
  <c r="A297" i="6"/>
  <c r="T297" i="6"/>
  <c r="Y306" i="6"/>
  <c r="W306" i="6"/>
  <c r="H301" i="6"/>
  <c r="P302" i="6"/>
  <c r="S302" i="6" s="1"/>
  <c r="T302" i="6" s="1"/>
  <c r="T306" i="6"/>
  <c r="T307" i="6"/>
  <c r="T311" i="6"/>
  <c r="I312" i="6"/>
  <c r="N312" i="6" s="1"/>
  <c r="P313" i="6"/>
  <c r="S313" i="6" s="1"/>
  <c r="T313" i="6" s="1"/>
  <c r="A314" i="6"/>
  <c r="J325" i="6"/>
  <c r="K331" i="6"/>
  <c r="O331" i="6" s="1"/>
  <c r="J326" i="6"/>
  <c r="K326" i="6" s="1"/>
  <c r="K325" i="6"/>
  <c r="O325" i="6" s="1"/>
  <c r="J331" i="6"/>
  <c r="Y338" i="6"/>
  <c r="W338" i="6"/>
  <c r="T335" i="6"/>
  <c r="U338" i="6"/>
  <c r="V338" i="6" s="1"/>
  <c r="A287" i="6"/>
  <c r="H287" i="6"/>
  <c r="I287" i="6" s="1"/>
  <c r="N287" i="6" s="1"/>
  <c r="A293" i="6"/>
  <c r="Y298" i="6"/>
  <c r="H307" i="6"/>
  <c r="N307" i="6" s="1"/>
  <c r="H306" i="6"/>
  <c r="I306" i="6" s="1"/>
  <c r="N306" i="6" s="1"/>
  <c r="H302" i="6"/>
  <c r="I302" i="6" s="1"/>
  <c r="N302" i="6" s="1"/>
  <c r="I301" i="6"/>
  <c r="N301" i="6" s="1"/>
  <c r="H305" i="6"/>
  <c r="I305" i="6" s="1"/>
  <c r="N305" i="6" s="1"/>
  <c r="H304" i="6"/>
  <c r="I304" i="6" s="1"/>
  <c r="N304" i="6" s="1"/>
  <c r="G303" i="6"/>
  <c r="G307" i="6"/>
  <c r="G306" i="6"/>
  <c r="G305" i="6"/>
  <c r="G301" i="6"/>
  <c r="G300" i="6"/>
  <c r="G302" i="6"/>
  <c r="H303" i="6"/>
  <c r="I303" i="6" s="1"/>
  <c r="N303" i="6" s="1"/>
  <c r="P304" i="6"/>
  <c r="S304" i="6" s="1"/>
  <c r="T304" i="6" s="1"/>
  <c r="T305" i="6"/>
  <c r="O307" i="6"/>
  <c r="T309" i="6"/>
  <c r="T317" i="6"/>
  <c r="K301" i="6"/>
  <c r="O301" i="6" s="1"/>
  <c r="J302" i="6"/>
  <c r="K302" i="6" s="1"/>
  <c r="A304" i="6"/>
  <c r="J309" i="6"/>
  <c r="H311" i="6"/>
  <c r="I311" i="6" s="1"/>
  <c r="N311" i="6" s="1"/>
  <c r="G312" i="6"/>
  <c r="I315" i="6"/>
  <c r="N315" i="6" s="1"/>
  <c r="A320" i="6"/>
  <c r="A323" i="6"/>
  <c r="A319" i="6"/>
  <c r="A322" i="6"/>
  <c r="A318" i="6"/>
  <c r="A317" i="6"/>
  <c r="G318" i="6"/>
  <c r="A321" i="6"/>
  <c r="T322" i="6"/>
  <c r="P327" i="6"/>
  <c r="S327" i="6" s="1"/>
  <c r="T329" i="6"/>
  <c r="T330" i="6"/>
  <c r="T331" i="6"/>
  <c r="H339" i="6"/>
  <c r="H338" i="6"/>
  <c r="I338" i="6" s="1"/>
  <c r="N338" i="6" s="1"/>
  <c r="H334" i="6"/>
  <c r="I334" i="6" s="1"/>
  <c r="N334" i="6" s="1"/>
  <c r="I333" i="6"/>
  <c r="N333" i="6" s="1"/>
  <c r="H337" i="6"/>
  <c r="I337" i="6" s="1"/>
  <c r="N337" i="6" s="1"/>
  <c r="H333" i="6"/>
  <c r="H336" i="6"/>
  <c r="I336" i="6" s="1"/>
  <c r="N336" i="6" s="1"/>
  <c r="G335" i="6"/>
  <c r="G339" i="6"/>
  <c r="G338" i="6"/>
  <c r="G334" i="6"/>
  <c r="G337" i="6"/>
  <c r="G333" i="6"/>
  <c r="G332" i="6"/>
  <c r="H335" i="6"/>
  <c r="I335" i="6" s="1"/>
  <c r="N335" i="6" s="1"/>
  <c r="G336" i="6"/>
  <c r="T336" i="6"/>
  <c r="Y339" i="6"/>
  <c r="W339" i="6"/>
  <c r="A305" i="6"/>
  <c r="K309" i="6"/>
  <c r="J310" i="6"/>
  <c r="K310" i="6" s="1"/>
  <c r="J315" i="6"/>
  <c r="O315" i="6" s="1"/>
  <c r="H320" i="6"/>
  <c r="I320" i="6" s="1"/>
  <c r="N320" i="6" s="1"/>
  <c r="I323" i="6"/>
  <c r="H319" i="6"/>
  <c r="I319" i="6" s="1"/>
  <c r="N319" i="6" s="1"/>
  <c r="H323" i="6"/>
  <c r="H322" i="6"/>
  <c r="I322" i="6" s="1"/>
  <c r="N322" i="6" s="1"/>
  <c r="H318" i="6"/>
  <c r="I318" i="6" s="1"/>
  <c r="N318" i="6" s="1"/>
  <c r="G321" i="6"/>
  <c r="G320" i="6"/>
  <c r="G319" i="6"/>
  <c r="T318" i="6"/>
  <c r="T320" i="6"/>
  <c r="T323" i="6"/>
  <c r="U331" i="6"/>
  <c r="V331" i="6" s="1"/>
  <c r="Y331" i="6"/>
  <c r="W331" i="6"/>
  <c r="W328" i="6"/>
  <c r="U328" i="6"/>
  <c r="V328" i="6" s="1"/>
  <c r="Y328" i="6"/>
  <c r="P334" i="6"/>
  <c r="S334" i="6" s="1"/>
  <c r="T334" i="6" s="1"/>
  <c r="T337" i="6"/>
  <c r="T338" i="6"/>
  <c r="I339" i="6"/>
  <c r="N339" i="6" s="1"/>
  <c r="A301" i="6"/>
  <c r="A302" i="6"/>
  <c r="G314" i="6"/>
  <c r="J323" i="6"/>
  <c r="O323" i="6" s="1"/>
  <c r="J318" i="6"/>
  <c r="K318" i="6" s="1"/>
  <c r="G316" i="6"/>
  <c r="G317" i="6"/>
  <c r="K317" i="6"/>
  <c r="O317" i="6" s="1"/>
  <c r="T319" i="6"/>
  <c r="H321" i="6"/>
  <c r="I321" i="6" s="1"/>
  <c r="N321" i="6" s="1"/>
  <c r="T325" i="6"/>
  <c r="T326" i="6"/>
  <c r="T327" i="6"/>
  <c r="W335" i="6"/>
  <c r="U335" i="6"/>
  <c r="V335" i="6" s="1"/>
  <c r="Y335" i="6"/>
  <c r="P339" i="6"/>
  <c r="S339" i="6" s="1"/>
  <c r="T339" i="6" s="1"/>
  <c r="U339" i="6"/>
  <c r="V339" i="6" s="1"/>
  <c r="H325" i="6"/>
  <c r="G326" i="6"/>
  <c r="A329" i="6"/>
  <c r="H329" i="6"/>
  <c r="I329" i="6" s="1"/>
  <c r="N329" i="6" s="1"/>
  <c r="G330" i="6"/>
  <c r="G331" i="6"/>
  <c r="K333" i="6"/>
  <c r="O333" i="6" s="1"/>
  <c r="J334" i="6"/>
  <c r="K334" i="6" s="1"/>
  <c r="A336" i="6"/>
  <c r="J339" i="6"/>
  <c r="O339" i="6" s="1"/>
  <c r="A325" i="6"/>
  <c r="I325" i="6"/>
  <c r="N325" i="6" s="1"/>
  <c r="A326" i="6"/>
  <c r="H326" i="6"/>
  <c r="I326" i="6" s="1"/>
  <c r="N326" i="6" s="1"/>
  <c r="G327" i="6"/>
  <c r="A330" i="6"/>
  <c r="H330" i="6"/>
  <c r="I330" i="6" s="1"/>
  <c r="N330" i="6" s="1"/>
  <c r="H331" i="6"/>
  <c r="N331" i="6" s="1"/>
  <c r="A337" i="6"/>
  <c r="A327" i="6"/>
  <c r="H327" i="6"/>
  <c r="I327" i="6" s="1"/>
  <c r="N327" i="6" s="1"/>
  <c r="A333" i="6"/>
  <c r="A334" i="6"/>
  <c r="J247" i="6"/>
  <c r="K247" i="6" s="1"/>
  <c r="O246" i="6"/>
  <c r="H240" i="6"/>
  <c r="I240" i="6" s="1"/>
  <c r="N240" i="6" s="1"/>
  <c r="I243" i="6"/>
  <c r="N243" i="6" s="1"/>
  <c r="H243" i="6"/>
  <c r="H242" i="6"/>
  <c r="I242" i="6" s="1"/>
  <c r="N242" i="6" s="1"/>
  <c r="H238" i="6"/>
  <c r="I238" i="6" s="1"/>
  <c r="N238" i="6" s="1"/>
  <c r="I237" i="6"/>
  <c r="G241" i="6"/>
  <c r="G237" i="6"/>
  <c r="G236" i="6"/>
  <c r="G240" i="6"/>
  <c r="G239" i="6"/>
  <c r="H239" i="6"/>
  <c r="I239" i="6" s="1"/>
  <c r="N239" i="6" s="1"/>
  <c r="T240" i="6"/>
  <c r="W248" i="6"/>
  <c r="Y248" i="6"/>
  <c r="U248" i="6"/>
  <c r="V248" i="6" s="1"/>
  <c r="U250" i="6"/>
  <c r="V250" i="6" s="1"/>
  <c r="Y250" i="6"/>
  <c r="W250" i="6"/>
  <c r="A233" i="6"/>
  <c r="A235" i="6"/>
  <c r="A229" i="6"/>
  <c r="T229" i="6"/>
  <c r="A232" i="6"/>
  <c r="J235" i="6"/>
  <c r="G242" i="6"/>
  <c r="W249" i="6"/>
  <c r="Y249" i="6"/>
  <c r="U249" i="6"/>
  <c r="V249" i="6" s="1"/>
  <c r="U259" i="6"/>
  <c r="V259" i="6" s="1"/>
  <c r="Y259" i="6"/>
  <c r="G238" i="6"/>
  <c r="H241" i="6"/>
  <c r="I241" i="6" s="1"/>
  <c r="N241" i="6" s="1"/>
  <c r="H233" i="6"/>
  <c r="I233" i="6" s="1"/>
  <c r="N233" i="6" s="1"/>
  <c r="I235" i="6"/>
  <c r="N235" i="6" s="1"/>
  <c r="G235" i="6"/>
  <c r="G234" i="6"/>
  <c r="G230" i="6"/>
  <c r="G232" i="6"/>
  <c r="J229" i="6"/>
  <c r="H230" i="6"/>
  <c r="I230" i="6" s="1"/>
  <c r="N230" i="6" s="1"/>
  <c r="Y230" i="6"/>
  <c r="G231" i="6"/>
  <c r="P231" i="6"/>
  <c r="S231" i="6" s="1"/>
  <c r="T231" i="6" s="1"/>
  <c r="A234" i="6"/>
  <c r="A239" i="6"/>
  <c r="P240" i="6"/>
  <c r="S240" i="6" s="1"/>
  <c r="W241" i="6"/>
  <c r="U241" i="6"/>
  <c r="V241" i="6" s="1"/>
  <c r="T242" i="6"/>
  <c r="J251" i="6"/>
  <c r="J245" i="6"/>
  <c r="K251" i="6"/>
  <c r="T246" i="6"/>
  <c r="T247" i="6"/>
  <c r="J231" i="6"/>
  <c r="K231" i="6" s="1"/>
  <c r="O230" i="6"/>
  <c r="O235" i="6"/>
  <c r="K229" i="6"/>
  <c r="U231" i="6"/>
  <c r="V231" i="6" s="1"/>
  <c r="H232" i="6"/>
  <c r="I232" i="6" s="1"/>
  <c r="N232" i="6" s="1"/>
  <c r="P233" i="6"/>
  <c r="S233" i="6" s="1"/>
  <c r="T233" i="6" s="1"/>
  <c r="Y240" i="6"/>
  <c r="W240" i="6"/>
  <c r="H237" i="6"/>
  <c r="P238" i="6"/>
  <c r="S238" i="6" s="1"/>
  <c r="T238" i="6" s="1"/>
  <c r="Y241" i="6"/>
  <c r="G243" i="6"/>
  <c r="K245" i="6"/>
  <c r="O245" i="6" s="1"/>
  <c r="T245" i="6"/>
  <c r="A237" i="6"/>
  <c r="A238" i="6"/>
  <c r="A242" i="6"/>
  <c r="Y243" i="6"/>
  <c r="R254" i="6"/>
  <c r="A255" i="6"/>
  <c r="P256" i="6"/>
  <c r="S256" i="6" s="1"/>
  <c r="T256" i="6" s="1"/>
  <c r="W257" i="6"/>
  <c r="U257" i="6"/>
  <c r="V257" i="6" s="1"/>
  <c r="Y257" i="6"/>
  <c r="T259" i="6"/>
  <c r="T263" i="6"/>
  <c r="P265" i="6"/>
  <c r="S265" i="6" s="1"/>
  <c r="A245" i="6"/>
  <c r="A246" i="6"/>
  <c r="W251" i="6"/>
  <c r="J259" i="6"/>
  <c r="O259" i="6" s="1"/>
  <c r="J254" i="6"/>
  <c r="K254" i="6" s="1"/>
  <c r="K253" i="6"/>
  <c r="O253" i="6" s="1"/>
  <c r="J253" i="6"/>
  <c r="T254" i="6"/>
  <c r="T266" i="6"/>
  <c r="O269" i="6"/>
  <c r="R280" i="6"/>
  <c r="A281" i="6"/>
  <c r="K237" i="6"/>
  <c r="O237" i="6" s="1"/>
  <c r="J238" i="6"/>
  <c r="K238" i="6" s="1"/>
  <c r="N251" i="6"/>
  <c r="A247" i="6"/>
  <c r="H247" i="6"/>
  <c r="I247" i="6" s="1"/>
  <c r="N247" i="6" s="1"/>
  <c r="H248" i="6"/>
  <c r="I248" i="6" s="1"/>
  <c r="N248" i="6" s="1"/>
  <c r="G249" i="6"/>
  <c r="H250" i="6"/>
  <c r="I250" i="6" s="1"/>
  <c r="N250" i="6" s="1"/>
  <c r="G251" i="6"/>
  <c r="Y251" i="6"/>
  <c r="J267" i="6"/>
  <c r="J262" i="6"/>
  <c r="K262" i="6" s="1"/>
  <c r="K261" i="6"/>
  <c r="O261" i="6" s="1"/>
  <c r="K267" i="6"/>
  <c r="O267" i="6" s="1"/>
  <c r="J261" i="6"/>
  <c r="R262" i="6"/>
  <c r="T262" i="6" s="1"/>
  <c r="A263" i="6"/>
  <c r="T265" i="6"/>
  <c r="W272" i="6"/>
  <c r="U272" i="6"/>
  <c r="V272" i="6" s="1"/>
  <c r="Y272" i="6"/>
  <c r="A253" i="6"/>
  <c r="I253" i="6"/>
  <c r="N253" i="6" s="1"/>
  <c r="A254" i="6"/>
  <c r="H254" i="6"/>
  <c r="I254" i="6" s="1"/>
  <c r="N254" i="6" s="1"/>
  <c r="G255" i="6"/>
  <c r="A258" i="6"/>
  <c r="H258" i="6"/>
  <c r="I258" i="6" s="1"/>
  <c r="N258" i="6" s="1"/>
  <c r="H259" i="6"/>
  <c r="H261" i="6"/>
  <c r="G262" i="6"/>
  <c r="G263" i="6"/>
  <c r="A265" i="6"/>
  <c r="A266" i="6"/>
  <c r="H266" i="6"/>
  <c r="I266" i="6" s="1"/>
  <c r="N266" i="6" s="1"/>
  <c r="H267" i="6"/>
  <c r="J269" i="6"/>
  <c r="K275" i="6"/>
  <c r="O275" i="6" s="1"/>
  <c r="T278" i="6"/>
  <c r="A279" i="6"/>
  <c r="H281" i="6"/>
  <c r="I281" i="6" s="1"/>
  <c r="N281" i="6" s="1"/>
  <c r="Y283" i="6"/>
  <c r="W283" i="6"/>
  <c r="H255" i="6"/>
  <c r="I255" i="6" s="1"/>
  <c r="N255" i="6" s="1"/>
  <c r="G256" i="6"/>
  <c r="W256" i="6"/>
  <c r="I259" i="6"/>
  <c r="N259" i="6" s="1"/>
  <c r="A261" i="6"/>
  <c r="I261" i="6"/>
  <c r="N261" i="6" s="1"/>
  <c r="A262" i="6"/>
  <c r="H262" i="6"/>
  <c r="I262" i="6" s="1"/>
  <c r="N262" i="6" s="1"/>
  <c r="H263" i="6"/>
  <c r="I263" i="6" s="1"/>
  <c r="N263" i="6" s="1"/>
  <c r="U264" i="6"/>
  <c r="V264" i="6" s="1"/>
  <c r="I267" i="6"/>
  <c r="N267" i="6" s="1"/>
  <c r="I270" i="6"/>
  <c r="N270" i="6" s="1"/>
  <c r="P271" i="6"/>
  <c r="S271" i="6" s="1"/>
  <c r="T271" i="6" s="1"/>
  <c r="I274" i="6"/>
  <c r="N274" i="6" s="1"/>
  <c r="Y282" i="6"/>
  <c r="W282" i="6"/>
  <c r="H277" i="6"/>
  <c r="P278" i="6"/>
  <c r="S278" i="6" s="1"/>
  <c r="T282" i="6"/>
  <c r="G264" i="6"/>
  <c r="P264" i="6"/>
  <c r="S264" i="6" s="1"/>
  <c r="T264" i="6"/>
  <c r="A267" i="6"/>
  <c r="A275" i="6"/>
  <c r="A271" i="6"/>
  <c r="A273" i="6"/>
  <c r="A269" i="6"/>
  <c r="T269" i="6"/>
  <c r="A270" i="6"/>
  <c r="J271" i="6"/>
  <c r="K271" i="6" s="1"/>
  <c r="O270" i="6"/>
  <c r="T273" i="6"/>
  <c r="A274" i="6"/>
  <c r="H283" i="6"/>
  <c r="N283" i="6" s="1"/>
  <c r="H282" i="6"/>
  <c r="I282" i="6" s="1"/>
  <c r="N282" i="6" s="1"/>
  <c r="H278" i="6"/>
  <c r="I278" i="6" s="1"/>
  <c r="N278" i="6" s="1"/>
  <c r="I277" i="6"/>
  <c r="N277" i="6" s="1"/>
  <c r="H280" i="6"/>
  <c r="I280" i="6" s="1"/>
  <c r="N280" i="6" s="1"/>
  <c r="G279" i="6"/>
  <c r="G283" i="6"/>
  <c r="G282" i="6"/>
  <c r="G281" i="6"/>
  <c r="G277" i="6"/>
  <c r="G276" i="6"/>
  <c r="G278" i="6"/>
  <c r="H279" i="6"/>
  <c r="I279" i="6" s="1"/>
  <c r="N279" i="6" s="1"/>
  <c r="T280" i="6"/>
  <c r="T281" i="6"/>
  <c r="P283" i="6"/>
  <c r="S283" i="6" s="1"/>
  <c r="T283" i="6" s="1"/>
  <c r="K277" i="6"/>
  <c r="O277" i="6" s="1"/>
  <c r="J278" i="6"/>
  <c r="K278" i="6" s="1"/>
  <c r="J283" i="6"/>
  <c r="O283" i="6" s="1"/>
  <c r="H271" i="6"/>
  <c r="I271" i="6" s="1"/>
  <c r="N271" i="6" s="1"/>
  <c r="A277" i="6"/>
  <c r="A278" i="6"/>
  <c r="U179" i="6"/>
  <c r="V179" i="6" s="1"/>
  <c r="Y179" i="6"/>
  <c r="W179" i="6"/>
  <c r="P175" i="6"/>
  <c r="S175" i="6" s="1"/>
  <c r="T177" i="6"/>
  <c r="Y186" i="6"/>
  <c r="W186" i="6"/>
  <c r="T181" i="6"/>
  <c r="P186" i="6"/>
  <c r="S186" i="6" s="1"/>
  <c r="U186" i="6"/>
  <c r="V186" i="6" s="1"/>
  <c r="T173" i="6"/>
  <c r="W176" i="6"/>
  <c r="U176" i="6"/>
  <c r="V176" i="6" s="1"/>
  <c r="H187" i="6"/>
  <c r="H186" i="6"/>
  <c r="I186" i="6" s="1"/>
  <c r="N186" i="6" s="1"/>
  <c r="H182" i="6"/>
  <c r="I182" i="6" s="1"/>
  <c r="N182" i="6" s="1"/>
  <c r="I181" i="6"/>
  <c r="N181" i="6" s="1"/>
  <c r="H185" i="6"/>
  <c r="I185" i="6" s="1"/>
  <c r="N185" i="6" s="1"/>
  <c r="H181" i="6"/>
  <c r="H184" i="6"/>
  <c r="I184" i="6" s="1"/>
  <c r="N184" i="6" s="1"/>
  <c r="G183" i="6"/>
  <c r="G187" i="6"/>
  <c r="G186" i="6"/>
  <c r="G182" i="6"/>
  <c r="G185" i="6"/>
  <c r="G181" i="6"/>
  <c r="G180" i="6"/>
  <c r="H183" i="6"/>
  <c r="I183" i="6" s="1"/>
  <c r="N183" i="6" s="1"/>
  <c r="G184" i="6"/>
  <c r="T184" i="6"/>
  <c r="Y187" i="6"/>
  <c r="U187" i="6"/>
  <c r="V187" i="6" s="1"/>
  <c r="W187" i="6"/>
  <c r="T187" i="6"/>
  <c r="T174" i="6"/>
  <c r="W183" i="6"/>
  <c r="U183" i="6"/>
  <c r="V183" i="6" s="1"/>
  <c r="Y183" i="6"/>
  <c r="J173" i="6"/>
  <c r="K179" i="6"/>
  <c r="O179" i="6" s="1"/>
  <c r="K173" i="6"/>
  <c r="O173" i="6" s="1"/>
  <c r="J174" i="6"/>
  <c r="K174" i="6" s="1"/>
  <c r="T175" i="6"/>
  <c r="Y176" i="6"/>
  <c r="P182" i="6"/>
  <c r="S182" i="6" s="1"/>
  <c r="T182" i="6" s="1"/>
  <c r="T185" i="6"/>
  <c r="T186" i="6"/>
  <c r="I187" i="6"/>
  <c r="A194" i="6"/>
  <c r="A190" i="6"/>
  <c r="A193" i="6"/>
  <c r="A192" i="6"/>
  <c r="A191" i="6"/>
  <c r="G174" i="6"/>
  <c r="A177" i="6"/>
  <c r="H177" i="6"/>
  <c r="I177" i="6" s="1"/>
  <c r="N177" i="6" s="1"/>
  <c r="G178" i="6"/>
  <c r="G179" i="6"/>
  <c r="K181" i="6"/>
  <c r="O181" i="6" s="1"/>
  <c r="J182" i="6"/>
  <c r="K182" i="6" s="1"/>
  <c r="A184" i="6"/>
  <c r="J187" i="6"/>
  <c r="O187" i="6" s="1"/>
  <c r="H195" i="6"/>
  <c r="H194" i="6"/>
  <c r="I194" i="6" s="1"/>
  <c r="N194" i="6" s="1"/>
  <c r="H190" i="6"/>
  <c r="I190" i="6" s="1"/>
  <c r="N190" i="6" s="1"/>
  <c r="H193" i="6"/>
  <c r="I193" i="6" s="1"/>
  <c r="N193" i="6" s="1"/>
  <c r="H192" i="6"/>
  <c r="I192" i="6" s="1"/>
  <c r="N192" i="6" s="1"/>
  <c r="G191" i="6"/>
  <c r="G195" i="6"/>
  <c r="G194" i="6"/>
  <c r="G190" i="6"/>
  <c r="G193" i="6"/>
  <c r="G189" i="6"/>
  <c r="J213" i="6"/>
  <c r="K219" i="6"/>
  <c r="O219" i="6" s="1"/>
  <c r="J219" i="6"/>
  <c r="K213" i="6"/>
  <c r="O213" i="6" s="1"/>
  <c r="T192" i="6"/>
  <c r="N195" i="6"/>
  <c r="W202" i="6"/>
  <c r="U202" i="6"/>
  <c r="V202" i="6" s="1"/>
  <c r="A173" i="6"/>
  <c r="I173" i="6"/>
  <c r="N173" i="6" s="1"/>
  <c r="A174" i="6"/>
  <c r="H174" i="6"/>
  <c r="I174" i="6" s="1"/>
  <c r="N174" i="6" s="1"/>
  <c r="G175" i="6"/>
  <c r="A178" i="6"/>
  <c r="H178" i="6"/>
  <c r="I178" i="6" s="1"/>
  <c r="N178" i="6" s="1"/>
  <c r="H179" i="6"/>
  <c r="N179" i="6" s="1"/>
  <c r="A185" i="6"/>
  <c r="K195" i="6"/>
  <c r="J195" i="6"/>
  <c r="J190" i="6"/>
  <c r="K190" i="6" s="1"/>
  <c r="K189" i="6"/>
  <c r="O189" i="6" s="1"/>
  <c r="G188" i="6"/>
  <c r="H189" i="6"/>
  <c r="T190" i="6"/>
  <c r="H191" i="6"/>
  <c r="I191" i="6" s="1"/>
  <c r="N191" i="6" s="1"/>
  <c r="P194" i="6"/>
  <c r="S194" i="6" s="1"/>
  <c r="T194" i="6" s="1"/>
  <c r="A201" i="6"/>
  <c r="A200" i="6"/>
  <c r="A203" i="6"/>
  <c r="A199" i="6"/>
  <c r="A197" i="6"/>
  <c r="P197" i="6"/>
  <c r="S197" i="6" s="1"/>
  <c r="T197" i="6" s="1"/>
  <c r="A198" i="6"/>
  <c r="T199" i="6"/>
  <c r="T201" i="6"/>
  <c r="J215" i="6"/>
  <c r="K215" i="6" s="1"/>
  <c r="O214" i="6"/>
  <c r="A189" i="6"/>
  <c r="Y226" i="6"/>
  <c r="W226" i="6"/>
  <c r="A175" i="6"/>
  <c r="H175" i="6"/>
  <c r="I175" i="6" s="1"/>
  <c r="N175" i="6" s="1"/>
  <c r="A181" i="6"/>
  <c r="A182" i="6"/>
  <c r="I189" i="6"/>
  <c r="G192" i="6"/>
  <c r="A195" i="6"/>
  <c r="T195" i="6"/>
  <c r="T200" i="6"/>
  <c r="U207" i="6"/>
  <c r="V207" i="6" s="1"/>
  <c r="W207" i="6"/>
  <c r="J197" i="6"/>
  <c r="H199" i="6"/>
  <c r="I199" i="6" s="1"/>
  <c r="N199" i="6" s="1"/>
  <c r="G200" i="6"/>
  <c r="I203" i="6"/>
  <c r="N203" i="6" s="1"/>
  <c r="A208" i="6"/>
  <c r="A211" i="6"/>
  <c r="A210" i="6"/>
  <c r="A205" i="6"/>
  <c r="I205" i="6"/>
  <c r="N205" i="6" s="1"/>
  <c r="A206" i="6"/>
  <c r="P206" i="6"/>
  <c r="S206" i="6" s="1"/>
  <c r="T206" i="6" s="1"/>
  <c r="P208" i="6"/>
  <c r="S208" i="6" s="1"/>
  <c r="A209" i="6"/>
  <c r="T210" i="6"/>
  <c r="T217" i="6"/>
  <c r="T218" i="6"/>
  <c r="T219" i="6"/>
  <c r="H227" i="6"/>
  <c r="H226" i="6"/>
  <c r="I226" i="6" s="1"/>
  <c r="N226" i="6" s="1"/>
  <c r="H222" i="6"/>
  <c r="I222" i="6" s="1"/>
  <c r="N222" i="6" s="1"/>
  <c r="I221" i="6"/>
  <c r="H225" i="6"/>
  <c r="I225" i="6" s="1"/>
  <c r="N225" i="6" s="1"/>
  <c r="H221" i="6"/>
  <c r="H224" i="6"/>
  <c r="I224" i="6" s="1"/>
  <c r="N224" i="6" s="1"/>
  <c r="G223" i="6"/>
  <c r="G227" i="6"/>
  <c r="G226" i="6"/>
  <c r="G222" i="6"/>
  <c r="G225" i="6"/>
  <c r="G221" i="6"/>
  <c r="G220" i="6"/>
  <c r="T221" i="6"/>
  <c r="G224" i="6"/>
  <c r="Y227" i="6"/>
  <c r="W227" i="6"/>
  <c r="K197" i="6"/>
  <c r="O197" i="6" s="1"/>
  <c r="J198" i="6"/>
  <c r="K198" i="6" s="1"/>
  <c r="H200" i="6"/>
  <c r="I200" i="6" s="1"/>
  <c r="N200" i="6" s="1"/>
  <c r="G201" i="6"/>
  <c r="J203" i="6"/>
  <c r="O203" i="6" s="1"/>
  <c r="H208" i="6"/>
  <c r="I208" i="6" s="1"/>
  <c r="N208" i="6" s="1"/>
  <c r="I211" i="6"/>
  <c r="N211" i="6" s="1"/>
  <c r="H211" i="6"/>
  <c r="H210" i="6"/>
  <c r="I210" i="6" s="1"/>
  <c r="N210" i="6" s="1"/>
  <c r="G209" i="6"/>
  <c r="G207" i="6"/>
  <c r="J205" i="6"/>
  <c r="H207" i="6"/>
  <c r="I207" i="6" s="1"/>
  <c r="N207" i="6" s="1"/>
  <c r="K211" i="6"/>
  <c r="O211" i="6" s="1"/>
  <c r="T211" i="6"/>
  <c r="U219" i="6"/>
  <c r="V219" i="6" s="1"/>
  <c r="Y219" i="6"/>
  <c r="W219" i="6"/>
  <c r="P215" i="6"/>
  <c r="S215" i="6" s="1"/>
  <c r="T215" i="6" s="1"/>
  <c r="W216" i="6"/>
  <c r="U216" i="6"/>
  <c r="V216" i="6" s="1"/>
  <c r="Y216" i="6"/>
  <c r="P222" i="6"/>
  <c r="S222" i="6" s="1"/>
  <c r="T222" i="6" s="1"/>
  <c r="W223" i="6"/>
  <c r="U223" i="6"/>
  <c r="V223" i="6" s="1"/>
  <c r="T224" i="6"/>
  <c r="T225" i="6"/>
  <c r="T226" i="6"/>
  <c r="I227" i="6"/>
  <c r="N227" i="6" s="1"/>
  <c r="G198" i="6"/>
  <c r="G202" i="6"/>
  <c r="G204" i="6"/>
  <c r="G205" i="6"/>
  <c r="K205" i="6"/>
  <c r="O205" i="6" s="1"/>
  <c r="J206" i="6"/>
  <c r="K206" i="6" s="1"/>
  <c r="G208" i="6"/>
  <c r="T208" i="6"/>
  <c r="H209" i="6"/>
  <c r="I209" i="6" s="1"/>
  <c r="N209" i="6" s="1"/>
  <c r="P227" i="6"/>
  <c r="S227" i="6" s="1"/>
  <c r="T227" i="6" s="1"/>
  <c r="U227" i="6"/>
  <c r="V227" i="6" s="1"/>
  <c r="H213" i="6"/>
  <c r="G214" i="6"/>
  <c r="A217" i="6"/>
  <c r="H217" i="6"/>
  <c r="I217" i="6" s="1"/>
  <c r="N217" i="6" s="1"/>
  <c r="G218" i="6"/>
  <c r="G219" i="6"/>
  <c r="K221" i="6"/>
  <c r="O221" i="6" s="1"/>
  <c r="J222" i="6"/>
  <c r="K222" i="6" s="1"/>
  <c r="A224" i="6"/>
  <c r="J227" i="6"/>
  <c r="O227" i="6" s="1"/>
  <c r="A213" i="6"/>
  <c r="I213" i="6"/>
  <c r="N213" i="6" s="1"/>
  <c r="A214" i="6"/>
  <c r="H214" i="6"/>
  <c r="I214" i="6" s="1"/>
  <c r="N214" i="6" s="1"/>
  <c r="G215" i="6"/>
  <c r="A218" i="6"/>
  <c r="H218" i="6"/>
  <c r="I218" i="6" s="1"/>
  <c r="N218" i="6" s="1"/>
  <c r="H219" i="6"/>
  <c r="N219" i="6" s="1"/>
  <c r="A225" i="6"/>
  <c r="A215" i="6"/>
  <c r="H215" i="6"/>
  <c r="I215" i="6" s="1"/>
  <c r="N215" i="6" s="1"/>
  <c r="A221" i="6"/>
  <c r="A222" i="6"/>
  <c r="W122" i="6"/>
  <c r="U122" i="6"/>
  <c r="V122" i="6" s="1"/>
  <c r="Y122" i="6"/>
  <c r="T120" i="6"/>
  <c r="Y128" i="6"/>
  <c r="W128" i="6"/>
  <c r="T130" i="6"/>
  <c r="K123" i="6"/>
  <c r="O123" i="6" s="1"/>
  <c r="J123" i="6"/>
  <c r="G116" i="6"/>
  <c r="G117" i="6"/>
  <c r="K117" i="6"/>
  <c r="O117" i="6" s="1"/>
  <c r="J118" i="6"/>
  <c r="K118" i="6" s="1"/>
  <c r="R126" i="6"/>
  <c r="A127" i="6"/>
  <c r="A146" i="6"/>
  <c r="A145" i="6"/>
  <c r="A144" i="6"/>
  <c r="A147" i="6"/>
  <c r="A141" i="6"/>
  <c r="A143" i="6"/>
  <c r="A142" i="6"/>
  <c r="H121" i="6"/>
  <c r="I121" i="6" s="1"/>
  <c r="N121" i="6" s="1"/>
  <c r="I123" i="6"/>
  <c r="N123" i="6" s="1"/>
  <c r="H119" i="6"/>
  <c r="I119" i="6" s="1"/>
  <c r="N119" i="6" s="1"/>
  <c r="G123" i="6"/>
  <c r="G122" i="6"/>
  <c r="G120" i="6"/>
  <c r="H122" i="6"/>
  <c r="I122" i="6" s="1"/>
  <c r="N122" i="6" s="1"/>
  <c r="H123" i="6"/>
  <c r="W129" i="6"/>
  <c r="U129" i="6"/>
  <c r="V129" i="6" s="1"/>
  <c r="H117" i="6"/>
  <c r="G118" i="6"/>
  <c r="G121" i="6"/>
  <c r="T126" i="6"/>
  <c r="T128" i="6"/>
  <c r="K139" i="6"/>
  <c r="O139" i="6" s="1"/>
  <c r="J134" i="6"/>
  <c r="K134" i="6" s="1"/>
  <c r="K133" i="6"/>
  <c r="O133" i="6" s="1"/>
  <c r="T142" i="6"/>
  <c r="A121" i="6"/>
  <c r="A123" i="6"/>
  <c r="A119" i="6"/>
  <c r="A117" i="6"/>
  <c r="I117" i="6"/>
  <c r="A118" i="6"/>
  <c r="H118" i="6"/>
  <c r="I118" i="6" s="1"/>
  <c r="N118" i="6" s="1"/>
  <c r="T119" i="6"/>
  <c r="A120" i="6"/>
  <c r="T127" i="6"/>
  <c r="U128" i="6"/>
  <c r="V128" i="6" s="1"/>
  <c r="T139" i="6"/>
  <c r="A125" i="6"/>
  <c r="I125" i="6"/>
  <c r="N125" i="6" s="1"/>
  <c r="A126" i="6"/>
  <c r="H126" i="6"/>
  <c r="I126" i="6" s="1"/>
  <c r="N126" i="6" s="1"/>
  <c r="G127" i="6"/>
  <c r="A130" i="6"/>
  <c r="H130" i="6"/>
  <c r="I130" i="6" s="1"/>
  <c r="N130" i="6" s="1"/>
  <c r="H131" i="6"/>
  <c r="P131" i="6"/>
  <c r="S131" i="6" s="1"/>
  <c r="T131" i="6"/>
  <c r="U135" i="6"/>
  <c r="V135" i="6" s="1"/>
  <c r="T137" i="6"/>
  <c r="T138" i="6"/>
  <c r="Y139" i="6"/>
  <c r="W139" i="6"/>
  <c r="P139" i="6"/>
  <c r="S139" i="6" s="1"/>
  <c r="H147" i="6"/>
  <c r="N147" i="6" s="1"/>
  <c r="H146" i="6"/>
  <c r="I146" i="6" s="1"/>
  <c r="N146" i="6" s="1"/>
  <c r="H145" i="6"/>
  <c r="I145" i="6" s="1"/>
  <c r="N145" i="6" s="1"/>
  <c r="H141" i="6"/>
  <c r="H144" i="6"/>
  <c r="I144" i="6" s="1"/>
  <c r="N144" i="6" s="1"/>
  <c r="G147" i="6"/>
  <c r="G146" i="6"/>
  <c r="G142" i="6"/>
  <c r="G145" i="6"/>
  <c r="G141" i="6"/>
  <c r="G140" i="6"/>
  <c r="I141" i="6"/>
  <c r="N141" i="6" s="1"/>
  <c r="H142" i="6"/>
  <c r="I142" i="6" s="1"/>
  <c r="N142" i="6" s="1"/>
  <c r="H143" i="6"/>
  <c r="I143" i="6" s="1"/>
  <c r="N143" i="6" s="1"/>
  <c r="P147" i="6"/>
  <c r="S147" i="6" s="1"/>
  <c r="H127" i="6"/>
  <c r="I127" i="6" s="1"/>
  <c r="N127" i="6" s="1"/>
  <c r="G128" i="6"/>
  <c r="A131" i="6"/>
  <c r="I131" i="6"/>
  <c r="N131" i="6" s="1"/>
  <c r="Y138" i="6"/>
  <c r="W138" i="6"/>
  <c r="T133" i="6"/>
  <c r="Y135" i="6"/>
  <c r="U139" i="6"/>
  <c r="V139" i="6" s="1"/>
  <c r="A152" i="6"/>
  <c r="A155" i="6"/>
  <c r="A151" i="6"/>
  <c r="A154" i="6"/>
  <c r="A150" i="6"/>
  <c r="A153" i="6"/>
  <c r="A149" i="6"/>
  <c r="J157" i="6"/>
  <c r="K163" i="6"/>
  <c r="J158" i="6"/>
  <c r="K158" i="6" s="1"/>
  <c r="K157" i="6"/>
  <c r="O157" i="6" s="1"/>
  <c r="J163" i="6"/>
  <c r="Y170" i="6"/>
  <c r="W170" i="6"/>
  <c r="T167" i="6"/>
  <c r="U170" i="6"/>
  <c r="V170" i="6" s="1"/>
  <c r="G124" i="6"/>
  <c r="G125" i="6"/>
  <c r="K125" i="6"/>
  <c r="O125" i="6" s="1"/>
  <c r="J126" i="6"/>
  <c r="K126" i="6" s="1"/>
  <c r="H139" i="6"/>
  <c r="H138" i="6"/>
  <c r="I138" i="6" s="1"/>
  <c r="N138" i="6" s="1"/>
  <c r="H134" i="6"/>
  <c r="I134" i="6" s="1"/>
  <c r="N134" i="6" s="1"/>
  <c r="I133" i="6"/>
  <c r="H137" i="6"/>
  <c r="I137" i="6" s="1"/>
  <c r="N137" i="6" s="1"/>
  <c r="H133" i="6"/>
  <c r="G135" i="6"/>
  <c r="G139" i="6"/>
  <c r="G138" i="6"/>
  <c r="G134" i="6"/>
  <c r="G133" i="6"/>
  <c r="P134" i="6"/>
  <c r="S134" i="6" s="1"/>
  <c r="T134" i="6" s="1"/>
  <c r="W136" i="6"/>
  <c r="U138" i="6"/>
  <c r="V138" i="6" s="1"/>
  <c r="I139" i="6"/>
  <c r="N139" i="6" s="1"/>
  <c r="P141" i="6"/>
  <c r="S141" i="6" s="1"/>
  <c r="T141" i="6" s="1"/>
  <c r="G144" i="6"/>
  <c r="T147" i="6"/>
  <c r="A137" i="6"/>
  <c r="K141" i="6"/>
  <c r="O141" i="6" s="1"/>
  <c r="J142" i="6"/>
  <c r="K142" i="6" s="1"/>
  <c r="J147" i="6"/>
  <c r="O147" i="6" s="1"/>
  <c r="H152" i="6"/>
  <c r="I152" i="6" s="1"/>
  <c r="N152" i="6" s="1"/>
  <c r="I155" i="6"/>
  <c r="H151" i="6"/>
  <c r="I151" i="6" s="1"/>
  <c r="N151" i="6" s="1"/>
  <c r="H155" i="6"/>
  <c r="H154" i="6"/>
  <c r="I154" i="6" s="1"/>
  <c r="N154" i="6" s="1"/>
  <c r="H150" i="6"/>
  <c r="I150" i="6" s="1"/>
  <c r="N150" i="6" s="1"/>
  <c r="G153" i="6"/>
  <c r="G152" i="6"/>
  <c r="G151" i="6"/>
  <c r="G150" i="6"/>
  <c r="T150" i="6"/>
  <c r="T154" i="6"/>
  <c r="G155" i="6"/>
  <c r="P159" i="6"/>
  <c r="S159" i="6" s="1"/>
  <c r="T161" i="6"/>
  <c r="T162" i="6"/>
  <c r="H171" i="6"/>
  <c r="H170" i="6"/>
  <c r="I170" i="6" s="1"/>
  <c r="N170" i="6" s="1"/>
  <c r="H166" i="6"/>
  <c r="I166" i="6" s="1"/>
  <c r="N166" i="6" s="1"/>
  <c r="I165" i="6"/>
  <c r="N165" i="6" s="1"/>
  <c r="H169" i="6"/>
  <c r="I169" i="6" s="1"/>
  <c r="N169" i="6" s="1"/>
  <c r="H165" i="6"/>
  <c r="H168" i="6"/>
  <c r="I168" i="6" s="1"/>
  <c r="N168" i="6" s="1"/>
  <c r="G167" i="6"/>
  <c r="G171" i="6"/>
  <c r="G170" i="6"/>
  <c r="G166" i="6"/>
  <c r="G169" i="6"/>
  <c r="G165" i="6"/>
  <c r="G164" i="6"/>
  <c r="H167" i="6"/>
  <c r="I167" i="6" s="1"/>
  <c r="N167" i="6" s="1"/>
  <c r="G168" i="6"/>
  <c r="Y171" i="6"/>
  <c r="W171" i="6"/>
  <c r="A133" i="6"/>
  <c r="A134" i="6"/>
  <c r="J155" i="6"/>
  <c r="J150" i="6"/>
  <c r="K150" i="6" s="1"/>
  <c r="K149" i="6"/>
  <c r="O149" i="6" s="1"/>
  <c r="J149" i="6"/>
  <c r="T152" i="6"/>
  <c r="K155" i="6"/>
  <c r="T155" i="6"/>
  <c r="U163" i="6"/>
  <c r="V163" i="6" s="1"/>
  <c r="Y163" i="6"/>
  <c r="W163" i="6"/>
  <c r="W160" i="6"/>
  <c r="U160" i="6"/>
  <c r="V160" i="6" s="1"/>
  <c r="Y160" i="6"/>
  <c r="P166" i="6"/>
  <c r="S166" i="6" s="1"/>
  <c r="T166" i="6" s="1"/>
  <c r="T168" i="6"/>
  <c r="T169" i="6"/>
  <c r="T170" i="6"/>
  <c r="I171" i="6"/>
  <c r="N171" i="6" s="1"/>
  <c r="T151" i="6"/>
  <c r="T157" i="6"/>
  <c r="T158" i="6"/>
  <c r="T159" i="6"/>
  <c r="W167" i="6"/>
  <c r="U167" i="6"/>
  <c r="V167" i="6" s="1"/>
  <c r="Y167" i="6"/>
  <c r="P171" i="6"/>
  <c r="S171" i="6" s="1"/>
  <c r="T171" i="6" s="1"/>
  <c r="U171" i="6"/>
  <c r="V171" i="6" s="1"/>
  <c r="H157" i="6"/>
  <c r="G158" i="6"/>
  <c r="A161" i="6"/>
  <c r="H161" i="6"/>
  <c r="I161" i="6" s="1"/>
  <c r="N161" i="6" s="1"/>
  <c r="G162" i="6"/>
  <c r="G163" i="6"/>
  <c r="K165" i="6"/>
  <c r="O165" i="6" s="1"/>
  <c r="J166" i="6"/>
  <c r="K166" i="6" s="1"/>
  <c r="A168" i="6"/>
  <c r="J171" i="6"/>
  <c r="O171" i="6" s="1"/>
  <c r="A157" i="6"/>
  <c r="I157" i="6"/>
  <c r="N157" i="6" s="1"/>
  <c r="A158" i="6"/>
  <c r="H158" i="6"/>
  <c r="I158" i="6" s="1"/>
  <c r="N158" i="6" s="1"/>
  <c r="G159" i="6"/>
  <c r="A162" i="6"/>
  <c r="H162" i="6"/>
  <c r="I162" i="6" s="1"/>
  <c r="N162" i="6" s="1"/>
  <c r="H163" i="6"/>
  <c r="N163" i="6" s="1"/>
  <c r="A169" i="6"/>
  <c r="A159" i="6"/>
  <c r="H159" i="6"/>
  <c r="I159" i="6" s="1"/>
  <c r="N159" i="6" s="1"/>
  <c r="A165" i="6"/>
  <c r="A166" i="6"/>
  <c r="W67" i="6"/>
  <c r="U67" i="6"/>
  <c r="V67" i="6" s="1"/>
  <c r="Y67" i="6"/>
  <c r="J63" i="6"/>
  <c r="K63" i="6" s="1"/>
  <c r="O62" i="6"/>
  <c r="T77" i="6"/>
  <c r="T63" i="6"/>
  <c r="T67" i="6"/>
  <c r="T64" i="6"/>
  <c r="A72" i="6"/>
  <c r="A75" i="6"/>
  <c r="A71" i="6"/>
  <c r="U69" i="6"/>
  <c r="V69" i="6" s="1"/>
  <c r="G67" i="6"/>
  <c r="G66" i="6"/>
  <c r="G65" i="6"/>
  <c r="H63" i="6"/>
  <c r="I63" i="6" s="1"/>
  <c r="N63" i="6" s="1"/>
  <c r="I67" i="6"/>
  <c r="J83" i="6"/>
  <c r="J77" i="6"/>
  <c r="K83" i="6"/>
  <c r="K77" i="6"/>
  <c r="O77" i="6" s="1"/>
  <c r="U81" i="6"/>
  <c r="V81" i="6" s="1"/>
  <c r="W81" i="6"/>
  <c r="K61" i="6"/>
  <c r="O61" i="6" s="1"/>
  <c r="A73" i="6"/>
  <c r="W86" i="6"/>
  <c r="U86" i="6"/>
  <c r="V86" i="6" s="1"/>
  <c r="Y86" i="6"/>
  <c r="G62" i="6"/>
  <c r="W63" i="6"/>
  <c r="G64" i="6"/>
  <c r="N69" i="6"/>
  <c r="Y69" i="6"/>
  <c r="T71" i="6"/>
  <c r="A74" i="6"/>
  <c r="T78" i="6"/>
  <c r="Y80" i="6"/>
  <c r="U80" i="6"/>
  <c r="V80" i="6" s="1"/>
  <c r="N85" i="6"/>
  <c r="H65" i="6"/>
  <c r="I65" i="6" s="1"/>
  <c r="N65" i="6" s="1"/>
  <c r="H64" i="6"/>
  <c r="I64" i="6" s="1"/>
  <c r="N64" i="6" s="1"/>
  <c r="H66" i="6"/>
  <c r="I66" i="6" s="1"/>
  <c r="N66" i="6" s="1"/>
  <c r="J78" i="6"/>
  <c r="K78" i="6" s="1"/>
  <c r="K67" i="6"/>
  <c r="J67" i="6"/>
  <c r="G61" i="6"/>
  <c r="Y66" i="6"/>
  <c r="A65" i="6"/>
  <c r="A64" i="6"/>
  <c r="A61" i="6"/>
  <c r="I61" i="6"/>
  <c r="N61" i="6" s="1"/>
  <c r="A62" i="6"/>
  <c r="H62" i="6"/>
  <c r="I62" i="6" s="1"/>
  <c r="N62" i="6" s="1"/>
  <c r="G63" i="6"/>
  <c r="Y63" i="6"/>
  <c r="H67" i="6"/>
  <c r="A70" i="6"/>
  <c r="I78" i="6"/>
  <c r="N78" i="6" s="1"/>
  <c r="P79" i="6"/>
  <c r="S79" i="6" s="1"/>
  <c r="T79" i="6" s="1"/>
  <c r="P80" i="6"/>
  <c r="S80" i="6" s="1"/>
  <c r="T80" i="6" s="1"/>
  <c r="W80" i="6"/>
  <c r="K91" i="6"/>
  <c r="J91" i="6"/>
  <c r="J85" i="6"/>
  <c r="K85" i="6"/>
  <c r="O85" i="6" s="1"/>
  <c r="J86" i="6"/>
  <c r="K86" i="6" s="1"/>
  <c r="J69" i="6"/>
  <c r="H71" i="6"/>
  <c r="I71" i="6" s="1"/>
  <c r="N71" i="6" s="1"/>
  <c r="G72" i="6"/>
  <c r="I75" i="6"/>
  <c r="N75" i="6" s="1"/>
  <c r="A77" i="6"/>
  <c r="I77" i="6"/>
  <c r="N77" i="6" s="1"/>
  <c r="A78" i="6"/>
  <c r="G79" i="6"/>
  <c r="W82" i="6"/>
  <c r="T83" i="6"/>
  <c r="U94" i="6"/>
  <c r="V94" i="6" s="1"/>
  <c r="Y94" i="6"/>
  <c r="T94" i="6"/>
  <c r="G68" i="6"/>
  <c r="G69" i="6"/>
  <c r="K69" i="6"/>
  <c r="O69" i="6" s="1"/>
  <c r="J70" i="6"/>
  <c r="K70" i="6" s="1"/>
  <c r="H83" i="6"/>
  <c r="N83" i="6" s="1"/>
  <c r="H82" i="6"/>
  <c r="I82" i="6" s="1"/>
  <c r="N82" i="6" s="1"/>
  <c r="A79" i="6"/>
  <c r="H79" i="6"/>
  <c r="I79" i="6" s="1"/>
  <c r="N79" i="6" s="1"/>
  <c r="G80" i="6"/>
  <c r="H81" i="6"/>
  <c r="I81" i="6" s="1"/>
  <c r="N81" i="6" s="1"/>
  <c r="P82" i="6"/>
  <c r="S82" i="6" s="1"/>
  <c r="T82" i="6" s="1"/>
  <c r="A83" i="6"/>
  <c r="P83" i="6"/>
  <c r="S83" i="6" s="1"/>
  <c r="A89" i="6"/>
  <c r="A88" i="6"/>
  <c r="A91" i="6"/>
  <c r="A87" i="6"/>
  <c r="A85" i="6"/>
  <c r="P85" i="6"/>
  <c r="S85" i="6" s="1"/>
  <c r="T85" i="6" s="1"/>
  <c r="T87" i="6"/>
  <c r="P89" i="6"/>
  <c r="S89" i="6" s="1"/>
  <c r="T89" i="6" s="1"/>
  <c r="A90" i="6"/>
  <c r="H115" i="6"/>
  <c r="H114" i="6"/>
  <c r="I114" i="6" s="1"/>
  <c r="N114" i="6" s="1"/>
  <c r="H110" i="6"/>
  <c r="I110" i="6" s="1"/>
  <c r="N110" i="6" s="1"/>
  <c r="I109" i="6"/>
  <c r="N109" i="6" s="1"/>
  <c r="H113" i="6"/>
  <c r="I113" i="6" s="1"/>
  <c r="N113" i="6" s="1"/>
  <c r="H109" i="6"/>
  <c r="I115" i="6"/>
  <c r="H112" i="6"/>
  <c r="I112" i="6" s="1"/>
  <c r="N112" i="6" s="1"/>
  <c r="H111" i="6"/>
  <c r="I111" i="6" s="1"/>
  <c r="N111" i="6" s="1"/>
  <c r="G111" i="6"/>
  <c r="G115" i="6"/>
  <c r="G114" i="6"/>
  <c r="G110" i="6"/>
  <c r="G113" i="6"/>
  <c r="G112" i="6"/>
  <c r="G108" i="6"/>
  <c r="O109" i="6"/>
  <c r="H87" i="6"/>
  <c r="I87" i="6" s="1"/>
  <c r="N87" i="6" s="1"/>
  <c r="G88" i="6"/>
  <c r="I91" i="6"/>
  <c r="N91" i="6" s="1"/>
  <c r="A96" i="6"/>
  <c r="A99" i="6"/>
  <c r="A95" i="6"/>
  <c r="A93" i="6"/>
  <c r="I93" i="6"/>
  <c r="N93" i="6" s="1"/>
  <c r="U97" i="6"/>
  <c r="V97" i="6" s="1"/>
  <c r="K101" i="6"/>
  <c r="O101" i="6" s="1"/>
  <c r="J102" i="6"/>
  <c r="K102" i="6" s="1"/>
  <c r="T106" i="6"/>
  <c r="K107" i="6"/>
  <c r="O107" i="6" s="1"/>
  <c r="O115" i="6"/>
  <c r="J109" i="6"/>
  <c r="T113" i="6"/>
  <c r="T114" i="6"/>
  <c r="Y115" i="6"/>
  <c r="W115" i="6"/>
  <c r="P115" i="6"/>
  <c r="S115" i="6" s="1"/>
  <c r="T115" i="6" s="1"/>
  <c r="H96" i="6"/>
  <c r="I96" i="6" s="1"/>
  <c r="N96" i="6" s="1"/>
  <c r="I99" i="6"/>
  <c r="H95" i="6"/>
  <c r="I95" i="6" s="1"/>
  <c r="N95" i="6" s="1"/>
  <c r="G97" i="6"/>
  <c r="G96" i="6"/>
  <c r="G94" i="6"/>
  <c r="Y97" i="6"/>
  <c r="H98" i="6"/>
  <c r="I98" i="6" s="1"/>
  <c r="N98" i="6" s="1"/>
  <c r="G99" i="6"/>
  <c r="T107" i="6"/>
  <c r="U115" i="6"/>
  <c r="V115" i="6" s="1"/>
  <c r="H85" i="6"/>
  <c r="G86" i="6"/>
  <c r="G90" i="6"/>
  <c r="J99" i="6"/>
  <c r="O99" i="6" s="1"/>
  <c r="J94" i="6"/>
  <c r="K94" i="6" s="1"/>
  <c r="K93" i="6"/>
  <c r="O93" i="6" s="1"/>
  <c r="G92" i="6"/>
  <c r="G93" i="6"/>
  <c r="H94" i="6"/>
  <c r="I94" i="6" s="1"/>
  <c r="N94" i="6" s="1"/>
  <c r="G95" i="6"/>
  <c r="P96" i="6"/>
  <c r="S96" i="6" s="1"/>
  <c r="T96" i="6" s="1"/>
  <c r="A98" i="6"/>
  <c r="H99" i="6"/>
  <c r="U107" i="6"/>
  <c r="V107" i="6" s="1"/>
  <c r="Y107" i="6"/>
  <c r="T102" i="6"/>
  <c r="T103" i="6"/>
  <c r="W105" i="6"/>
  <c r="Y114" i="6"/>
  <c r="W114" i="6"/>
  <c r="T109" i="6"/>
  <c r="J110" i="6"/>
  <c r="K110" i="6" s="1"/>
  <c r="T110" i="6"/>
  <c r="W112" i="6"/>
  <c r="U114" i="6"/>
  <c r="V114" i="6" s="1"/>
  <c r="A101" i="6"/>
  <c r="I101" i="6"/>
  <c r="N101" i="6" s="1"/>
  <c r="A102" i="6"/>
  <c r="H102" i="6"/>
  <c r="I102" i="6" s="1"/>
  <c r="N102" i="6" s="1"/>
  <c r="G103" i="6"/>
  <c r="A106" i="6"/>
  <c r="H106" i="6"/>
  <c r="I106" i="6" s="1"/>
  <c r="N106" i="6" s="1"/>
  <c r="H107" i="6"/>
  <c r="N107" i="6" s="1"/>
  <c r="A113" i="6"/>
  <c r="A103" i="6"/>
  <c r="H103" i="6"/>
  <c r="I103" i="6" s="1"/>
  <c r="N103" i="6" s="1"/>
  <c r="A109" i="6"/>
  <c r="A110" i="6"/>
  <c r="T53" i="6"/>
  <c r="T55" i="6"/>
  <c r="T58" i="6"/>
  <c r="Y58" i="6"/>
  <c r="W58" i="6"/>
  <c r="U58" i="6"/>
  <c r="V58" i="6" s="1"/>
  <c r="T54" i="6"/>
  <c r="T59" i="6"/>
  <c r="U59" i="6"/>
  <c r="V59" i="6" s="1"/>
  <c r="G52" i="6"/>
  <c r="G53" i="6"/>
  <c r="K53" i="6"/>
  <c r="O53" i="6" s="1"/>
  <c r="J54" i="6"/>
  <c r="K54" i="6" s="1"/>
  <c r="U55" i="6"/>
  <c r="V55" i="6" s="1"/>
  <c r="A56" i="6"/>
  <c r="H56" i="6"/>
  <c r="I56" i="6" s="1"/>
  <c r="N56" i="6" s="1"/>
  <c r="G57" i="6"/>
  <c r="J59" i="6"/>
  <c r="O59" i="6" s="1"/>
  <c r="Y55" i="6"/>
  <c r="H53" i="6"/>
  <c r="G54" i="6"/>
  <c r="A57" i="6"/>
  <c r="H57" i="6"/>
  <c r="I57" i="6" s="1"/>
  <c r="N57" i="6" s="1"/>
  <c r="G58" i="6"/>
  <c r="G59" i="6"/>
  <c r="W59" i="6"/>
  <c r="H55" i="6"/>
  <c r="I55" i="6" s="1"/>
  <c r="N55" i="6" s="1"/>
  <c r="G56" i="6"/>
  <c r="I59" i="6"/>
  <c r="N59" i="6" s="1"/>
  <c r="A53" i="6"/>
  <c r="I53" i="6"/>
  <c r="N53" i="6" s="1"/>
  <c r="A54" i="6"/>
  <c r="H54" i="6"/>
  <c r="I54" i="6" s="1"/>
  <c r="N54" i="6" s="1"/>
  <c r="H58" i="6"/>
  <c r="I58" i="6" s="1"/>
  <c r="N58" i="6" s="1"/>
  <c r="T50" i="6"/>
  <c r="Y50" i="6"/>
  <c r="U50" i="6"/>
  <c r="V50" i="6" s="1"/>
  <c r="W50" i="6"/>
  <c r="T45" i="6"/>
  <c r="T46" i="6"/>
  <c r="T51" i="6"/>
  <c r="I51" i="6"/>
  <c r="N51" i="6" s="1"/>
  <c r="U51" i="6"/>
  <c r="V51" i="6" s="1"/>
  <c r="G44" i="6"/>
  <c r="G45" i="6"/>
  <c r="K45" i="6"/>
  <c r="O45" i="6" s="1"/>
  <c r="J46" i="6"/>
  <c r="K46" i="6" s="1"/>
  <c r="U47" i="6"/>
  <c r="V47" i="6" s="1"/>
  <c r="A48" i="6"/>
  <c r="H48" i="6"/>
  <c r="I48" i="6" s="1"/>
  <c r="N48" i="6" s="1"/>
  <c r="G49" i="6"/>
  <c r="J51" i="6"/>
  <c r="O51" i="6" s="1"/>
  <c r="H45" i="6"/>
  <c r="G46" i="6"/>
  <c r="A49" i="6"/>
  <c r="H49" i="6"/>
  <c r="I49" i="6" s="1"/>
  <c r="N49" i="6" s="1"/>
  <c r="G50" i="6"/>
  <c r="G51" i="6"/>
  <c r="W51" i="6"/>
  <c r="H47" i="6"/>
  <c r="I47" i="6" s="1"/>
  <c r="N47" i="6" s="1"/>
  <c r="Y47" i="6"/>
  <c r="G48" i="6"/>
  <c r="A45" i="6"/>
  <c r="I45" i="6"/>
  <c r="A46" i="6"/>
  <c r="H46" i="6"/>
  <c r="I46" i="6" s="1"/>
  <c r="N46" i="6" s="1"/>
  <c r="H50" i="6"/>
  <c r="I50" i="6" s="1"/>
  <c r="N50" i="6" s="1"/>
  <c r="K37" i="6"/>
  <c r="O37" i="6" s="1"/>
  <c r="J38" i="6"/>
  <c r="K38" i="6" s="1"/>
  <c r="H40" i="6"/>
  <c r="J43" i="6"/>
  <c r="O43" i="6" s="1"/>
  <c r="H39" i="6"/>
  <c r="H37" i="6"/>
  <c r="H41" i="6"/>
  <c r="I43" i="6"/>
  <c r="N43" i="6" s="1"/>
  <c r="I37" i="6"/>
  <c r="N37" i="6" s="1"/>
  <c r="H38" i="6"/>
  <c r="H42" i="6"/>
  <c r="K29" i="6"/>
  <c r="O29" i="6" s="1"/>
  <c r="J30" i="6"/>
  <c r="K30" i="6" s="1"/>
  <c r="H32" i="6"/>
  <c r="J35" i="6"/>
  <c r="O35" i="6" s="1"/>
  <c r="H31" i="6"/>
  <c r="I35" i="6"/>
  <c r="N35" i="6" s="1"/>
  <c r="H29" i="6"/>
  <c r="H33" i="6"/>
  <c r="I33" i="6" s="1"/>
  <c r="N33" i="6" s="1"/>
  <c r="I29" i="6"/>
  <c r="N29" i="6" s="1"/>
  <c r="H30" i="6"/>
  <c r="H34" i="6"/>
  <c r="I34" i="6" s="1"/>
  <c r="N34" i="6" s="1"/>
  <c r="I27" i="6"/>
  <c r="N27" i="6" s="1"/>
  <c r="K21" i="6"/>
  <c r="O21" i="6" s="1"/>
  <c r="J22" i="6"/>
  <c r="K22" i="6" s="1"/>
  <c r="H24" i="6"/>
  <c r="I24" i="6" s="1"/>
  <c r="N24" i="6" s="1"/>
  <c r="J27" i="6"/>
  <c r="O27" i="6" s="1"/>
  <c r="H23" i="6"/>
  <c r="H21" i="6"/>
  <c r="H25" i="6"/>
  <c r="I25" i="6" s="1"/>
  <c r="N25" i="6" s="1"/>
  <c r="I21" i="6"/>
  <c r="N21" i="6" s="1"/>
  <c r="H22" i="6"/>
  <c r="H26" i="6"/>
  <c r="I26" i="6" s="1"/>
  <c r="N26" i="6" s="1"/>
  <c r="T15" i="6"/>
  <c r="T19" i="6"/>
  <c r="Y18" i="6"/>
  <c r="W18" i="6"/>
  <c r="U18" i="6"/>
  <c r="V18" i="6" s="1"/>
  <c r="T16" i="6"/>
  <c r="J15" i="6"/>
  <c r="K15" i="6" s="1"/>
  <c r="O14" i="6"/>
  <c r="H15" i="6"/>
  <c r="I19" i="6"/>
  <c r="N19" i="6" s="1"/>
  <c r="U19" i="6"/>
  <c r="V19" i="6" s="1"/>
  <c r="K13" i="6"/>
  <c r="O13" i="6" s="1"/>
  <c r="H16" i="6"/>
  <c r="I16" i="6" s="1"/>
  <c r="N16" i="6" s="1"/>
  <c r="Y16" i="6"/>
  <c r="J19" i="6"/>
  <c r="H13" i="6"/>
  <c r="A17" i="6"/>
  <c r="H17" i="6"/>
  <c r="I17" i="6" s="1"/>
  <c r="N17" i="6" s="1"/>
  <c r="K19" i="6"/>
  <c r="W19" i="6"/>
  <c r="A13" i="6"/>
  <c r="I13" i="6"/>
  <c r="N13" i="6" s="1"/>
  <c r="A14" i="6"/>
  <c r="H14" i="6"/>
  <c r="I14" i="6" s="1"/>
  <c r="N14" i="6" s="1"/>
  <c r="H18" i="6"/>
  <c r="I18" i="6" s="1"/>
  <c r="N18" i="6" s="1"/>
  <c r="J7" i="6"/>
  <c r="K7" i="6" s="1"/>
  <c r="D6" i="22"/>
  <c r="U649" i="6" l="1"/>
  <c r="V649" i="6" s="1"/>
  <c r="Y649" i="6"/>
  <c r="W649" i="6"/>
  <c r="U654" i="6"/>
  <c r="V654" i="6" s="1"/>
  <c r="Y654" i="6"/>
  <c r="W654" i="6"/>
  <c r="J639" i="6"/>
  <c r="K639" i="6" s="1"/>
  <c r="O638" i="6"/>
  <c r="W627" i="6"/>
  <c r="U627" i="6"/>
  <c r="V627" i="6" s="1"/>
  <c r="Y627" i="6"/>
  <c r="Y670" i="6"/>
  <c r="W670" i="6"/>
  <c r="U670" i="6"/>
  <c r="V670" i="6" s="1"/>
  <c r="U673" i="6"/>
  <c r="V673" i="6" s="1"/>
  <c r="Y673" i="6"/>
  <c r="W673" i="6"/>
  <c r="U661" i="6"/>
  <c r="V661" i="6" s="1"/>
  <c r="Y661" i="6"/>
  <c r="W661" i="6"/>
  <c r="U665" i="6"/>
  <c r="V665" i="6" s="1"/>
  <c r="Y665" i="6"/>
  <c r="W665" i="6"/>
  <c r="O661" i="6"/>
  <c r="O654" i="6"/>
  <c r="J655" i="6"/>
  <c r="K655" i="6" s="1"/>
  <c r="J647" i="6"/>
  <c r="K647" i="6" s="1"/>
  <c r="O646" i="6"/>
  <c r="Y651" i="6"/>
  <c r="W651" i="6"/>
  <c r="U651" i="6"/>
  <c r="V651" i="6" s="1"/>
  <c r="U645" i="6"/>
  <c r="V645" i="6" s="1"/>
  <c r="Y645" i="6"/>
  <c r="W645" i="6"/>
  <c r="N637" i="6"/>
  <c r="U631" i="6"/>
  <c r="V631" i="6" s="1"/>
  <c r="Y631" i="6"/>
  <c r="W631" i="6"/>
  <c r="U658" i="6"/>
  <c r="V658" i="6" s="1"/>
  <c r="Y658" i="6"/>
  <c r="W658" i="6"/>
  <c r="U640" i="6"/>
  <c r="V640" i="6" s="1"/>
  <c r="Y640" i="6"/>
  <c r="W640" i="6"/>
  <c r="Y642" i="6"/>
  <c r="W642" i="6"/>
  <c r="U642" i="6"/>
  <c r="V642" i="6" s="1"/>
  <c r="W629" i="6"/>
  <c r="U629" i="6"/>
  <c r="V629" i="6" s="1"/>
  <c r="Y629" i="6"/>
  <c r="N627" i="6"/>
  <c r="Y621" i="6"/>
  <c r="W621" i="6"/>
  <c r="U621" i="6"/>
  <c r="V621" i="6" s="1"/>
  <c r="U624" i="6"/>
  <c r="V624" i="6" s="1"/>
  <c r="Y624" i="6"/>
  <c r="W624" i="6"/>
  <c r="U666" i="6"/>
  <c r="V666" i="6" s="1"/>
  <c r="Y666" i="6"/>
  <c r="W666" i="6"/>
  <c r="Y638" i="6"/>
  <c r="W638" i="6"/>
  <c r="U638" i="6"/>
  <c r="V638" i="6" s="1"/>
  <c r="U634" i="6"/>
  <c r="V634" i="6" s="1"/>
  <c r="Y634" i="6"/>
  <c r="W634" i="6"/>
  <c r="J623" i="6"/>
  <c r="K623" i="6" s="1"/>
  <c r="O622" i="6"/>
  <c r="W622" i="6"/>
  <c r="U622" i="6"/>
  <c r="V622" i="6" s="1"/>
  <c r="Y622" i="6"/>
  <c r="U669" i="6"/>
  <c r="V669" i="6" s="1"/>
  <c r="Y669" i="6"/>
  <c r="W669" i="6"/>
  <c r="O653" i="6"/>
  <c r="N669" i="6"/>
  <c r="N645" i="6"/>
  <c r="O630" i="6"/>
  <c r="J631" i="6"/>
  <c r="K631" i="6" s="1"/>
  <c r="Y646" i="6"/>
  <c r="W646" i="6"/>
  <c r="U646" i="6"/>
  <c r="V646" i="6" s="1"/>
  <c r="Y635" i="6"/>
  <c r="U635" i="6"/>
  <c r="V635" i="6" s="1"/>
  <c r="W635" i="6"/>
  <c r="Y655" i="6"/>
  <c r="W655" i="6"/>
  <c r="U655" i="6"/>
  <c r="V655" i="6" s="1"/>
  <c r="W639" i="6"/>
  <c r="U639" i="6"/>
  <c r="V639" i="6" s="1"/>
  <c r="Y639" i="6"/>
  <c r="U641" i="6"/>
  <c r="V641" i="6" s="1"/>
  <c r="Y641" i="6"/>
  <c r="W641" i="6"/>
  <c r="W626" i="6"/>
  <c r="U626" i="6"/>
  <c r="V626" i="6" s="1"/>
  <c r="Y626" i="6"/>
  <c r="Y625" i="6"/>
  <c r="W625" i="6"/>
  <c r="U625" i="6"/>
  <c r="V625" i="6" s="1"/>
  <c r="Y663" i="6"/>
  <c r="W663" i="6"/>
  <c r="U663" i="6"/>
  <c r="V663" i="6" s="1"/>
  <c r="J671" i="6"/>
  <c r="K671" i="6" s="1"/>
  <c r="O670" i="6"/>
  <c r="U662" i="6"/>
  <c r="V662" i="6" s="1"/>
  <c r="Y662" i="6"/>
  <c r="W662" i="6"/>
  <c r="U672" i="6"/>
  <c r="V672" i="6" s="1"/>
  <c r="Y672" i="6"/>
  <c r="W672" i="6"/>
  <c r="J663" i="6"/>
  <c r="K663" i="6" s="1"/>
  <c r="O662" i="6"/>
  <c r="Y643" i="6"/>
  <c r="W643" i="6"/>
  <c r="U643" i="6"/>
  <c r="V643" i="6" s="1"/>
  <c r="U648" i="6"/>
  <c r="V648" i="6" s="1"/>
  <c r="Y648" i="6"/>
  <c r="W648" i="6"/>
  <c r="Y650" i="6"/>
  <c r="W650" i="6"/>
  <c r="U650" i="6"/>
  <c r="V650" i="6" s="1"/>
  <c r="Y653" i="6"/>
  <c r="W653" i="6"/>
  <c r="U653" i="6"/>
  <c r="V653" i="6" s="1"/>
  <c r="U659" i="6"/>
  <c r="V659" i="6" s="1"/>
  <c r="Y659" i="6"/>
  <c r="W659" i="6"/>
  <c r="U637" i="6"/>
  <c r="V637" i="6" s="1"/>
  <c r="Y637" i="6"/>
  <c r="W637" i="6"/>
  <c r="U630" i="6"/>
  <c r="V630" i="6" s="1"/>
  <c r="Y630" i="6"/>
  <c r="W630" i="6"/>
  <c r="U623" i="6"/>
  <c r="V623" i="6" s="1"/>
  <c r="Y623" i="6"/>
  <c r="W623" i="6"/>
  <c r="U617" i="6"/>
  <c r="V617" i="6" s="1"/>
  <c r="Y617" i="6"/>
  <c r="W617" i="6"/>
  <c r="J591" i="6"/>
  <c r="K591" i="6" s="1"/>
  <c r="O590" i="6"/>
  <c r="W595" i="6"/>
  <c r="U595" i="6"/>
  <c r="V595" i="6" s="1"/>
  <c r="Y595" i="6"/>
  <c r="Y571" i="6"/>
  <c r="W571" i="6"/>
  <c r="U571" i="6"/>
  <c r="V571" i="6" s="1"/>
  <c r="Y579" i="6"/>
  <c r="W579" i="6"/>
  <c r="U579" i="6"/>
  <c r="V579" i="6" s="1"/>
  <c r="U577" i="6"/>
  <c r="V577" i="6" s="1"/>
  <c r="Y577" i="6"/>
  <c r="W577" i="6"/>
  <c r="W582" i="6"/>
  <c r="Y582" i="6"/>
  <c r="U582" i="6"/>
  <c r="V582" i="6" s="1"/>
  <c r="U613" i="6"/>
  <c r="V613" i="6" s="1"/>
  <c r="Y613" i="6"/>
  <c r="W613" i="6"/>
  <c r="J599" i="6"/>
  <c r="K599" i="6" s="1"/>
  <c r="O598" i="6"/>
  <c r="N613" i="6"/>
  <c r="U599" i="6"/>
  <c r="V599" i="6" s="1"/>
  <c r="Y599" i="6"/>
  <c r="W599" i="6"/>
  <c r="Y593" i="6"/>
  <c r="W593" i="6"/>
  <c r="U593" i="6"/>
  <c r="V593" i="6" s="1"/>
  <c r="O605" i="6"/>
  <c r="Y592" i="6"/>
  <c r="W592" i="6"/>
  <c r="U592" i="6"/>
  <c r="V592" i="6" s="1"/>
  <c r="J583" i="6"/>
  <c r="K583" i="6" s="1"/>
  <c r="O582" i="6"/>
  <c r="J567" i="6"/>
  <c r="K567" i="6" s="1"/>
  <c r="O566" i="6"/>
  <c r="U573" i="6"/>
  <c r="V573" i="6" s="1"/>
  <c r="Y573" i="6"/>
  <c r="W573" i="6"/>
  <c r="Y565" i="6"/>
  <c r="U565" i="6"/>
  <c r="V565" i="6" s="1"/>
  <c r="W565" i="6"/>
  <c r="W587" i="6"/>
  <c r="Y587" i="6"/>
  <c r="U587" i="6"/>
  <c r="V587" i="6" s="1"/>
  <c r="U602" i="6"/>
  <c r="V602" i="6" s="1"/>
  <c r="Y602" i="6"/>
  <c r="W602" i="6"/>
  <c r="U606" i="6"/>
  <c r="V606" i="6" s="1"/>
  <c r="Y606" i="6"/>
  <c r="W606" i="6"/>
  <c r="U616" i="6"/>
  <c r="V616" i="6" s="1"/>
  <c r="Y616" i="6"/>
  <c r="W616" i="6"/>
  <c r="N603" i="6"/>
  <c r="U603" i="6"/>
  <c r="V603" i="6" s="1"/>
  <c r="Y603" i="6"/>
  <c r="W603" i="6"/>
  <c r="J607" i="6"/>
  <c r="K607" i="6" s="1"/>
  <c r="O606" i="6"/>
  <c r="W589" i="6"/>
  <c r="U589" i="6"/>
  <c r="V589" i="6" s="1"/>
  <c r="Y589" i="6"/>
  <c r="O565" i="6"/>
  <c r="Y574" i="6"/>
  <c r="W574" i="6"/>
  <c r="U574" i="6"/>
  <c r="V574" i="6" s="1"/>
  <c r="U569" i="6"/>
  <c r="V569" i="6" s="1"/>
  <c r="Y569" i="6"/>
  <c r="W569" i="6"/>
  <c r="Y581" i="6"/>
  <c r="W581" i="6"/>
  <c r="U581" i="6"/>
  <c r="V581" i="6" s="1"/>
  <c r="U584" i="6"/>
  <c r="V584" i="6" s="1"/>
  <c r="Y584" i="6"/>
  <c r="W584" i="6"/>
  <c r="Y614" i="6"/>
  <c r="W614" i="6"/>
  <c r="U614" i="6"/>
  <c r="V614" i="6" s="1"/>
  <c r="U605" i="6"/>
  <c r="V605" i="6" s="1"/>
  <c r="Y605" i="6"/>
  <c r="W605" i="6"/>
  <c r="U609" i="6"/>
  <c r="V609" i="6" s="1"/>
  <c r="Y609" i="6"/>
  <c r="W609" i="6"/>
  <c r="W601" i="6"/>
  <c r="U601" i="6"/>
  <c r="V601" i="6" s="1"/>
  <c r="Y601" i="6"/>
  <c r="Y607" i="6"/>
  <c r="W607" i="6"/>
  <c r="U607" i="6"/>
  <c r="V607" i="6" s="1"/>
  <c r="U610" i="6"/>
  <c r="V610" i="6" s="1"/>
  <c r="Y610" i="6"/>
  <c r="W610" i="6"/>
  <c r="N605" i="6"/>
  <c r="J615" i="6"/>
  <c r="K615" i="6" s="1"/>
  <c r="O614" i="6"/>
  <c r="N619" i="6"/>
  <c r="W597" i="6"/>
  <c r="Y597" i="6"/>
  <c r="U597" i="6"/>
  <c r="V597" i="6" s="1"/>
  <c r="Y600" i="6"/>
  <c r="W600" i="6"/>
  <c r="U600" i="6"/>
  <c r="V600" i="6" s="1"/>
  <c r="O611" i="6"/>
  <c r="U591" i="6"/>
  <c r="V591" i="6" s="1"/>
  <c r="Y591" i="6"/>
  <c r="W591" i="6"/>
  <c r="O587" i="6"/>
  <c r="J575" i="6"/>
  <c r="K575" i="6" s="1"/>
  <c r="O574" i="6"/>
  <c r="N573" i="6"/>
  <c r="U576" i="6"/>
  <c r="V576" i="6" s="1"/>
  <c r="Y576" i="6"/>
  <c r="W576" i="6"/>
  <c r="Y578" i="6"/>
  <c r="W578" i="6"/>
  <c r="U578" i="6"/>
  <c r="V578" i="6" s="1"/>
  <c r="Y566" i="6"/>
  <c r="W566" i="6"/>
  <c r="U566" i="6"/>
  <c r="V566" i="6" s="1"/>
  <c r="Y570" i="6"/>
  <c r="W570" i="6"/>
  <c r="U570" i="6"/>
  <c r="V570" i="6" s="1"/>
  <c r="W586" i="6"/>
  <c r="Y586" i="6"/>
  <c r="U586" i="6"/>
  <c r="V586" i="6" s="1"/>
  <c r="Y585" i="6"/>
  <c r="W585" i="6"/>
  <c r="U585" i="6"/>
  <c r="V585" i="6" s="1"/>
  <c r="U557" i="6"/>
  <c r="V557" i="6" s="1"/>
  <c r="Y557" i="6"/>
  <c r="W557" i="6"/>
  <c r="U547" i="6"/>
  <c r="V547" i="6" s="1"/>
  <c r="W547" i="6"/>
  <c r="Y547" i="6"/>
  <c r="U529" i="6"/>
  <c r="V529" i="6" s="1"/>
  <c r="W529" i="6"/>
  <c r="Y529" i="6"/>
  <c r="U522" i="6"/>
  <c r="V522" i="6" s="1"/>
  <c r="Y522" i="6"/>
  <c r="W522" i="6"/>
  <c r="J519" i="6"/>
  <c r="K519" i="6" s="1"/>
  <c r="O518" i="6"/>
  <c r="W513" i="6"/>
  <c r="Y513" i="6"/>
  <c r="U513" i="6"/>
  <c r="V513" i="6" s="1"/>
  <c r="J551" i="6"/>
  <c r="K551" i="6" s="1"/>
  <c r="O550" i="6"/>
  <c r="O541" i="6"/>
  <c r="Y544" i="6"/>
  <c r="W544" i="6"/>
  <c r="U544" i="6"/>
  <c r="V544" i="6" s="1"/>
  <c r="U523" i="6"/>
  <c r="V523" i="6" s="1"/>
  <c r="Y523" i="6"/>
  <c r="W523" i="6"/>
  <c r="W515" i="6"/>
  <c r="U515" i="6"/>
  <c r="V515" i="6" s="1"/>
  <c r="Y515" i="6"/>
  <c r="Y551" i="6"/>
  <c r="W551" i="6"/>
  <c r="U551" i="6"/>
  <c r="V551" i="6" s="1"/>
  <c r="U554" i="6"/>
  <c r="V554" i="6" s="1"/>
  <c r="Y554" i="6"/>
  <c r="W554" i="6"/>
  <c r="J543" i="6"/>
  <c r="K543" i="6" s="1"/>
  <c r="O542" i="6"/>
  <c r="U546" i="6"/>
  <c r="V546" i="6" s="1"/>
  <c r="Y546" i="6"/>
  <c r="W546" i="6"/>
  <c r="W541" i="6"/>
  <c r="Y541" i="6"/>
  <c r="U541" i="6"/>
  <c r="V541" i="6" s="1"/>
  <c r="O539" i="6"/>
  <c r="Y526" i="6"/>
  <c r="U526" i="6"/>
  <c r="V526" i="6" s="1"/>
  <c r="W526" i="6"/>
  <c r="J559" i="6"/>
  <c r="K559" i="6" s="1"/>
  <c r="O558" i="6"/>
  <c r="U517" i="6"/>
  <c r="V517" i="6" s="1"/>
  <c r="Y517" i="6"/>
  <c r="W517" i="6"/>
  <c r="W538" i="6"/>
  <c r="U538" i="6"/>
  <c r="V538" i="6" s="1"/>
  <c r="Y538" i="6"/>
  <c r="Y537" i="6"/>
  <c r="W537" i="6"/>
  <c r="U537" i="6"/>
  <c r="V537" i="6" s="1"/>
  <c r="O509" i="6"/>
  <c r="J527" i="6"/>
  <c r="K527" i="6" s="1"/>
  <c r="O526" i="6"/>
  <c r="Y509" i="6"/>
  <c r="W509" i="6"/>
  <c r="U509" i="6"/>
  <c r="V509" i="6" s="1"/>
  <c r="J535" i="6"/>
  <c r="K535" i="6" s="1"/>
  <c r="O534" i="6"/>
  <c r="U525" i="6"/>
  <c r="V525" i="6" s="1"/>
  <c r="Y525" i="6"/>
  <c r="W525" i="6"/>
  <c r="W539" i="6"/>
  <c r="U539" i="6"/>
  <c r="V539" i="6" s="1"/>
  <c r="Y539" i="6"/>
  <c r="W511" i="6"/>
  <c r="U511" i="6"/>
  <c r="V511" i="6" s="1"/>
  <c r="Y511" i="6"/>
  <c r="U550" i="6"/>
  <c r="V550" i="6" s="1"/>
  <c r="Y550" i="6"/>
  <c r="W550" i="6"/>
  <c r="U518" i="6"/>
  <c r="V518" i="6" s="1"/>
  <c r="Y518" i="6"/>
  <c r="W518" i="6"/>
  <c r="Y533" i="6"/>
  <c r="W533" i="6"/>
  <c r="U533" i="6"/>
  <c r="V533" i="6" s="1"/>
  <c r="U536" i="6"/>
  <c r="V536" i="6" s="1"/>
  <c r="Y536" i="6"/>
  <c r="W536" i="6"/>
  <c r="J511" i="6"/>
  <c r="K511" i="6" s="1"/>
  <c r="O510" i="6"/>
  <c r="W514" i="6"/>
  <c r="Y514" i="6"/>
  <c r="U514" i="6"/>
  <c r="V514" i="6" s="1"/>
  <c r="Y558" i="6"/>
  <c r="W558" i="6"/>
  <c r="U558" i="6"/>
  <c r="V558" i="6" s="1"/>
  <c r="U561" i="6"/>
  <c r="V561" i="6" s="1"/>
  <c r="Y561" i="6"/>
  <c r="W561" i="6"/>
  <c r="U549" i="6"/>
  <c r="V549" i="6" s="1"/>
  <c r="W549" i="6"/>
  <c r="Y549" i="6"/>
  <c r="N557" i="6"/>
  <c r="U543" i="6"/>
  <c r="V543" i="6" s="1"/>
  <c r="Y543" i="6"/>
  <c r="W543" i="6"/>
  <c r="N525" i="6"/>
  <c r="U519" i="6"/>
  <c r="V519" i="6" s="1"/>
  <c r="Y519" i="6"/>
  <c r="W519" i="6"/>
  <c r="O563" i="6"/>
  <c r="W534" i="6"/>
  <c r="U534" i="6"/>
  <c r="V534" i="6" s="1"/>
  <c r="Y534" i="6"/>
  <c r="U535" i="6"/>
  <c r="V535" i="6" s="1"/>
  <c r="Y535" i="6"/>
  <c r="W535" i="6"/>
  <c r="O525" i="6"/>
  <c r="W510" i="6"/>
  <c r="Y510" i="6"/>
  <c r="U510" i="6"/>
  <c r="V510" i="6" s="1"/>
  <c r="Y512" i="6"/>
  <c r="W512" i="6"/>
  <c r="U512" i="6"/>
  <c r="V512" i="6" s="1"/>
  <c r="U453" i="6"/>
  <c r="V453" i="6" s="1"/>
  <c r="Y453" i="6"/>
  <c r="W453" i="6"/>
  <c r="J463" i="6"/>
  <c r="K463" i="6" s="1"/>
  <c r="O462" i="6"/>
  <c r="W482" i="6"/>
  <c r="U482" i="6"/>
  <c r="V482" i="6" s="1"/>
  <c r="Y482" i="6"/>
  <c r="U480" i="6"/>
  <c r="V480" i="6" s="1"/>
  <c r="Y480" i="6"/>
  <c r="W480" i="6"/>
  <c r="Y502" i="6"/>
  <c r="W502" i="6"/>
  <c r="U502" i="6"/>
  <c r="V502" i="6" s="1"/>
  <c r="U505" i="6"/>
  <c r="V505" i="6" s="1"/>
  <c r="Y505" i="6"/>
  <c r="W505" i="6"/>
  <c r="U493" i="6"/>
  <c r="V493" i="6" s="1"/>
  <c r="Y493" i="6"/>
  <c r="W493" i="6"/>
  <c r="U497" i="6"/>
  <c r="V497" i="6" s="1"/>
  <c r="Y497" i="6"/>
  <c r="W497" i="6"/>
  <c r="N491" i="6"/>
  <c r="Y488" i="6"/>
  <c r="W488" i="6"/>
  <c r="U488" i="6"/>
  <c r="V488" i="6" s="1"/>
  <c r="Y462" i="6"/>
  <c r="W462" i="6"/>
  <c r="U462" i="6"/>
  <c r="V462" i="6" s="1"/>
  <c r="J496" i="6"/>
  <c r="K496" i="6" s="1"/>
  <c r="O495" i="6"/>
  <c r="O499" i="6"/>
  <c r="N461" i="6"/>
  <c r="O459" i="6"/>
  <c r="W478" i="6"/>
  <c r="U478" i="6"/>
  <c r="V478" i="6" s="1"/>
  <c r="Y478" i="6"/>
  <c r="Y481" i="6"/>
  <c r="W481" i="6"/>
  <c r="U481" i="6"/>
  <c r="V481" i="6" s="1"/>
  <c r="U498" i="6"/>
  <c r="V498" i="6" s="1"/>
  <c r="Y498" i="6"/>
  <c r="W498" i="6"/>
  <c r="J503" i="6"/>
  <c r="K503" i="6" s="1"/>
  <c r="O502" i="6"/>
  <c r="W489" i="6"/>
  <c r="U489" i="6"/>
  <c r="V489" i="6" s="1"/>
  <c r="Y489" i="6"/>
  <c r="U491" i="6"/>
  <c r="V491" i="6" s="1"/>
  <c r="Y491" i="6"/>
  <c r="W491" i="6"/>
  <c r="U501" i="6"/>
  <c r="V501" i="6" s="1"/>
  <c r="Y501" i="6"/>
  <c r="W501" i="6"/>
  <c r="Y470" i="6"/>
  <c r="W470" i="6"/>
  <c r="U470" i="6"/>
  <c r="V470" i="6" s="1"/>
  <c r="J479" i="6"/>
  <c r="K479" i="6" s="1"/>
  <c r="O478" i="6"/>
  <c r="W485" i="6"/>
  <c r="U485" i="6"/>
  <c r="V485" i="6" s="1"/>
  <c r="Y485" i="6"/>
  <c r="U461" i="6"/>
  <c r="V461" i="6" s="1"/>
  <c r="Y461" i="6"/>
  <c r="W461" i="6"/>
  <c r="U454" i="6"/>
  <c r="V454" i="6" s="1"/>
  <c r="Y454" i="6"/>
  <c r="W454" i="6"/>
  <c r="U479" i="6"/>
  <c r="V479" i="6" s="1"/>
  <c r="Y479" i="6"/>
  <c r="W479" i="6"/>
  <c r="Y495" i="6"/>
  <c r="W495" i="6"/>
  <c r="U495" i="6"/>
  <c r="V495" i="6" s="1"/>
  <c r="J487" i="6"/>
  <c r="K487" i="6" s="1"/>
  <c r="O486" i="6"/>
  <c r="U473" i="6"/>
  <c r="V473" i="6" s="1"/>
  <c r="Y473" i="6"/>
  <c r="W473" i="6"/>
  <c r="Y486" i="6"/>
  <c r="W486" i="6"/>
  <c r="U486" i="6"/>
  <c r="V486" i="6" s="1"/>
  <c r="J471" i="6"/>
  <c r="K471" i="6" s="1"/>
  <c r="O470" i="6"/>
  <c r="U494" i="6"/>
  <c r="V494" i="6" s="1"/>
  <c r="Y494" i="6"/>
  <c r="W494" i="6"/>
  <c r="U504" i="6"/>
  <c r="V504" i="6" s="1"/>
  <c r="Y504" i="6"/>
  <c r="W504" i="6"/>
  <c r="U469" i="6"/>
  <c r="V469" i="6" s="1"/>
  <c r="Y469" i="6"/>
  <c r="W469" i="6"/>
  <c r="U490" i="6"/>
  <c r="V490" i="6" s="1"/>
  <c r="Y490" i="6"/>
  <c r="W490" i="6"/>
  <c r="U472" i="6"/>
  <c r="V472" i="6" s="1"/>
  <c r="Y472" i="6"/>
  <c r="W472" i="6"/>
  <c r="Y465" i="6"/>
  <c r="W465" i="6"/>
  <c r="U465" i="6"/>
  <c r="V465" i="6" s="1"/>
  <c r="O493" i="6"/>
  <c r="N469" i="6"/>
  <c r="U464" i="6"/>
  <c r="V464" i="6" s="1"/>
  <c r="Y464" i="6"/>
  <c r="W464" i="6"/>
  <c r="U457" i="6"/>
  <c r="V457" i="6" s="1"/>
  <c r="Y457" i="6"/>
  <c r="W457" i="6"/>
  <c r="J455" i="6"/>
  <c r="K455" i="6" s="1"/>
  <c r="O454" i="6"/>
  <c r="Y477" i="6"/>
  <c r="W477" i="6"/>
  <c r="U477" i="6"/>
  <c r="V477" i="6" s="1"/>
  <c r="W483" i="6"/>
  <c r="U483" i="6"/>
  <c r="V483" i="6" s="1"/>
  <c r="Y483" i="6"/>
  <c r="U429" i="6"/>
  <c r="V429" i="6" s="1"/>
  <c r="Y429" i="6"/>
  <c r="W429" i="6"/>
  <c r="W451" i="6"/>
  <c r="Y451" i="6"/>
  <c r="U451" i="6"/>
  <c r="V451" i="6" s="1"/>
  <c r="U437" i="6"/>
  <c r="V437" i="6" s="1"/>
  <c r="Y437" i="6"/>
  <c r="W437" i="6"/>
  <c r="U441" i="6"/>
  <c r="V441" i="6" s="1"/>
  <c r="Y441" i="6"/>
  <c r="W441" i="6"/>
  <c r="U434" i="6"/>
  <c r="V434" i="6" s="1"/>
  <c r="Y434" i="6"/>
  <c r="W434" i="6"/>
  <c r="N443" i="6"/>
  <c r="Y414" i="6"/>
  <c r="W414" i="6"/>
  <c r="U414" i="6"/>
  <c r="V414" i="6" s="1"/>
  <c r="Y424" i="6"/>
  <c r="W424" i="6"/>
  <c r="U424" i="6"/>
  <c r="V424" i="6" s="1"/>
  <c r="U405" i="6"/>
  <c r="V405" i="6" s="1"/>
  <c r="Y405" i="6"/>
  <c r="W405" i="6"/>
  <c r="J439" i="6"/>
  <c r="K439" i="6" s="1"/>
  <c r="O438" i="6"/>
  <c r="O405" i="6"/>
  <c r="U397" i="6"/>
  <c r="V397" i="6" s="1"/>
  <c r="Y397" i="6"/>
  <c r="W397" i="6"/>
  <c r="U401" i="6"/>
  <c r="V401" i="6" s="1"/>
  <c r="Y401" i="6"/>
  <c r="W401" i="6"/>
  <c r="J399" i="6"/>
  <c r="K399" i="6" s="1"/>
  <c r="O398" i="6"/>
  <c r="W446" i="6"/>
  <c r="Y446" i="6"/>
  <c r="U446" i="6"/>
  <c r="V446" i="6" s="1"/>
  <c r="Y449" i="6"/>
  <c r="W449" i="6"/>
  <c r="U449" i="6"/>
  <c r="V449" i="6" s="1"/>
  <c r="U406" i="6"/>
  <c r="V406" i="6" s="1"/>
  <c r="Y406" i="6"/>
  <c r="W406" i="6"/>
  <c r="Y398" i="6"/>
  <c r="W398" i="6"/>
  <c r="U398" i="6"/>
  <c r="V398" i="6" s="1"/>
  <c r="U448" i="6"/>
  <c r="V448" i="6" s="1"/>
  <c r="Y448" i="6"/>
  <c r="W448" i="6"/>
  <c r="J408" i="6"/>
  <c r="K408" i="6" s="1"/>
  <c r="O407" i="6"/>
  <c r="U433" i="6"/>
  <c r="V433" i="6" s="1"/>
  <c r="W433" i="6"/>
  <c r="Y433" i="6"/>
  <c r="N435" i="6"/>
  <c r="Y430" i="6"/>
  <c r="W430" i="6"/>
  <c r="U430" i="6"/>
  <c r="V430" i="6" s="1"/>
  <c r="Y431" i="6"/>
  <c r="W431" i="6"/>
  <c r="U431" i="6"/>
  <c r="V431" i="6" s="1"/>
  <c r="U426" i="6"/>
  <c r="V426" i="6" s="1"/>
  <c r="Y426" i="6"/>
  <c r="W426" i="6"/>
  <c r="U413" i="6"/>
  <c r="V413" i="6" s="1"/>
  <c r="Y413" i="6"/>
  <c r="W413" i="6"/>
  <c r="W421" i="6"/>
  <c r="U421" i="6"/>
  <c r="V421" i="6" s="1"/>
  <c r="Y421" i="6"/>
  <c r="U417" i="6"/>
  <c r="V417" i="6" s="1"/>
  <c r="Y417" i="6"/>
  <c r="W417" i="6"/>
  <c r="O443" i="6"/>
  <c r="U447" i="6"/>
  <c r="V447" i="6" s="1"/>
  <c r="Y447" i="6"/>
  <c r="W447" i="6"/>
  <c r="Y438" i="6"/>
  <c r="W438" i="6"/>
  <c r="U438" i="6"/>
  <c r="V438" i="6" s="1"/>
  <c r="U427" i="6"/>
  <c r="V427" i="6" s="1"/>
  <c r="Y427" i="6"/>
  <c r="W427" i="6"/>
  <c r="J415" i="6"/>
  <c r="K415" i="6" s="1"/>
  <c r="O414" i="6"/>
  <c r="J447" i="6"/>
  <c r="K447" i="6" s="1"/>
  <c r="O446" i="6"/>
  <c r="W432" i="6"/>
  <c r="Y432" i="6"/>
  <c r="U432" i="6"/>
  <c r="V432" i="6" s="1"/>
  <c r="O422" i="6"/>
  <c r="J423" i="6"/>
  <c r="K423" i="6" s="1"/>
  <c r="U435" i="6"/>
  <c r="V435" i="6" s="1"/>
  <c r="Y435" i="6"/>
  <c r="W435" i="6"/>
  <c r="Y407" i="6"/>
  <c r="W407" i="6"/>
  <c r="U407" i="6"/>
  <c r="V407" i="6" s="1"/>
  <c r="U423" i="6"/>
  <c r="V423" i="6" s="1"/>
  <c r="Y423" i="6"/>
  <c r="W423" i="6"/>
  <c r="U410" i="6"/>
  <c r="V410" i="6" s="1"/>
  <c r="Y410" i="6"/>
  <c r="W410" i="6"/>
  <c r="J432" i="6"/>
  <c r="K432" i="6" s="1"/>
  <c r="O431" i="6"/>
  <c r="W450" i="6"/>
  <c r="U450" i="6"/>
  <c r="V450" i="6" s="1"/>
  <c r="Y450" i="6"/>
  <c r="Y445" i="6"/>
  <c r="W445" i="6"/>
  <c r="U445" i="6"/>
  <c r="V445" i="6" s="1"/>
  <c r="W377" i="6"/>
  <c r="U377" i="6"/>
  <c r="V377" i="6" s="1"/>
  <c r="Y377" i="6"/>
  <c r="U361" i="6"/>
  <c r="V361" i="6" s="1"/>
  <c r="Y361" i="6"/>
  <c r="W361" i="6"/>
  <c r="Y346" i="6"/>
  <c r="W346" i="6"/>
  <c r="U346" i="6"/>
  <c r="V346" i="6" s="1"/>
  <c r="U382" i="6"/>
  <c r="V382" i="6" s="1"/>
  <c r="Y382" i="6"/>
  <c r="W382" i="6"/>
  <c r="U392" i="6"/>
  <c r="V392" i="6" s="1"/>
  <c r="Y392" i="6"/>
  <c r="W392" i="6"/>
  <c r="N389" i="6"/>
  <c r="Y371" i="6"/>
  <c r="W371" i="6"/>
  <c r="U371" i="6"/>
  <c r="V371" i="6" s="1"/>
  <c r="O387" i="6"/>
  <c r="U374" i="6"/>
  <c r="V374" i="6" s="1"/>
  <c r="Y374" i="6"/>
  <c r="W374" i="6"/>
  <c r="Y376" i="6"/>
  <c r="W376" i="6"/>
  <c r="U376" i="6"/>
  <c r="V376" i="6" s="1"/>
  <c r="U368" i="6"/>
  <c r="V368" i="6" s="1"/>
  <c r="Y368" i="6"/>
  <c r="W368" i="6"/>
  <c r="U357" i="6"/>
  <c r="V357" i="6" s="1"/>
  <c r="Y357" i="6"/>
  <c r="W357" i="6"/>
  <c r="U351" i="6"/>
  <c r="V351" i="6" s="1"/>
  <c r="Y351" i="6"/>
  <c r="W351" i="6"/>
  <c r="W341" i="6"/>
  <c r="Y341" i="6"/>
  <c r="U341" i="6"/>
  <c r="V341" i="6" s="1"/>
  <c r="J383" i="6"/>
  <c r="K383" i="6" s="1"/>
  <c r="O382" i="6"/>
  <c r="U379" i="6"/>
  <c r="V379" i="6" s="1"/>
  <c r="Y379" i="6"/>
  <c r="W379" i="6"/>
  <c r="Y349" i="6"/>
  <c r="W349" i="6"/>
  <c r="U349" i="6"/>
  <c r="V349" i="6" s="1"/>
  <c r="Y353" i="6"/>
  <c r="W353" i="6"/>
  <c r="U353" i="6"/>
  <c r="V353" i="6" s="1"/>
  <c r="Y383" i="6"/>
  <c r="W383" i="6"/>
  <c r="U383" i="6"/>
  <c r="V383" i="6" s="1"/>
  <c r="U386" i="6"/>
  <c r="V386" i="6" s="1"/>
  <c r="Y386" i="6"/>
  <c r="W386" i="6"/>
  <c r="J391" i="6"/>
  <c r="K391" i="6" s="1"/>
  <c r="O390" i="6"/>
  <c r="N395" i="6"/>
  <c r="J367" i="6"/>
  <c r="K367" i="6" s="1"/>
  <c r="O366" i="6"/>
  <c r="U378" i="6"/>
  <c r="V378" i="6" s="1"/>
  <c r="Y378" i="6"/>
  <c r="W378" i="6"/>
  <c r="Y370" i="6"/>
  <c r="W370" i="6"/>
  <c r="U370" i="6"/>
  <c r="V370" i="6" s="1"/>
  <c r="Y369" i="6"/>
  <c r="W369" i="6"/>
  <c r="U369" i="6"/>
  <c r="V369" i="6" s="1"/>
  <c r="J359" i="6"/>
  <c r="K359" i="6" s="1"/>
  <c r="O358" i="6"/>
  <c r="Y358" i="6"/>
  <c r="W358" i="6"/>
  <c r="U358" i="6"/>
  <c r="V358" i="6" s="1"/>
  <c r="W355" i="6"/>
  <c r="U355" i="6"/>
  <c r="V355" i="6" s="1"/>
  <c r="Y355" i="6"/>
  <c r="U344" i="6"/>
  <c r="V344" i="6" s="1"/>
  <c r="Y344" i="6"/>
  <c r="W344" i="6"/>
  <c r="J343" i="6"/>
  <c r="K343" i="6" s="1"/>
  <c r="O342" i="6"/>
  <c r="U389" i="6"/>
  <c r="V389" i="6" s="1"/>
  <c r="Y389" i="6"/>
  <c r="W389" i="6"/>
  <c r="J375" i="6"/>
  <c r="K375" i="6" s="1"/>
  <c r="O374" i="6"/>
  <c r="W359" i="6"/>
  <c r="U359" i="6"/>
  <c r="V359" i="6" s="1"/>
  <c r="Y359" i="6"/>
  <c r="Y390" i="6"/>
  <c r="W390" i="6"/>
  <c r="U390" i="6"/>
  <c r="V390" i="6" s="1"/>
  <c r="U393" i="6"/>
  <c r="V393" i="6" s="1"/>
  <c r="Y393" i="6"/>
  <c r="W393" i="6"/>
  <c r="U381" i="6"/>
  <c r="V381" i="6" s="1"/>
  <c r="Y381" i="6"/>
  <c r="W381" i="6"/>
  <c r="U385" i="6"/>
  <c r="V385" i="6" s="1"/>
  <c r="Y385" i="6"/>
  <c r="W385" i="6"/>
  <c r="Y363" i="6"/>
  <c r="W363" i="6"/>
  <c r="U363" i="6"/>
  <c r="V363" i="6" s="1"/>
  <c r="W373" i="6"/>
  <c r="U373" i="6"/>
  <c r="V373" i="6" s="1"/>
  <c r="Y373" i="6"/>
  <c r="U375" i="6"/>
  <c r="V375" i="6" s="1"/>
  <c r="Y375" i="6"/>
  <c r="W375" i="6"/>
  <c r="J351" i="6"/>
  <c r="K351" i="6" s="1"/>
  <c r="O350" i="6"/>
  <c r="U360" i="6"/>
  <c r="V360" i="6" s="1"/>
  <c r="Y360" i="6"/>
  <c r="W360" i="6"/>
  <c r="Y362" i="6"/>
  <c r="W362" i="6"/>
  <c r="U362" i="6"/>
  <c r="V362" i="6" s="1"/>
  <c r="U352" i="6"/>
  <c r="V352" i="6" s="1"/>
  <c r="Y352" i="6"/>
  <c r="W352" i="6"/>
  <c r="U345" i="6"/>
  <c r="V345" i="6" s="1"/>
  <c r="Y345" i="6"/>
  <c r="W345" i="6"/>
  <c r="U337" i="6"/>
  <c r="V337" i="6" s="1"/>
  <c r="Y337" i="6"/>
  <c r="W337" i="6"/>
  <c r="U333" i="6"/>
  <c r="V333" i="6" s="1"/>
  <c r="Y333" i="6"/>
  <c r="W333" i="6"/>
  <c r="J311" i="6"/>
  <c r="K311" i="6" s="1"/>
  <c r="O310" i="6"/>
  <c r="W321" i="6"/>
  <c r="U321" i="6"/>
  <c r="V321" i="6" s="1"/>
  <c r="Y321" i="6"/>
  <c r="U322" i="6"/>
  <c r="V322" i="6" s="1"/>
  <c r="Y322" i="6"/>
  <c r="W322" i="6"/>
  <c r="U304" i="6"/>
  <c r="V304" i="6" s="1"/>
  <c r="Y304" i="6"/>
  <c r="W304" i="6"/>
  <c r="U293" i="6"/>
  <c r="V293" i="6" s="1"/>
  <c r="Y293" i="6"/>
  <c r="W293" i="6"/>
  <c r="U286" i="6"/>
  <c r="V286" i="6" s="1"/>
  <c r="Y286" i="6"/>
  <c r="W286" i="6"/>
  <c r="W310" i="6"/>
  <c r="U310" i="6"/>
  <c r="V310" i="6" s="1"/>
  <c r="Y310" i="6"/>
  <c r="W315" i="6"/>
  <c r="U315" i="6"/>
  <c r="V315" i="6" s="1"/>
  <c r="Y315" i="6"/>
  <c r="J287" i="6"/>
  <c r="K287" i="6" s="1"/>
  <c r="O286" i="6"/>
  <c r="N299" i="6"/>
  <c r="Y334" i="6"/>
  <c r="W334" i="6"/>
  <c r="U334" i="6"/>
  <c r="V334" i="6" s="1"/>
  <c r="U301" i="6"/>
  <c r="V301" i="6" s="1"/>
  <c r="W301" i="6"/>
  <c r="Y301" i="6"/>
  <c r="Y320" i="6"/>
  <c r="W320" i="6"/>
  <c r="U320" i="6"/>
  <c r="V320" i="6" s="1"/>
  <c r="U326" i="6"/>
  <c r="V326" i="6" s="1"/>
  <c r="Y326" i="6"/>
  <c r="W326" i="6"/>
  <c r="U336" i="6"/>
  <c r="V336" i="6" s="1"/>
  <c r="Y336" i="6"/>
  <c r="W336" i="6"/>
  <c r="N323" i="6"/>
  <c r="O309" i="6"/>
  <c r="U319" i="6"/>
  <c r="V319" i="6" s="1"/>
  <c r="Y319" i="6"/>
  <c r="W319" i="6"/>
  <c r="J303" i="6"/>
  <c r="K303" i="6" s="1"/>
  <c r="O302" i="6"/>
  <c r="U290" i="6"/>
  <c r="V290" i="6" s="1"/>
  <c r="Y290" i="6"/>
  <c r="W290" i="6"/>
  <c r="U285" i="6"/>
  <c r="V285" i="6" s="1"/>
  <c r="Y285" i="6"/>
  <c r="W285" i="6"/>
  <c r="U312" i="6"/>
  <c r="V312" i="6" s="1"/>
  <c r="Y312" i="6"/>
  <c r="W312" i="6"/>
  <c r="U289" i="6"/>
  <c r="V289" i="6" s="1"/>
  <c r="Y289" i="6"/>
  <c r="W289" i="6"/>
  <c r="N293" i="6"/>
  <c r="U325" i="6"/>
  <c r="V325" i="6" s="1"/>
  <c r="Y325" i="6"/>
  <c r="W325" i="6"/>
  <c r="U329" i="6"/>
  <c r="V329" i="6" s="1"/>
  <c r="Y329" i="6"/>
  <c r="W329" i="6"/>
  <c r="J319" i="6"/>
  <c r="K319" i="6" s="1"/>
  <c r="O318" i="6"/>
  <c r="U318" i="6"/>
  <c r="V318" i="6" s="1"/>
  <c r="Y318" i="6"/>
  <c r="W318" i="6"/>
  <c r="U311" i="6"/>
  <c r="V311" i="6" s="1"/>
  <c r="Y311" i="6"/>
  <c r="W311" i="6"/>
  <c r="J295" i="6"/>
  <c r="K295" i="6" s="1"/>
  <c r="O294" i="6"/>
  <c r="Y327" i="6"/>
  <c r="W327" i="6"/>
  <c r="U327" i="6"/>
  <c r="V327" i="6" s="1"/>
  <c r="U330" i="6"/>
  <c r="V330" i="6" s="1"/>
  <c r="Y330" i="6"/>
  <c r="W330" i="6"/>
  <c r="J335" i="6"/>
  <c r="K335" i="6" s="1"/>
  <c r="O334" i="6"/>
  <c r="Y302" i="6"/>
  <c r="U302" i="6"/>
  <c r="V302" i="6" s="1"/>
  <c r="W302" i="6"/>
  <c r="U305" i="6"/>
  <c r="V305" i="6" s="1"/>
  <c r="Y305" i="6"/>
  <c r="W305" i="6"/>
  <c r="W317" i="6"/>
  <c r="U317" i="6"/>
  <c r="V317" i="6" s="1"/>
  <c r="Y317" i="6"/>
  <c r="U323" i="6"/>
  <c r="V323" i="6" s="1"/>
  <c r="Y323" i="6"/>
  <c r="W323" i="6"/>
  <c r="Y287" i="6"/>
  <c r="W287" i="6"/>
  <c r="U287" i="6"/>
  <c r="V287" i="6" s="1"/>
  <c r="J327" i="6"/>
  <c r="K327" i="6" s="1"/>
  <c r="O326" i="6"/>
  <c r="W314" i="6"/>
  <c r="U314" i="6"/>
  <c r="V314" i="6" s="1"/>
  <c r="Y314" i="6"/>
  <c r="Y297" i="6"/>
  <c r="W297" i="6"/>
  <c r="U297" i="6"/>
  <c r="V297" i="6" s="1"/>
  <c r="Y309" i="6"/>
  <c r="W309" i="6"/>
  <c r="U309" i="6"/>
  <c r="V309" i="6" s="1"/>
  <c r="Y313" i="6"/>
  <c r="W313" i="6"/>
  <c r="U313" i="6"/>
  <c r="V313" i="6" s="1"/>
  <c r="U296" i="6"/>
  <c r="V296" i="6" s="1"/>
  <c r="W296" i="6"/>
  <c r="Y296" i="6"/>
  <c r="Y278" i="6"/>
  <c r="U278" i="6"/>
  <c r="V278" i="6" s="1"/>
  <c r="W278" i="6"/>
  <c r="Y269" i="6"/>
  <c r="W269" i="6"/>
  <c r="U269" i="6"/>
  <c r="V269" i="6" s="1"/>
  <c r="U254" i="6"/>
  <c r="V254" i="6" s="1"/>
  <c r="Y254" i="6"/>
  <c r="W254" i="6"/>
  <c r="U263" i="6"/>
  <c r="V263" i="6" s="1"/>
  <c r="W263" i="6"/>
  <c r="Y263" i="6"/>
  <c r="W235" i="6"/>
  <c r="U235" i="6"/>
  <c r="V235" i="6" s="1"/>
  <c r="Y235" i="6"/>
  <c r="U277" i="6"/>
  <c r="V277" i="6" s="1"/>
  <c r="W277" i="6"/>
  <c r="Y277" i="6"/>
  <c r="J272" i="6"/>
  <c r="K272" i="6" s="1"/>
  <c r="O271" i="6"/>
  <c r="Y273" i="6"/>
  <c r="W273" i="6"/>
  <c r="U273" i="6"/>
  <c r="V273" i="6" s="1"/>
  <c r="U258" i="6"/>
  <c r="V258" i="6" s="1"/>
  <c r="Y258" i="6"/>
  <c r="W258" i="6"/>
  <c r="J263" i="6"/>
  <c r="K263" i="6" s="1"/>
  <c r="O262" i="6"/>
  <c r="J255" i="6"/>
  <c r="K255" i="6" s="1"/>
  <c r="O254" i="6"/>
  <c r="U245" i="6"/>
  <c r="V245" i="6" s="1"/>
  <c r="Y245" i="6"/>
  <c r="W245" i="6"/>
  <c r="U255" i="6"/>
  <c r="V255" i="6" s="1"/>
  <c r="Y255" i="6"/>
  <c r="W255" i="6"/>
  <c r="Y238" i="6"/>
  <c r="U238" i="6"/>
  <c r="V238" i="6" s="1"/>
  <c r="W238" i="6"/>
  <c r="O251" i="6"/>
  <c r="Y233" i="6"/>
  <c r="U233" i="6"/>
  <c r="V233" i="6" s="1"/>
  <c r="W233" i="6"/>
  <c r="Y262" i="6"/>
  <c r="W262" i="6"/>
  <c r="U262" i="6"/>
  <c r="V262" i="6" s="1"/>
  <c r="J239" i="6"/>
  <c r="K239" i="6" s="1"/>
  <c r="O238" i="6"/>
  <c r="U246" i="6"/>
  <c r="V246" i="6" s="1"/>
  <c r="Y246" i="6"/>
  <c r="W246" i="6"/>
  <c r="U239" i="6"/>
  <c r="V239" i="6" s="1"/>
  <c r="W239" i="6"/>
  <c r="Y239" i="6"/>
  <c r="U232" i="6"/>
  <c r="V232" i="6" s="1"/>
  <c r="W232" i="6"/>
  <c r="Y232" i="6"/>
  <c r="U274" i="6"/>
  <c r="V274" i="6" s="1"/>
  <c r="W274" i="6"/>
  <c r="Y274" i="6"/>
  <c r="U270" i="6"/>
  <c r="V270" i="6" s="1"/>
  <c r="W270" i="6"/>
  <c r="Y270" i="6"/>
  <c r="Y271" i="6"/>
  <c r="U271" i="6"/>
  <c r="V271" i="6" s="1"/>
  <c r="W271" i="6"/>
  <c r="W261" i="6"/>
  <c r="U261" i="6"/>
  <c r="V261" i="6" s="1"/>
  <c r="Y261" i="6"/>
  <c r="Y266" i="6"/>
  <c r="W266" i="6"/>
  <c r="U266" i="6"/>
  <c r="V266" i="6" s="1"/>
  <c r="W253" i="6"/>
  <c r="U253" i="6"/>
  <c r="V253" i="6" s="1"/>
  <c r="Y253" i="6"/>
  <c r="Y247" i="6"/>
  <c r="W247" i="6"/>
  <c r="U247" i="6"/>
  <c r="V247" i="6" s="1"/>
  <c r="U281" i="6"/>
  <c r="V281" i="6" s="1"/>
  <c r="Y281" i="6"/>
  <c r="W281" i="6"/>
  <c r="W237" i="6"/>
  <c r="U237" i="6"/>
  <c r="V237" i="6" s="1"/>
  <c r="Y237" i="6"/>
  <c r="O231" i="6"/>
  <c r="J232" i="6"/>
  <c r="K232" i="6" s="1"/>
  <c r="W234" i="6"/>
  <c r="U234" i="6"/>
  <c r="V234" i="6" s="1"/>
  <c r="Y234" i="6"/>
  <c r="O247" i="6"/>
  <c r="J248" i="6"/>
  <c r="K248" i="6" s="1"/>
  <c r="J279" i="6"/>
  <c r="K279" i="6" s="1"/>
  <c r="O278" i="6"/>
  <c r="Y267" i="6"/>
  <c r="W267" i="6"/>
  <c r="U267" i="6"/>
  <c r="V267" i="6" s="1"/>
  <c r="U242" i="6"/>
  <c r="V242" i="6" s="1"/>
  <c r="Y242" i="6"/>
  <c r="W242" i="6"/>
  <c r="U275" i="6"/>
  <c r="V275" i="6" s="1"/>
  <c r="W275" i="6"/>
  <c r="Y275" i="6"/>
  <c r="W279" i="6"/>
  <c r="U279" i="6"/>
  <c r="V279" i="6" s="1"/>
  <c r="Y279" i="6"/>
  <c r="W265" i="6"/>
  <c r="U265" i="6"/>
  <c r="V265" i="6" s="1"/>
  <c r="Y265" i="6"/>
  <c r="O229" i="6"/>
  <c r="Y229" i="6"/>
  <c r="W229" i="6"/>
  <c r="U229" i="6"/>
  <c r="V229" i="6" s="1"/>
  <c r="N237" i="6"/>
  <c r="J216" i="6"/>
  <c r="K216" i="6" s="1"/>
  <c r="O215" i="6"/>
  <c r="W203" i="6"/>
  <c r="U203" i="6"/>
  <c r="V203" i="6" s="1"/>
  <c r="Y203" i="6"/>
  <c r="U185" i="6"/>
  <c r="V185" i="6" s="1"/>
  <c r="Y185" i="6"/>
  <c r="W185" i="6"/>
  <c r="U177" i="6"/>
  <c r="V177" i="6" s="1"/>
  <c r="Y177" i="6"/>
  <c r="W177" i="6"/>
  <c r="Y194" i="6"/>
  <c r="W194" i="6"/>
  <c r="U194" i="6"/>
  <c r="V194" i="6" s="1"/>
  <c r="J175" i="6"/>
  <c r="K175" i="6" s="1"/>
  <c r="O174" i="6"/>
  <c r="U214" i="6"/>
  <c r="V214" i="6" s="1"/>
  <c r="Y214" i="6"/>
  <c r="W214" i="6"/>
  <c r="U224" i="6"/>
  <c r="V224" i="6" s="1"/>
  <c r="Y224" i="6"/>
  <c r="W224" i="6"/>
  <c r="J199" i="6"/>
  <c r="K199" i="6" s="1"/>
  <c r="O198" i="6"/>
  <c r="Y206" i="6"/>
  <c r="W206" i="6"/>
  <c r="U206" i="6"/>
  <c r="V206" i="6" s="1"/>
  <c r="U211" i="6"/>
  <c r="V211" i="6" s="1"/>
  <c r="Y211" i="6"/>
  <c r="W211" i="6"/>
  <c r="N189" i="6"/>
  <c r="Y175" i="6"/>
  <c r="W175" i="6"/>
  <c r="U175" i="6"/>
  <c r="V175" i="6" s="1"/>
  <c r="U189" i="6"/>
  <c r="V189" i="6" s="1"/>
  <c r="Y189" i="6"/>
  <c r="W189" i="6"/>
  <c r="U200" i="6"/>
  <c r="V200" i="6" s="1"/>
  <c r="Y200" i="6"/>
  <c r="W200" i="6"/>
  <c r="J191" i="6"/>
  <c r="K191" i="6" s="1"/>
  <c r="O190" i="6"/>
  <c r="U192" i="6"/>
  <c r="V192" i="6" s="1"/>
  <c r="Y192" i="6"/>
  <c r="W192" i="6"/>
  <c r="N187" i="6"/>
  <c r="U221" i="6"/>
  <c r="V221" i="6" s="1"/>
  <c r="Y221" i="6"/>
  <c r="W221" i="6"/>
  <c r="W198" i="6"/>
  <c r="U198" i="6"/>
  <c r="V198" i="6" s="1"/>
  <c r="Y198" i="6"/>
  <c r="W191" i="6"/>
  <c r="U191" i="6"/>
  <c r="V191" i="6" s="1"/>
  <c r="Y191" i="6"/>
  <c r="Y215" i="6"/>
  <c r="W215" i="6"/>
  <c r="U215" i="6"/>
  <c r="V215" i="6" s="1"/>
  <c r="U218" i="6"/>
  <c r="V218" i="6" s="1"/>
  <c r="Y218" i="6"/>
  <c r="W218" i="6"/>
  <c r="J223" i="6"/>
  <c r="K223" i="6" s="1"/>
  <c r="O222" i="6"/>
  <c r="N221" i="6"/>
  <c r="W209" i="6"/>
  <c r="U209" i="6"/>
  <c r="V209" i="6" s="1"/>
  <c r="Y209" i="6"/>
  <c r="Y208" i="6"/>
  <c r="W208" i="6"/>
  <c r="U208" i="6"/>
  <c r="V208" i="6" s="1"/>
  <c r="Y182" i="6"/>
  <c r="W182" i="6"/>
  <c r="U182" i="6"/>
  <c r="V182" i="6" s="1"/>
  <c r="Y197" i="6"/>
  <c r="W197" i="6"/>
  <c r="U197" i="6"/>
  <c r="V197" i="6" s="1"/>
  <c r="Y201" i="6"/>
  <c r="W201" i="6"/>
  <c r="U201" i="6"/>
  <c r="V201" i="6" s="1"/>
  <c r="U174" i="6"/>
  <c r="V174" i="6" s="1"/>
  <c r="Y174" i="6"/>
  <c r="W174" i="6"/>
  <c r="U184" i="6"/>
  <c r="V184" i="6" s="1"/>
  <c r="Y184" i="6"/>
  <c r="W184" i="6"/>
  <c r="U193" i="6"/>
  <c r="V193" i="6" s="1"/>
  <c r="Y193" i="6"/>
  <c r="W193" i="6"/>
  <c r="U210" i="6"/>
  <c r="V210" i="6" s="1"/>
  <c r="Y210" i="6"/>
  <c r="W210" i="6"/>
  <c r="U173" i="6"/>
  <c r="V173" i="6" s="1"/>
  <c r="Y173" i="6"/>
  <c r="W173" i="6"/>
  <c r="Y222" i="6"/>
  <c r="W222" i="6"/>
  <c r="U222" i="6"/>
  <c r="V222" i="6" s="1"/>
  <c r="U225" i="6"/>
  <c r="V225" i="6" s="1"/>
  <c r="Y225" i="6"/>
  <c r="W225" i="6"/>
  <c r="U213" i="6"/>
  <c r="V213" i="6" s="1"/>
  <c r="Y213" i="6"/>
  <c r="W213" i="6"/>
  <c r="U217" i="6"/>
  <c r="V217" i="6" s="1"/>
  <c r="Y217" i="6"/>
  <c r="W217" i="6"/>
  <c r="J207" i="6"/>
  <c r="K207" i="6" s="1"/>
  <c r="O206" i="6"/>
  <c r="W205" i="6"/>
  <c r="U205" i="6"/>
  <c r="V205" i="6" s="1"/>
  <c r="Y205" i="6"/>
  <c r="Y195" i="6"/>
  <c r="W195" i="6"/>
  <c r="U195" i="6"/>
  <c r="V195" i="6" s="1"/>
  <c r="U181" i="6"/>
  <c r="V181" i="6" s="1"/>
  <c r="Y181" i="6"/>
  <c r="W181" i="6"/>
  <c r="U199" i="6"/>
  <c r="V199" i="6" s="1"/>
  <c r="Y199" i="6"/>
  <c r="W199" i="6"/>
  <c r="O195" i="6"/>
  <c r="U178" i="6"/>
  <c r="V178" i="6" s="1"/>
  <c r="Y178" i="6"/>
  <c r="W178" i="6"/>
  <c r="J183" i="6"/>
  <c r="K183" i="6" s="1"/>
  <c r="O182" i="6"/>
  <c r="Y190" i="6"/>
  <c r="W190" i="6"/>
  <c r="U190" i="6"/>
  <c r="V190" i="6" s="1"/>
  <c r="Y166" i="6"/>
  <c r="W166" i="6"/>
  <c r="U166" i="6"/>
  <c r="V166" i="6" s="1"/>
  <c r="U157" i="6"/>
  <c r="V157" i="6" s="1"/>
  <c r="Y157" i="6"/>
  <c r="W157" i="6"/>
  <c r="U161" i="6"/>
  <c r="V161" i="6" s="1"/>
  <c r="Y161" i="6"/>
  <c r="W161" i="6"/>
  <c r="W149" i="6"/>
  <c r="U149" i="6"/>
  <c r="V149" i="6" s="1"/>
  <c r="Y149" i="6"/>
  <c r="Y141" i="6"/>
  <c r="W141" i="6"/>
  <c r="U141" i="6"/>
  <c r="V141" i="6" s="1"/>
  <c r="U165" i="6"/>
  <c r="V165" i="6" s="1"/>
  <c r="Y165" i="6"/>
  <c r="W165" i="6"/>
  <c r="O155" i="6"/>
  <c r="J151" i="6"/>
  <c r="K151" i="6" s="1"/>
  <c r="O150" i="6"/>
  <c r="J143" i="6"/>
  <c r="K143" i="6" s="1"/>
  <c r="O142" i="6"/>
  <c r="J159" i="6"/>
  <c r="K159" i="6" s="1"/>
  <c r="O158" i="6"/>
  <c r="W153" i="6"/>
  <c r="U153" i="6"/>
  <c r="V153" i="6" s="1"/>
  <c r="Y153" i="6"/>
  <c r="U155" i="6"/>
  <c r="V155" i="6" s="1"/>
  <c r="Y155" i="6"/>
  <c r="W155" i="6"/>
  <c r="W125" i="6"/>
  <c r="U125" i="6"/>
  <c r="V125" i="6" s="1"/>
  <c r="Y125" i="6"/>
  <c r="W118" i="6"/>
  <c r="U118" i="6"/>
  <c r="V118" i="6" s="1"/>
  <c r="Y118" i="6"/>
  <c r="W123" i="6"/>
  <c r="U123" i="6"/>
  <c r="V123" i="6" s="1"/>
  <c r="Y123" i="6"/>
  <c r="J135" i="6"/>
  <c r="K135" i="6" s="1"/>
  <c r="O134" i="6"/>
  <c r="Y147" i="6"/>
  <c r="W147" i="6"/>
  <c r="U147" i="6"/>
  <c r="V147" i="6" s="1"/>
  <c r="U127" i="6"/>
  <c r="V127" i="6" s="1"/>
  <c r="Y127" i="6"/>
  <c r="W127" i="6"/>
  <c r="U169" i="6"/>
  <c r="V169" i="6" s="1"/>
  <c r="Y169" i="6"/>
  <c r="W169" i="6"/>
  <c r="U151" i="6"/>
  <c r="V151" i="6" s="1"/>
  <c r="Y151" i="6"/>
  <c r="W151" i="6"/>
  <c r="U131" i="6"/>
  <c r="V131" i="6" s="1"/>
  <c r="Y131" i="6"/>
  <c r="W131" i="6"/>
  <c r="U130" i="6"/>
  <c r="V130" i="6" s="1"/>
  <c r="Y130" i="6"/>
  <c r="W130" i="6"/>
  <c r="Y119" i="6"/>
  <c r="W119" i="6"/>
  <c r="U119" i="6"/>
  <c r="V119" i="6" s="1"/>
  <c r="Y146" i="6"/>
  <c r="W146" i="6"/>
  <c r="U146" i="6"/>
  <c r="V146" i="6" s="1"/>
  <c r="U158" i="6"/>
  <c r="V158" i="6" s="1"/>
  <c r="Y158" i="6"/>
  <c r="W158" i="6"/>
  <c r="U168" i="6"/>
  <c r="V168" i="6" s="1"/>
  <c r="Y168" i="6"/>
  <c r="W168" i="6"/>
  <c r="N155" i="6"/>
  <c r="N133" i="6"/>
  <c r="J127" i="6"/>
  <c r="K127" i="6" s="1"/>
  <c r="O126" i="6"/>
  <c r="O163" i="6"/>
  <c r="U150" i="6"/>
  <c r="V150" i="6" s="1"/>
  <c r="Y150" i="6"/>
  <c r="W150" i="6"/>
  <c r="Y152" i="6"/>
  <c r="W152" i="6"/>
  <c r="U152" i="6"/>
  <c r="V152" i="6" s="1"/>
  <c r="U120" i="6"/>
  <c r="V120" i="6" s="1"/>
  <c r="W120" i="6"/>
  <c r="Y120" i="6"/>
  <c r="N117" i="6"/>
  <c r="Y121" i="6"/>
  <c r="W121" i="6"/>
  <c r="U121" i="6"/>
  <c r="V121" i="6" s="1"/>
  <c r="W142" i="6"/>
  <c r="Y142" i="6"/>
  <c r="U142" i="6"/>
  <c r="V142" i="6" s="1"/>
  <c r="U144" i="6"/>
  <c r="V144" i="6" s="1"/>
  <c r="Y144" i="6"/>
  <c r="W144" i="6"/>
  <c r="U133" i="6"/>
  <c r="V133" i="6" s="1"/>
  <c r="Y133" i="6"/>
  <c r="W133" i="6"/>
  <c r="Y159" i="6"/>
  <c r="W159" i="6"/>
  <c r="U159" i="6"/>
  <c r="V159" i="6" s="1"/>
  <c r="U162" i="6"/>
  <c r="V162" i="6" s="1"/>
  <c r="Y162" i="6"/>
  <c r="W162" i="6"/>
  <c r="J167" i="6"/>
  <c r="K167" i="6" s="1"/>
  <c r="O166" i="6"/>
  <c r="Y134" i="6"/>
  <c r="W134" i="6"/>
  <c r="U134" i="6"/>
  <c r="V134" i="6" s="1"/>
  <c r="U137" i="6"/>
  <c r="V137" i="6" s="1"/>
  <c r="Y137" i="6"/>
  <c r="W137" i="6"/>
  <c r="U154" i="6"/>
  <c r="V154" i="6" s="1"/>
  <c r="Y154" i="6"/>
  <c r="W154" i="6"/>
  <c r="U126" i="6"/>
  <c r="V126" i="6" s="1"/>
  <c r="Y126" i="6"/>
  <c r="W126" i="6"/>
  <c r="U117" i="6"/>
  <c r="V117" i="6" s="1"/>
  <c r="Y117" i="6"/>
  <c r="W117" i="6"/>
  <c r="W143" i="6"/>
  <c r="U143" i="6"/>
  <c r="V143" i="6" s="1"/>
  <c r="Y143" i="6"/>
  <c r="U145" i="6"/>
  <c r="V145" i="6" s="1"/>
  <c r="Y145" i="6"/>
  <c r="W145" i="6"/>
  <c r="J119" i="6"/>
  <c r="K119" i="6" s="1"/>
  <c r="O118" i="6"/>
  <c r="Y96" i="6"/>
  <c r="W96" i="6"/>
  <c r="U96" i="6"/>
  <c r="V96" i="6" s="1"/>
  <c r="Y79" i="6"/>
  <c r="W79" i="6"/>
  <c r="U79" i="6"/>
  <c r="V79" i="6" s="1"/>
  <c r="U106" i="6"/>
  <c r="V106" i="6" s="1"/>
  <c r="Y106" i="6"/>
  <c r="W106" i="6"/>
  <c r="Y62" i="6"/>
  <c r="U62" i="6"/>
  <c r="V62" i="6" s="1"/>
  <c r="W62" i="6"/>
  <c r="U74" i="6"/>
  <c r="V74" i="6" s="1"/>
  <c r="W74" i="6"/>
  <c r="Y74" i="6"/>
  <c r="N67" i="6"/>
  <c r="U75" i="6"/>
  <c r="V75" i="6" s="1"/>
  <c r="Y75" i="6"/>
  <c r="W75" i="6"/>
  <c r="U102" i="6"/>
  <c r="V102" i="6" s="1"/>
  <c r="Y102" i="6"/>
  <c r="W102" i="6"/>
  <c r="U98" i="6"/>
  <c r="V98" i="6" s="1"/>
  <c r="Y98" i="6"/>
  <c r="W98" i="6"/>
  <c r="U88" i="6"/>
  <c r="V88" i="6" s="1"/>
  <c r="Y88" i="6"/>
  <c r="W88" i="6"/>
  <c r="U78" i="6"/>
  <c r="V78" i="6" s="1"/>
  <c r="Y78" i="6"/>
  <c r="W78" i="6"/>
  <c r="U70" i="6"/>
  <c r="V70" i="6" s="1"/>
  <c r="W70" i="6"/>
  <c r="Y70" i="6"/>
  <c r="U64" i="6"/>
  <c r="V64" i="6" s="1"/>
  <c r="Y64" i="6"/>
  <c r="W64" i="6"/>
  <c r="W73" i="6"/>
  <c r="U73" i="6"/>
  <c r="V73" i="6" s="1"/>
  <c r="Y73" i="6"/>
  <c r="U71" i="6"/>
  <c r="V71" i="6" s="1"/>
  <c r="Y71" i="6"/>
  <c r="W71" i="6"/>
  <c r="W93" i="6"/>
  <c r="Y93" i="6"/>
  <c r="U93" i="6"/>
  <c r="V93" i="6" s="1"/>
  <c r="Y85" i="6"/>
  <c r="U85" i="6"/>
  <c r="V85" i="6" s="1"/>
  <c r="W85" i="6"/>
  <c r="Y89" i="6"/>
  <c r="W89" i="6"/>
  <c r="U89" i="6"/>
  <c r="V89" i="6" s="1"/>
  <c r="Y65" i="6"/>
  <c r="W65" i="6"/>
  <c r="U65" i="6"/>
  <c r="V65" i="6" s="1"/>
  <c r="Y110" i="6"/>
  <c r="W110" i="6"/>
  <c r="U110" i="6"/>
  <c r="V110" i="6" s="1"/>
  <c r="U113" i="6"/>
  <c r="V113" i="6" s="1"/>
  <c r="Y113" i="6"/>
  <c r="W113" i="6"/>
  <c r="U101" i="6"/>
  <c r="V101" i="6" s="1"/>
  <c r="Y101" i="6"/>
  <c r="W101" i="6"/>
  <c r="J111" i="6"/>
  <c r="K111" i="6" s="1"/>
  <c r="O110" i="6"/>
  <c r="N99" i="6"/>
  <c r="U95" i="6"/>
  <c r="V95" i="6" s="1"/>
  <c r="Y95" i="6"/>
  <c r="W95" i="6"/>
  <c r="N115" i="6"/>
  <c r="U87" i="6"/>
  <c r="V87" i="6" s="1"/>
  <c r="Y87" i="6"/>
  <c r="W87" i="6"/>
  <c r="U77" i="6"/>
  <c r="V77" i="6" s="1"/>
  <c r="Y77" i="6"/>
  <c r="W77" i="6"/>
  <c r="O67" i="6"/>
  <c r="O83" i="6"/>
  <c r="Y72" i="6"/>
  <c r="W72" i="6"/>
  <c r="U72" i="6"/>
  <c r="V72" i="6" s="1"/>
  <c r="J64" i="6"/>
  <c r="K64" i="6" s="1"/>
  <c r="O63" i="6"/>
  <c r="Y103" i="6"/>
  <c r="W103" i="6"/>
  <c r="U103" i="6"/>
  <c r="V103" i="6" s="1"/>
  <c r="J103" i="6"/>
  <c r="K103" i="6" s="1"/>
  <c r="O102" i="6"/>
  <c r="W90" i="6"/>
  <c r="U90" i="6"/>
  <c r="V90" i="6" s="1"/>
  <c r="Y90" i="6"/>
  <c r="U109" i="6"/>
  <c r="V109" i="6" s="1"/>
  <c r="Y109" i="6"/>
  <c r="W109" i="6"/>
  <c r="O94" i="6"/>
  <c r="J95" i="6"/>
  <c r="K95" i="6" s="1"/>
  <c r="U99" i="6"/>
  <c r="V99" i="6" s="1"/>
  <c r="Y99" i="6"/>
  <c r="W99" i="6"/>
  <c r="W91" i="6"/>
  <c r="U91" i="6"/>
  <c r="V91" i="6" s="1"/>
  <c r="Y91" i="6"/>
  <c r="Y83" i="6"/>
  <c r="W83" i="6"/>
  <c r="U83" i="6"/>
  <c r="V83" i="6" s="1"/>
  <c r="J71" i="6"/>
  <c r="K71" i="6" s="1"/>
  <c r="O70" i="6"/>
  <c r="J87" i="6"/>
  <c r="K87" i="6" s="1"/>
  <c r="O86" i="6"/>
  <c r="O91" i="6"/>
  <c r="U61" i="6"/>
  <c r="V61" i="6" s="1"/>
  <c r="W61" i="6"/>
  <c r="Y61" i="6"/>
  <c r="O78" i="6"/>
  <c r="J79" i="6"/>
  <c r="K79" i="6" s="1"/>
  <c r="U53" i="6"/>
  <c r="V53" i="6" s="1"/>
  <c r="Y53" i="6"/>
  <c r="W53" i="6"/>
  <c r="U57" i="6"/>
  <c r="V57" i="6" s="1"/>
  <c r="Y57" i="6"/>
  <c r="W57" i="6"/>
  <c r="U56" i="6"/>
  <c r="V56" i="6" s="1"/>
  <c r="W56" i="6"/>
  <c r="Y56" i="6"/>
  <c r="J55" i="6"/>
  <c r="K55" i="6" s="1"/>
  <c r="O54" i="6"/>
  <c r="Y54" i="6"/>
  <c r="U54" i="6"/>
  <c r="V54" i="6" s="1"/>
  <c r="W54" i="6"/>
  <c r="N45" i="6"/>
  <c r="W48" i="6"/>
  <c r="U48" i="6"/>
  <c r="V48" i="6" s="1"/>
  <c r="Y48" i="6"/>
  <c r="U45" i="6"/>
  <c r="V45" i="6" s="1"/>
  <c r="Y45" i="6"/>
  <c r="W45" i="6"/>
  <c r="U49" i="6"/>
  <c r="V49" i="6" s="1"/>
  <c r="Y49" i="6"/>
  <c r="W49" i="6"/>
  <c r="J47" i="6"/>
  <c r="K47" i="6" s="1"/>
  <c r="O46" i="6"/>
  <c r="Y46" i="6"/>
  <c r="U46" i="6"/>
  <c r="V46" i="6" s="1"/>
  <c r="W46" i="6"/>
  <c r="J39" i="6"/>
  <c r="K39" i="6" s="1"/>
  <c r="O38" i="6"/>
  <c r="J31" i="6"/>
  <c r="K31" i="6" s="1"/>
  <c r="O30" i="6"/>
  <c r="J23" i="6"/>
  <c r="K23" i="6" s="1"/>
  <c r="O22" i="6"/>
  <c r="U17" i="6"/>
  <c r="V17" i="6" s="1"/>
  <c r="W17" i="6"/>
  <c r="Y17" i="6"/>
  <c r="J16" i="6"/>
  <c r="K16" i="6" s="1"/>
  <c r="O15" i="6"/>
  <c r="U13" i="6"/>
  <c r="V13" i="6" s="1"/>
  <c r="Y13" i="6"/>
  <c r="W13" i="6"/>
  <c r="O19" i="6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1" i="21"/>
  <c r="J632" i="6" l="1"/>
  <c r="K632" i="6" s="1"/>
  <c r="O631" i="6"/>
  <c r="O623" i="6"/>
  <c r="J624" i="6"/>
  <c r="K624" i="6" s="1"/>
  <c r="J648" i="6"/>
  <c r="K648" i="6" s="1"/>
  <c r="O647" i="6"/>
  <c r="J640" i="6"/>
  <c r="K640" i="6" s="1"/>
  <c r="O639" i="6"/>
  <c r="J656" i="6"/>
  <c r="K656" i="6" s="1"/>
  <c r="O655" i="6"/>
  <c r="J664" i="6"/>
  <c r="K664" i="6" s="1"/>
  <c r="O663" i="6"/>
  <c r="J672" i="6"/>
  <c r="K672" i="6" s="1"/>
  <c r="O671" i="6"/>
  <c r="J592" i="6"/>
  <c r="K592" i="6" s="1"/>
  <c r="O591" i="6"/>
  <c r="J608" i="6"/>
  <c r="K608" i="6" s="1"/>
  <c r="O607" i="6"/>
  <c r="J568" i="6"/>
  <c r="K568" i="6" s="1"/>
  <c r="O567" i="6"/>
  <c r="J600" i="6"/>
  <c r="K600" i="6" s="1"/>
  <c r="O599" i="6"/>
  <c r="J576" i="6"/>
  <c r="K576" i="6" s="1"/>
  <c r="O575" i="6"/>
  <c r="J616" i="6"/>
  <c r="K616" i="6" s="1"/>
  <c r="O615" i="6"/>
  <c r="O583" i="6"/>
  <c r="J584" i="6"/>
  <c r="K584" i="6" s="1"/>
  <c r="J512" i="6"/>
  <c r="K512" i="6" s="1"/>
  <c r="O511" i="6"/>
  <c r="J528" i="6"/>
  <c r="K528" i="6" s="1"/>
  <c r="O527" i="6"/>
  <c r="J560" i="6"/>
  <c r="K560" i="6" s="1"/>
  <c r="O559" i="6"/>
  <c r="O543" i="6"/>
  <c r="J544" i="6"/>
  <c r="K544" i="6" s="1"/>
  <c r="J552" i="6"/>
  <c r="K552" i="6" s="1"/>
  <c r="O551" i="6"/>
  <c r="O535" i="6"/>
  <c r="J536" i="6"/>
  <c r="K536" i="6" s="1"/>
  <c r="J520" i="6"/>
  <c r="K520" i="6" s="1"/>
  <c r="O519" i="6"/>
  <c r="J488" i="6"/>
  <c r="K488" i="6" s="1"/>
  <c r="O487" i="6"/>
  <c r="J464" i="6"/>
  <c r="K464" i="6" s="1"/>
  <c r="O463" i="6"/>
  <c r="O479" i="6"/>
  <c r="J480" i="6"/>
  <c r="K480" i="6" s="1"/>
  <c r="J497" i="6"/>
  <c r="K497" i="6" s="1"/>
  <c r="O496" i="6"/>
  <c r="J456" i="6"/>
  <c r="K456" i="6" s="1"/>
  <c r="O455" i="6"/>
  <c r="J472" i="6"/>
  <c r="K472" i="6" s="1"/>
  <c r="O471" i="6"/>
  <c r="J504" i="6"/>
  <c r="K504" i="6" s="1"/>
  <c r="O503" i="6"/>
  <c r="J433" i="6"/>
  <c r="K433" i="6" s="1"/>
  <c r="O432" i="6"/>
  <c r="J400" i="6"/>
  <c r="K400" i="6" s="1"/>
  <c r="O399" i="6"/>
  <c r="J409" i="6"/>
  <c r="K409" i="6" s="1"/>
  <c r="O408" i="6"/>
  <c r="J424" i="6"/>
  <c r="K424" i="6" s="1"/>
  <c r="O423" i="6"/>
  <c r="J416" i="6"/>
  <c r="K416" i="6" s="1"/>
  <c r="O415" i="6"/>
  <c r="J440" i="6"/>
  <c r="K440" i="6" s="1"/>
  <c r="O439" i="6"/>
  <c r="J448" i="6"/>
  <c r="K448" i="6" s="1"/>
  <c r="O447" i="6"/>
  <c r="O367" i="6"/>
  <c r="J368" i="6"/>
  <c r="K368" i="6" s="1"/>
  <c r="J384" i="6"/>
  <c r="K384" i="6" s="1"/>
  <c r="O383" i="6"/>
  <c r="J376" i="6"/>
  <c r="K376" i="6" s="1"/>
  <c r="O375" i="6"/>
  <c r="J360" i="6"/>
  <c r="K360" i="6" s="1"/>
  <c r="O359" i="6"/>
  <c r="J352" i="6"/>
  <c r="K352" i="6" s="1"/>
  <c r="O351" i="6"/>
  <c r="J392" i="6"/>
  <c r="K392" i="6" s="1"/>
  <c r="O391" i="6"/>
  <c r="J344" i="6"/>
  <c r="K344" i="6" s="1"/>
  <c r="O343" i="6"/>
  <c r="J328" i="6"/>
  <c r="K328" i="6" s="1"/>
  <c r="O327" i="6"/>
  <c r="J312" i="6"/>
  <c r="K312" i="6" s="1"/>
  <c r="O311" i="6"/>
  <c r="J336" i="6"/>
  <c r="K336" i="6" s="1"/>
  <c r="O335" i="6"/>
  <c r="J296" i="6"/>
  <c r="K296" i="6" s="1"/>
  <c r="O295" i="6"/>
  <c r="J320" i="6"/>
  <c r="K320" i="6" s="1"/>
  <c r="O319" i="6"/>
  <c r="J288" i="6"/>
  <c r="K288" i="6" s="1"/>
  <c r="O287" i="6"/>
  <c r="J304" i="6"/>
  <c r="K304" i="6" s="1"/>
  <c r="O303" i="6"/>
  <c r="J249" i="6"/>
  <c r="K249" i="6" s="1"/>
  <c r="O248" i="6"/>
  <c r="J240" i="6"/>
  <c r="K240" i="6" s="1"/>
  <c r="O239" i="6"/>
  <c r="J264" i="6"/>
  <c r="K264" i="6" s="1"/>
  <c r="O263" i="6"/>
  <c r="J273" i="6"/>
  <c r="K273" i="6" s="1"/>
  <c r="O272" i="6"/>
  <c r="J233" i="6"/>
  <c r="K233" i="6" s="1"/>
  <c r="O232" i="6"/>
  <c r="J280" i="6"/>
  <c r="K280" i="6" s="1"/>
  <c r="O279" i="6"/>
  <c r="J256" i="6"/>
  <c r="K256" i="6" s="1"/>
  <c r="O255" i="6"/>
  <c r="J208" i="6"/>
  <c r="K208" i="6" s="1"/>
  <c r="O207" i="6"/>
  <c r="J200" i="6"/>
  <c r="K200" i="6" s="1"/>
  <c r="O199" i="6"/>
  <c r="J176" i="6"/>
  <c r="K176" i="6" s="1"/>
  <c r="O175" i="6"/>
  <c r="J224" i="6"/>
  <c r="K224" i="6" s="1"/>
  <c r="O223" i="6"/>
  <c r="J184" i="6"/>
  <c r="K184" i="6" s="1"/>
  <c r="O183" i="6"/>
  <c r="J192" i="6"/>
  <c r="K192" i="6" s="1"/>
  <c r="O191" i="6"/>
  <c r="J217" i="6"/>
  <c r="K217" i="6" s="1"/>
  <c r="O216" i="6"/>
  <c r="J160" i="6"/>
  <c r="K160" i="6" s="1"/>
  <c r="O159" i="6"/>
  <c r="J152" i="6"/>
  <c r="K152" i="6" s="1"/>
  <c r="O151" i="6"/>
  <c r="J128" i="6"/>
  <c r="K128" i="6" s="1"/>
  <c r="O127" i="6"/>
  <c r="J168" i="6"/>
  <c r="K168" i="6" s="1"/>
  <c r="O167" i="6"/>
  <c r="J144" i="6"/>
  <c r="K144" i="6" s="1"/>
  <c r="O143" i="6"/>
  <c r="J120" i="6"/>
  <c r="K120" i="6" s="1"/>
  <c r="O119" i="6"/>
  <c r="J136" i="6"/>
  <c r="K136" i="6" s="1"/>
  <c r="O135" i="6"/>
  <c r="J80" i="6"/>
  <c r="K80" i="6" s="1"/>
  <c r="O79" i="6"/>
  <c r="J72" i="6"/>
  <c r="K72" i="6" s="1"/>
  <c r="O71" i="6"/>
  <c r="J104" i="6"/>
  <c r="K104" i="6" s="1"/>
  <c r="O103" i="6"/>
  <c r="J65" i="6"/>
  <c r="K65" i="6" s="1"/>
  <c r="O64" i="6"/>
  <c r="O87" i="6"/>
  <c r="J88" i="6"/>
  <c r="K88" i="6" s="1"/>
  <c r="J96" i="6"/>
  <c r="K96" i="6" s="1"/>
  <c r="O95" i="6"/>
  <c r="J112" i="6"/>
  <c r="K112" i="6" s="1"/>
  <c r="O111" i="6"/>
  <c r="J56" i="6"/>
  <c r="K56" i="6" s="1"/>
  <c r="O55" i="6"/>
  <c r="J48" i="6"/>
  <c r="K48" i="6" s="1"/>
  <c r="O47" i="6"/>
  <c r="J40" i="6"/>
  <c r="K40" i="6" s="1"/>
  <c r="O39" i="6"/>
  <c r="J32" i="6"/>
  <c r="K32" i="6" s="1"/>
  <c r="O31" i="6"/>
  <c r="J24" i="6"/>
  <c r="K24" i="6" s="1"/>
  <c r="O23" i="6"/>
  <c r="J17" i="6"/>
  <c r="K17" i="6" s="1"/>
  <c r="O16" i="6"/>
  <c r="H38" i="2"/>
  <c r="A124" i="2" s="1"/>
  <c r="C10" i="1"/>
  <c r="CY7" i="1"/>
  <c r="CY6" i="1" s="1"/>
  <c r="K85" i="7" s="1"/>
  <c r="K666" i="8" s="1"/>
  <c r="C11" i="1"/>
  <c r="M85" i="7"/>
  <c r="M666" i="8" s="1"/>
  <c r="G38" i="2"/>
  <c r="A123" i="2" s="1"/>
  <c r="C84" i="7" s="1"/>
  <c r="C658" i="8" s="1"/>
  <c r="CX7" i="1"/>
  <c r="CX18" i="1" s="1"/>
  <c r="M84" i="7"/>
  <c r="M658" i="8" s="1"/>
  <c r="F38" i="2"/>
  <c r="A122" i="2" s="1"/>
  <c r="C83" i="7" s="1"/>
  <c r="C650" i="8" s="1"/>
  <c r="CW7" i="1"/>
  <c r="CW5" i="1" s="1"/>
  <c r="L83" i="7" s="1"/>
  <c r="L650" i="8" s="1"/>
  <c r="M83" i="7"/>
  <c r="M650" i="8" s="1"/>
  <c r="E38" i="2"/>
  <c r="A121" i="2" s="1"/>
  <c r="C82" i="7" s="1"/>
  <c r="C642" i="8" s="1"/>
  <c r="CV7" i="1"/>
  <c r="M82" i="7"/>
  <c r="M642" i="8" s="1"/>
  <c r="D38" i="2"/>
  <c r="A120" i="2" s="1"/>
  <c r="C81" i="7" s="1"/>
  <c r="C634" i="8" s="1"/>
  <c r="M81" i="7"/>
  <c r="M634" i="8" s="1"/>
  <c r="CU7" i="1"/>
  <c r="CU5" i="1" s="1"/>
  <c r="L81" i="7" s="1"/>
  <c r="L634" i="8" s="1"/>
  <c r="C38" i="2"/>
  <c r="A119" i="2" s="1"/>
  <c r="C80" i="7" s="1"/>
  <c r="C626" i="8" s="1"/>
  <c r="M80" i="7"/>
  <c r="M626" i="8" s="1"/>
  <c r="CT7" i="1"/>
  <c r="CT4" i="1" s="1"/>
  <c r="B38" i="2"/>
  <c r="A118" i="2" s="1"/>
  <c r="C79" i="7" s="1"/>
  <c r="C618" i="8" s="1"/>
  <c r="M79" i="7"/>
  <c r="M618" i="8" s="1"/>
  <c r="CS7" i="1"/>
  <c r="CS5" i="1" s="1"/>
  <c r="L79" i="7" s="1"/>
  <c r="L618" i="8" s="1"/>
  <c r="H37" i="2"/>
  <c r="A117" i="2" s="1"/>
  <c r="C78" i="7" s="1"/>
  <c r="C610" i="8" s="1"/>
  <c r="M78" i="7"/>
  <c r="M610" i="8" s="1"/>
  <c r="CR7" i="1"/>
  <c r="CR5" i="1" s="1"/>
  <c r="L78" i="7" s="1"/>
  <c r="L610" i="8" s="1"/>
  <c r="G37" i="2"/>
  <c r="A116" i="2" s="1"/>
  <c r="C77" i="7" s="1"/>
  <c r="C602" i="8" s="1"/>
  <c r="M77" i="7"/>
  <c r="M602" i="8" s="1"/>
  <c r="CQ7" i="1"/>
  <c r="CQ6" i="1" s="1"/>
  <c r="K77" i="7" s="1"/>
  <c r="K602" i="8" s="1"/>
  <c r="F37" i="2"/>
  <c r="A115" i="2" s="1"/>
  <c r="C76" i="7" s="1"/>
  <c r="C594" i="8" s="1"/>
  <c r="M76" i="7"/>
  <c r="M594" i="8" s="1"/>
  <c r="CP7" i="1"/>
  <c r="CP6" i="1" s="1"/>
  <c r="K76" i="7" s="1"/>
  <c r="K594" i="8" s="1"/>
  <c r="E37" i="2"/>
  <c r="A114" i="2" s="1"/>
  <c r="C75" i="7" s="1"/>
  <c r="C586" i="8" s="1"/>
  <c r="M75" i="7"/>
  <c r="M586" i="8" s="1"/>
  <c r="CO7" i="1"/>
  <c r="CO5" i="1" s="1"/>
  <c r="L75" i="7" s="1"/>
  <c r="L586" i="8" s="1"/>
  <c r="D37" i="2"/>
  <c r="A113" i="2" s="1"/>
  <c r="C74" i="7" s="1"/>
  <c r="C578" i="8" s="1"/>
  <c r="M74" i="7"/>
  <c r="M578" i="8" s="1"/>
  <c r="CN7" i="1"/>
  <c r="CN5" i="1" s="1"/>
  <c r="L74" i="7" s="1"/>
  <c r="L578" i="8" s="1"/>
  <c r="C37" i="2"/>
  <c r="A112" i="2" s="1"/>
  <c r="C73" i="7" s="1"/>
  <c r="C570" i="8" s="1"/>
  <c r="M73" i="7"/>
  <c r="M570" i="8" s="1"/>
  <c r="CM7" i="1"/>
  <c r="CM5" i="1" s="1"/>
  <c r="L73" i="7" s="1"/>
  <c r="L570" i="8" s="1"/>
  <c r="B37" i="2"/>
  <c r="A111" i="2" s="1"/>
  <c r="M72" i="7"/>
  <c r="M562" i="8" s="1"/>
  <c r="CL7" i="1"/>
  <c r="CL5" i="1" s="1"/>
  <c r="L72" i="7" s="1"/>
  <c r="L562" i="8" s="1"/>
  <c r="H36" i="2"/>
  <c r="A110" i="2" s="1"/>
  <c r="C71" i="7" s="1"/>
  <c r="C554" i="8" s="1"/>
  <c r="M71" i="7"/>
  <c r="M554" i="8" s="1"/>
  <c r="CK7" i="1"/>
  <c r="CK5" i="1" s="1"/>
  <c r="L71" i="7" s="1"/>
  <c r="L554" i="8" s="1"/>
  <c r="G36" i="2"/>
  <c r="A109" i="2" s="1"/>
  <c r="M70" i="7"/>
  <c r="M546" i="8" s="1"/>
  <c r="CJ7" i="1"/>
  <c r="CJ5" i="1" s="1"/>
  <c r="L70" i="7" s="1"/>
  <c r="L546" i="8" s="1"/>
  <c r="F36" i="2"/>
  <c r="A108" i="2" s="1"/>
  <c r="M69" i="7"/>
  <c r="M538" i="8" s="1"/>
  <c r="CI7" i="1"/>
  <c r="CI5" i="1" s="1"/>
  <c r="L69" i="7" s="1"/>
  <c r="L538" i="8" s="1"/>
  <c r="E36" i="2"/>
  <c r="A107" i="2" s="1"/>
  <c r="M68" i="7"/>
  <c r="M530" i="8" s="1"/>
  <c r="CH7" i="1"/>
  <c r="CH5" i="1" s="1"/>
  <c r="L68" i="7" s="1"/>
  <c r="L530" i="8" s="1"/>
  <c r="D36" i="2"/>
  <c r="A106" i="2" s="1"/>
  <c r="M67" i="7"/>
  <c r="M522" i="8" s="1"/>
  <c r="CG7" i="1"/>
  <c r="CG5" i="1" s="1"/>
  <c r="L67" i="7" s="1"/>
  <c r="L522" i="8" s="1"/>
  <c r="C36" i="2"/>
  <c r="A105" i="2" s="1"/>
  <c r="M66" i="7"/>
  <c r="M514" i="8" s="1"/>
  <c r="CF7" i="1"/>
  <c r="CF5" i="1" s="1"/>
  <c r="L66" i="7" s="1"/>
  <c r="L514" i="8" s="1"/>
  <c r="B36" i="2"/>
  <c r="A104" i="2" s="1"/>
  <c r="C65" i="7" s="1"/>
  <c r="C506" i="8" s="1"/>
  <c r="M65" i="7"/>
  <c r="M506" i="8" s="1"/>
  <c r="CE7" i="1"/>
  <c r="CE5" i="1" s="1"/>
  <c r="L65" i="7" s="1"/>
  <c r="L506" i="8" s="1"/>
  <c r="H35" i="2"/>
  <c r="A103" i="2" s="1"/>
  <c r="C64" i="7" s="1"/>
  <c r="C498" i="8" s="1"/>
  <c r="M64" i="7"/>
  <c r="M498" i="8" s="1"/>
  <c r="CD7" i="1"/>
  <c r="CD5" i="1" s="1"/>
  <c r="L64" i="7" s="1"/>
  <c r="L498" i="8" s="1"/>
  <c r="G35" i="2"/>
  <c r="A102" i="2" s="1"/>
  <c r="C63" i="7" s="1"/>
  <c r="C490" i="8" s="1"/>
  <c r="M63" i="7"/>
  <c r="M490" i="8" s="1"/>
  <c r="CC7" i="1"/>
  <c r="CC18" i="1" s="1"/>
  <c r="F35" i="2"/>
  <c r="A101" i="2" s="1"/>
  <c r="C62" i="7" s="1"/>
  <c r="C482" i="8" s="1"/>
  <c r="M62" i="7"/>
  <c r="M482" i="8" s="1"/>
  <c r="CB7" i="1"/>
  <c r="CB5" i="1" s="1"/>
  <c r="L62" i="7" s="1"/>
  <c r="L482" i="8" s="1"/>
  <c r="E35" i="2"/>
  <c r="A100" i="2" s="1"/>
  <c r="C61" i="7" s="1"/>
  <c r="C474" i="8" s="1"/>
  <c r="M61" i="7"/>
  <c r="M474" i="8" s="1"/>
  <c r="CA7" i="1"/>
  <c r="CA5" i="1" s="1"/>
  <c r="L61" i="7" s="1"/>
  <c r="L474" i="8" s="1"/>
  <c r="D35" i="2"/>
  <c r="A99" i="2" s="1"/>
  <c r="C60" i="7" s="1"/>
  <c r="C466" i="8" s="1"/>
  <c r="M60" i="7"/>
  <c r="M466" i="8" s="1"/>
  <c r="BZ7" i="1"/>
  <c r="BZ5" i="1" s="1"/>
  <c r="L60" i="7" s="1"/>
  <c r="L466" i="8" s="1"/>
  <c r="C35" i="2"/>
  <c r="A98" i="2" s="1"/>
  <c r="C59" i="7" s="1"/>
  <c r="C458" i="8" s="1"/>
  <c r="M59" i="7"/>
  <c r="M458" i="8" s="1"/>
  <c r="BY7" i="1"/>
  <c r="BY5" i="1" s="1"/>
  <c r="L59" i="7" s="1"/>
  <c r="L458" i="8" s="1"/>
  <c r="B35" i="2"/>
  <c r="A97" i="2" s="1"/>
  <c r="C58" i="7" s="1"/>
  <c r="C450" i="8" s="1"/>
  <c r="M58" i="7"/>
  <c r="M450" i="8" s="1"/>
  <c r="BX7" i="1"/>
  <c r="BX18" i="1" s="1"/>
  <c r="H34" i="2"/>
  <c r="A96" i="2" s="1"/>
  <c r="C57" i="7" s="1"/>
  <c r="C442" i="8" s="1"/>
  <c r="M57" i="7"/>
  <c r="M442" i="8" s="1"/>
  <c r="BW7" i="1"/>
  <c r="BW5" i="1" s="1"/>
  <c r="L57" i="7" s="1"/>
  <c r="L442" i="8" s="1"/>
  <c r="G34" i="2"/>
  <c r="A95" i="2" s="1"/>
  <c r="M56" i="7"/>
  <c r="M434" i="8" s="1"/>
  <c r="BV7" i="1"/>
  <c r="BV18" i="1" s="1"/>
  <c r="F34" i="2"/>
  <c r="A94" i="2" s="1"/>
  <c r="C55" i="7" s="1"/>
  <c r="C426" i="8" s="1"/>
  <c r="M55" i="7"/>
  <c r="M426" i="8" s="1"/>
  <c r="BU7" i="1"/>
  <c r="BU5" i="1" s="1"/>
  <c r="L55" i="7" s="1"/>
  <c r="L426" i="8" s="1"/>
  <c r="E34" i="2"/>
  <c r="A93" i="2" s="1"/>
  <c r="C54" i="7" s="1"/>
  <c r="C418" i="8" s="1"/>
  <c r="M54" i="7"/>
  <c r="M418" i="8" s="1"/>
  <c r="BT7" i="1"/>
  <c r="BT6" i="1" s="1"/>
  <c r="K54" i="7" s="1"/>
  <c r="K418" i="8" s="1"/>
  <c r="D34" i="2"/>
  <c r="A92" i="2" s="1"/>
  <c r="C53" i="7" s="1"/>
  <c r="C410" i="8" s="1"/>
  <c r="M53" i="7"/>
  <c r="M410" i="8" s="1"/>
  <c r="BS7" i="1"/>
  <c r="BS5" i="1" s="1"/>
  <c r="L53" i="7" s="1"/>
  <c r="L410" i="8" s="1"/>
  <c r="C34" i="2"/>
  <c r="A91" i="2" s="1"/>
  <c r="C52" i="7" s="1"/>
  <c r="C402" i="8" s="1"/>
  <c r="M52" i="7"/>
  <c r="M402" i="8" s="1"/>
  <c r="BR7" i="1"/>
  <c r="BR5" i="1" s="1"/>
  <c r="L52" i="7" s="1"/>
  <c r="L402" i="8" s="1"/>
  <c r="B34" i="2"/>
  <c r="A90" i="2" s="1"/>
  <c r="C51" i="7" s="1"/>
  <c r="C394" i="8" s="1"/>
  <c r="M51" i="7"/>
  <c r="M394" i="8" s="1"/>
  <c r="BQ7" i="1"/>
  <c r="BQ6" i="1" s="1"/>
  <c r="K51" i="7" s="1"/>
  <c r="K394" i="8" s="1"/>
  <c r="H33" i="2"/>
  <c r="A89" i="2" s="1"/>
  <c r="C50" i="7" s="1"/>
  <c r="C386" i="8" s="1"/>
  <c r="M50" i="7"/>
  <c r="M386" i="8" s="1"/>
  <c r="BP7" i="1"/>
  <c r="BP5" i="1" s="1"/>
  <c r="L50" i="7" s="1"/>
  <c r="L386" i="8" s="1"/>
  <c r="G33" i="2"/>
  <c r="A88" i="2" s="1"/>
  <c r="C49" i="7" s="1"/>
  <c r="C378" i="8" s="1"/>
  <c r="M49" i="7"/>
  <c r="M378" i="8" s="1"/>
  <c r="BO7" i="1"/>
  <c r="BO5" i="1" s="1"/>
  <c r="L49" i="7" s="1"/>
  <c r="L378" i="8" s="1"/>
  <c r="F33" i="2"/>
  <c r="A87" i="2" s="1"/>
  <c r="M48" i="7"/>
  <c r="M370" i="8" s="1"/>
  <c r="BN7" i="1"/>
  <c r="BN18" i="1" s="1"/>
  <c r="E33" i="2"/>
  <c r="A86" i="2" s="1"/>
  <c r="M47" i="7"/>
  <c r="M362" i="8" s="1"/>
  <c r="BM7" i="1"/>
  <c r="BM18" i="1" s="1"/>
  <c r="D33" i="2"/>
  <c r="A85" i="2" s="1"/>
  <c r="M46" i="7"/>
  <c r="M354" i="8" s="1"/>
  <c r="BL7" i="1"/>
  <c r="BL4" i="1" s="1"/>
  <c r="C33" i="2"/>
  <c r="A84" i="2" s="1"/>
  <c r="C45" i="7" s="1"/>
  <c r="C346" i="8" s="1"/>
  <c r="M45" i="7"/>
  <c r="M346" i="8" s="1"/>
  <c r="BK7" i="1"/>
  <c r="BK4" i="1" s="1"/>
  <c r="B33" i="2"/>
  <c r="A83" i="2" s="1"/>
  <c r="C44" i="7" s="1"/>
  <c r="C338" i="8" s="1"/>
  <c r="M44" i="7"/>
  <c r="M338" i="8" s="1"/>
  <c r="BJ7" i="1"/>
  <c r="BJ5" i="1" s="1"/>
  <c r="L44" i="7" s="1"/>
  <c r="L338" i="8" s="1"/>
  <c r="H32" i="2"/>
  <c r="A82" i="2" s="1"/>
  <c r="C43" i="7" s="1"/>
  <c r="C330" i="8" s="1"/>
  <c r="M43" i="7"/>
  <c r="M330" i="8" s="1"/>
  <c r="BI7" i="1"/>
  <c r="BI5" i="1" s="1"/>
  <c r="L43" i="7" s="1"/>
  <c r="L330" i="8" s="1"/>
  <c r="G32" i="2"/>
  <c r="A81" i="2" s="1"/>
  <c r="M42" i="7"/>
  <c r="M322" i="8" s="1"/>
  <c r="BH7" i="1"/>
  <c r="BH5" i="1" s="1"/>
  <c r="L42" i="7" s="1"/>
  <c r="L322" i="8" s="1"/>
  <c r="F32" i="2"/>
  <c r="A80" i="2" s="1"/>
  <c r="C41" i="7" s="1"/>
  <c r="C314" i="8" s="1"/>
  <c r="M41" i="7"/>
  <c r="M314" i="8" s="1"/>
  <c r="BG7" i="1"/>
  <c r="BG5" i="1" s="1"/>
  <c r="L41" i="7" s="1"/>
  <c r="L314" i="8" s="1"/>
  <c r="E32" i="2"/>
  <c r="A79" i="2" s="1"/>
  <c r="M40" i="7"/>
  <c r="M306" i="8" s="1"/>
  <c r="BF7" i="1"/>
  <c r="D32" i="2"/>
  <c r="A78" i="2" s="1"/>
  <c r="M39" i="7"/>
  <c r="M298" i="8" s="1"/>
  <c r="BE7" i="1"/>
  <c r="BE5" i="1" s="1"/>
  <c r="L39" i="7" s="1"/>
  <c r="L298" i="8" s="1"/>
  <c r="C32" i="2"/>
  <c r="A77" i="2" s="1"/>
  <c r="C38" i="7" s="1"/>
  <c r="C290" i="8" s="1"/>
  <c r="M38" i="7"/>
  <c r="M290" i="8" s="1"/>
  <c r="BD7" i="1"/>
  <c r="BD5" i="1" s="1"/>
  <c r="L38" i="7" s="1"/>
  <c r="L290" i="8" s="1"/>
  <c r="B32" i="2"/>
  <c r="A76" i="2" s="1"/>
  <c r="C37" i="7" s="1"/>
  <c r="C282" i="8" s="1"/>
  <c r="M37" i="7"/>
  <c r="M282" i="8" s="1"/>
  <c r="BC7" i="1"/>
  <c r="BC5" i="1" s="1"/>
  <c r="L37" i="7" s="1"/>
  <c r="L282" i="8" s="1"/>
  <c r="H31" i="2"/>
  <c r="A75" i="2" s="1"/>
  <c r="C36" i="7" s="1"/>
  <c r="C274" i="8" s="1"/>
  <c r="M36" i="7"/>
  <c r="M274" i="8" s="1"/>
  <c r="BB7" i="1"/>
  <c r="BB18" i="1" s="1"/>
  <c r="G31" i="2"/>
  <c r="A74" i="2" s="1"/>
  <c r="M35" i="7"/>
  <c r="M266" i="8" s="1"/>
  <c r="BA7" i="1"/>
  <c r="BA5" i="1" s="1"/>
  <c r="L35" i="7" s="1"/>
  <c r="L266" i="8" s="1"/>
  <c r="F31" i="2"/>
  <c r="A73" i="2" s="1"/>
  <c r="M34" i="7"/>
  <c r="M258" i="8" s="1"/>
  <c r="AZ7" i="1"/>
  <c r="AZ6" i="1" s="1"/>
  <c r="K34" i="7" s="1"/>
  <c r="K258" i="8" s="1"/>
  <c r="E31" i="2"/>
  <c r="A72" i="2" s="1"/>
  <c r="M33" i="7"/>
  <c r="M250" i="8" s="1"/>
  <c r="AY7" i="1"/>
  <c r="AY5" i="1" s="1"/>
  <c r="L33" i="7" s="1"/>
  <c r="L250" i="8" s="1"/>
  <c r="D31" i="2"/>
  <c r="A71" i="2" s="1"/>
  <c r="C32" i="7" s="1"/>
  <c r="C242" i="8" s="1"/>
  <c r="M32" i="7"/>
  <c r="M242" i="8" s="1"/>
  <c r="C31" i="2"/>
  <c r="A70" i="2" s="1"/>
  <c r="M31" i="7"/>
  <c r="M234" i="8" s="1"/>
  <c r="B31" i="2"/>
  <c r="A69" i="2" s="1"/>
  <c r="C30" i="7" s="1"/>
  <c r="C226" i="8" s="1"/>
  <c r="M30" i="7"/>
  <c r="M226" i="8" s="1"/>
  <c r="H30" i="2"/>
  <c r="A68" i="2" s="1"/>
  <c r="C29" i="7" s="1"/>
  <c r="C218" i="8" s="1"/>
  <c r="M29" i="7"/>
  <c r="M218" i="8" s="1"/>
  <c r="G30" i="2"/>
  <c r="A67" i="2" s="1"/>
  <c r="C28" i="7" s="1"/>
  <c r="C210" i="8" s="1"/>
  <c r="M28" i="7"/>
  <c r="M210" i="8" s="1"/>
  <c r="F30" i="2"/>
  <c r="A66" i="2" s="1"/>
  <c r="M27" i="7"/>
  <c r="M202" i="8" s="1"/>
  <c r="E30" i="2"/>
  <c r="A65" i="2" s="1"/>
  <c r="C26" i="7" s="1"/>
  <c r="C194" i="8" s="1"/>
  <c r="M26" i="7"/>
  <c r="M194" i="8" s="1"/>
  <c r="D30" i="2"/>
  <c r="A64" i="2" s="1"/>
  <c r="C25" i="7" s="1"/>
  <c r="C186" i="8" s="1"/>
  <c r="M25" i="7"/>
  <c r="M186" i="8" s="1"/>
  <c r="C30" i="2"/>
  <c r="A63" i="2" s="1"/>
  <c r="C24" i="7" s="1"/>
  <c r="C178" i="8" s="1"/>
  <c r="M24" i="7"/>
  <c r="M178" i="8" s="1"/>
  <c r="B30" i="2"/>
  <c r="A62" i="2" s="1"/>
  <c r="C23" i="7" s="1"/>
  <c r="C170" i="8" s="1"/>
  <c r="M23" i="7"/>
  <c r="M170" i="8" s="1"/>
  <c r="H29" i="2"/>
  <c r="A61" i="2" s="1"/>
  <c r="C22" i="7" s="1"/>
  <c r="C162" i="8" s="1"/>
  <c r="M22" i="7"/>
  <c r="M162" i="8" s="1"/>
  <c r="AN7" i="1"/>
  <c r="AN5" i="1" s="1"/>
  <c r="L22" i="7" s="1"/>
  <c r="L162" i="8" s="1"/>
  <c r="G29" i="2"/>
  <c r="A60" i="2" s="1"/>
  <c r="C21" i="7" s="1"/>
  <c r="C154" i="8" s="1"/>
  <c r="M21" i="7"/>
  <c r="M154" i="8" s="1"/>
  <c r="F29" i="2"/>
  <c r="A59" i="2" s="1"/>
  <c r="C20" i="7" s="1"/>
  <c r="C146" i="8" s="1"/>
  <c r="M20" i="7"/>
  <c r="M146" i="8" s="1"/>
  <c r="E29" i="2"/>
  <c r="A58" i="2" s="1"/>
  <c r="C19" i="7" s="1"/>
  <c r="C138" i="8" s="1"/>
  <c r="M19" i="7"/>
  <c r="M138" i="8" s="1"/>
  <c r="D29" i="2"/>
  <c r="A57" i="2" s="1"/>
  <c r="M18" i="7"/>
  <c r="M130" i="8" s="1"/>
  <c r="C29" i="2"/>
  <c r="A56" i="2" s="1"/>
  <c r="C17" i="7" s="1"/>
  <c r="C122" i="8" s="1"/>
  <c r="M17" i="7"/>
  <c r="M122" i="8" s="1"/>
  <c r="B29" i="2"/>
  <c r="A55" i="2" s="1"/>
  <c r="M16" i="7"/>
  <c r="M114" i="8" s="1"/>
  <c r="H28" i="2"/>
  <c r="A54" i="2" s="1"/>
  <c r="C15" i="7" s="1"/>
  <c r="C106" i="8" s="1"/>
  <c r="M15" i="7"/>
  <c r="M106" i="8" s="1"/>
  <c r="AG7" i="1"/>
  <c r="AG5" i="1" s="1"/>
  <c r="L15" i="7" s="1"/>
  <c r="L106" i="8" s="1"/>
  <c r="G28" i="2"/>
  <c r="A53" i="2" s="1"/>
  <c r="C14" i="7" s="1"/>
  <c r="C98" i="8" s="1"/>
  <c r="M14" i="7"/>
  <c r="M98" i="8" s="1"/>
  <c r="AF7" i="1"/>
  <c r="AF4" i="1" s="1"/>
  <c r="F28" i="2"/>
  <c r="A52" i="2" s="1"/>
  <c r="C13" i="7" s="1"/>
  <c r="C90" i="8" s="1"/>
  <c r="M13" i="7"/>
  <c r="M90" i="8" s="1"/>
  <c r="AE7" i="1"/>
  <c r="AE5" i="1" s="1"/>
  <c r="L13" i="7" s="1"/>
  <c r="L90" i="8" s="1"/>
  <c r="E28" i="2"/>
  <c r="A51" i="2" s="1"/>
  <c r="C12" i="7" s="1"/>
  <c r="C82" i="8" s="1"/>
  <c r="M12" i="7"/>
  <c r="M82" i="8" s="1"/>
  <c r="AD7" i="1"/>
  <c r="AD5" i="1" s="1"/>
  <c r="L12" i="7" s="1"/>
  <c r="L82" i="8" s="1"/>
  <c r="D28" i="2"/>
  <c r="A50" i="2" s="1"/>
  <c r="C11" i="7" s="1"/>
  <c r="C74" i="8" s="1"/>
  <c r="M11" i="7"/>
  <c r="M74" i="8" s="1"/>
  <c r="AC7" i="1"/>
  <c r="AC6" i="1" s="1"/>
  <c r="K11" i="7" s="1"/>
  <c r="K74" i="8" s="1"/>
  <c r="C28" i="2"/>
  <c r="A49" i="2" s="1"/>
  <c r="C10" i="7" s="1"/>
  <c r="C66" i="8" s="1"/>
  <c r="M10" i="7"/>
  <c r="M66" i="8" s="1"/>
  <c r="AB7" i="1"/>
  <c r="AB5" i="1" s="1"/>
  <c r="L10" i="7" s="1"/>
  <c r="L66" i="8" s="1"/>
  <c r="B28" i="2"/>
  <c r="A48" i="2" s="1"/>
  <c r="C9" i="7" s="1"/>
  <c r="C58" i="8" s="1"/>
  <c r="M9" i="7"/>
  <c r="M58" i="8" s="1"/>
  <c r="AA7" i="1"/>
  <c r="AA6" i="1" s="1"/>
  <c r="K9" i="7" s="1"/>
  <c r="K58" i="8" s="1"/>
  <c r="H27" i="2"/>
  <c r="A47" i="2" s="1"/>
  <c r="C8" i="7" s="1"/>
  <c r="C50" i="8" s="1"/>
  <c r="M8" i="7"/>
  <c r="M50" i="8" s="1"/>
  <c r="Z7" i="1"/>
  <c r="Z5" i="1" s="1"/>
  <c r="L8" i="7" s="1"/>
  <c r="L50" i="8" s="1"/>
  <c r="G27" i="2"/>
  <c r="A46" i="2" s="1"/>
  <c r="C7" i="7" s="1"/>
  <c r="C42" i="8" s="1"/>
  <c r="M7" i="7"/>
  <c r="M42" i="8" s="1"/>
  <c r="Y7" i="1"/>
  <c r="Y5" i="1" s="1"/>
  <c r="L7" i="7" s="1"/>
  <c r="L42" i="8" s="1"/>
  <c r="F27" i="2"/>
  <c r="A45" i="2" s="1"/>
  <c r="C6" i="7" s="1"/>
  <c r="C34" i="8" s="1"/>
  <c r="E36" i="6" s="1"/>
  <c r="A36" i="6" s="1"/>
  <c r="M6" i="7"/>
  <c r="M34" i="8" s="1"/>
  <c r="F36" i="6" s="1"/>
  <c r="X7" i="1"/>
  <c r="X5" i="1" s="1"/>
  <c r="L6" i="7" s="1"/>
  <c r="L34" i="8" s="1"/>
  <c r="E27" i="2"/>
  <c r="A44" i="2" s="1"/>
  <c r="C5" i="7" s="1"/>
  <c r="C26" i="8" s="1"/>
  <c r="E28" i="6" s="1"/>
  <c r="A28" i="6" s="1"/>
  <c r="M5" i="7"/>
  <c r="M26" i="8" s="1"/>
  <c r="F28" i="6" s="1"/>
  <c r="W7" i="1"/>
  <c r="W6" i="1" s="1"/>
  <c r="K5" i="7" s="1"/>
  <c r="K26" i="8" s="1"/>
  <c r="D27" i="2"/>
  <c r="A43" i="2" s="1"/>
  <c r="C4" i="7" s="1"/>
  <c r="C18" i="8" s="1"/>
  <c r="E20" i="6" s="1"/>
  <c r="A20" i="6" s="1"/>
  <c r="M4" i="7"/>
  <c r="M18" i="8" s="1"/>
  <c r="F20" i="6" s="1"/>
  <c r="V7" i="1"/>
  <c r="V6" i="1" s="1"/>
  <c r="K4" i="7" s="1"/>
  <c r="K18" i="8" s="1"/>
  <c r="C27" i="2"/>
  <c r="A42" i="2" s="1"/>
  <c r="M3" i="7"/>
  <c r="M10" i="8" s="1"/>
  <c r="F12" i="6" s="1"/>
  <c r="U7" i="1"/>
  <c r="U5" i="1" s="1"/>
  <c r="L3" i="7" s="1"/>
  <c r="L10" i="8" s="1"/>
  <c r="B27" i="2"/>
  <c r="A41" i="2" s="1"/>
  <c r="T7" i="1"/>
  <c r="T6" i="1" s="1"/>
  <c r="K2" i="7" s="1"/>
  <c r="K2" i="8" s="1"/>
  <c r="M5" i="6" s="1"/>
  <c r="K6" i="22"/>
  <c r="K15" i="22"/>
  <c r="N9" i="7" s="1"/>
  <c r="L5" i="3"/>
  <c r="L4" i="3"/>
  <c r="E6" i="22"/>
  <c r="E8" i="22" s="1"/>
  <c r="F6" i="22"/>
  <c r="F8" i="22"/>
  <c r="F10" i="22" s="1"/>
  <c r="F12" i="22" s="1"/>
  <c r="F14" i="22" s="1"/>
  <c r="G6" i="22"/>
  <c r="G8" i="22" s="1"/>
  <c r="H6" i="22"/>
  <c r="H8" i="22"/>
  <c r="H10" i="22" s="1"/>
  <c r="H12" i="22" s="1"/>
  <c r="H14" i="22" s="1"/>
  <c r="I6" i="22"/>
  <c r="I8" i="22" s="1"/>
  <c r="J6" i="22"/>
  <c r="J8" i="22"/>
  <c r="J10" i="22" s="1"/>
  <c r="K8" i="22"/>
  <c r="K10" i="22" s="1"/>
  <c r="L6" i="22"/>
  <c r="L8" i="22" s="1"/>
  <c r="M6" i="22"/>
  <c r="M8" i="22"/>
  <c r="M10" i="22" s="1"/>
  <c r="M16" i="22" s="1"/>
  <c r="O11" i="7" s="1"/>
  <c r="O74" i="8" s="1"/>
  <c r="N6" i="22"/>
  <c r="N8" i="22"/>
  <c r="N10" i="22" s="1"/>
  <c r="N12" i="22" s="1"/>
  <c r="N14" i="22" s="1"/>
  <c r="O6" i="22"/>
  <c r="O8" i="22" s="1"/>
  <c r="O10" i="22" s="1"/>
  <c r="P6" i="22"/>
  <c r="P8" i="22"/>
  <c r="Q6" i="22"/>
  <c r="R6" i="22"/>
  <c r="R8" i="22"/>
  <c r="R10" i="22" s="1"/>
  <c r="R12" i="22"/>
  <c r="R14" i="22" s="1"/>
  <c r="S6" i="22"/>
  <c r="S8" i="22" s="1"/>
  <c r="S10" i="22"/>
  <c r="T6" i="22"/>
  <c r="T8" i="22"/>
  <c r="U6" i="22"/>
  <c r="U8" i="22" s="1"/>
  <c r="V6" i="22"/>
  <c r="V8" i="22"/>
  <c r="V10" i="22" s="1"/>
  <c r="V12" i="22" s="1"/>
  <c r="V14" i="22" s="1"/>
  <c r="W6" i="22"/>
  <c r="W8" i="22" s="1"/>
  <c r="W10" i="22" s="1"/>
  <c r="X6" i="22"/>
  <c r="X8" i="22"/>
  <c r="Y6" i="22"/>
  <c r="Y8" i="22" s="1"/>
  <c r="Z6" i="22"/>
  <c r="Z8" i="22"/>
  <c r="Z10" i="22" s="1"/>
  <c r="Z12" i="22"/>
  <c r="Z14" i="22" s="1"/>
  <c r="AA6" i="22"/>
  <c r="AA8" i="22" s="1"/>
  <c r="AB6" i="22"/>
  <c r="AB8" i="22"/>
  <c r="AC6" i="22"/>
  <c r="AC8" i="22" s="1"/>
  <c r="AD6" i="22"/>
  <c r="AD8" i="22"/>
  <c r="AD10" i="22" s="1"/>
  <c r="AD16" i="22" s="1"/>
  <c r="O28" i="7" s="1"/>
  <c r="O210" i="8" s="1"/>
  <c r="AE6" i="22"/>
  <c r="AE8" i="22"/>
  <c r="AE10" i="22" s="1"/>
  <c r="AE12" i="22"/>
  <c r="AE14" i="22" s="1"/>
  <c r="AF6" i="22"/>
  <c r="AF8" i="22" s="1"/>
  <c r="AG6" i="22"/>
  <c r="AG8" i="22"/>
  <c r="AG10" i="22" s="1"/>
  <c r="AH6" i="22"/>
  <c r="AH8" i="22" s="1"/>
  <c r="AH10" i="22"/>
  <c r="AI6" i="22"/>
  <c r="AI8" i="22" s="1"/>
  <c r="AJ6" i="22"/>
  <c r="AJ8" i="22" s="1"/>
  <c r="AJ10" i="22"/>
  <c r="AK6" i="22"/>
  <c r="AK8" i="22"/>
  <c r="AK10" i="22" s="1"/>
  <c r="AK12" i="22"/>
  <c r="AK14" i="22" s="1"/>
  <c r="AL6" i="22"/>
  <c r="AL8" i="22" s="1"/>
  <c r="AM6" i="22"/>
  <c r="AM8" i="22"/>
  <c r="AM10" i="22" s="1"/>
  <c r="AN6" i="22"/>
  <c r="AN8" i="22" s="1"/>
  <c r="AN10" i="22"/>
  <c r="AO6" i="22"/>
  <c r="AO8" i="22"/>
  <c r="AO10" i="22" s="1"/>
  <c r="AO12" i="22"/>
  <c r="AO14" i="22" s="1"/>
  <c r="AP6" i="22"/>
  <c r="AP8" i="22" s="1"/>
  <c r="AQ6" i="22"/>
  <c r="AQ8" i="22"/>
  <c r="AQ10" i="22" s="1"/>
  <c r="AR6" i="22"/>
  <c r="AR8" i="22" s="1"/>
  <c r="AR10" i="22"/>
  <c r="AS6" i="22"/>
  <c r="AS8" i="22"/>
  <c r="AS10" i="22" s="1"/>
  <c r="AS12" i="22"/>
  <c r="AS14" i="22" s="1"/>
  <c r="AT6" i="22"/>
  <c r="AT8" i="22" s="1"/>
  <c r="AU6" i="22"/>
  <c r="AU8" i="22"/>
  <c r="AU10" i="22" s="1"/>
  <c r="AV6" i="22"/>
  <c r="AV8" i="22" s="1"/>
  <c r="AV10" i="22"/>
  <c r="AW6" i="22"/>
  <c r="AW8" i="22"/>
  <c r="AW10" i="22" s="1"/>
  <c r="AW12" i="22"/>
  <c r="AW14" i="22" s="1"/>
  <c r="AX6" i="22"/>
  <c r="AX8" i="22" s="1"/>
  <c r="AY6" i="22"/>
  <c r="AY8" i="22"/>
  <c r="AY10" i="22" s="1"/>
  <c r="AZ6" i="22"/>
  <c r="AZ8" i="22" s="1"/>
  <c r="AZ10" i="22"/>
  <c r="BA6" i="22"/>
  <c r="BA8" i="22"/>
  <c r="BA10" i="22" s="1"/>
  <c r="BA12" i="22"/>
  <c r="BA14" i="22" s="1"/>
  <c r="BB6" i="22"/>
  <c r="BB8" i="22" s="1"/>
  <c r="BC6" i="22"/>
  <c r="BC8" i="22"/>
  <c r="BC10" i="22" s="1"/>
  <c r="BD6" i="22"/>
  <c r="BD8" i="22" s="1"/>
  <c r="BD10" i="22"/>
  <c r="BE6" i="22"/>
  <c r="BE8" i="22"/>
  <c r="BE10" i="22" s="1"/>
  <c r="BE12" i="22"/>
  <c r="BE14" i="22" s="1"/>
  <c r="BF6" i="22"/>
  <c r="BF8" i="22" s="1"/>
  <c r="BG6" i="22"/>
  <c r="BG8" i="22"/>
  <c r="BG10" i="22" s="1"/>
  <c r="BH6" i="22"/>
  <c r="BH8" i="22" s="1"/>
  <c r="BH10" i="22"/>
  <c r="BI6" i="22"/>
  <c r="BI8" i="22"/>
  <c r="BI10" i="22" s="1"/>
  <c r="BI12" i="22"/>
  <c r="BI14" i="22" s="1"/>
  <c r="BJ6" i="22"/>
  <c r="BJ8" i="22" s="1"/>
  <c r="BK6" i="22"/>
  <c r="BK8" i="22"/>
  <c r="BK10" i="22" s="1"/>
  <c r="BL6" i="22"/>
  <c r="BL8" i="22" s="1"/>
  <c r="BL10" i="22"/>
  <c r="BM6" i="22"/>
  <c r="BM8" i="22"/>
  <c r="BM10" i="22" s="1"/>
  <c r="BM12" i="22"/>
  <c r="BM14" i="22" s="1"/>
  <c r="BN6" i="22"/>
  <c r="BN8" i="22" s="1"/>
  <c r="BO6" i="22"/>
  <c r="BO8" i="22"/>
  <c r="BO10" i="22" s="1"/>
  <c r="BP6" i="22"/>
  <c r="BP8" i="22" s="1"/>
  <c r="BP10" i="22"/>
  <c r="BQ6" i="22"/>
  <c r="BQ8" i="22"/>
  <c r="BQ10" i="22" s="1"/>
  <c r="BQ12" i="22"/>
  <c r="BQ14" i="22" s="1"/>
  <c r="BR6" i="22"/>
  <c r="BR8" i="22" s="1"/>
  <c r="BS6" i="22"/>
  <c r="BS8" i="22"/>
  <c r="BS10" i="22" s="1"/>
  <c r="BT6" i="22"/>
  <c r="BT8" i="22" s="1"/>
  <c r="BT10" i="22"/>
  <c r="BU6" i="22"/>
  <c r="BU8" i="22"/>
  <c r="BU10" i="22" s="1"/>
  <c r="BU12" i="22"/>
  <c r="BU14" i="22" s="1"/>
  <c r="BV6" i="22"/>
  <c r="BV8" i="22" s="1"/>
  <c r="BW6" i="22"/>
  <c r="BW8" i="22"/>
  <c r="BW10" i="22" s="1"/>
  <c r="BX6" i="22"/>
  <c r="BX8" i="22" s="1"/>
  <c r="BX10" i="22"/>
  <c r="BY6" i="22"/>
  <c r="BY8" i="22"/>
  <c r="BY10" i="22" s="1"/>
  <c r="BY12" i="22"/>
  <c r="BY14" i="22" s="1"/>
  <c r="BZ6" i="22"/>
  <c r="BZ8" i="22" s="1"/>
  <c r="CA6" i="22"/>
  <c r="CA8" i="22"/>
  <c r="CA10" i="22" s="1"/>
  <c r="CB6" i="22"/>
  <c r="CB8" i="22" s="1"/>
  <c r="CB10" i="22"/>
  <c r="CC6" i="22"/>
  <c r="CC8" i="22"/>
  <c r="CC10" i="22" s="1"/>
  <c r="CC12" i="22"/>
  <c r="CC14" i="22" s="1"/>
  <c r="CD6" i="22"/>
  <c r="CD8" i="22" s="1"/>
  <c r="CE6" i="22"/>
  <c r="CE8" i="22"/>
  <c r="CE10" i="22" s="1"/>
  <c r="CF6" i="22"/>
  <c r="CF8" i="22" s="1"/>
  <c r="CF10" i="22"/>
  <c r="CG6" i="22"/>
  <c r="CG8" i="22"/>
  <c r="CG10" i="22" s="1"/>
  <c r="CG12" i="22"/>
  <c r="CG14" i="22" s="1"/>
  <c r="CH6" i="22"/>
  <c r="CH8" i="22" s="1"/>
  <c r="CI6" i="22"/>
  <c r="CI8" i="22"/>
  <c r="CI10" i="22" s="1"/>
  <c r="E7" i="22"/>
  <c r="E9" i="22" s="1"/>
  <c r="E15" i="22" s="1"/>
  <c r="N3" i="7" s="1"/>
  <c r="N10" i="8" s="1"/>
  <c r="F7" i="22"/>
  <c r="F9" i="22"/>
  <c r="F11" i="22" s="1"/>
  <c r="F13" i="22" s="1"/>
  <c r="G7" i="22"/>
  <c r="G9" i="22"/>
  <c r="H7" i="22"/>
  <c r="H9" i="22"/>
  <c r="I7" i="22"/>
  <c r="I11" i="22" s="1"/>
  <c r="I13" i="22" s="1"/>
  <c r="I9" i="22"/>
  <c r="J7" i="22"/>
  <c r="J9" i="22"/>
  <c r="K7" i="22"/>
  <c r="K9" i="22"/>
  <c r="M7" i="22"/>
  <c r="M9" i="22"/>
  <c r="N7" i="22"/>
  <c r="N9" i="22"/>
  <c r="N11" i="22" s="1"/>
  <c r="N13" i="22" s="1"/>
  <c r="O7" i="22"/>
  <c r="O9" i="22"/>
  <c r="O11" i="22" s="1"/>
  <c r="O13" i="22" s="1"/>
  <c r="P7" i="22"/>
  <c r="P9" i="22"/>
  <c r="P11" i="22"/>
  <c r="P13" i="22" s="1"/>
  <c r="R7" i="22"/>
  <c r="R9" i="22" s="1"/>
  <c r="S7" i="22"/>
  <c r="S9" i="22" s="1"/>
  <c r="S11" i="22"/>
  <c r="S13" i="22" s="1"/>
  <c r="T7" i="22"/>
  <c r="T9" i="22" s="1"/>
  <c r="U7" i="22"/>
  <c r="U9" i="22" s="1"/>
  <c r="U11" i="22"/>
  <c r="U13" i="22" s="1"/>
  <c r="V7" i="22"/>
  <c r="V9" i="22" s="1"/>
  <c r="W7" i="22"/>
  <c r="W9" i="22" s="1"/>
  <c r="W11" i="22"/>
  <c r="W13" i="22" s="1"/>
  <c r="X7" i="22"/>
  <c r="X9" i="22" s="1"/>
  <c r="Y7" i="22"/>
  <c r="Y9" i="22" s="1"/>
  <c r="Y11" i="22"/>
  <c r="Y13" i="22" s="1"/>
  <c r="Z7" i="22"/>
  <c r="Z9" i="22" s="1"/>
  <c r="AB7" i="22"/>
  <c r="AB9" i="22" s="1"/>
  <c r="AB11" i="22"/>
  <c r="AB13" i="22" s="1"/>
  <c r="AC7" i="22"/>
  <c r="AC9" i="22" s="1"/>
  <c r="AD7" i="22"/>
  <c r="AD9" i="22" s="1"/>
  <c r="AD15" i="22" s="1"/>
  <c r="N28" i="7" s="1"/>
  <c r="N210" i="8" s="1"/>
  <c r="AE7" i="22"/>
  <c r="AE9" i="22"/>
  <c r="AE11" i="22"/>
  <c r="AE13" i="22" s="1"/>
  <c r="AF7" i="22"/>
  <c r="AF9" i="22"/>
  <c r="AF11" i="22"/>
  <c r="AF13" i="22" s="1"/>
  <c r="AG7" i="22"/>
  <c r="AG9" i="22"/>
  <c r="AG11" i="22"/>
  <c r="AG13" i="22" s="1"/>
  <c r="AH7" i="22"/>
  <c r="AH9" i="22"/>
  <c r="AH11" i="22"/>
  <c r="AH13" i="22" s="1"/>
  <c r="AI7" i="22"/>
  <c r="AI9" i="22" s="1"/>
  <c r="AI15" i="22" s="1"/>
  <c r="N33" i="7" s="1"/>
  <c r="N250" i="8" s="1"/>
  <c r="AJ7" i="22"/>
  <c r="AJ11" i="22" s="1"/>
  <c r="AJ13" i="22" s="1"/>
  <c r="AJ9" i="22"/>
  <c r="AK7" i="22"/>
  <c r="AK9" i="22" s="1"/>
  <c r="AK11" i="22" s="1"/>
  <c r="AK13" i="22" s="1"/>
  <c r="AL7" i="22"/>
  <c r="AL9" i="22"/>
  <c r="AL11" i="22" s="1"/>
  <c r="AL13" i="22" s="1"/>
  <c r="AM7" i="22"/>
  <c r="AM9" i="22" s="1"/>
  <c r="AN7" i="22"/>
  <c r="AN11" i="22" s="1"/>
  <c r="AN13" i="22" s="1"/>
  <c r="AN9" i="22"/>
  <c r="AO7" i="22"/>
  <c r="AO9" i="22" s="1"/>
  <c r="AO11" i="22" s="1"/>
  <c r="AO13" i="22" s="1"/>
  <c r="AP7" i="22"/>
  <c r="AP9" i="22"/>
  <c r="AP11" i="22" s="1"/>
  <c r="AP13" i="22" s="1"/>
  <c r="AQ7" i="22"/>
  <c r="AQ9" i="22" s="1"/>
  <c r="AR7" i="22"/>
  <c r="AR11" i="22" s="1"/>
  <c r="AR13" i="22" s="1"/>
  <c r="AR9" i="22"/>
  <c r="AS7" i="22"/>
  <c r="AS9" i="22" s="1"/>
  <c r="AS11" i="22" s="1"/>
  <c r="AS13" i="22" s="1"/>
  <c r="AT7" i="22"/>
  <c r="AT9" i="22"/>
  <c r="AT11" i="22" s="1"/>
  <c r="AT13" i="22" s="1"/>
  <c r="AU7" i="22"/>
  <c r="AU9" i="22" s="1"/>
  <c r="AV7" i="22"/>
  <c r="AV11" i="22" s="1"/>
  <c r="AV13" i="22" s="1"/>
  <c r="AV9" i="22"/>
  <c r="AW7" i="22"/>
  <c r="AW9" i="22" s="1"/>
  <c r="AW11" i="22" s="1"/>
  <c r="AW13" i="22" s="1"/>
  <c r="AX7" i="22"/>
  <c r="AX9" i="22"/>
  <c r="AX11" i="22" s="1"/>
  <c r="AX13" i="22" s="1"/>
  <c r="AY7" i="22"/>
  <c r="AY9" i="22" s="1"/>
  <c r="AZ7" i="22"/>
  <c r="AZ11" i="22" s="1"/>
  <c r="AZ13" i="22" s="1"/>
  <c r="AZ9" i="22"/>
  <c r="BA7" i="22"/>
  <c r="BA9" i="22" s="1"/>
  <c r="BA11" i="22" s="1"/>
  <c r="BA13" i="22" s="1"/>
  <c r="BB7" i="22"/>
  <c r="BB9" i="22"/>
  <c r="BB11" i="22" s="1"/>
  <c r="BB13" i="22" s="1"/>
  <c r="BC7" i="22"/>
  <c r="BC9" i="22" s="1"/>
  <c r="BD7" i="22"/>
  <c r="BD11" i="22" s="1"/>
  <c r="BD13" i="22" s="1"/>
  <c r="BD9" i="22"/>
  <c r="BE7" i="22"/>
  <c r="BE9" i="22" s="1"/>
  <c r="BE11" i="22" s="1"/>
  <c r="BE13" i="22" s="1"/>
  <c r="BF7" i="22"/>
  <c r="BF9" i="22"/>
  <c r="BF11" i="22" s="1"/>
  <c r="BF13" i="22" s="1"/>
  <c r="BG7" i="22"/>
  <c r="BG9" i="22" s="1"/>
  <c r="BH7" i="22"/>
  <c r="BH11" i="22" s="1"/>
  <c r="BH13" i="22" s="1"/>
  <c r="BH9" i="22"/>
  <c r="BI7" i="22"/>
  <c r="BI9" i="22" s="1"/>
  <c r="BI11" i="22" s="1"/>
  <c r="BI13" i="22" s="1"/>
  <c r="BJ7" i="22"/>
  <c r="BJ9" i="22"/>
  <c r="BJ11" i="22" s="1"/>
  <c r="BJ13" i="22" s="1"/>
  <c r="BK7" i="22"/>
  <c r="BK9" i="22" s="1"/>
  <c r="BL7" i="22"/>
  <c r="BL11" i="22" s="1"/>
  <c r="BL13" i="22" s="1"/>
  <c r="BL9" i="22"/>
  <c r="BM7" i="22"/>
  <c r="BM9" i="22" s="1"/>
  <c r="BM11" i="22" s="1"/>
  <c r="BM13" i="22" s="1"/>
  <c r="BN7" i="22"/>
  <c r="BN9" i="22"/>
  <c r="BN11" i="22" s="1"/>
  <c r="BN13" i="22" s="1"/>
  <c r="BO7" i="22"/>
  <c r="BO9" i="22" s="1"/>
  <c r="BP7" i="22"/>
  <c r="BP11" i="22" s="1"/>
  <c r="BP13" i="22" s="1"/>
  <c r="BP9" i="22"/>
  <c r="BQ7" i="22"/>
  <c r="BQ9" i="22" s="1"/>
  <c r="BQ11" i="22" s="1"/>
  <c r="BQ13" i="22" s="1"/>
  <c r="BR7" i="22"/>
  <c r="BR9" i="22"/>
  <c r="BR11" i="22" s="1"/>
  <c r="BR13" i="22" s="1"/>
  <c r="BS7" i="22"/>
  <c r="BS9" i="22" s="1"/>
  <c r="BT7" i="22"/>
  <c r="BT11" i="22" s="1"/>
  <c r="BT13" i="22" s="1"/>
  <c r="BT9" i="22"/>
  <c r="BU7" i="22"/>
  <c r="BU9" i="22" s="1"/>
  <c r="BU11" i="22" s="1"/>
  <c r="BU13" i="22" s="1"/>
  <c r="BV7" i="22"/>
  <c r="BV9" i="22"/>
  <c r="BV11" i="22" s="1"/>
  <c r="BV13" i="22" s="1"/>
  <c r="BW7" i="22"/>
  <c r="BW9" i="22" s="1"/>
  <c r="BX7" i="22"/>
  <c r="BX11" i="22" s="1"/>
  <c r="BX13" i="22" s="1"/>
  <c r="BX9" i="22"/>
  <c r="BY7" i="22"/>
  <c r="BY9" i="22" s="1"/>
  <c r="BY11" i="22" s="1"/>
  <c r="BY13" i="22" s="1"/>
  <c r="BZ7" i="22"/>
  <c r="BZ9" i="22"/>
  <c r="BZ11" i="22" s="1"/>
  <c r="BZ13" i="22" s="1"/>
  <c r="CA7" i="22"/>
  <c r="CA9" i="22" s="1"/>
  <c r="CB7" i="22"/>
  <c r="CB11" i="22" s="1"/>
  <c r="CB13" i="22" s="1"/>
  <c r="CB9" i="22"/>
  <c r="CC7" i="22"/>
  <c r="CC9" i="22" s="1"/>
  <c r="CD7" i="22"/>
  <c r="CD9" i="22"/>
  <c r="CD11" i="22" s="1"/>
  <c r="CD13" i="22" s="1"/>
  <c r="CE7" i="22"/>
  <c r="CE9" i="22" s="1"/>
  <c r="CF7" i="22"/>
  <c r="CF11" i="22" s="1"/>
  <c r="CF13" i="22" s="1"/>
  <c r="CF9" i="22"/>
  <c r="CG7" i="22"/>
  <c r="CG9" i="22" s="1"/>
  <c r="CH7" i="22"/>
  <c r="CH9" i="22"/>
  <c r="CH11" i="22" s="1"/>
  <c r="CH13" i="22" s="1"/>
  <c r="CI7" i="22"/>
  <c r="CI9" i="22" s="1"/>
  <c r="D8" i="22"/>
  <c r="D10" i="22" s="1"/>
  <c r="D16" i="22" s="1"/>
  <c r="O2" i="7" s="1"/>
  <c r="O2" i="8" s="1"/>
  <c r="I5" i="6" s="1"/>
  <c r="D7" i="22"/>
  <c r="D9" i="22" s="1"/>
  <c r="D15" i="22" s="1"/>
  <c r="N2" i="7" s="1"/>
  <c r="N2" i="8" s="1"/>
  <c r="H5" i="6" s="1"/>
  <c r="J85" i="7"/>
  <c r="J666" i="8" s="1"/>
  <c r="I85" i="7"/>
  <c r="I666" i="8" s="1"/>
  <c r="H85" i="7"/>
  <c r="H666" i="8" s="1"/>
  <c r="G85" i="7"/>
  <c r="G666" i="8" s="1"/>
  <c r="F85" i="7"/>
  <c r="F666" i="8" s="1"/>
  <c r="J84" i="7"/>
  <c r="J658" i="8" s="1"/>
  <c r="I84" i="7"/>
  <c r="I658" i="8" s="1"/>
  <c r="H84" i="7"/>
  <c r="H658" i="8" s="1"/>
  <c r="G84" i="7"/>
  <c r="G658" i="8" s="1"/>
  <c r="F84" i="7"/>
  <c r="F658" i="8" s="1"/>
  <c r="CH18" i="22"/>
  <c r="Q84" i="7"/>
  <c r="Q658" i="8" s="1"/>
  <c r="CH16" i="22"/>
  <c r="O84" i="7" s="1"/>
  <c r="O658" i="8" s="1"/>
  <c r="CH15" i="22"/>
  <c r="N84" i="7" s="1"/>
  <c r="N658" i="8" s="1"/>
  <c r="J83" i="7"/>
  <c r="J650" i="8" s="1"/>
  <c r="I83" i="7"/>
  <c r="I650" i="8" s="1"/>
  <c r="H83" i="7"/>
  <c r="H650" i="8" s="1"/>
  <c r="G83" i="7"/>
  <c r="G650" i="8" s="1"/>
  <c r="F83" i="7"/>
  <c r="F650" i="8" s="1"/>
  <c r="CG18" i="22"/>
  <c r="Q83" i="7"/>
  <c r="Q650" i="8" s="1"/>
  <c r="CG17" i="22"/>
  <c r="P83" i="7"/>
  <c r="P650" i="8" s="1"/>
  <c r="CG16" i="22"/>
  <c r="O83" i="7"/>
  <c r="O650" i="8"/>
  <c r="CG15" i="22"/>
  <c r="N83" i="7" s="1"/>
  <c r="N650" i="8"/>
  <c r="J82" i="7"/>
  <c r="J642" i="8" s="1"/>
  <c r="I82" i="7"/>
  <c r="I642" i="8" s="1"/>
  <c r="H82" i="7"/>
  <c r="H642" i="8" s="1"/>
  <c r="G82" i="7"/>
  <c r="G642" i="8" s="1"/>
  <c r="F82" i="7"/>
  <c r="F642" i="8" s="1"/>
  <c r="CF18" i="22"/>
  <c r="Q82" i="7" s="1"/>
  <c r="Q642" i="8" s="1"/>
  <c r="CF17" i="22"/>
  <c r="P82" i="7" s="1"/>
  <c r="P642" i="8" s="1"/>
  <c r="CF16" i="22"/>
  <c r="O82" i="7" s="1"/>
  <c r="O642" i="8" s="1"/>
  <c r="J81" i="7"/>
  <c r="J634" i="8" s="1"/>
  <c r="I81" i="7"/>
  <c r="I634" i="8" s="1"/>
  <c r="H81" i="7"/>
  <c r="H634" i="8" s="1"/>
  <c r="G81" i="7"/>
  <c r="G634" i="8" s="1"/>
  <c r="F81" i="7"/>
  <c r="F634" i="8" s="1"/>
  <c r="CE18" i="22"/>
  <c r="Q81" i="7"/>
  <c r="Q634" i="8"/>
  <c r="CE17" i="22"/>
  <c r="P81" i="7" s="1"/>
  <c r="P634" i="8"/>
  <c r="CE16" i="22"/>
  <c r="O81" i="7"/>
  <c r="O634" i="8" s="1"/>
  <c r="CE15" i="22"/>
  <c r="N81" i="7"/>
  <c r="N634" i="8" s="1"/>
  <c r="J80" i="7"/>
  <c r="J626" i="8" s="1"/>
  <c r="I80" i="7"/>
  <c r="I626" i="8"/>
  <c r="H80" i="7"/>
  <c r="H626" i="8" s="1"/>
  <c r="G80" i="7"/>
  <c r="G626" i="8" s="1"/>
  <c r="F80" i="7"/>
  <c r="F626" i="8" s="1"/>
  <c r="CD18" i="22"/>
  <c r="Q80" i="7" s="1"/>
  <c r="Q626" i="8" s="1"/>
  <c r="CD17" i="22"/>
  <c r="P80" i="7" s="1"/>
  <c r="P626" i="8" s="1"/>
  <c r="CD15" i="22"/>
  <c r="N80" i="7" s="1"/>
  <c r="N626" i="8"/>
  <c r="F79" i="7"/>
  <c r="F618" i="8" s="1"/>
  <c r="CC18" i="22"/>
  <c r="Q79" i="7"/>
  <c r="Q618" i="8" s="1"/>
  <c r="CC17" i="22"/>
  <c r="P79" i="7" s="1"/>
  <c r="P618" i="8" s="1"/>
  <c r="CC16" i="22"/>
  <c r="O79" i="7" s="1"/>
  <c r="O618" i="8" s="1"/>
  <c r="CC15" i="22"/>
  <c r="N79" i="7" s="1"/>
  <c r="N618" i="8"/>
  <c r="J78" i="7"/>
  <c r="J610" i="8" s="1"/>
  <c r="I78" i="7"/>
  <c r="I610" i="8" s="1"/>
  <c r="H78" i="7"/>
  <c r="H610" i="8" s="1"/>
  <c r="G78" i="7"/>
  <c r="G610" i="8" s="1"/>
  <c r="F78" i="7"/>
  <c r="F610" i="8" s="1"/>
  <c r="CB18" i="22"/>
  <c r="Q78" i="7" s="1"/>
  <c r="Q610" i="8" s="1"/>
  <c r="CB16" i="22"/>
  <c r="O78" i="7" s="1"/>
  <c r="O610" i="8"/>
  <c r="CB15" i="22"/>
  <c r="N78" i="7"/>
  <c r="N610" i="8" s="1"/>
  <c r="J77" i="7"/>
  <c r="J602" i="8" s="1"/>
  <c r="I77" i="7"/>
  <c r="I602" i="8" s="1"/>
  <c r="H77" i="7"/>
  <c r="H602" i="8" s="1"/>
  <c r="G77" i="7"/>
  <c r="G602" i="8" s="1"/>
  <c r="F77" i="7"/>
  <c r="F602" i="8" s="1"/>
  <c r="CA18" i="22"/>
  <c r="Q77" i="7" s="1"/>
  <c r="Q602" i="8" s="1"/>
  <c r="CA17" i="22"/>
  <c r="P77" i="7" s="1"/>
  <c r="P602" i="8"/>
  <c r="CA16" i="22"/>
  <c r="O77" i="7"/>
  <c r="O602" i="8" s="1"/>
  <c r="CA15" i="22"/>
  <c r="N77" i="7" s="1"/>
  <c r="N602" i="8" s="1"/>
  <c r="J76" i="7"/>
  <c r="J594" i="8" s="1"/>
  <c r="I76" i="7"/>
  <c r="I594" i="8" s="1"/>
  <c r="H76" i="7"/>
  <c r="H594" i="8" s="1"/>
  <c r="G76" i="7"/>
  <c r="G594" i="8" s="1"/>
  <c r="F76" i="7"/>
  <c r="F594" i="8" s="1"/>
  <c r="BZ17" i="22"/>
  <c r="P76" i="7" s="1"/>
  <c r="P594" i="8" s="1"/>
  <c r="BZ16" i="22"/>
  <c r="O76" i="7" s="1"/>
  <c r="O594" i="8" s="1"/>
  <c r="BZ15" i="22"/>
  <c r="N76" i="7" s="1"/>
  <c r="N594" i="8"/>
  <c r="J75" i="7"/>
  <c r="J586" i="8" s="1"/>
  <c r="I75" i="7"/>
  <c r="I586" i="8" s="1"/>
  <c r="H75" i="7"/>
  <c r="H586" i="8" s="1"/>
  <c r="G75" i="7"/>
  <c r="G586" i="8" s="1"/>
  <c r="F75" i="7"/>
  <c r="F586" i="8" s="1"/>
  <c r="BY18" i="22"/>
  <c r="Q75" i="7" s="1"/>
  <c r="Q586" i="8" s="1"/>
  <c r="BY17" i="22"/>
  <c r="P75" i="7"/>
  <c r="P586" i="8" s="1"/>
  <c r="BY16" i="22"/>
  <c r="O75" i="7" s="1"/>
  <c r="O586" i="8" s="1"/>
  <c r="BY15" i="22"/>
  <c r="N75" i="7" s="1"/>
  <c r="N586" i="8" s="1"/>
  <c r="J74" i="7"/>
  <c r="J578" i="8" s="1"/>
  <c r="I74" i="7"/>
  <c r="I578" i="8" s="1"/>
  <c r="H74" i="7"/>
  <c r="H578" i="8" s="1"/>
  <c r="G74" i="7"/>
  <c r="G578" i="8" s="1"/>
  <c r="F74" i="7"/>
  <c r="F578" i="8" s="1"/>
  <c r="BX18" i="22"/>
  <c r="Q74" i="7" s="1"/>
  <c r="Q578" i="8" s="1"/>
  <c r="BX17" i="22"/>
  <c r="P74" i="7" s="1"/>
  <c r="P578" i="8" s="1"/>
  <c r="BX16" i="22"/>
  <c r="O74" i="7" s="1"/>
  <c r="O578" i="8" s="1"/>
  <c r="BX15" i="22"/>
  <c r="N74" i="7"/>
  <c r="N578" i="8" s="1"/>
  <c r="J73" i="7"/>
  <c r="J570" i="8" s="1"/>
  <c r="I73" i="7"/>
  <c r="I570" i="8" s="1"/>
  <c r="H73" i="7"/>
  <c r="H570" i="8" s="1"/>
  <c r="G73" i="7"/>
  <c r="G570" i="8" s="1"/>
  <c r="F73" i="7"/>
  <c r="F570" i="8" s="1"/>
  <c r="BW18" i="22"/>
  <c r="Q73" i="7"/>
  <c r="Q570" i="8" s="1"/>
  <c r="BW17" i="22"/>
  <c r="P73" i="7" s="1"/>
  <c r="P570" i="8" s="1"/>
  <c r="BW16" i="22"/>
  <c r="O73" i="7" s="1"/>
  <c r="O570" i="8" s="1"/>
  <c r="BW15" i="22"/>
  <c r="N73" i="7" s="1"/>
  <c r="N570" i="8"/>
  <c r="F72" i="7"/>
  <c r="F562" i="8" s="1"/>
  <c r="BV18" i="22"/>
  <c r="Q72" i="7" s="1"/>
  <c r="Q562" i="8" s="1"/>
  <c r="BV16" i="22"/>
  <c r="O72" i="7" s="1"/>
  <c r="O562" i="8"/>
  <c r="BV15" i="22"/>
  <c r="N72" i="7"/>
  <c r="N562" i="8" s="1"/>
  <c r="J71" i="7"/>
  <c r="J554" i="8" s="1"/>
  <c r="I71" i="7"/>
  <c r="I554" i="8" s="1"/>
  <c r="H71" i="7"/>
  <c r="H554" i="8" s="1"/>
  <c r="G71" i="7"/>
  <c r="G554" i="8" s="1"/>
  <c r="F71" i="7"/>
  <c r="F554" i="8" s="1"/>
  <c r="BU18" i="22"/>
  <c r="Q71" i="7" s="1"/>
  <c r="Q554" i="8"/>
  <c r="BU17" i="22"/>
  <c r="P71" i="7"/>
  <c r="P554" i="8" s="1"/>
  <c r="BU16" i="22"/>
  <c r="O71" i="7"/>
  <c r="O554" i="8" s="1"/>
  <c r="BU15" i="22"/>
  <c r="N71" i="7"/>
  <c r="N554" i="8"/>
  <c r="J70" i="7"/>
  <c r="J546" i="8" s="1"/>
  <c r="I70" i="7"/>
  <c r="I546" i="8" s="1"/>
  <c r="H70" i="7"/>
  <c r="H546" i="8" s="1"/>
  <c r="G70" i="7"/>
  <c r="G546" i="8" s="1"/>
  <c r="F70" i="7"/>
  <c r="F546" i="8" s="1"/>
  <c r="BT18" i="22"/>
  <c r="Q70" i="7"/>
  <c r="Q546" i="8" s="1"/>
  <c r="BT17" i="22"/>
  <c r="P70" i="7"/>
  <c r="P546" i="8"/>
  <c r="BT16" i="22"/>
  <c r="O70" i="7" s="1"/>
  <c r="O546" i="8"/>
  <c r="BT15" i="22"/>
  <c r="N70" i="7"/>
  <c r="N546" i="8" s="1"/>
  <c r="J69" i="7"/>
  <c r="J538" i="8" s="1"/>
  <c r="I69" i="7"/>
  <c r="I538" i="8" s="1"/>
  <c r="H69" i="7"/>
  <c r="H538" i="8" s="1"/>
  <c r="G69" i="7"/>
  <c r="G538" i="8" s="1"/>
  <c r="F69" i="7"/>
  <c r="F538" i="8" s="1"/>
  <c r="BS18" i="22"/>
  <c r="Q69" i="7" s="1"/>
  <c r="Q538" i="8"/>
  <c r="BS17" i="22"/>
  <c r="P69" i="7"/>
  <c r="P538" i="8" s="1"/>
  <c r="BS16" i="22"/>
  <c r="O69" i="7"/>
  <c r="O538" i="8" s="1"/>
  <c r="BS15" i="22"/>
  <c r="N69" i="7"/>
  <c r="N538" i="8"/>
  <c r="J68" i="7"/>
  <c r="J530" i="8" s="1"/>
  <c r="I68" i="7"/>
  <c r="I530" i="8" s="1"/>
  <c r="H68" i="7"/>
  <c r="H530" i="8" s="1"/>
  <c r="G68" i="7"/>
  <c r="G530" i="8" s="1"/>
  <c r="F68" i="7"/>
  <c r="F530" i="8" s="1"/>
  <c r="BR18" i="22"/>
  <c r="Q68" i="7"/>
  <c r="Q530" i="8"/>
  <c r="BR17" i="22"/>
  <c r="P68" i="7" s="1"/>
  <c r="P530" i="8"/>
  <c r="BR16" i="22"/>
  <c r="O68" i="7"/>
  <c r="O530" i="8" s="1"/>
  <c r="BR15" i="22"/>
  <c r="N68" i="7"/>
  <c r="N530" i="8" s="1"/>
  <c r="J67" i="7"/>
  <c r="J522" i="8" s="1"/>
  <c r="I67" i="7"/>
  <c r="I522" i="8" s="1"/>
  <c r="H67" i="7"/>
  <c r="H522" i="8" s="1"/>
  <c r="G67" i="7"/>
  <c r="G522" i="8" s="1"/>
  <c r="F67" i="7"/>
  <c r="F522" i="8" s="1"/>
  <c r="BQ18" i="22"/>
  <c r="Q67" i="7"/>
  <c r="Q522" i="8" s="1"/>
  <c r="BQ17" i="22"/>
  <c r="P67" i="7"/>
  <c r="P522" i="8"/>
  <c r="BQ16" i="22"/>
  <c r="O67" i="7" s="1"/>
  <c r="O522" i="8"/>
  <c r="BQ15" i="22"/>
  <c r="N67" i="7"/>
  <c r="N522" i="8" s="1"/>
  <c r="J66" i="7"/>
  <c r="J514" i="8" s="1"/>
  <c r="I66" i="7"/>
  <c r="I514" i="8" s="1"/>
  <c r="H66" i="7"/>
  <c r="H514" i="8" s="1"/>
  <c r="G66" i="7"/>
  <c r="G514" i="8" s="1"/>
  <c r="F66" i="7"/>
  <c r="F514" i="8" s="1"/>
  <c r="BP18" i="22"/>
  <c r="Q66" i="7" s="1"/>
  <c r="Q514" i="8" s="1"/>
  <c r="BP17" i="22"/>
  <c r="P66" i="7" s="1"/>
  <c r="P514" i="8" s="1"/>
  <c r="BP16" i="22"/>
  <c r="O66" i="7"/>
  <c r="O514" i="8" s="1"/>
  <c r="BP15" i="22"/>
  <c r="N66" i="7" s="1"/>
  <c r="N514" i="8" s="1"/>
  <c r="J65" i="7"/>
  <c r="J506" i="8" s="1"/>
  <c r="I65" i="7"/>
  <c r="I506" i="8" s="1"/>
  <c r="H65" i="7"/>
  <c r="H506" i="8" s="1"/>
  <c r="G65" i="7"/>
  <c r="G506" i="8" s="1"/>
  <c r="F65" i="7"/>
  <c r="F506" i="8" s="1"/>
  <c r="BO18" i="22"/>
  <c r="Q65" i="7" s="1"/>
  <c r="Q506" i="8"/>
  <c r="BO17" i="22"/>
  <c r="P65" i="7"/>
  <c r="P506" i="8" s="1"/>
  <c r="BO16" i="22"/>
  <c r="O65" i="7"/>
  <c r="O506" i="8" s="1"/>
  <c r="BO15" i="22"/>
  <c r="N65" i="7"/>
  <c r="N506" i="8"/>
  <c r="J64" i="7"/>
  <c r="J498" i="8" s="1"/>
  <c r="I64" i="7"/>
  <c r="I498" i="8" s="1"/>
  <c r="H64" i="7"/>
  <c r="H498" i="8" s="1"/>
  <c r="G64" i="7"/>
  <c r="G498" i="8" s="1"/>
  <c r="F64" i="7"/>
  <c r="F498" i="8" s="1"/>
  <c r="BN18" i="22"/>
  <c r="Q64" i="7"/>
  <c r="Q498" i="8"/>
  <c r="BN17" i="22"/>
  <c r="P64" i="7" s="1"/>
  <c r="P498" i="8"/>
  <c r="BN16" i="22"/>
  <c r="O64" i="7"/>
  <c r="O498" i="8" s="1"/>
  <c r="BN15" i="22"/>
  <c r="N64" i="7"/>
  <c r="N498" i="8" s="1"/>
  <c r="J63" i="7"/>
  <c r="J490" i="8" s="1"/>
  <c r="I63" i="7"/>
  <c r="I490" i="8" s="1"/>
  <c r="H63" i="7"/>
  <c r="H490" i="8" s="1"/>
  <c r="G63" i="7"/>
  <c r="G490" i="8" s="1"/>
  <c r="F63" i="7"/>
  <c r="F490" i="8" s="1"/>
  <c r="BM18" i="22"/>
  <c r="Q63" i="7" s="1"/>
  <c r="Q490" i="8"/>
  <c r="BM17" i="22"/>
  <c r="P63" i="7"/>
  <c r="P490" i="8" s="1"/>
  <c r="BM16" i="22"/>
  <c r="O63" i="7"/>
  <c r="O490" i="8" s="1"/>
  <c r="BM15" i="22"/>
  <c r="N63" i="7"/>
  <c r="N490" i="8"/>
  <c r="J62" i="7"/>
  <c r="J482" i="8" s="1"/>
  <c r="I62" i="7"/>
  <c r="I482" i="8" s="1"/>
  <c r="H62" i="7"/>
  <c r="H482" i="8" s="1"/>
  <c r="G62" i="7"/>
  <c r="G482" i="8" s="1"/>
  <c r="F62" i="7"/>
  <c r="F482" i="8" s="1"/>
  <c r="BL18" i="22"/>
  <c r="Q62" i="7"/>
  <c r="Q482" i="8" s="1"/>
  <c r="BL17" i="22"/>
  <c r="P62" i="7"/>
  <c r="P482" i="8"/>
  <c r="BL16" i="22"/>
  <c r="O62" i="7" s="1"/>
  <c r="O482" i="8"/>
  <c r="BL15" i="22"/>
  <c r="N62" i="7"/>
  <c r="N482" i="8" s="1"/>
  <c r="J61" i="7"/>
  <c r="J474" i="8" s="1"/>
  <c r="I61" i="7"/>
  <c r="I474" i="8" s="1"/>
  <c r="H61" i="7"/>
  <c r="H474" i="8" s="1"/>
  <c r="G61" i="7"/>
  <c r="G474" i="8" s="1"/>
  <c r="F61" i="7"/>
  <c r="F474" i="8" s="1"/>
  <c r="BK18" i="22"/>
  <c r="Q61" i="7" s="1"/>
  <c r="Q474" i="8" s="1"/>
  <c r="BK17" i="22"/>
  <c r="P61" i="7" s="1"/>
  <c r="P474" i="8" s="1"/>
  <c r="BK16" i="22"/>
  <c r="O61" i="7"/>
  <c r="O474" i="8" s="1"/>
  <c r="BK15" i="22"/>
  <c r="N61" i="7" s="1"/>
  <c r="N474" i="8" s="1"/>
  <c r="J60" i="7"/>
  <c r="J466" i="8" s="1"/>
  <c r="I60" i="7"/>
  <c r="I466" i="8" s="1"/>
  <c r="H60" i="7"/>
  <c r="H466" i="8" s="1"/>
  <c r="G60" i="7"/>
  <c r="G466" i="8" s="1"/>
  <c r="F60" i="7"/>
  <c r="F466" i="8" s="1"/>
  <c r="BJ18" i="22"/>
  <c r="Q60" i="7" s="1"/>
  <c r="Q466" i="8"/>
  <c r="BJ17" i="22"/>
  <c r="P60" i="7"/>
  <c r="P466" i="8" s="1"/>
  <c r="BJ16" i="22"/>
  <c r="O60" i="7"/>
  <c r="O466" i="8" s="1"/>
  <c r="BJ15" i="22"/>
  <c r="N60" i="7"/>
  <c r="N466" i="8"/>
  <c r="J59" i="7"/>
  <c r="J458" i="8" s="1"/>
  <c r="I59" i="7"/>
  <c r="I458" i="8" s="1"/>
  <c r="H59" i="7"/>
  <c r="H458" i="8" s="1"/>
  <c r="G59" i="7"/>
  <c r="G458" i="8" s="1"/>
  <c r="F59" i="7"/>
  <c r="F458" i="8" s="1"/>
  <c r="BI18" i="22"/>
  <c r="Q59" i="7"/>
  <c r="Q458" i="8"/>
  <c r="BI17" i="22"/>
  <c r="P59" i="7" s="1"/>
  <c r="P458" i="8"/>
  <c r="BI16" i="22"/>
  <c r="O59" i="7"/>
  <c r="O458" i="8" s="1"/>
  <c r="BI15" i="22"/>
  <c r="N59" i="7"/>
  <c r="N458" i="8" s="1"/>
  <c r="J58" i="7"/>
  <c r="J450" i="8"/>
  <c r="I58" i="7"/>
  <c r="I450" i="8" s="1"/>
  <c r="H58" i="7"/>
  <c r="H450" i="8" s="1"/>
  <c r="G58" i="7"/>
  <c r="G450" i="8" s="1"/>
  <c r="F58" i="7"/>
  <c r="F450" i="8" s="1"/>
  <c r="BH18" i="22"/>
  <c r="Q58" i="7" s="1"/>
  <c r="Q450" i="8" s="1"/>
  <c r="BH17" i="22"/>
  <c r="P58" i="7" s="1"/>
  <c r="P450" i="8" s="1"/>
  <c r="BH16" i="22"/>
  <c r="O58" i="7"/>
  <c r="O450" i="8" s="1"/>
  <c r="BH15" i="22"/>
  <c r="N58" i="7" s="1"/>
  <c r="N450" i="8" s="1"/>
  <c r="J57" i="7"/>
  <c r="J442" i="8" s="1"/>
  <c r="I57" i="7"/>
  <c r="I442" i="8" s="1"/>
  <c r="H57" i="7"/>
  <c r="H442" i="8" s="1"/>
  <c r="G57" i="7"/>
  <c r="G442" i="8" s="1"/>
  <c r="F57" i="7"/>
  <c r="F442" i="8" s="1"/>
  <c r="BG18" i="22"/>
  <c r="Q57" i="7" s="1"/>
  <c r="Q442" i="8"/>
  <c r="BG17" i="22"/>
  <c r="P57" i="7"/>
  <c r="P442" i="8" s="1"/>
  <c r="BG16" i="22"/>
  <c r="O57" i="7"/>
  <c r="O442" i="8" s="1"/>
  <c r="BG15" i="22"/>
  <c r="N57" i="7"/>
  <c r="N442" i="8"/>
  <c r="J56" i="7"/>
  <c r="J434" i="8" s="1"/>
  <c r="I56" i="7"/>
  <c r="I434" i="8" s="1"/>
  <c r="H56" i="7"/>
  <c r="H434" i="8" s="1"/>
  <c r="G56" i="7"/>
  <c r="G434" i="8" s="1"/>
  <c r="F56" i="7"/>
  <c r="F434" i="8" s="1"/>
  <c r="BF18" i="22"/>
  <c r="Q56" i="7"/>
  <c r="Q434" i="8"/>
  <c r="BF17" i="22"/>
  <c r="P56" i="7" s="1"/>
  <c r="P434" i="8"/>
  <c r="BF16" i="22"/>
  <c r="O56" i="7"/>
  <c r="O434" i="8" s="1"/>
  <c r="BF15" i="22"/>
  <c r="N56" i="7"/>
  <c r="N434" i="8" s="1"/>
  <c r="J55" i="7"/>
  <c r="J426" i="8" s="1"/>
  <c r="I55" i="7"/>
  <c r="I426" i="8" s="1"/>
  <c r="H55" i="7"/>
  <c r="H426" i="8" s="1"/>
  <c r="G55" i="7"/>
  <c r="G426" i="8"/>
  <c r="F55" i="7"/>
  <c r="F426" i="8" s="1"/>
  <c r="BE18" i="22"/>
  <c r="Q55" i="7" s="1"/>
  <c r="Q426" i="8" s="1"/>
  <c r="BE17" i="22"/>
  <c r="P55" i="7" s="1"/>
  <c r="P426" i="8" s="1"/>
  <c r="BE16" i="22"/>
  <c r="O55" i="7"/>
  <c r="O426" i="8" s="1"/>
  <c r="BE15" i="22"/>
  <c r="N55" i="7" s="1"/>
  <c r="N426" i="8" s="1"/>
  <c r="J54" i="7"/>
  <c r="J418" i="8" s="1"/>
  <c r="I54" i="7"/>
  <c r="I418" i="8" s="1"/>
  <c r="H54" i="7"/>
  <c r="H418" i="8" s="1"/>
  <c r="G54" i="7"/>
  <c r="G418" i="8" s="1"/>
  <c r="F54" i="7"/>
  <c r="F418" i="8" s="1"/>
  <c r="BD18" i="22"/>
  <c r="Q54" i="7" s="1"/>
  <c r="Q418" i="8"/>
  <c r="BD17" i="22"/>
  <c r="P54" i="7"/>
  <c r="P418" i="8" s="1"/>
  <c r="BD16" i="22"/>
  <c r="O54" i="7"/>
  <c r="O418" i="8" s="1"/>
  <c r="BD15" i="22"/>
  <c r="N54" i="7"/>
  <c r="N418" i="8"/>
  <c r="J53" i="7"/>
  <c r="J410" i="8" s="1"/>
  <c r="I53" i="7"/>
  <c r="I410" i="8" s="1"/>
  <c r="H53" i="7"/>
  <c r="H410" i="8"/>
  <c r="G53" i="7"/>
  <c r="G410" i="8" s="1"/>
  <c r="F53" i="7"/>
  <c r="F410" i="8" s="1"/>
  <c r="BC18" i="22"/>
  <c r="Q53" i="7"/>
  <c r="Q410" i="8" s="1"/>
  <c r="BC17" i="22"/>
  <c r="P53" i="7"/>
  <c r="P410" i="8"/>
  <c r="BC16" i="22"/>
  <c r="O53" i="7" s="1"/>
  <c r="O410" i="8"/>
  <c r="BC15" i="22"/>
  <c r="N53" i="7"/>
  <c r="N410" i="8" s="1"/>
  <c r="J52" i="7"/>
  <c r="J402" i="8" s="1"/>
  <c r="I52" i="7"/>
  <c r="I402" i="8" s="1"/>
  <c r="H52" i="7"/>
  <c r="H402" i="8" s="1"/>
  <c r="G52" i="7"/>
  <c r="G402" i="8" s="1"/>
  <c r="F52" i="7"/>
  <c r="F402" i="8" s="1"/>
  <c r="BB18" i="22"/>
  <c r="Q52" i="7" s="1"/>
  <c r="Q402" i="8" s="1"/>
  <c r="BB17" i="22"/>
  <c r="P52" i="7" s="1"/>
  <c r="P402" i="8" s="1"/>
  <c r="BB16" i="22"/>
  <c r="O52" i="7"/>
  <c r="O402" i="8" s="1"/>
  <c r="BB15" i="22"/>
  <c r="N52" i="7" s="1"/>
  <c r="N402" i="8" s="1"/>
  <c r="J51" i="7"/>
  <c r="J394" i="8" s="1"/>
  <c r="I51" i="7"/>
  <c r="I394" i="8"/>
  <c r="H51" i="7"/>
  <c r="H394" i="8" s="1"/>
  <c r="G51" i="7"/>
  <c r="G394" i="8" s="1"/>
  <c r="F51" i="7"/>
  <c r="F394" i="8" s="1"/>
  <c r="BA18" i="22"/>
  <c r="Q51" i="7"/>
  <c r="Q394" i="8" s="1"/>
  <c r="BA17" i="22"/>
  <c r="P51" i="7" s="1"/>
  <c r="P394" i="8" s="1"/>
  <c r="BA16" i="22"/>
  <c r="O51" i="7"/>
  <c r="O394" i="8" s="1"/>
  <c r="BA15" i="22"/>
  <c r="N51" i="7" s="1"/>
  <c r="N394" i="8" s="1"/>
  <c r="J50" i="7"/>
  <c r="J386" i="8" s="1"/>
  <c r="I50" i="7"/>
  <c r="I386" i="8"/>
  <c r="H50" i="7"/>
  <c r="H386" i="8" s="1"/>
  <c r="G50" i="7"/>
  <c r="G386" i="8" s="1"/>
  <c r="F50" i="7"/>
  <c r="F386" i="8" s="1"/>
  <c r="AZ18" i="22"/>
  <c r="Q50" i="7"/>
  <c r="Q386" i="8" s="1"/>
  <c r="AZ17" i="22"/>
  <c r="P50" i="7" s="1"/>
  <c r="P386" i="8" s="1"/>
  <c r="AZ16" i="22"/>
  <c r="O50" i="7"/>
  <c r="O386" i="8" s="1"/>
  <c r="AZ15" i="22"/>
  <c r="N50" i="7" s="1"/>
  <c r="N386" i="8" s="1"/>
  <c r="J49" i="7"/>
  <c r="J378" i="8" s="1"/>
  <c r="I49" i="7"/>
  <c r="I378" i="8" s="1"/>
  <c r="H49" i="7"/>
  <c r="H378" i="8" s="1"/>
  <c r="G49" i="7"/>
  <c r="G378" i="8" s="1"/>
  <c r="F49" i="7"/>
  <c r="F378" i="8" s="1"/>
  <c r="AY18" i="22"/>
  <c r="Q49" i="7"/>
  <c r="Q378" i="8" s="1"/>
  <c r="AY17" i="22"/>
  <c r="P49" i="7" s="1"/>
  <c r="P378" i="8" s="1"/>
  <c r="AY16" i="22"/>
  <c r="O49" i="7"/>
  <c r="O378" i="8" s="1"/>
  <c r="AY15" i="22"/>
  <c r="N49" i="7" s="1"/>
  <c r="N378" i="8" s="1"/>
  <c r="J48" i="7"/>
  <c r="J370" i="8" s="1"/>
  <c r="I48" i="7"/>
  <c r="I370" i="8" s="1"/>
  <c r="H48" i="7"/>
  <c r="H370" i="8" s="1"/>
  <c r="G48" i="7"/>
  <c r="G370" i="8" s="1"/>
  <c r="F48" i="7"/>
  <c r="F370" i="8" s="1"/>
  <c r="AX18" i="22"/>
  <c r="Q48" i="7" s="1"/>
  <c r="Q370" i="8"/>
  <c r="AX17" i="22"/>
  <c r="P48" i="7"/>
  <c r="P370" i="8" s="1"/>
  <c r="AX16" i="22"/>
  <c r="O48" i="7" s="1"/>
  <c r="O370" i="8"/>
  <c r="AX15" i="22"/>
  <c r="N48" i="7"/>
  <c r="N370" i="8" s="1"/>
  <c r="J47" i="7"/>
  <c r="J362" i="8" s="1"/>
  <c r="I47" i="7"/>
  <c r="I362" i="8" s="1"/>
  <c r="H47" i="7"/>
  <c r="H362" i="8" s="1"/>
  <c r="G47" i="7"/>
  <c r="G362" i="8" s="1"/>
  <c r="F47" i="7"/>
  <c r="F362" i="8" s="1"/>
  <c r="AW18" i="22"/>
  <c r="Q47" i="7"/>
  <c r="Q362" i="8" s="1"/>
  <c r="AW17" i="22"/>
  <c r="P47" i="7" s="1"/>
  <c r="P362" i="8" s="1"/>
  <c r="AW16" i="22"/>
  <c r="O47" i="7"/>
  <c r="O362" i="8" s="1"/>
  <c r="AW15" i="22"/>
  <c r="N47" i="7" s="1"/>
  <c r="N362" i="8" s="1"/>
  <c r="J46" i="7"/>
  <c r="J354" i="8" s="1"/>
  <c r="I46" i="7"/>
  <c r="I354" i="8" s="1"/>
  <c r="H46" i="7"/>
  <c r="H354" i="8" s="1"/>
  <c r="G46" i="7"/>
  <c r="G354" i="8" s="1"/>
  <c r="F46" i="7"/>
  <c r="F354" i="8" s="1"/>
  <c r="AV18" i="22"/>
  <c r="Q46" i="7" s="1"/>
  <c r="Q354" i="8"/>
  <c r="AV17" i="22"/>
  <c r="P46" i="7"/>
  <c r="P354" i="8" s="1"/>
  <c r="AV16" i="22"/>
  <c r="O46" i="7" s="1"/>
  <c r="O354" i="8"/>
  <c r="AV15" i="22"/>
  <c r="N46" i="7"/>
  <c r="N354" i="8" s="1"/>
  <c r="J45" i="7"/>
  <c r="J346" i="8" s="1"/>
  <c r="I45" i="7"/>
  <c r="I346" i="8" s="1"/>
  <c r="H45" i="7"/>
  <c r="H346" i="8" s="1"/>
  <c r="G45" i="7"/>
  <c r="G346" i="8" s="1"/>
  <c r="F45" i="7"/>
  <c r="F346" i="8" s="1"/>
  <c r="AU18" i="22"/>
  <c r="Q45" i="7"/>
  <c r="Q346" i="8" s="1"/>
  <c r="AU17" i="22"/>
  <c r="P45" i="7" s="1"/>
  <c r="P346" i="8" s="1"/>
  <c r="AU16" i="22"/>
  <c r="O45" i="7"/>
  <c r="O346" i="8" s="1"/>
  <c r="AU15" i="22"/>
  <c r="N45" i="7" s="1"/>
  <c r="N346" i="8" s="1"/>
  <c r="J44" i="7"/>
  <c r="J338" i="8" s="1"/>
  <c r="I44" i="7"/>
  <c r="I338" i="8" s="1"/>
  <c r="H44" i="7"/>
  <c r="H338" i="8" s="1"/>
  <c r="G44" i="7"/>
  <c r="G338" i="8" s="1"/>
  <c r="F44" i="7"/>
  <c r="F338" i="8" s="1"/>
  <c r="AT18" i="22"/>
  <c r="Q44" i="7"/>
  <c r="Q338" i="8" s="1"/>
  <c r="AT17" i="22"/>
  <c r="P44" i="7" s="1"/>
  <c r="P338" i="8" s="1"/>
  <c r="AT16" i="22"/>
  <c r="O44" i="7"/>
  <c r="O338" i="8" s="1"/>
  <c r="AT15" i="22"/>
  <c r="N44" i="7" s="1"/>
  <c r="N338" i="8" s="1"/>
  <c r="J43" i="7"/>
  <c r="J330" i="8" s="1"/>
  <c r="I43" i="7"/>
  <c r="I330" i="8" s="1"/>
  <c r="H43" i="7"/>
  <c r="H330" i="8" s="1"/>
  <c r="G43" i="7"/>
  <c r="G330" i="8" s="1"/>
  <c r="F43" i="7"/>
  <c r="F330" i="8" s="1"/>
  <c r="AS18" i="22"/>
  <c r="Q43" i="7"/>
  <c r="Q330" i="8"/>
  <c r="AS17" i="22"/>
  <c r="P43" i="7" s="1"/>
  <c r="P330" i="8"/>
  <c r="AS16" i="22"/>
  <c r="O43" i="7"/>
  <c r="O330" i="8" s="1"/>
  <c r="AS15" i="22"/>
  <c r="N43" i="7"/>
  <c r="N330" i="8" s="1"/>
  <c r="J42" i="7"/>
  <c r="J322" i="8"/>
  <c r="I42" i="7"/>
  <c r="I322" i="8"/>
  <c r="H42" i="7"/>
  <c r="H322" i="8" s="1"/>
  <c r="G42" i="7"/>
  <c r="G322" i="8" s="1"/>
  <c r="F42" i="7"/>
  <c r="F322" i="8" s="1"/>
  <c r="AR18" i="22"/>
  <c r="Q42" i="7" s="1"/>
  <c r="Q322" i="8"/>
  <c r="AR17" i="22"/>
  <c r="P42" i="7"/>
  <c r="P322" i="8" s="1"/>
  <c r="AR16" i="22"/>
  <c r="O42" i="7"/>
  <c r="O322" i="8" s="1"/>
  <c r="AR15" i="22"/>
  <c r="N42" i="7"/>
  <c r="N322" i="8"/>
  <c r="J41" i="7"/>
  <c r="J314" i="8" s="1"/>
  <c r="I41" i="7"/>
  <c r="I314" i="8" s="1"/>
  <c r="H41" i="7"/>
  <c r="H314" i="8" s="1"/>
  <c r="G41" i="7"/>
  <c r="G314" i="8" s="1"/>
  <c r="F41" i="7"/>
  <c r="F314" i="8" s="1"/>
  <c r="AQ18" i="22"/>
  <c r="Q41" i="7"/>
  <c r="Q314" i="8"/>
  <c r="AQ17" i="22"/>
  <c r="P41" i="7" s="1"/>
  <c r="P314" i="8"/>
  <c r="AQ16" i="22"/>
  <c r="O41" i="7"/>
  <c r="O314" i="8" s="1"/>
  <c r="AQ15" i="22"/>
  <c r="N41" i="7"/>
  <c r="N314" i="8" s="1"/>
  <c r="J40" i="7"/>
  <c r="J306" i="8" s="1"/>
  <c r="I40" i="7"/>
  <c r="I306" i="8" s="1"/>
  <c r="H40" i="7"/>
  <c r="H306" i="8" s="1"/>
  <c r="G40" i="7"/>
  <c r="G306" i="8" s="1"/>
  <c r="F40" i="7"/>
  <c r="F306" i="8" s="1"/>
  <c r="AP18" i="22"/>
  <c r="Q40" i="7"/>
  <c r="Q306" i="8" s="1"/>
  <c r="AP17" i="22"/>
  <c r="P40" i="7"/>
  <c r="P306" i="8"/>
  <c r="AP16" i="22"/>
  <c r="O40" i="7" s="1"/>
  <c r="O306" i="8"/>
  <c r="AP15" i="22"/>
  <c r="N40" i="7"/>
  <c r="N306" i="8" s="1"/>
  <c r="J39" i="7"/>
  <c r="J298" i="8" s="1"/>
  <c r="I39" i="7"/>
  <c r="I298" i="8" s="1"/>
  <c r="H39" i="7"/>
  <c r="H298" i="8" s="1"/>
  <c r="G39" i="7"/>
  <c r="G298" i="8" s="1"/>
  <c r="F39" i="7"/>
  <c r="F298" i="8" s="1"/>
  <c r="AO18" i="22"/>
  <c r="Q39" i="7" s="1"/>
  <c r="Q298" i="8" s="1"/>
  <c r="AO17" i="22"/>
  <c r="P39" i="7" s="1"/>
  <c r="P298" i="8" s="1"/>
  <c r="AO16" i="22"/>
  <c r="O39" i="7"/>
  <c r="O298" i="8" s="1"/>
  <c r="AO15" i="22"/>
  <c r="N39" i="7" s="1"/>
  <c r="N298" i="8" s="1"/>
  <c r="J38" i="7"/>
  <c r="J290" i="8" s="1"/>
  <c r="I38" i="7"/>
  <c r="I290" i="8" s="1"/>
  <c r="H38" i="7"/>
  <c r="H290" i="8" s="1"/>
  <c r="G38" i="7"/>
  <c r="G290" i="8" s="1"/>
  <c r="F38" i="7"/>
  <c r="F290" i="8" s="1"/>
  <c r="AN18" i="22"/>
  <c r="Q38" i="7"/>
  <c r="Q290" i="8" s="1"/>
  <c r="AN17" i="22"/>
  <c r="P38" i="7" s="1"/>
  <c r="P290" i="8" s="1"/>
  <c r="AN16" i="22"/>
  <c r="O38" i="7"/>
  <c r="O290" i="8" s="1"/>
  <c r="AN15" i="22"/>
  <c r="N38" i="7" s="1"/>
  <c r="N290" i="8" s="1"/>
  <c r="J37" i="7"/>
  <c r="J282" i="8" s="1"/>
  <c r="I37" i="7"/>
  <c r="I282" i="8" s="1"/>
  <c r="H37" i="7"/>
  <c r="H282" i="8" s="1"/>
  <c r="G37" i="7"/>
  <c r="G282" i="8" s="1"/>
  <c r="F37" i="7"/>
  <c r="F282" i="8" s="1"/>
  <c r="AM18" i="22"/>
  <c r="Q37" i="7" s="1"/>
  <c r="Q282" i="8" s="1"/>
  <c r="AM17" i="22"/>
  <c r="P37" i="7"/>
  <c r="P282" i="8" s="1"/>
  <c r="AM16" i="22"/>
  <c r="O37" i="7" s="1"/>
  <c r="O282" i="8" s="1"/>
  <c r="AM15" i="22"/>
  <c r="N37" i="7"/>
  <c r="N282" i="8" s="1"/>
  <c r="J36" i="7"/>
  <c r="J274" i="8" s="1"/>
  <c r="I36" i="7"/>
  <c r="I274" i="8" s="1"/>
  <c r="H36" i="7"/>
  <c r="H274" i="8" s="1"/>
  <c r="G36" i="7"/>
  <c r="G274" i="8" s="1"/>
  <c r="F36" i="7"/>
  <c r="F274" i="8" s="1"/>
  <c r="AL18" i="22"/>
  <c r="Q36" i="7"/>
  <c r="Q274" i="8" s="1"/>
  <c r="AL17" i="22"/>
  <c r="P36" i="7" s="1"/>
  <c r="P274" i="8" s="1"/>
  <c r="AL16" i="22"/>
  <c r="O36" i="7"/>
  <c r="O274" i="8" s="1"/>
  <c r="AL15" i="22"/>
  <c r="N36" i="7" s="1"/>
  <c r="N274" i="8" s="1"/>
  <c r="J35" i="7"/>
  <c r="J266" i="8" s="1"/>
  <c r="I35" i="7"/>
  <c r="I266" i="8" s="1"/>
  <c r="H35" i="7"/>
  <c r="H266" i="8" s="1"/>
  <c r="G35" i="7"/>
  <c r="G266" i="8" s="1"/>
  <c r="F35" i="7"/>
  <c r="F266" i="8" s="1"/>
  <c r="AK18" i="22"/>
  <c r="Q35" i="7" s="1"/>
  <c r="Q266" i="8" s="1"/>
  <c r="AK17" i="22"/>
  <c r="P35" i="7"/>
  <c r="P266" i="8" s="1"/>
  <c r="AK16" i="22"/>
  <c r="O35" i="7" s="1"/>
  <c r="O266" i="8" s="1"/>
  <c r="AK15" i="22"/>
  <c r="N35" i="7"/>
  <c r="N266" i="8" s="1"/>
  <c r="J34" i="7"/>
  <c r="J258" i="8" s="1"/>
  <c r="I34" i="7"/>
  <c r="I258" i="8" s="1"/>
  <c r="H34" i="7"/>
  <c r="H258" i="8" s="1"/>
  <c r="G34" i="7"/>
  <c r="G258" i="8" s="1"/>
  <c r="F34" i="7"/>
  <c r="F258" i="8" s="1"/>
  <c r="AJ18" i="22"/>
  <c r="Q34" i="7"/>
  <c r="Q258" i="8" s="1"/>
  <c r="AJ17" i="22"/>
  <c r="P34" i="7" s="1"/>
  <c r="P258" i="8" s="1"/>
  <c r="AJ16" i="22"/>
  <c r="O34" i="7"/>
  <c r="O258" i="8" s="1"/>
  <c r="AJ15" i="22"/>
  <c r="N34" i="7" s="1"/>
  <c r="N258" i="8" s="1"/>
  <c r="J33" i="7"/>
  <c r="J250" i="8" s="1"/>
  <c r="I33" i="7"/>
  <c r="I250" i="8" s="1"/>
  <c r="H33" i="7"/>
  <c r="H250" i="8" s="1"/>
  <c r="G33" i="7"/>
  <c r="G250" i="8" s="1"/>
  <c r="F33" i="7"/>
  <c r="F250" i="8" s="1"/>
  <c r="AX7" i="1"/>
  <c r="AX5" i="1" s="1"/>
  <c r="L32" i="7" s="1"/>
  <c r="L242" i="8" s="1"/>
  <c r="J32" i="7"/>
  <c r="J242" i="8" s="1"/>
  <c r="I32" i="7"/>
  <c r="I242" i="8" s="1"/>
  <c r="H32" i="7"/>
  <c r="H242" i="8" s="1"/>
  <c r="G32" i="7"/>
  <c r="G242" i="8" s="1"/>
  <c r="F32" i="7"/>
  <c r="F242" i="8" s="1"/>
  <c r="AH18" i="22"/>
  <c r="Q32" i="7"/>
  <c r="Q242" i="8" s="1"/>
  <c r="AH17" i="22"/>
  <c r="P32" i="7" s="1"/>
  <c r="P242" i="8" s="1"/>
  <c r="AH16" i="22"/>
  <c r="O32" i="7"/>
  <c r="O242" i="8" s="1"/>
  <c r="AH15" i="22"/>
  <c r="N32" i="7" s="1"/>
  <c r="N242" i="8" s="1"/>
  <c r="AW7" i="1"/>
  <c r="AW5" i="1" s="1"/>
  <c r="L31" i="7" s="1"/>
  <c r="L234" i="8" s="1"/>
  <c r="J31" i="7"/>
  <c r="J234" i="8" s="1"/>
  <c r="I31" i="7"/>
  <c r="I234" i="8" s="1"/>
  <c r="H31" i="7"/>
  <c r="H234" i="8" s="1"/>
  <c r="G31" i="7"/>
  <c r="G234" i="8" s="1"/>
  <c r="F31" i="7"/>
  <c r="F234" i="8" s="1"/>
  <c r="AG18" i="22"/>
  <c r="Q31" i="7"/>
  <c r="Q234" i="8" s="1"/>
  <c r="AG17" i="22"/>
  <c r="P31" i="7" s="1"/>
  <c r="P234" i="8" s="1"/>
  <c r="AG16" i="22"/>
  <c r="O31" i="7"/>
  <c r="O234" i="8" s="1"/>
  <c r="AG15" i="22"/>
  <c r="N31" i="7" s="1"/>
  <c r="N234" i="8" s="1"/>
  <c r="AV7" i="1"/>
  <c r="AV4" i="1" s="1"/>
  <c r="J30" i="7"/>
  <c r="J226" i="8" s="1"/>
  <c r="I30" i="7"/>
  <c r="I226" i="8" s="1"/>
  <c r="H30" i="7"/>
  <c r="H226" i="8" s="1"/>
  <c r="G30" i="7"/>
  <c r="G226" i="8" s="1"/>
  <c r="F30" i="7"/>
  <c r="F226" i="8" s="1"/>
  <c r="AF18" i="22"/>
  <c r="Q30" i="7"/>
  <c r="Q226" i="8" s="1"/>
  <c r="AF17" i="22"/>
  <c r="P30" i="7" s="1"/>
  <c r="P226" i="8" s="1"/>
  <c r="AF16" i="22"/>
  <c r="O30" i="7"/>
  <c r="O226" i="8" s="1"/>
  <c r="AF15" i="22"/>
  <c r="N30" i="7" s="1"/>
  <c r="N226" i="8" s="1"/>
  <c r="AU7" i="1"/>
  <c r="AU5" i="1" s="1"/>
  <c r="L29" i="7" s="1"/>
  <c r="L218" i="8" s="1"/>
  <c r="J29" i="7"/>
  <c r="J218" i="8" s="1"/>
  <c r="I29" i="7"/>
  <c r="I218" i="8" s="1"/>
  <c r="H29" i="7"/>
  <c r="H218" i="8" s="1"/>
  <c r="G29" i="7"/>
  <c r="G218" i="8" s="1"/>
  <c r="F29" i="7"/>
  <c r="F218" i="8" s="1"/>
  <c r="AE18" i="22"/>
  <c r="Q29" i="7" s="1"/>
  <c r="Q218" i="8" s="1"/>
  <c r="AE17" i="22"/>
  <c r="P29" i="7"/>
  <c r="P218" i="8" s="1"/>
  <c r="AE16" i="22"/>
  <c r="O29" i="7" s="1"/>
  <c r="O218" i="8" s="1"/>
  <c r="AE15" i="22"/>
  <c r="N29" i="7"/>
  <c r="N218" i="8" s="1"/>
  <c r="AT7" i="1"/>
  <c r="AT5" i="1" s="1"/>
  <c r="L28" i="7" s="1"/>
  <c r="L210" i="8" s="1"/>
  <c r="J28" i="7"/>
  <c r="J210" i="8" s="1"/>
  <c r="I28" i="7"/>
  <c r="I210" i="8" s="1"/>
  <c r="H28" i="7"/>
  <c r="H210" i="8" s="1"/>
  <c r="G28" i="7"/>
  <c r="G210" i="8" s="1"/>
  <c r="F28" i="7"/>
  <c r="F210" i="8" s="1"/>
  <c r="AS7" i="1"/>
  <c r="AS18" i="1" s="1"/>
  <c r="J27" i="7"/>
  <c r="J202" i="8" s="1"/>
  <c r="I27" i="7"/>
  <c r="I202" i="8" s="1"/>
  <c r="H27" i="7"/>
  <c r="H202" i="8" s="1"/>
  <c r="G27" i="7"/>
  <c r="G202" i="8" s="1"/>
  <c r="F27" i="7"/>
  <c r="F202" i="8" s="1"/>
  <c r="AC18" i="22"/>
  <c r="Q27" i="7" s="1"/>
  <c r="Q202" i="8" s="1"/>
  <c r="AC17" i="22"/>
  <c r="P27" i="7"/>
  <c r="P202" i="8" s="1"/>
  <c r="AC16" i="22"/>
  <c r="O27" i="7" s="1"/>
  <c r="O202" i="8" s="1"/>
  <c r="AC15" i="22"/>
  <c r="N27" i="7"/>
  <c r="N202" i="8" s="1"/>
  <c r="AR7" i="1"/>
  <c r="AR4" i="1" s="1"/>
  <c r="J26" i="7"/>
  <c r="J194" i="8" s="1"/>
  <c r="I26" i="7"/>
  <c r="I194" i="8" s="1"/>
  <c r="H26" i="7"/>
  <c r="H194" i="8" s="1"/>
  <c r="G26" i="7"/>
  <c r="G194" i="8" s="1"/>
  <c r="F26" i="7"/>
  <c r="F194" i="8" s="1"/>
  <c r="AB18" i="22"/>
  <c r="Q26" i="7" s="1"/>
  <c r="Q194" i="8" s="1"/>
  <c r="AB17" i="22"/>
  <c r="P26" i="7"/>
  <c r="P194" i="8" s="1"/>
  <c r="AB16" i="22"/>
  <c r="O26" i="7" s="1"/>
  <c r="O194" i="8" s="1"/>
  <c r="AB15" i="22"/>
  <c r="N26" i="7"/>
  <c r="N194" i="8" s="1"/>
  <c r="AQ7" i="1"/>
  <c r="AQ18" i="1" s="1"/>
  <c r="J25" i="7"/>
  <c r="J186" i="8" s="1"/>
  <c r="I25" i="7"/>
  <c r="I186" i="8" s="1"/>
  <c r="H25" i="7"/>
  <c r="H186" i="8" s="1"/>
  <c r="G25" i="7"/>
  <c r="G186" i="8" s="1"/>
  <c r="F25" i="7"/>
  <c r="F186" i="8" s="1"/>
  <c r="AP7" i="1"/>
  <c r="AP18" i="1" s="1"/>
  <c r="J24" i="7"/>
  <c r="J178" i="8" s="1"/>
  <c r="I24" i="7"/>
  <c r="I178" i="8" s="1"/>
  <c r="H24" i="7"/>
  <c r="H178" i="8" s="1"/>
  <c r="G24" i="7"/>
  <c r="G178" i="8" s="1"/>
  <c r="F24" i="7"/>
  <c r="F178" i="8" s="1"/>
  <c r="Z18" i="22"/>
  <c r="Q24" i="7"/>
  <c r="Q178" i="8" s="1"/>
  <c r="Z17" i="22"/>
  <c r="P24" i="7" s="1"/>
  <c r="P178" i="8" s="1"/>
  <c r="Z16" i="22"/>
  <c r="O24" i="7"/>
  <c r="O178" i="8" s="1"/>
  <c r="Z15" i="22"/>
  <c r="N24" i="7" s="1"/>
  <c r="N178" i="8" s="1"/>
  <c r="AO7" i="1"/>
  <c r="AO18" i="1" s="1"/>
  <c r="J23" i="7"/>
  <c r="J170" i="8" s="1"/>
  <c r="I23" i="7"/>
  <c r="I170" i="8" s="1"/>
  <c r="H23" i="7"/>
  <c r="H170" i="8" s="1"/>
  <c r="G23" i="7"/>
  <c r="G170" i="8" s="1"/>
  <c r="F23" i="7"/>
  <c r="F170" i="8" s="1"/>
  <c r="Y18" i="22"/>
  <c r="Q23" i="7" s="1"/>
  <c r="Q170" i="8" s="1"/>
  <c r="Y17" i="22"/>
  <c r="P23" i="7"/>
  <c r="P170" i="8" s="1"/>
  <c r="Y16" i="22"/>
  <c r="O23" i="7" s="1"/>
  <c r="O170" i="8" s="1"/>
  <c r="Y15" i="22"/>
  <c r="N23" i="7"/>
  <c r="N170" i="8" s="1"/>
  <c r="J22" i="7"/>
  <c r="J162" i="8" s="1"/>
  <c r="I22" i="7"/>
  <c r="I162" i="8" s="1"/>
  <c r="H22" i="7"/>
  <c r="H162" i="8" s="1"/>
  <c r="G22" i="7"/>
  <c r="G162" i="8" s="1"/>
  <c r="F22" i="7"/>
  <c r="F162" i="8" s="1"/>
  <c r="X18" i="22"/>
  <c r="Q22" i="7"/>
  <c r="Q162" i="8" s="1"/>
  <c r="X17" i="22"/>
  <c r="P22" i="7" s="1"/>
  <c r="P162" i="8" s="1"/>
  <c r="X16" i="22"/>
  <c r="O22" i="7"/>
  <c r="O162" i="8" s="1"/>
  <c r="X15" i="22"/>
  <c r="N22" i="7" s="1"/>
  <c r="N162" i="8" s="1"/>
  <c r="AM7" i="1"/>
  <c r="AM18" i="1" s="1"/>
  <c r="J21" i="7"/>
  <c r="J154" i="8" s="1"/>
  <c r="I21" i="7"/>
  <c r="I154" i="8" s="1"/>
  <c r="H21" i="7"/>
  <c r="H154" i="8" s="1"/>
  <c r="G21" i="7"/>
  <c r="G154" i="8" s="1"/>
  <c r="F21" i="7"/>
  <c r="F154" i="8" s="1"/>
  <c r="W18" i="22"/>
  <c r="Q21" i="7"/>
  <c r="Q154" i="8" s="1"/>
  <c r="W17" i="22"/>
  <c r="P21" i="7" s="1"/>
  <c r="P154" i="8" s="1"/>
  <c r="W16" i="22"/>
  <c r="O21" i="7"/>
  <c r="O154" i="8" s="1"/>
  <c r="W15" i="22"/>
  <c r="N21" i="7" s="1"/>
  <c r="N154" i="8" s="1"/>
  <c r="AL7" i="1"/>
  <c r="AL18" i="1" s="1"/>
  <c r="J20" i="7"/>
  <c r="J146" i="8" s="1"/>
  <c r="I20" i="7"/>
  <c r="I146" i="8" s="1"/>
  <c r="H20" i="7"/>
  <c r="H146" i="8" s="1"/>
  <c r="G20" i="7"/>
  <c r="G146" i="8" s="1"/>
  <c r="F20" i="7"/>
  <c r="F146" i="8" s="1"/>
  <c r="V18" i="22"/>
  <c r="Q20" i="7" s="1"/>
  <c r="Q146" i="8" s="1"/>
  <c r="V17" i="22"/>
  <c r="P20" i="7"/>
  <c r="P146" i="8" s="1"/>
  <c r="V16" i="22"/>
  <c r="O20" i="7" s="1"/>
  <c r="O146" i="8" s="1"/>
  <c r="V15" i="22"/>
  <c r="N20" i="7"/>
  <c r="N146" i="8" s="1"/>
  <c r="AK7" i="1"/>
  <c r="AK18" i="1" s="1"/>
  <c r="J19" i="7"/>
  <c r="J138" i="8" s="1"/>
  <c r="I19" i="7"/>
  <c r="I138" i="8" s="1"/>
  <c r="H19" i="7"/>
  <c r="H138" i="8" s="1"/>
  <c r="G19" i="7"/>
  <c r="G138" i="8" s="1"/>
  <c r="F19" i="7"/>
  <c r="F138" i="8" s="1"/>
  <c r="U18" i="22"/>
  <c r="Q19" i="7" s="1"/>
  <c r="Q138" i="8" s="1"/>
  <c r="U17" i="22"/>
  <c r="P19" i="7"/>
  <c r="P138" i="8" s="1"/>
  <c r="U16" i="22"/>
  <c r="O19" i="7" s="1"/>
  <c r="O138" i="8" s="1"/>
  <c r="U15" i="22"/>
  <c r="N19" i="7"/>
  <c r="N138" i="8" s="1"/>
  <c r="AJ7" i="1"/>
  <c r="AJ4" i="1" s="1"/>
  <c r="J18" i="7"/>
  <c r="J130" i="8" s="1"/>
  <c r="I18" i="7"/>
  <c r="I130" i="8" s="1"/>
  <c r="H18" i="7"/>
  <c r="H130" i="8" s="1"/>
  <c r="G18" i="7"/>
  <c r="G130" i="8" s="1"/>
  <c r="F18" i="7"/>
  <c r="F130" i="8" s="1"/>
  <c r="T18" i="22"/>
  <c r="Q18" i="7" s="1"/>
  <c r="Q130" i="8" s="1"/>
  <c r="T17" i="22"/>
  <c r="P18" i="7"/>
  <c r="P130" i="8" s="1"/>
  <c r="T16" i="22"/>
  <c r="O18" i="7" s="1"/>
  <c r="O130" i="8" s="1"/>
  <c r="T15" i="22"/>
  <c r="N18" i="7"/>
  <c r="N130" i="8" s="1"/>
  <c r="AI7" i="1"/>
  <c r="AI18" i="1" s="1"/>
  <c r="J17" i="7"/>
  <c r="J122" i="8" s="1"/>
  <c r="I17" i="7"/>
  <c r="I122" i="8" s="1"/>
  <c r="H17" i="7"/>
  <c r="H122" i="8" s="1"/>
  <c r="G17" i="7"/>
  <c r="G122" i="8" s="1"/>
  <c r="F17" i="7"/>
  <c r="F122" i="8" s="1"/>
  <c r="S18" i="22"/>
  <c r="Q17" i="7" s="1"/>
  <c r="Q122" i="8" s="1"/>
  <c r="S17" i="22"/>
  <c r="P17" i="7"/>
  <c r="P122" i="8" s="1"/>
  <c r="S16" i="22"/>
  <c r="O17" i="7" s="1"/>
  <c r="O122" i="8" s="1"/>
  <c r="S15" i="22"/>
  <c r="N17" i="7"/>
  <c r="N122" i="8" s="1"/>
  <c r="AH7" i="1"/>
  <c r="AH18" i="1" s="1"/>
  <c r="J16" i="7"/>
  <c r="J114" i="8" s="1"/>
  <c r="I16" i="7"/>
  <c r="I114" i="8" s="1"/>
  <c r="H16" i="7"/>
  <c r="H114" i="8" s="1"/>
  <c r="G16" i="7"/>
  <c r="G114" i="8" s="1"/>
  <c r="F16" i="7"/>
  <c r="F114" i="8" s="1"/>
  <c r="R18" i="22"/>
  <c r="Q16" i="7" s="1"/>
  <c r="Q114" i="8" s="1"/>
  <c r="R17" i="22"/>
  <c r="P16" i="7"/>
  <c r="P114" i="8" s="1"/>
  <c r="R16" i="22"/>
  <c r="O16" i="7" s="1"/>
  <c r="O114" i="8" s="1"/>
  <c r="R15" i="22"/>
  <c r="N16" i="7"/>
  <c r="N114" i="8" s="1"/>
  <c r="J15" i="7"/>
  <c r="J106" i="8" s="1"/>
  <c r="I15" i="7"/>
  <c r="I106" i="8" s="1"/>
  <c r="H15" i="7"/>
  <c r="H106" i="8" s="1"/>
  <c r="G15" i="7"/>
  <c r="G106" i="8" s="1"/>
  <c r="F15" i="7"/>
  <c r="F106" i="8" s="1"/>
  <c r="Q18" i="22"/>
  <c r="Q15" i="7" s="1"/>
  <c r="Q106" i="8" s="1"/>
  <c r="Q17" i="22"/>
  <c r="P15" i="7"/>
  <c r="P106" i="8" s="1"/>
  <c r="Q16" i="22"/>
  <c r="O15" i="7" s="1"/>
  <c r="O106" i="8" s="1"/>
  <c r="Q15" i="22"/>
  <c r="N15" i="7"/>
  <c r="N106" i="8" s="1"/>
  <c r="J14" i="7"/>
  <c r="J98" i="8" s="1"/>
  <c r="I14" i="7"/>
  <c r="I98" i="8" s="1"/>
  <c r="H14" i="7"/>
  <c r="H98" i="8" s="1"/>
  <c r="G14" i="7"/>
  <c r="G98" i="8" s="1"/>
  <c r="F14" i="7"/>
  <c r="F98" i="8" s="1"/>
  <c r="P18" i="22"/>
  <c r="Q14" i="7"/>
  <c r="Q98" i="8" s="1"/>
  <c r="P17" i="22"/>
  <c r="P14" i="7" s="1"/>
  <c r="P98" i="8" s="1"/>
  <c r="P16" i="22"/>
  <c r="O14" i="7"/>
  <c r="O98" i="8" s="1"/>
  <c r="P15" i="22"/>
  <c r="N14" i="7" s="1"/>
  <c r="N98" i="8" s="1"/>
  <c r="J13" i="7"/>
  <c r="J90" i="8" s="1"/>
  <c r="I13" i="7"/>
  <c r="I90" i="8" s="1"/>
  <c r="H13" i="7"/>
  <c r="H90" i="8" s="1"/>
  <c r="G13" i="7"/>
  <c r="G90" i="8" s="1"/>
  <c r="F13" i="7"/>
  <c r="F90" i="8" s="1"/>
  <c r="O18" i="22"/>
  <c r="Q13" i="7" s="1"/>
  <c r="Q90" i="8" s="1"/>
  <c r="O17" i="22"/>
  <c r="P13" i="7"/>
  <c r="P90" i="8" s="1"/>
  <c r="O16" i="22"/>
  <c r="O13" i="7" s="1"/>
  <c r="O90" i="8" s="1"/>
  <c r="O15" i="22"/>
  <c r="N13" i="7"/>
  <c r="N90" i="8" s="1"/>
  <c r="J12" i="7"/>
  <c r="J82" i="8" s="1"/>
  <c r="I12" i="7"/>
  <c r="I82" i="8" s="1"/>
  <c r="H12" i="7"/>
  <c r="H82" i="8" s="1"/>
  <c r="G12" i="7"/>
  <c r="G82" i="8" s="1"/>
  <c r="F12" i="7"/>
  <c r="F82" i="8" s="1"/>
  <c r="N18" i="22"/>
  <c r="Q12" i="7" s="1"/>
  <c r="Q82" i="8" s="1"/>
  <c r="N17" i="22"/>
  <c r="P12" i="7"/>
  <c r="P82" i="8" s="1"/>
  <c r="N16" i="22"/>
  <c r="O12" i="7" s="1"/>
  <c r="O82" i="8" s="1"/>
  <c r="N15" i="22"/>
  <c r="N12" i="7"/>
  <c r="N82" i="8" s="1"/>
  <c r="J11" i="7"/>
  <c r="J74" i="8" s="1"/>
  <c r="I11" i="7"/>
  <c r="I74" i="8" s="1"/>
  <c r="H11" i="7"/>
  <c r="H74" i="8" s="1"/>
  <c r="G11" i="7"/>
  <c r="G74" i="8" s="1"/>
  <c r="F11" i="7"/>
  <c r="F74" i="8" s="1"/>
  <c r="M15" i="22"/>
  <c r="N11" i="7" s="1"/>
  <c r="N74" i="8" s="1"/>
  <c r="J10" i="7"/>
  <c r="J66" i="8" s="1"/>
  <c r="I10" i="7"/>
  <c r="I66" i="8" s="1"/>
  <c r="H10" i="7"/>
  <c r="H66" i="8" s="1"/>
  <c r="G10" i="7"/>
  <c r="G66" i="8" s="1"/>
  <c r="F10" i="7"/>
  <c r="F66" i="8" s="1"/>
  <c r="J9" i="7"/>
  <c r="J58" i="8" s="1"/>
  <c r="I9" i="7"/>
  <c r="I58" i="8" s="1"/>
  <c r="H9" i="7"/>
  <c r="H58" i="8" s="1"/>
  <c r="G9" i="7"/>
  <c r="G58" i="8" s="1"/>
  <c r="F9" i="7"/>
  <c r="F58" i="8" s="1"/>
  <c r="K18" i="22"/>
  <c r="Q9" i="7"/>
  <c r="Q58" i="8" s="1"/>
  <c r="K17" i="22"/>
  <c r="P9" i="7" s="1"/>
  <c r="P58" i="8" s="1"/>
  <c r="K16" i="22"/>
  <c r="O9" i="7"/>
  <c r="O58" i="8" s="1"/>
  <c r="N58" i="8"/>
  <c r="J8" i="7"/>
  <c r="J50" i="8" s="1"/>
  <c r="I8" i="7"/>
  <c r="I50" i="8" s="1"/>
  <c r="H8" i="7"/>
  <c r="H50" i="8" s="1"/>
  <c r="G8" i="7"/>
  <c r="G50" i="8" s="1"/>
  <c r="F8" i="7"/>
  <c r="F50" i="8" s="1"/>
  <c r="J15" i="22"/>
  <c r="N8" i="7" s="1"/>
  <c r="N50" i="8" s="1"/>
  <c r="J16" i="22"/>
  <c r="O8" i="7"/>
  <c r="O50" i="8" s="1"/>
  <c r="J17" i="22"/>
  <c r="P8" i="7" s="1"/>
  <c r="P50" i="8" s="1"/>
  <c r="J18" i="22"/>
  <c r="Q8" i="7"/>
  <c r="Q50" i="8" s="1"/>
  <c r="J7" i="7"/>
  <c r="J42" i="8" s="1"/>
  <c r="I7" i="7"/>
  <c r="I42" i="8" s="1"/>
  <c r="H7" i="7"/>
  <c r="H42" i="8" s="1"/>
  <c r="G7" i="7"/>
  <c r="G42" i="8" s="1"/>
  <c r="F7" i="7"/>
  <c r="F42" i="8" s="1"/>
  <c r="I15" i="22"/>
  <c r="N7" i="7"/>
  <c r="N42" i="8" s="1"/>
  <c r="I16" i="22"/>
  <c r="O7" i="7" s="1"/>
  <c r="O42" i="8" s="1"/>
  <c r="I17" i="22"/>
  <c r="P7" i="7"/>
  <c r="P42" i="8" s="1"/>
  <c r="I18" i="22"/>
  <c r="Q7" i="7" s="1"/>
  <c r="Q42" i="8" s="1"/>
  <c r="J6" i="7"/>
  <c r="J34" i="8" s="1"/>
  <c r="F42" i="6" s="1"/>
  <c r="I6" i="7"/>
  <c r="I34" i="8" s="1"/>
  <c r="F41" i="6" s="1"/>
  <c r="H6" i="7"/>
  <c r="H34" i="8" s="1"/>
  <c r="F40" i="6" s="1"/>
  <c r="G6" i="7"/>
  <c r="G34" i="8" s="1"/>
  <c r="F39" i="6" s="1"/>
  <c r="F6" i="7"/>
  <c r="F34" i="8" s="1"/>
  <c r="F38" i="6" s="1"/>
  <c r="H15" i="22"/>
  <c r="N6" i="7" s="1"/>
  <c r="N34" i="8" s="1"/>
  <c r="H16" i="22"/>
  <c r="O6" i="7"/>
  <c r="O34" i="8" s="1"/>
  <c r="H17" i="22"/>
  <c r="P6" i="7" s="1"/>
  <c r="P34" i="8" s="1"/>
  <c r="H18" i="22"/>
  <c r="Q6" i="7"/>
  <c r="Q34" i="8" s="1"/>
  <c r="J5" i="7"/>
  <c r="J26" i="8" s="1"/>
  <c r="I5" i="7"/>
  <c r="I26" i="8" s="1"/>
  <c r="H5" i="7"/>
  <c r="H26" i="8" s="1"/>
  <c r="F32" i="6" s="1"/>
  <c r="G5" i="7"/>
  <c r="G26" i="8" s="1"/>
  <c r="F31" i="6" s="1"/>
  <c r="F5" i="7"/>
  <c r="F26" i="8" s="1"/>
  <c r="F30" i="6" s="1"/>
  <c r="G15" i="22"/>
  <c r="N5" i="7"/>
  <c r="N26" i="8" s="1"/>
  <c r="G16" i="22"/>
  <c r="O5" i="7" s="1"/>
  <c r="O26" i="8" s="1"/>
  <c r="G17" i="22"/>
  <c r="P5" i="7"/>
  <c r="P26" i="8" s="1"/>
  <c r="G18" i="22"/>
  <c r="Q5" i="7" s="1"/>
  <c r="Q26" i="8" s="1"/>
  <c r="J4" i="7"/>
  <c r="J18" i="8" s="1"/>
  <c r="I4" i="7"/>
  <c r="I18" i="8" s="1"/>
  <c r="H4" i="7"/>
  <c r="H18" i="8" s="1"/>
  <c r="G4" i="7"/>
  <c r="G18" i="8" s="1"/>
  <c r="F23" i="6" s="1"/>
  <c r="F4" i="7"/>
  <c r="F18" i="8" s="1"/>
  <c r="F22" i="6" s="1"/>
  <c r="F15" i="22"/>
  <c r="N4" i="7" s="1"/>
  <c r="N18" i="8" s="1"/>
  <c r="F16" i="22"/>
  <c r="O4" i="7"/>
  <c r="O18" i="8" s="1"/>
  <c r="F17" i="22"/>
  <c r="P4" i="7" s="1"/>
  <c r="P18" i="8" s="1"/>
  <c r="F18" i="22"/>
  <c r="Q4" i="7"/>
  <c r="Q18" i="8" s="1"/>
  <c r="J3" i="7"/>
  <c r="J10" i="8" s="1"/>
  <c r="I3" i="7"/>
  <c r="I10" i="8" s="1"/>
  <c r="H3" i="7"/>
  <c r="H10" i="8" s="1"/>
  <c r="G3" i="7"/>
  <c r="G10" i="8" s="1"/>
  <c r="F15" i="6" s="1"/>
  <c r="F3" i="7"/>
  <c r="F10" i="8" s="1"/>
  <c r="CI15" i="22"/>
  <c r="N85" i="7" s="1"/>
  <c r="CI16" i="22"/>
  <c r="O85" i="7" s="1"/>
  <c r="CI17" i="22"/>
  <c r="P85" i="7" s="1"/>
  <c r="CI18" i="22"/>
  <c r="Q85" i="7" s="1"/>
  <c r="P2" i="12"/>
  <c r="Q2" i="12"/>
  <c r="R2" i="12"/>
  <c r="S2" i="12"/>
  <c r="G2" i="12"/>
  <c r="S4" i="12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S3" i="12"/>
  <c r="R3" i="12"/>
  <c r="P3" i="12"/>
  <c r="C4" i="6"/>
  <c r="B4" i="6"/>
  <c r="E11" i="2"/>
  <c r="D12" i="2"/>
  <c r="D11" i="2"/>
  <c r="E17" i="2"/>
  <c r="E13" i="2"/>
  <c r="F2" i="7"/>
  <c r="F2" i="8" s="1"/>
  <c r="F6" i="6" s="1"/>
  <c r="H10" i="6"/>
  <c r="H9" i="6"/>
  <c r="D13" i="2"/>
  <c r="E5" i="22"/>
  <c r="F5" i="22"/>
  <c r="G5" i="22"/>
  <c r="H5" i="22"/>
  <c r="I5" i="22"/>
  <c r="J5" i="22"/>
  <c r="K5" i="22"/>
  <c r="L5" i="22"/>
  <c r="M5" i="22"/>
  <c r="N5" i="22"/>
  <c r="O5" i="22"/>
  <c r="P5" i="22"/>
  <c r="Q5" i="22"/>
  <c r="R5" i="22"/>
  <c r="S5" i="22"/>
  <c r="T5" i="22"/>
  <c r="U5" i="22"/>
  <c r="V5" i="22"/>
  <c r="W5" i="22"/>
  <c r="X5" i="22"/>
  <c r="Y5" i="22"/>
  <c r="Z5" i="22"/>
  <c r="AA5" i="22"/>
  <c r="AB5" i="22"/>
  <c r="AC5" i="22"/>
  <c r="AD5" i="22"/>
  <c r="AE5" i="22"/>
  <c r="AF5" i="22"/>
  <c r="AG5" i="22"/>
  <c r="AH5" i="22"/>
  <c r="AI5" i="22"/>
  <c r="AJ5" i="22"/>
  <c r="AK5" i="22"/>
  <c r="AL5" i="22"/>
  <c r="AM5" i="22"/>
  <c r="AN5" i="22"/>
  <c r="AO5" i="22"/>
  <c r="AP5" i="22"/>
  <c r="AQ5" i="22"/>
  <c r="AR5" i="22"/>
  <c r="AS5" i="22"/>
  <c r="AT5" i="22"/>
  <c r="AU5" i="22"/>
  <c r="AV5" i="22"/>
  <c r="AW5" i="22"/>
  <c r="AX5" i="22"/>
  <c r="AY5" i="22"/>
  <c r="AZ5" i="22"/>
  <c r="BA5" i="22"/>
  <c r="BB5" i="22"/>
  <c r="BC5" i="22"/>
  <c r="BD5" i="22"/>
  <c r="BE5" i="22"/>
  <c r="BF5" i="22"/>
  <c r="BG5" i="22"/>
  <c r="BH5" i="22"/>
  <c r="BI5" i="22"/>
  <c r="BJ5" i="22"/>
  <c r="BK5" i="22"/>
  <c r="BL5" i="22"/>
  <c r="BM5" i="22"/>
  <c r="BN5" i="22"/>
  <c r="BO5" i="22"/>
  <c r="BP5" i="22"/>
  <c r="BQ5" i="22"/>
  <c r="BR5" i="22"/>
  <c r="BS5" i="22"/>
  <c r="BT5" i="22"/>
  <c r="BU5" i="22"/>
  <c r="BV5" i="22"/>
  <c r="BW5" i="22"/>
  <c r="BX5" i="22"/>
  <c r="BY5" i="22"/>
  <c r="BZ5" i="22"/>
  <c r="CA5" i="22"/>
  <c r="CB5" i="22"/>
  <c r="CC5" i="22"/>
  <c r="CD5" i="22"/>
  <c r="CE5" i="22"/>
  <c r="CF5" i="22"/>
  <c r="CG5" i="22"/>
  <c r="CH5" i="22"/>
  <c r="CI5" i="22"/>
  <c r="D5" i="22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0" i="14"/>
  <c r="D251" i="14"/>
  <c r="D252" i="14"/>
  <c r="D253" i="14"/>
  <c r="D254" i="14"/>
  <c r="D255" i="14"/>
  <c r="D256" i="14"/>
  <c r="D257" i="14"/>
  <c r="D258" i="14"/>
  <c r="D259" i="14"/>
  <c r="D260" i="14"/>
  <c r="D261" i="14"/>
  <c r="D262" i="14"/>
  <c r="D263" i="14"/>
  <c r="D264" i="14"/>
  <c r="D265" i="14"/>
  <c r="D266" i="14"/>
  <c r="D267" i="14"/>
  <c r="D268" i="14"/>
  <c r="D269" i="14"/>
  <c r="D270" i="14"/>
  <c r="D271" i="14"/>
  <c r="D272" i="14"/>
  <c r="D273" i="14"/>
  <c r="D274" i="14"/>
  <c r="D275" i="14"/>
  <c r="D276" i="14"/>
  <c r="D277" i="14"/>
  <c r="D278" i="14"/>
  <c r="D279" i="14"/>
  <c r="D280" i="14"/>
  <c r="D281" i="14"/>
  <c r="D282" i="14"/>
  <c r="D283" i="14"/>
  <c r="D284" i="14"/>
  <c r="D285" i="14"/>
  <c r="D286" i="14"/>
  <c r="D287" i="14"/>
  <c r="D288" i="14"/>
  <c r="D289" i="14"/>
  <c r="D290" i="14"/>
  <c r="D291" i="14"/>
  <c r="D292" i="14"/>
  <c r="D293" i="14"/>
  <c r="D294" i="14"/>
  <c r="D295" i="14"/>
  <c r="D296" i="14"/>
  <c r="D297" i="14"/>
  <c r="D298" i="14"/>
  <c r="D299" i="14"/>
  <c r="D300" i="14"/>
  <c r="D301" i="14"/>
  <c r="D302" i="14"/>
  <c r="D303" i="14"/>
  <c r="D304" i="14"/>
  <c r="D305" i="14"/>
  <c r="D306" i="14"/>
  <c r="D307" i="14"/>
  <c r="D308" i="14"/>
  <c r="D309" i="14"/>
  <c r="D310" i="14"/>
  <c r="D311" i="14"/>
  <c r="D312" i="14"/>
  <c r="D313" i="14"/>
  <c r="D314" i="14"/>
  <c r="D315" i="14"/>
  <c r="D316" i="14"/>
  <c r="D317" i="14"/>
  <c r="D318" i="14"/>
  <c r="D319" i="14"/>
  <c r="D320" i="14"/>
  <c r="D321" i="14"/>
  <c r="D322" i="14"/>
  <c r="D323" i="14"/>
  <c r="D324" i="14"/>
  <c r="D325" i="14"/>
  <c r="D326" i="14"/>
  <c r="D327" i="14"/>
  <c r="D328" i="14"/>
  <c r="D329" i="14"/>
  <c r="D330" i="14"/>
  <c r="D331" i="14"/>
  <c r="D332" i="14"/>
  <c r="D333" i="14"/>
  <c r="D334" i="14"/>
  <c r="D335" i="14"/>
  <c r="D336" i="14"/>
  <c r="D337" i="14"/>
  <c r="D338" i="14"/>
  <c r="D339" i="14"/>
  <c r="D340" i="14"/>
  <c r="D341" i="14"/>
  <c r="D342" i="14"/>
  <c r="D343" i="14"/>
  <c r="D344" i="14"/>
  <c r="D345" i="14"/>
  <c r="D346" i="14"/>
  <c r="D347" i="14"/>
  <c r="D348" i="14"/>
  <c r="D349" i="14"/>
  <c r="D350" i="14"/>
  <c r="D351" i="14"/>
  <c r="D352" i="14"/>
  <c r="D353" i="14"/>
  <c r="D354" i="14"/>
  <c r="D355" i="14"/>
  <c r="D356" i="14"/>
  <c r="D357" i="14"/>
  <c r="D358" i="14"/>
  <c r="D359" i="14"/>
  <c r="D360" i="14"/>
  <c r="D361" i="14"/>
  <c r="D362" i="14"/>
  <c r="D363" i="14"/>
  <c r="D364" i="14"/>
  <c r="D365" i="14"/>
  <c r="D366" i="14"/>
  <c r="D367" i="14"/>
  <c r="D368" i="14"/>
  <c r="D369" i="14"/>
  <c r="D370" i="14"/>
  <c r="D371" i="14"/>
  <c r="D372" i="14"/>
  <c r="D373" i="14"/>
  <c r="D374" i="14"/>
  <c r="D375" i="14"/>
  <c r="D376" i="14"/>
  <c r="D377" i="14"/>
  <c r="D378" i="14"/>
  <c r="D379" i="14"/>
  <c r="D380" i="14"/>
  <c r="D381" i="14"/>
  <c r="D382" i="14"/>
  <c r="D383" i="14"/>
  <c r="D384" i="14"/>
  <c r="D385" i="14"/>
  <c r="D386" i="14"/>
  <c r="D387" i="14"/>
  <c r="D388" i="14"/>
  <c r="D389" i="14"/>
  <c r="D390" i="14"/>
  <c r="D391" i="14"/>
  <c r="D392" i="14"/>
  <c r="D393" i="14"/>
  <c r="D394" i="14"/>
  <c r="D395" i="14"/>
  <c r="D396" i="14"/>
  <c r="D397" i="14"/>
  <c r="D398" i="14"/>
  <c r="D399" i="14"/>
  <c r="D400" i="14"/>
  <c r="D401" i="14"/>
  <c r="D402" i="14"/>
  <c r="D403" i="14"/>
  <c r="D404" i="14"/>
  <c r="D405" i="14"/>
  <c r="D406" i="14"/>
  <c r="D407" i="14"/>
  <c r="D408" i="14"/>
  <c r="D409" i="14"/>
  <c r="D410" i="14"/>
  <c r="D411" i="14"/>
  <c r="D412" i="14"/>
  <c r="D413" i="14"/>
  <c r="D414" i="14"/>
  <c r="D415" i="14"/>
  <c r="D416" i="14"/>
  <c r="D417" i="14"/>
  <c r="D418" i="14"/>
  <c r="D419" i="14"/>
  <c r="D420" i="14"/>
  <c r="D421" i="14"/>
  <c r="D422" i="14"/>
  <c r="D423" i="14"/>
  <c r="D424" i="14"/>
  <c r="D425" i="14"/>
  <c r="D426" i="14"/>
  <c r="D427" i="14"/>
  <c r="D428" i="14"/>
  <c r="D429" i="14"/>
  <c r="D430" i="14"/>
  <c r="D431" i="14"/>
  <c r="D432" i="14"/>
  <c r="D433" i="14"/>
  <c r="D434" i="14"/>
  <c r="D435" i="14"/>
  <c r="D436" i="14"/>
  <c r="D437" i="14"/>
  <c r="D438" i="14"/>
  <c r="D439" i="14"/>
  <c r="D440" i="14"/>
  <c r="D441" i="14"/>
  <c r="D442" i="14"/>
  <c r="D443" i="14"/>
  <c r="D444" i="14"/>
  <c r="D445" i="14"/>
  <c r="D446" i="14"/>
  <c r="D447" i="14"/>
  <c r="D448" i="14"/>
  <c r="D449" i="14"/>
  <c r="D450" i="14"/>
  <c r="D451" i="14"/>
  <c r="D452" i="14"/>
  <c r="D453" i="14"/>
  <c r="D454" i="14"/>
  <c r="D455" i="14"/>
  <c r="D456" i="14"/>
  <c r="D457" i="14"/>
  <c r="D458" i="14"/>
  <c r="D459" i="14"/>
  <c r="D460" i="14"/>
  <c r="D461" i="14"/>
  <c r="D462" i="14"/>
  <c r="D463" i="14"/>
  <c r="D464" i="14"/>
  <c r="D465" i="14"/>
  <c r="D466" i="14"/>
  <c r="D467" i="14"/>
  <c r="D468" i="14"/>
  <c r="D469" i="14"/>
  <c r="D470" i="14"/>
  <c r="D471" i="14"/>
  <c r="D472" i="14"/>
  <c r="D473" i="14"/>
  <c r="D474" i="14"/>
  <c r="D475" i="14"/>
  <c r="D476" i="14"/>
  <c r="D477" i="14"/>
  <c r="D478" i="14"/>
  <c r="D479" i="14"/>
  <c r="D480" i="14"/>
  <c r="D481" i="14"/>
  <c r="D482" i="14"/>
  <c r="D483" i="14"/>
  <c r="D484" i="14"/>
  <c r="D485" i="14"/>
  <c r="D486" i="14"/>
  <c r="D487" i="14"/>
  <c r="D488" i="14"/>
  <c r="D489" i="14"/>
  <c r="D490" i="14"/>
  <c r="D491" i="14"/>
  <c r="D492" i="14"/>
  <c r="D493" i="14"/>
  <c r="D494" i="14"/>
  <c r="D495" i="14"/>
  <c r="D496" i="14"/>
  <c r="D497" i="14"/>
  <c r="D498" i="14"/>
  <c r="D499" i="14"/>
  <c r="D500" i="14"/>
  <c r="D501" i="14"/>
  <c r="D502" i="14"/>
  <c r="D503" i="14"/>
  <c r="D504" i="14"/>
  <c r="D505" i="14"/>
  <c r="D506" i="14"/>
  <c r="D507" i="14"/>
  <c r="D508" i="14"/>
  <c r="D509" i="14"/>
  <c r="D510" i="14"/>
  <c r="D511" i="14"/>
  <c r="D512" i="14"/>
  <c r="D513" i="14"/>
  <c r="D514" i="14"/>
  <c r="D515" i="14"/>
  <c r="D516" i="14"/>
  <c r="D517" i="14"/>
  <c r="D518" i="14"/>
  <c r="D519" i="14"/>
  <c r="D520" i="14"/>
  <c r="D521" i="14"/>
  <c r="D522" i="14"/>
  <c r="D523" i="14"/>
  <c r="D524" i="14"/>
  <c r="D525" i="14"/>
  <c r="D526" i="14"/>
  <c r="D527" i="14"/>
  <c r="D528" i="14"/>
  <c r="D529" i="14"/>
  <c r="D530" i="14"/>
  <c r="D531" i="14"/>
  <c r="D532" i="14"/>
  <c r="D533" i="14"/>
  <c r="D534" i="14"/>
  <c r="D535" i="14"/>
  <c r="D536" i="14"/>
  <c r="D537" i="14"/>
  <c r="D538" i="14"/>
  <c r="D539" i="14"/>
  <c r="D540" i="14"/>
  <c r="D541" i="14"/>
  <c r="D542" i="14"/>
  <c r="D543" i="14"/>
  <c r="D544" i="14"/>
  <c r="D545" i="14"/>
  <c r="D546" i="14"/>
  <c r="D547" i="14"/>
  <c r="D548" i="14"/>
  <c r="D549" i="14"/>
  <c r="D550" i="14"/>
  <c r="D551" i="14"/>
  <c r="D552" i="14"/>
  <c r="D553" i="14"/>
  <c r="D554" i="14"/>
  <c r="D555" i="14"/>
  <c r="D556" i="14"/>
  <c r="D557" i="14"/>
  <c r="D558" i="14"/>
  <c r="D559" i="14"/>
  <c r="D560" i="14"/>
  <c r="D561" i="14"/>
  <c r="D562" i="14"/>
  <c r="D563" i="14"/>
  <c r="D564" i="14"/>
  <c r="D565" i="14"/>
  <c r="D566" i="14"/>
  <c r="D567" i="14"/>
  <c r="D568" i="14"/>
  <c r="D569" i="14"/>
  <c r="D570" i="14"/>
  <c r="D571" i="14"/>
  <c r="D572" i="14"/>
  <c r="D573" i="14"/>
  <c r="D574" i="14"/>
  <c r="D575" i="14"/>
  <c r="D576" i="14"/>
  <c r="D577" i="14"/>
  <c r="D578" i="14"/>
  <c r="D579" i="14"/>
  <c r="D580" i="14"/>
  <c r="D581" i="14"/>
  <c r="D582" i="14"/>
  <c r="D583" i="14"/>
  <c r="D584" i="14"/>
  <c r="D585" i="14"/>
  <c r="D586" i="14"/>
  <c r="D587" i="14"/>
  <c r="D588" i="14"/>
  <c r="D589" i="14"/>
  <c r="D590" i="14"/>
  <c r="D591" i="14"/>
  <c r="D592" i="14"/>
  <c r="D593" i="14"/>
  <c r="D594" i="14"/>
  <c r="D595" i="14"/>
  <c r="D596" i="14"/>
  <c r="D597" i="14"/>
  <c r="D598" i="14"/>
  <c r="D599" i="14"/>
  <c r="D600" i="14"/>
  <c r="D601" i="14"/>
  <c r="D602" i="14"/>
  <c r="D603" i="14"/>
  <c r="D604" i="14"/>
  <c r="D605" i="14"/>
  <c r="D606" i="14"/>
  <c r="D607" i="14"/>
  <c r="D608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D645" i="14"/>
  <c r="D646" i="14"/>
  <c r="D647" i="14"/>
  <c r="D648" i="14"/>
  <c r="D649" i="14"/>
  <c r="D650" i="14"/>
  <c r="D651" i="14"/>
  <c r="D652" i="14"/>
  <c r="D653" i="14"/>
  <c r="D654" i="14"/>
  <c r="D655" i="14"/>
  <c r="D656" i="14"/>
  <c r="D657" i="14"/>
  <c r="D658" i="14"/>
  <c r="D659" i="14"/>
  <c r="D660" i="14"/>
  <c r="D661" i="14"/>
  <c r="D662" i="14"/>
  <c r="D663" i="14"/>
  <c r="D664" i="14"/>
  <c r="D665" i="14"/>
  <c r="D666" i="14"/>
  <c r="D667" i="14"/>
  <c r="D668" i="14"/>
  <c r="D669" i="14"/>
  <c r="D670" i="14"/>
  <c r="D671" i="14"/>
  <c r="D672" i="14"/>
  <c r="D673" i="14"/>
  <c r="D674" i="14"/>
  <c r="D675" i="14"/>
  <c r="D676" i="14"/>
  <c r="D677" i="14"/>
  <c r="D678" i="14"/>
  <c r="D679" i="14"/>
  <c r="D680" i="14"/>
  <c r="D681" i="14"/>
  <c r="D682" i="14"/>
  <c r="D683" i="14"/>
  <c r="D684" i="14"/>
  <c r="D685" i="14"/>
  <c r="D686" i="14"/>
  <c r="D687" i="14"/>
  <c r="D688" i="14"/>
  <c r="D689" i="14"/>
  <c r="D690" i="14"/>
  <c r="D691" i="14"/>
  <c r="D692" i="14"/>
  <c r="D693" i="14"/>
  <c r="D694" i="14"/>
  <c r="D695" i="14"/>
  <c r="D696" i="14"/>
  <c r="D697" i="14"/>
  <c r="D698" i="14"/>
  <c r="D699" i="14"/>
  <c r="D700" i="14"/>
  <c r="D701" i="14"/>
  <c r="D702" i="14"/>
  <c r="D703" i="14"/>
  <c r="D704" i="14"/>
  <c r="D705" i="14"/>
  <c r="D706" i="14"/>
  <c r="D707" i="14"/>
  <c r="D708" i="14"/>
  <c r="D709" i="14"/>
  <c r="D710" i="14"/>
  <c r="D711" i="14"/>
  <c r="D712" i="14"/>
  <c r="D713" i="14"/>
  <c r="D714" i="14"/>
  <c r="D715" i="14"/>
  <c r="D716" i="14"/>
  <c r="D717" i="14"/>
  <c r="D718" i="14"/>
  <c r="D719" i="14"/>
  <c r="D720" i="14"/>
  <c r="D721" i="14"/>
  <c r="D722" i="14"/>
  <c r="D723" i="14"/>
  <c r="D724" i="14"/>
  <c r="D725" i="14"/>
  <c r="D726" i="14"/>
  <c r="D727" i="14"/>
  <c r="D728" i="14"/>
  <c r="D729" i="14"/>
  <c r="D730" i="14"/>
  <c r="D731" i="14"/>
  <c r="D732" i="14"/>
  <c r="D733" i="14"/>
  <c r="D734" i="14"/>
  <c r="D735" i="14"/>
  <c r="D736" i="14"/>
  <c r="D737" i="14"/>
  <c r="D738" i="14"/>
  <c r="D739" i="14"/>
  <c r="D740" i="14"/>
  <c r="D741" i="14"/>
  <c r="D742" i="14"/>
  <c r="D743" i="14"/>
  <c r="D744" i="14"/>
  <c r="D745" i="14"/>
  <c r="D746" i="14"/>
  <c r="D747" i="14"/>
  <c r="D748" i="14"/>
  <c r="D749" i="14"/>
  <c r="D750" i="14"/>
  <c r="D751" i="14"/>
  <c r="D752" i="14"/>
  <c r="D753" i="14"/>
  <c r="D754" i="14"/>
  <c r="D755" i="14"/>
  <c r="D756" i="14"/>
  <c r="D757" i="14"/>
  <c r="D758" i="14"/>
  <c r="D759" i="14"/>
  <c r="D760" i="14"/>
  <c r="D761" i="14"/>
  <c r="D762" i="14"/>
  <c r="D763" i="14"/>
  <c r="D764" i="14"/>
  <c r="D765" i="14"/>
  <c r="D766" i="14"/>
  <c r="D767" i="14"/>
  <c r="D768" i="14"/>
  <c r="D769" i="14"/>
  <c r="D770" i="14"/>
  <c r="D771" i="14"/>
  <c r="D772" i="14"/>
  <c r="D773" i="14"/>
  <c r="D774" i="14"/>
  <c r="D775" i="14"/>
  <c r="D776" i="14"/>
  <c r="D777" i="14"/>
  <c r="D778" i="14"/>
  <c r="D779" i="14"/>
  <c r="D780" i="14"/>
  <c r="D781" i="14"/>
  <c r="D782" i="14"/>
  <c r="D783" i="14"/>
  <c r="D784" i="14"/>
  <c r="D785" i="14"/>
  <c r="D786" i="14"/>
  <c r="D787" i="14"/>
  <c r="D788" i="14"/>
  <c r="D789" i="14"/>
  <c r="D790" i="14"/>
  <c r="D791" i="14"/>
  <c r="D792" i="14"/>
  <c r="D793" i="14"/>
  <c r="D794" i="14"/>
  <c r="D795" i="14"/>
  <c r="D796" i="14"/>
  <c r="D797" i="14"/>
  <c r="D798" i="14"/>
  <c r="D799" i="14"/>
  <c r="D800" i="14"/>
  <c r="D801" i="14"/>
  <c r="D802" i="14"/>
  <c r="D803" i="14"/>
  <c r="D804" i="14"/>
  <c r="D805" i="14"/>
  <c r="D806" i="14"/>
  <c r="D807" i="14"/>
  <c r="D808" i="14"/>
  <c r="D809" i="14"/>
  <c r="D810" i="14"/>
  <c r="D811" i="14"/>
  <c r="D812" i="14"/>
  <c r="D813" i="14"/>
  <c r="D814" i="14"/>
  <c r="D815" i="14"/>
  <c r="D816" i="14"/>
  <c r="D817" i="14"/>
  <c r="D818" i="14"/>
  <c r="D819" i="14"/>
  <c r="D820" i="14"/>
  <c r="D821" i="14"/>
  <c r="D822" i="14"/>
  <c r="D823" i="14"/>
  <c r="D824" i="14"/>
  <c r="D825" i="14"/>
  <c r="D826" i="14"/>
  <c r="D827" i="14"/>
  <c r="D828" i="14"/>
  <c r="D829" i="14"/>
  <c r="D830" i="14"/>
  <c r="D831" i="14"/>
  <c r="D832" i="14"/>
  <c r="D833" i="14"/>
  <c r="D834" i="14"/>
  <c r="D835" i="14"/>
  <c r="D836" i="14"/>
  <c r="D837" i="14"/>
  <c r="D838" i="14"/>
  <c r="D839" i="14"/>
  <c r="D840" i="14"/>
  <c r="D841" i="14"/>
  <c r="D842" i="14"/>
  <c r="D843" i="14"/>
  <c r="D844" i="14"/>
  <c r="D845" i="14"/>
  <c r="D846" i="14"/>
  <c r="D847" i="14"/>
  <c r="D848" i="14"/>
  <c r="D849" i="14"/>
  <c r="D850" i="14"/>
  <c r="D851" i="14"/>
  <c r="D852" i="14"/>
  <c r="D853" i="14"/>
  <c r="D854" i="14"/>
  <c r="D855" i="14"/>
  <c r="D856" i="14"/>
  <c r="D857" i="14"/>
  <c r="D858" i="14"/>
  <c r="D859" i="14"/>
  <c r="D860" i="14"/>
  <c r="D861" i="14"/>
  <c r="D862" i="14"/>
  <c r="D863" i="14"/>
  <c r="D864" i="14"/>
  <c r="D865" i="14"/>
  <c r="D866" i="14"/>
  <c r="D867" i="14"/>
  <c r="D868" i="14"/>
  <c r="D869" i="14"/>
  <c r="D870" i="14"/>
  <c r="D871" i="14"/>
  <c r="D872" i="14"/>
  <c r="D873" i="14"/>
  <c r="D874" i="14"/>
  <c r="D875" i="14"/>
  <c r="D876" i="14"/>
  <c r="D877" i="14"/>
  <c r="D878" i="14"/>
  <c r="D879" i="14"/>
  <c r="D880" i="14"/>
  <c r="D881" i="14"/>
  <c r="D882" i="14"/>
  <c r="D883" i="14"/>
  <c r="D884" i="14"/>
  <c r="D885" i="14"/>
  <c r="D886" i="14"/>
  <c r="D887" i="14"/>
  <c r="D888" i="14"/>
  <c r="D889" i="14"/>
  <c r="D890" i="14"/>
  <c r="D891" i="14"/>
  <c r="D892" i="14"/>
  <c r="D893" i="14"/>
  <c r="D894" i="14"/>
  <c r="D895" i="14"/>
  <c r="D896" i="14"/>
  <c r="D897" i="14"/>
  <c r="D898" i="14"/>
  <c r="D899" i="14"/>
  <c r="D900" i="14"/>
  <c r="D901" i="14"/>
  <c r="D902" i="14"/>
  <c r="D903" i="14"/>
  <c r="D904" i="14"/>
  <c r="D905" i="14"/>
  <c r="D906" i="14"/>
  <c r="D907" i="14"/>
  <c r="D908" i="14"/>
  <c r="D909" i="14"/>
  <c r="D910" i="14"/>
  <c r="D911" i="14"/>
  <c r="D912" i="14"/>
  <c r="D913" i="14"/>
  <c r="D914" i="14"/>
  <c r="D915" i="14"/>
  <c r="D916" i="14"/>
  <c r="D917" i="14"/>
  <c r="D918" i="14"/>
  <c r="D919" i="14"/>
  <c r="D920" i="14"/>
  <c r="D921" i="14"/>
  <c r="D922" i="14"/>
  <c r="D923" i="14"/>
  <c r="D924" i="14"/>
  <c r="D925" i="14"/>
  <c r="D926" i="14"/>
  <c r="D927" i="14"/>
  <c r="D928" i="14"/>
  <c r="D929" i="14"/>
  <c r="D930" i="14"/>
  <c r="D931" i="14"/>
  <c r="D932" i="14"/>
  <c r="D933" i="14"/>
  <c r="D934" i="14"/>
  <c r="D935" i="14"/>
  <c r="D936" i="14"/>
  <c r="D937" i="14"/>
  <c r="D938" i="14"/>
  <c r="D939" i="14"/>
  <c r="D940" i="14"/>
  <c r="D941" i="14"/>
  <c r="D942" i="14"/>
  <c r="D943" i="14"/>
  <c r="D944" i="14"/>
  <c r="D945" i="14"/>
  <c r="D946" i="14"/>
  <c r="D947" i="14"/>
  <c r="D948" i="14"/>
  <c r="D949" i="14"/>
  <c r="D950" i="14"/>
  <c r="D951" i="14"/>
  <c r="D952" i="14"/>
  <c r="D953" i="14"/>
  <c r="D954" i="14"/>
  <c r="D955" i="14"/>
  <c r="D956" i="14"/>
  <c r="D957" i="14"/>
  <c r="D958" i="14"/>
  <c r="D959" i="14"/>
  <c r="D960" i="14"/>
  <c r="D961" i="14"/>
  <c r="D962" i="14"/>
  <c r="D963" i="14"/>
  <c r="D964" i="14"/>
  <c r="D965" i="14"/>
  <c r="D966" i="14"/>
  <c r="D967" i="14"/>
  <c r="D968" i="14"/>
  <c r="D969" i="14"/>
  <c r="D970" i="14"/>
  <c r="D971" i="14"/>
  <c r="D972" i="14"/>
  <c r="D973" i="14"/>
  <c r="D974" i="14"/>
  <c r="D975" i="14"/>
  <c r="D976" i="14"/>
  <c r="D977" i="14"/>
  <c r="D978" i="14"/>
  <c r="D979" i="14"/>
  <c r="D980" i="14"/>
  <c r="D981" i="14"/>
  <c r="D982" i="14"/>
  <c r="D983" i="14"/>
  <c r="D984" i="14"/>
  <c r="D985" i="14"/>
  <c r="D986" i="14"/>
  <c r="D987" i="14"/>
  <c r="D988" i="14"/>
  <c r="D989" i="14"/>
  <c r="D990" i="14"/>
  <c r="D991" i="14"/>
  <c r="D992" i="14"/>
  <c r="D993" i="14"/>
  <c r="D994" i="14"/>
  <c r="D995" i="14"/>
  <c r="D996" i="14"/>
  <c r="D997" i="14"/>
  <c r="D998" i="14"/>
  <c r="D999" i="14"/>
  <c r="D1000" i="14"/>
  <c r="D1" i="14"/>
  <c r="D118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9" i="2"/>
  <c r="D120" i="2"/>
  <c r="D121" i="2"/>
  <c r="D122" i="2"/>
  <c r="D123" i="2"/>
  <c r="D124" i="2"/>
  <c r="D41" i="2"/>
  <c r="J75" i="2"/>
  <c r="J124" i="2"/>
  <c r="J123" i="2"/>
  <c r="J122" i="2"/>
  <c r="J121" i="2"/>
  <c r="J120" i="2"/>
  <c r="J119" i="2"/>
  <c r="J117" i="2"/>
  <c r="J116" i="2"/>
  <c r="J115" i="2"/>
  <c r="J114" i="2"/>
  <c r="J113" i="2"/>
  <c r="J112" i="2"/>
  <c r="J110" i="2"/>
  <c r="J109" i="2"/>
  <c r="J108" i="2"/>
  <c r="J107" i="2"/>
  <c r="J106" i="2"/>
  <c r="J105" i="2"/>
  <c r="J103" i="2"/>
  <c r="J102" i="2"/>
  <c r="J101" i="2"/>
  <c r="J100" i="2"/>
  <c r="J99" i="2"/>
  <c r="J98" i="2"/>
  <c r="J96" i="2"/>
  <c r="J95" i="2"/>
  <c r="J94" i="2"/>
  <c r="J93" i="2"/>
  <c r="J92" i="2"/>
  <c r="J91" i="2"/>
  <c r="J89" i="2"/>
  <c r="J88" i="2"/>
  <c r="J87" i="2"/>
  <c r="J86" i="2"/>
  <c r="J85" i="2"/>
  <c r="J84" i="2"/>
  <c r="J82" i="2"/>
  <c r="J81" i="2"/>
  <c r="J80" i="2"/>
  <c r="J79" i="2"/>
  <c r="J78" i="2"/>
  <c r="J77" i="2"/>
  <c r="J74" i="2"/>
  <c r="J73" i="2"/>
  <c r="J72" i="2"/>
  <c r="J71" i="2"/>
  <c r="J70" i="2"/>
  <c r="J68" i="2"/>
  <c r="J67" i="2"/>
  <c r="J66" i="2"/>
  <c r="J65" i="2"/>
  <c r="J64" i="2"/>
  <c r="J63" i="2"/>
  <c r="J61" i="2"/>
  <c r="J60" i="2"/>
  <c r="J59" i="2"/>
  <c r="J58" i="2"/>
  <c r="J57" i="2"/>
  <c r="J56" i="2"/>
  <c r="J54" i="2"/>
  <c r="J53" i="2"/>
  <c r="J52" i="2"/>
  <c r="J51" i="2"/>
  <c r="J50" i="2"/>
  <c r="J49" i="2"/>
  <c r="J47" i="2"/>
  <c r="J46" i="2"/>
  <c r="J45" i="2"/>
  <c r="J44" i="2"/>
  <c r="J43" i="2"/>
  <c r="J42" i="2"/>
  <c r="D6" i="2"/>
  <c r="G41" i="2"/>
  <c r="H124" i="2"/>
  <c r="G124" i="2"/>
  <c r="H123" i="2"/>
  <c r="G123" i="2"/>
  <c r="H122" i="2"/>
  <c r="G122" i="2"/>
  <c r="H121" i="2"/>
  <c r="G121" i="2"/>
  <c r="H120" i="2"/>
  <c r="G120" i="2"/>
  <c r="H119" i="2"/>
  <c r="G119" i="2"/>
  <c r="H118" i="2"/>
  <c r="G118" i="2"/>
  <c r="H117" i="2"/>
  <c r="G117" i="2"/>
  <c r="H116" i="2"/>
  <c r="G116" i="2"/>
  <c r="H115" i="2"/>
  <c r="G115" i="2"/>
  <c r="H114" i="2"/>
  <c r="G114" i="2"/>
  <c r="H113" i="2"/>
  <c r="G113" i="2"/>
  <c r="H112" i="2"/>
  <c r="G112" i="2"/>
  <c r="H111" i="2"/>
  <c r="G111" i="2"/>
  <c r="H110" i="2"/>
  <c r="G110" i="2"/>
  <c r="H109" i="2"/>
  <c r="G109" i="2"/>
  <c r="H108" i="2"/>
  <c r="G108" i="2"/>
  <c r="H107" i="2"/>
  <c r="G107" i="2"/>
  <c r="H106" i="2"/>
  <c r="G106" i="2"/>
  <c r="H105" i="2"/>
  <c r="G105" i="2"/>
  <c r="H104" i="2"/>
  <c r="G104" i="2"/>
  <c r="H103" i="2"/>
  <c r="G103" i="2"/>
  <c r="H102" i="2"/>
  <c r="G102" i="2"/>
  <c r="H101" i="2"/>
  <c r="G101" i="2"/>
  <c r="H100" i="2"/>
  <c r="G100" i="2"/>
  <c r="H99" i="2"/>
  <c r="G99" i="2"/>
  <c r="H98" i="2"/>
  <c r="G98" i="2"/>
  <c r="H97" i="2"/>
  <c r="G97" i="2"/>
  <c r="H96" i="2"/>
  <c r="G96" i="2"/>
  <c r="H95" i="2"/>
  <c r="G95" i="2"/>
  <c r="H94" i="2"/>
  <c r="G94" i="2"/>
  <c r="H93" i="2"/>
  <c r="G93" i="2"/>
  <c r="H92" i="2"/>
  <c r="G92" i="2"/>
  <c r="H91" i="2"/>
  <c r="G91" i="2"/>
  <c r="H90" i="2"/>
  <c r="G90" i="2"/>
  <c r="H89" i="2"/>
  <c r="G89" i="2"/>
  <c r="H88" i="2"/>
  <c r="G88" i="2"/>
  <c r="H87" i="2"/>
  <c r="G87" i="2"/>
  <c r="H86" i="2"/>
  <c r="G86" i="2"/>
  <c r="H85" i="2"/>
  <c r="G85" i="2"/>
  <c r="H84" i="2"/>
  <c r="G84" i="2"/>
  <c r="H83" i="2"/>
  <c r="G83" i="2"/>
  <c r="H82" i="2"/>
  <c r="G82" i="2"/>
  <c r="H81" i="2"/>
  <c r="G81" i="2"/>
  <c r="H80" i="2"/>
  <c r="G80" i="2"/>
  <c r="H79" i="2"/>
  <c r="G79" i="2"/>
  <c r="H78" i="2"/>
  <c r="G78" i="2"/>
  <c r="H77" i="2"/>
  <c r="G77" i="2"/>
  <c r="H76" i="2"/>
  <c r="G76" i="2"/>
  <c r="H75" i="2"/>
  <c r="G75" i="2"/>
  <c r="H74" i="2"/>
  <c r="G74" i="2"/>
  <c r="H73" i="2"/>
  <c r="G73" i="2"/>
  <c r="H72" i="2"/>
  <c r="G72" i="2"/>
  <c r="H71" i="2"/>
  <c r="G71" i="2"/>
  <c r="H70" i="2"/>
  <c r="G70" i="2"/>
  <c r="H69" i="2"/>
  <c r="G69" i="2"/>
  <c r="H68" i="2"/>
  <c r="G68" i="2"/>
  <c r="H67" i="2"/>
  <c r="G67" i="2"/>
  <c r="H66" i="2"/>
  <c r="G66" i="2"/>
  <c r="H65" i="2"/>
  <c r="G65" i="2"/>
  <c r="H64" i="2"/>
  <c r="G64" i="2"/>
  <c r="H63" i="2"/>
  <c r="G63" i="2"/>
  <c r="H62" i="2"/>
  <c r="G62" i="2"/>
  <c r="H61" i="2"/>
  <c r="G61" i="2"/>
  <c r="H60" i="2"/>
  <c r="G60" i="2"/>
  <c r="H59" i="2"/>
  <c r="G59" i="2"/>
  <c r="H58" i="2"/>
  <c r="G58" i="2"/>
  <c r="H57" i="2"/>
  <c r="G57" i="2"/>
  <c r="H56" i="2"/>
  <c r="G56" i="2"/>
  <c r="H55" i="2"/>
  <c r="G55" i="2"/>
  <c r="H54" i="2"/>
  <c r="G54" i="2"/>
  <c r="H53" i="2"/>
  <c r="G53" i="2"/>
  <c r="H52" i="2"/>
  <c r="G52" i="2"/>
  <c r="H51" i="2"/>
  <c r="G51" i="2"/>
  <c r="H50" i="2"/>
  <c r="G50" i="2"/>
  <c r="H49" i="2"/>
  <c r="G49" i="2"/>
  <c r="H48" i="2"/>
  <c r="G48" i="2"/>
  <c r="H47" i="2"/>
  <c r="G47" i="2"/>
  <c r="H46" i="2"/>
  <c r="G46" i="2"/>
  <c r="H45" i="2"/>
  <c r="G45" i="2"/>
  <c r="H44" i="2"/>
  <c r="G44" i="2"/>
  <c r="H43" i="2"/>
  <c r="G43" i="2"/>
  <c r="H42" i="2"/>
  <c r="G42" i="2"/>
  <c r="H41" i="2"/>
  <c r="E2" i="7"/>
  <c r="E2" i="8"/>
  <c r="D8" i="7"/>
  <c r="D50" i="8"/>
  <c r="D82" i="7"/>
  <c r="D642" i="8"/>
  <c r="B82" i="7"/>
  <c r="B642" i="8"/>
  <c r="E82" i="7"/>
  <c r="E642" i="8"/>
  <c r="B24" i="1"/>
  <c r="B25" i="1"/>
  <c r="B27" i="1"/>
  <c r="D8" i="4"/>
  <c r="D34" i="4"/>
  <c r="D10" i="4"/>
  <c r="D36" i="4"/>
  <c r="D2" i="7"/>
  <c r="D2" i="8"/>
  <c r="I11" i="6"/>
  <c r="B2" i="7"/>
  <c r="B2" i="8"/>
  <c r="D4" i="6"/>
  <c r="D5" i="6"/>
  <c r="D6" i="6"/>
  <c r="D7" i="6" s="1"/>
  <c r="D8" i="6" s="1"/>
  <c r="D9" i="6"/>
  <c r="D10" i="6" s="1"/>
  <c r="D11" i="6" s="1"/>
  <c r="M2" i="7"/>
  <c r="M2" i="8" s="1"/>
  <c r="F4" i="6" s="1"/>
  <c r="J11" i="6"/>
  <c r="O11" i="6"/>
  <c r="Q11" i="6"/>
  <c r="J2" i="7"/>
  <c r="J2" i="8" s="1"/>
  <c r="F10" i="6" s="1"/>
  <c r="R9" i="6" s="1"/>
  <c r="I2" i="7"/>
  <c r="I2" i="8" s="1"/>
  <c r="F9" i="6" s="1"/>
  <c r="R8" i="6" s="1"/>
  <c r="H2" i="7"/>
  <c r="H2" i="8" s="1"/>
  <c r="F8" i="6" s="1"/>
  <c r="R7" i="6" s="1"/>
  <c r="G2" i="7"/>
  <c r="G2" i="8" s="1"/>
  <c r="F7" i="6" s="1"/>
  <c r="R6" i="6" s="1"/>
  <c r="D3" i="7"/>
  <c r="D10" i="8"/>
  <c r="B1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K2" i="14"/>
  <c r="B85" i="7"/>
  <c r="B666" i="8"/>
  <c r="E85" i="7"/>
  <c r="E666" i="8"/>
  <c r="D85" i="7"/>
  <c r="D666" i="8"/>
  <c r="D84" i="7"/>
  <c r="D658" i="8"/>
  <c r="B84" i="7"/>
  <c r="B658" i="8"/>
  <c r="E84" i="7"/>
  <c r="E658" i="8"/>
  <c r="B83" i="7"/>
  <c r="B650" i="8"/>
  <c r="D83" i="7"/>
  <c r="D650" i="8"/>
  <c r="E83" i="7"/>
  <c r="E650" i="8"/>
  <c r="D81" i="7"/>
  <c r="D634" i="8"/>
  <c r="E81" i="7"/>
  <c r="E634" i="8"/>
  <c r="B81" i="7"/>
  <c r="B634" i="8"/>
  <c r="E80" i="7"/>
  <c r="E626" i="8"/>
  <c r="D80" i="7"/>
  <c r="D626" i="8"/>
  <c r="B80" i="7"/>
  <c r="B626" i="8"/>
  <c r="D79" i="7"/>
  <c r="D618" i="8"/>
  <c r="J79" i="7"/>
  <c r="J618" i="8"/>
  <c r="I79" i="7"/>
  <c r="I618" i="8"/>
  <c r="H79" i="7"/>
  <c r="H618" i="8"/>
  <c r="G79" i="7"/>
  <c r="G618" i="8"/>
  <c r="E79" i="7"/>
  <c r="E618" i="8"/>
  <c r="B79" i="7"/>
  <c r="B618" i="8"/>
  <c r="D78" i="7"/>
  <c r="D610" i="8"/>
  <c r="B78" i="7"/>
  <c r="B610" i="8"/>
  <c r="E78" i="7"/>
  <c r="E610" i="8"/>
  <c r="D77" i="7"/>
  <c r="D602" i="8"/>
  <c r="B77" i="7"/>
  <c r="B602" i="8"/>
  <c r="E77" i="7"/>
  <c r="E602" i="8"/>
  <c r="B76" i="7"/>
  <c r="B594" i="8"/>
  <c r="E76" i="7"/>
  <c r="E594" i="8"/>
  <c r="D76" i="7"/>
  <c r="D594" i="8"/>
  <c r="D75" i="7"/>
  <c r="D586" i="8"/>
  <c r="E75" i="7"/>
  <c r="E586" i="8"/>
  <c r="B75" i="7"/>
  <c r="B586" i="8"/>
  <c r="E74" i="7"/>
  <c r="E578" i="8"/>
  <c r="D74" i="7"/>
  <c r="D578" i="8"/>
  <c r="B74" i="7"/>
  <c r="B578" i="8"/>
  <c r="D73" i="7"/>
  <c r="D570" i="8"/>
  <c r="E73" i="7"/>
  <c r="E570" i="8"/>
  <c r="B73" i="7"/>
  <c r="B570" i="8"/>
  <c r="J72" i="7"/>
  <c r="J562" i="8"/>
  <c r="I72" i="7"/>
  <c r="I562" i="8"/>
  <c r="H72" i="7"/>
  <c r="H562" i="8"/>
  <c r="G72" i="7"/>
  <c r="G562" i="8"/>
  <c r="D72" i="7"/>
  <c r="D562" i="8"/>
  <c r="B72" i="7"/>
  <c r="B562" i="8"/>
  <c r="E72" i="7"/>
  <c r="E562" i="8"/>
  <c r="B71" i="7"/>
  <c r="B554" i="8"/>
  <c r="E71" i="7"/>
  <c r="E554" i="8"/>
  <c r="D71" i="7"/>
  <c r="D554" i="8"/>
  <c r="B70" i="7"/>
  <c r="B546" i="8"/>
  <c r="E70" i="7"/>
  <c r="E546" i="8"/>
  <c r="D70" i="7"/>
  <c r="D546" i="8"/>
  <c r="B69" i="7"/>
  <c r="B538" i="8"/>
  <c r="E69" i="7"/>
  <c r="E538" i="8"/>
  <c r="D69" i="7"/>
  <c r="D538" i="8"/>
  <c r="D68" i="7"/>
  <c r="D530" i="8"/>
  <c r="B68" i="7"/>
  <c r="B530" i="8"/>
  <c r="E68" i="7"/>
  <c r="E530" i="8"/>
  <c r="E67" i="7"/>
  <c r="E522" i="8"/>
  <c r="D67" i="7"/>
  <c r="D522" i="8"/>
  <c r="B67" i="7"/>
  <c r="B522" i="8"/>
  <c r="D66" i="7"/>
  <c r="D514" i="8"/>
  <c r="B66" i="7"/>
  <c r="B514" i="8"/>
  <c r="E66" i="7"/>
  <c r="E514" i="8"/>
  <c r="D65" i="7"/>
  <c r="D506" i="8"/>
  <c r="B65" i="7"/>
  <c r="B506" i="8"/>
  <c r="E65" i="7"/>
  <c r="E506" i="8"/>
  <c r="B64" i="7"/>
  <c r="B498" i="8"/>
  <c r="E64" i="7"/>
  <c r="E498" i="8"/>
  <c r="D64" i="7"/>
  <c r="D498" i="8"/>
  <c r="B63" i="7"/>
  <c r="B490" i="8"/>
  <c r="E63" i="7"/>
  <c r="E490" i="8"/>
  <c r="D63" i="7"/>
  <c r="D490" i="8"/>
  <c r="D62" i="7"/>
  <c r="D482" i="8"/>
  <c r="B62" i="7"/>
  <c r="B482" i="8"/>
  <c r="E62" i="7"/>
  <c r="E482" i="8"/>
  <c r="D61" i="7"/>
  <c r="D474" i="8"/>
  <c r="B61" i="7"/>
  <c r="B474" i="8"/>
  <c r="E61" i="7"/>
  <c r="E474" i="8"/>
  <c r="E60" i="7"/>
  <c r="E466" i="8"/>
  <c r="D60" i="7"/>
  <c r="D466" i="8"/>
  <c r="B60" i="7"/>
  <c r="B466" i="8"/>
  <c r="E59" i="7"/>
  <c r="E458" i="8"/>
  <c r="B59" i="7"/>
  <c r="B458" i="8"/>
  <c r="D59" i="7"/>
  <c r="D458" i="8"/>
  <c r="D58" i="7"/>
  <c r="D450" i="8"/>
  <c r="B58" i="7"/>
  <c r="B450" i="8"/>
  <c r="E58" i="7"/>
  <c r="E450" i="8"/>
  <c r="B57" i="7"/>
  <c r="B442" i="8"/>
  <c r="E57" i="7"/>
  <c r="E442" i="8"/>
  <c r="D57" i="7"/>
  <c r="D442" i="8"/>
  <c r="D56" i="7"/>
  <c r="D434" i="8"/>
  <c r="B56" i="7"/>
  <c r="B434" i="8"/>
  <c r="E56" i="7"/>
  <c r="E434" i="8"/>
  <c r="E55" i="7"/>
  <c r="E426" i="8"/>
  <c r="B55" i="7"/>
  <c r="B426" i="8"/>
  <c r="D55" i="7"/>
  <c r="D426" i="8"/>
  <c r="D54" i="7"/>
  <c r="D418" i="8"/>
  <c r="B54" i="7"/>
  <c r="B418" i="8"/>
  <c r="E54" i="7"/>
  <c r="E418" i="8"/>
  <c r="D53" i="7"/>
  <c r="D410" i="8"/>
  <c r="B53" i="7"/>
  <c r="B410" i="8"/>
  <c r="E53" i="7"/>
  <c r="E410" i="8"/>
  <c r="D52" i="7"/>
  <c r="D402" i="8"/>
  <c r="E52" i="7"/>
  <c r="E402" i="8"/>
  <c r="B52" i="7"/>
  <c r="B402" i="8"/>
  <c r="E51" i="7"/>
  <c r="E394" i="8"/>
  <c r="B51" i="7"/>
  <c r="B394" i="8"/>
  <c r="D51" i="7"/>
  <c r="D394" i="8"/>
  <c r="D50" i="7"/>
  <c r="D386" i="8"/>
  <c r="B50" i="7"/>
  <c r="B386" i="8"/>
  <c r="E50" i="7"/>
  <c r="E386" i="8"/>
  <c r="D49" i="7"/>
  <c r="D378" i="8"/>
  <c r="B49" i="7"/>
  <c r="B378" i="8"/>
  <c r="E49" i="7"/>
  <c r="E378" i="8"/>
  <c r="E48" i="7"/>
  <c r="E370" i="8"/>
  <c r="D48" i="7"/>
  <c r="D370" i="8"/>
  <c r="B48" i="7"/>
  <c r="B370" i="8"/>
  <c r="E47" i="7"/>
  <c r="E362" i="8"/>
  <c r="B47" i="7"/>
  <c r="B362" i="8"/>
  <c r="D47" i="7"/>
  <c r="D362" i="8"/>
  <c r="D46" i="7"/>
  <c r="D354" i="8"/>
  <c r="E46" i="7"/>
  <c r="E354" i="8"/>
  <c r="B46" i="7"/>
  <c r="B354" i="8"/>
  <c r="D45" i="7"/>
  <c r="D346" i="8"/>
  <c r="E45" i="7"/>
  <c r="E346" i="8"/>
  <c r="B45" i="7"/>
  <c r="B346" i="8"/>
  <c r="D44" i="7"/>
  <c r="D338" i="8"/>
  <c r="E44" i="7"/>
  <c r="E338" i="8"/>
  <c r="B44" i="7"/>
  <c r="B338" i="8"/>
  <c r="D43" i="7"/>
  <c r="D330" i="8"/>
  <c r="B43" i="7"/>
  <c r="B330" i="8"/>
  <c r="E43" i="7"/>
  <c r="E330" i="8"/>
  <c r="D42" i="7"/>
  <c r="D322" i="8"/>
  <c r="B42" i="7"/>
  <c r="B322" i="8"/>
  <c r="E42" i="7"/>
  <c r="E322" i="8"/>
  <c r="E41" i="7"/>
  <c r="E314" i="8"/>
  <c r="B41" i="7"/>
  <c r="B314" i="8"/>
  <c r="D41" i="7"/>
  <c r="D314" i="8"/>
  <c r="E40" i="7"/>
  <c r="E306" i="8"/>
  <c r="D40" i="7"/>
  <c r="D306" i="8"/>
  <c r="B40" i="7"/>
  <c r="B306" i="8"/>
  <c r="D39" i="7"/>
  <c r="D298" i="8"/>
  <c r="E39" i="7"/>
  <c r="E298" i="8"/>
  <c r="B39" i="7"/>
  <c r="B298" i="8"/>
  <c r="D38" i="7"/>
  <c r="D290" i="8"/>
  <c r="E38" i="7"/>
  <c r="E290" i="8"/>
  <c r="B38" i="7"/>
  <c r="B290" i="8"/>
  <c r="E37" i="7"/>
  <c r="E282" i="8"/>
  <c r="B37" i="7"/>
  <c r="B282" i="8"/>
  <c r="D37" i="7"/>
  <c r="D282" i="8"/>
  <c r="E36" i="7"/>
  <c r="E274" i="8"/>
  <c r="B36" i="7"/>
  <c r="B274" i="8"/>
  <c r="D36" i="7"/>
  <c r="D274" i="8"/>
  <c r="D35" i="7"/>
  <c r="D266" i="8"/>
  <c r="B35" i="7"/>
  <c r="B266" i="8"/>
  <c r="E35" i="7"/>
  <c r="E266" i="8"/>
  <c r="E34" i="7"/>
  <c r="E258" i="8"/>
  <c r="B34" i="7"/>
  <c r="B258" i="8"/>
  <c r="D34" i="7"/>
  <c r="D258" i="8"/>
  <c r="E33" i="7"/>
  <c r="E250" i="8"/>
  <c r="D33" i="7"/>
  <c r="D250" i="8"/>
  <c r="B33" i="7"/>
  <c r="B250" i="8"/>
  <c r="D32" i="7"/>
  <c r="D242" i="8"/>
  <c r="E32" i="7"/>
  <c r="E242" i="8"/>
  <c r="B32" i="7"/>
  <c r="B242" i="8"/>
  <c r="D31" i="7"/>
  <c r="D234" i="8"/>
  <c r="E31" i="7"/>
  <c r="E234" i="8"/>
  <c r="B31" i="7"/>
  <c r="B234" i="8"/>
  <c r="E30" i="7"/>
  <c r="E226" i="8"/>
  <c r="B30" i="7"/>
  <c r="B226" i="8"/>
  <c r="D30" i="7"/>
  <c r="D226" i="8"/>
  <c r="D29" i="7"/>
  <c r="D218" i="8"/>
  <c r="B29" i="7"/>
  <c r="B218" i="8"/>
  <c r="E29" i="7"/>
  <c r="E218" i="8"/>
  <c r="D28" i="7"/>
  <c r="D210" i="8"/>
  <c r="B28" i="7"/>
  <c r="B210" i="8"/>
  <c r="E28" i="7"/>
  <c r="E210" i="8"/>
  <c r="E27" i="7"/>
  <c r="E202" i="8"/>
  <c r="D27" i="7"/>
  <c r="D202" i="8"/>
  <c r="B27" i="7"/>
  <c r="B202" i="8"/>
  <c r="E26" i="7"/>
  <c r="E194" i="8"/>
  <c r="D26" i="7"/>
  <c r="D194" i="8"/>
  <c r="B26" i="7"/>
  <c r="B194" i="8"/>
  <c r="D25" i="7"/>
  <c r="D186" i="8"/>
  <c r="E25" i="7"/>
  <c r="E186" i="8"/>
  <c r="B25" i="7"/>
  <c r="B186" i="8"/>
  <c r="E24" i="7"/>
  <c r="E178" i="8"/>
  <c r="D24" i="7"/>
  <c r="D178" i="8"/>
  <c r="B24" i="7"/>
  <c r="B178" i="8"/>
  <c r="E23" i="7"/>
  <c r="E170" i="8"/>
  <c r="B23" i="7"/>
  <c r="B170" i="8"/>
  <c r="D23" i="7"/>
  <c r="D170" i="8"/>
  <c r="D22" i="7"/>
  <c r="D162" i="8"/>
  <c r="B22" i="7"/>
  <c r="B162" i="8"/>
  <c r="E22" i="7"/>
  <c r="E162" i="8"/>
  <c r="D21" i="7"/>
  <c r="D154" i="8"/>
  <c r="B21" i="7"/>
  <c r="B154" i="8"/>
  <c r="E21" i="7"/>
  <c r="E154" i="8"/>
  <c r="E20" i="7"/>
  <c r="E146" i="8"/>
  <c r="B20" i="7"/>
  <c r="B146" i="8"/>
  <c r="D20" i="7"/>
  <c r="D146" i="8"/>
  <c r="E19" i="7"/>
  <c r="E138" i="8"/>
  <c r="D19" i="7"/>
  <c r="D138" i="8"/>
  <c r="B19" i="7"/>
  <c r="B138" i="8"/>
  <c r="E18" i="7"/>
  <c r="E130" i="8"/>
  <c r="D18" i="7"/>
  <c r="D130" i="8"/>
  <c r="B18" i="7"/>
  <c r="B130" i="8"/>
  <c r="D17" i="7"/>
  <c r="D122" i="8"/>
  <c r="B17" i="7"/>
  <c r="B122" i="8"/>
  <c r="E17" i="7"/>
  <c r="E122" i="8"/>
  <c r="E16" i="7"/>
  <c r="E114" i="8"/>
  <c r="D16" i="7"/>
  <c r="D114" i="8"/>
  <c r="B16" i="7"/>
  <c r="B114" i="8"/>
  <c r="B15" i="7"/>
  <c r="B106" i="8"/>
  <c r="E15" i="7"/>
  <c r="E106" i="8"/>
  <c r="D15" i="7"/>
  <c r="D106" i="8"/>
  <c r="B14" i="7"/>
  <c r="B98" i="8"/>
  <c r="E14" i="7"/>
  <c r="E98" i="8"/>
  <c r="D14" i="7"/>
  <c r="D98" i="8"/>
  <c r="B13" i="7"/>
  <c r="B90" i="8"/>
  <c r="E13" i="7"/>
  <c r="E90" i="8"/>
  <c r="D13" i="7"/>
  <c r="D90" i="8"/>
  <c r="E12" i="7"/>
  <c r="E82" i="8"/>
  <c r="D12" i="7"/>
  <c r="D82" i="8"/>
  <c r="B12" i="7"/>
  <c r="B82" i="8"/>
  <c r="E11" i="7"/>
  <c r="E74" i="8"/>
  <c r="D11" i="7"/>
  <c r="D74" i="8"/>
  <c r="B11" i="7"/>
  <c r="B74" i="8"/>
  <c r="E10" i="7"/>
  <c r="E66" i="8"/>
  <c r="B10" i="7"/>
  <c r="B66" i="8"/>
  <c r="D10" i="7"/>
  <c r="D66" i="8"/>
  <c r="D9" i="7"/>
  <c r="D58" i="8"/>
  <c r="B9" i="7"/>
  <c r="B58" i="8"/>
  <c r="E9" i="7"/>
  <c r="E58" i="8"/>
  <c r="B8" i="7"/>
  <c r="B50" i="8"/>
  <c r="E8" i="7"/>
  <c r="E50" i="8"/>
  <c r="D7" i="7"/>
  <c r="D42" i="8"/>
  <c r="E7" i="7"/>
  <c r="E42" i="8"/>
  <c r="B7" i="7"/>
  <c r="B42" i="8"/>
  <c r="B6" i="7"/>
  <c r="B34" i="8"/>
  <c r="E6" i="7"/>
  <c r="E34" i="8"/>
  <c r="D6" i="7"/>
  <c r="D34" i="8"/>
  <c r="E5" i="7"/>
  <c r="E26" i="8"/>
  <c r="B5" i="7"/>
  <c r="B26" i="8"/>
  <c r="D5" i="7"/>
  <c r="D26" i="8"/>
  <c r="B4" i="7"/>
  <c r="B18" i="8"/>
  <c r="E4" i="7"/>
  <c r="E18" i="8"/>
  <c r="D4" i="7"/>
  <c r="D18" i="8"/>
  <c r="B3" i="7"/>
  <c r="B10" i="8"/>
  <c r="E3" i="7"/>
  <c r="E10" i="8"/>
  <c r="F70" i="4"/>
  <c r="E14" i="2"/>
  <c r="R11" i="6"/>
  <c r="R10" i="6"/>
  <c r="Q7" i="6"/>
  <c r="Q8" i="6"/>
  <c r="Q9" i="6"/>
  <c r="Q10" i="6"/>
  <c r="Q6" i="6"/>
  <c r="Q5" i="6"/>
  <c r="Q4" i="3"/>
  <c r="F714" i="5"/>
  <c r="F711" i="5"/>
  <c r="B711" i="5" s="1"/>
  <c r="F694" i="5"/>
  <c r="B694" i="5" s="1"/>
  <c r="F677" i="5"/>
  <c r="B677" i="5"/>
  <c r="F696" i="5"/>
  <c r="B696" i="5" s="1"/>
  <c r="F698" i="5"/>
  <c r="B698" i="5" s="1"/>
  <c r="F701" i="5"/>
  <c r="B701" i="5" s="1"/>
  <c r="CV18" i="1"/>
  <c r="CI18" i="1"/>
  <c r="CG18" i="1"/>
  <c r="CA18" i="1"/>
  <c r="BW18" i="1"/>
  <c r="BU18" i="1"/>
  <c r="BS18" i="1"/>
  <c r="BO18" i="1"/>
  <c r="BI18" i="1"/>
  <c r="AY18" i="1"/>
  <c r="AC18" i="1"/>
  <c r="Q4" i="12"/>
  <c r="Q5" i="12"/>
  <c r="Q6" i="12"/>
  <c r="Q7" i="12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48" i="12"/>
  <c r="Q49" i="12"/>
  <c r="Q50" i="12"/>
  <c r="Q51" i="12"/>
  <c r="Q52" i="12"/>
  <c r="Q53" i="12"/>
  <c r="Q54" i="12"/>
  <c r="Q55" i="12"/>
  <c r="Q56" i="12"/>
  <c r="Q57" i="12"/>
  <c r="Q58" i="12"/>
  <c r="Q59" i="12"/>
  <c r="Q60" i="12"/>
  <c r="Q61" i="12"/>
  <c r="Q62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3" i="12"/>
  <c r="C12" i="5"/>
  <c r="C20" i="5"/>
  <c r="C28" i="5"/>
  <c r="C36" i="5"/>
  <c r="C44" i="5"/>
  <c r="C52" i="5"/>
  <c r="C60" i="5"/>
  <c r="C68" i="5"/>
  <c r="C76" i="5"/>
  <c r="C84" i="5"/>
  <c r="C92" i="5"/>
  <c r="C100" i="5"/>
  <c r="C108" i="5"/>
  <c r="C116" i="5"/>
  <c r="C124" i="5"/>
  <c r="C132" i="5"/>
  <c r="C140" i="5"/>
  <c r="C148" i="5"/>
  <c r="C156" i="5"/>
  <c r="C164" i="5"/>
  <c r="C172" i="5"/>
  <c r="C180" i="5"/>
  <c r="C188" i="5"/>
  <c r="C196" i="5"/>
  <c r="C204" i="5"/>
  <c r="C212" i="5"/>
  <c r="C220" i="5"/>
  <c r="C228" i="5"/>
  <c r="C236" i="5"/>
  <c r="C244" i="5"/>
  <c r="C252" i="5"/>
  <c r="C260" i="5"/>
  <c r="C268" i="5"/>
  <c r="C276" i="5"/>
  <c r="C284" i="5"/>
  <c r="C292" i="5"/>
  <c r="C300" i="5"/>
  <c r="C308" i="5"/>
  <c r="C316" i="5"/>
  <c r="C324" i="5"/>
  <c r="C332" i="5"/>
  <c r="C340" i="5"/>
  <c r="C348" i="5"/>
  <c r="C356" i="5"/>
  <c r="C364" i="5"/>
  <c r="C372" i="5"/>
  <c r="C380" i="5"/>
  <c r="C388" i="5"/>
  <c r="C396" i="5"/>
  <c r="C404" i="5"/>
  <c r="C412" i="5"/>
  <c r="C420" i="5"/>
  <c r="C428" i="5"/>
  <c r="C436" i="5"/>
  <c r="C444" i="5"/>
  <c r="C452" i="5"/>
  <c r="C460" i="5"/>
  <c r="C468" i="5"/>
  <c r="C476" i="5"/>
  <c r="C484" i="5"/>
  <c r="C492" i="5"/>
  <c r="C500" i="5"/>
  <c r="C508" i="5"/>
  <c r="C516" i="5"/>
  <c r="C524" i="5"/>
  <c r="C532" i="5"/>
  <c r="C540" i="5"/>
  <c r="C548" i="5"/>
  <c r="C556" i="5"/>
  <c r="C564" i="5"/>
  <c r="C572" i="5"/>
  <c r="C580" i="5"/>
  <c r="C588" i="5"/>
  <c r="C596" i="5"/>
  <c r="C604" i="5"/>
  <c r="C612" i="5"/>
  <c r="C620" i="5"/>
  <c r="C628" i="5"/>
  <c r="C636" i="5"/>
  <c r="C644" i="5"/>
  <c r="C652" i="5"/>
  <c r="C660" i="5"/>
  <c r="C668" i="5"/>
  <c r="C676" i="5"/>
  <c r="C684" i="5"/>
  <c r="C692" i="5"/>
  <c r="C693" i="5"/>
  <c r="C694" i="5"/>
  <c r="C695" i="5"/>
  <c r="C696" i="5"/>
  <c r="C697" i="5"/>
  <c r="C698" i="5"/>
  <c r="C699" i="5"/>
  <c r="C700" i="5"/>
  <c r="C701" i="5"/>
  <c r="C708" i="5"/>
  <c r="C709" i="5"/>
  <c r="C710" i="5"/>
  <c r="C711" i="5"/>
  <c r="C713" i="5"/>
  <c r="C714" i="5"/>
  <c r="C715" i="5"/>
  <c r="C716" i="5"/>
  <c r="C717" i="5"/>
  <c r="C718" i="5"/>
  <c r="C719" i="5"/>
  <c r="C720" i="5"/>
  <c r="C721" i="5"/>
  <c r="F12" i="5"/>
  <c r="B12" i="5" s="1"/>
  <c r="F20" i="5"/>
  <c r="B20" i="5" s="1"/>
  <c r="F28" i="5"/>
  <c r="F36" i="5"/>
  <c r="B36" i="5" s="1"/>
  <c r="F44" i="5"/>
  <c r="B44" i="5" s="1"/>
  <c r="F52" i="5"/>
  <c r="B52" i="5" s="1"/>
  <c r="F60" i="5"/>
  <c r="B60" i="5" s="1"/>
  <c r="F68" i="5"/>
  <c r="B68" i="5" s="1"/>
  <c r="F76" i="5"/>
  <c r="B76" i="5" s="1"/>
  <c r="F84" i="5"/>
  <c r="B84" i="5" s="1"/>
  <c r="F92" i="5"/>
  <c r="F100" i="5"/>
  <c r="B100" i="5" s="1"/>
  <c r="F108" i="5"/>
  <c r="F116" i="5"/>
  <c r="B116" i="5" s="1"/>
  <c r="F124" i="5"/>
  <c r="B124" i="5" s="1"/>
  <c r="F132" i="5"/>
  <c r="B132" i="5" s="1"/>
  <c r="F140" i="5"/>
  <c r="B140" i="5" s="1"/>
  <c r="F148" i="5"/>
  <c r="B148" i="5" s="1"/>
  <c r="F156" i="5"/>
  <c r="B156" i="5" s="1"/>
  <c r="F164" i="5"/>
  <c r="B164" i="5" s="1"/>
  <c r="F172" i="5"/>
  <c r="B172" i="5" s="1"/>
  <c r="F180" i="5"/>
  <c r="B180" i="5" s="1"/>
  <c r="F188" i="5"/>
  <c r="B188" i="5" s="1"/>
  <c r="F196" i="5"/>
  <c r="B196" i="5" s="1"/>
  <c r="F204" i="5"/>
  <c r="F212" i="5"/>
  <c r="B212" i="5" s="1"/>
  <c r="F220" i="5"/>
  <c r="B220" i="5" s="1"/>
  <c r="F228" i="5"/>
  <c r="B228" i="5" s="1"/>
  <c r="F236" i="5"/>
  <c r="B236" i="5" s="1"/>
  <c r="F244" i="5"/>
  <c r="B244" i="5" s="1"/>
  <c r="F252" i="5"/>
  <c r="B252" i="5" s="1"/>
  <c r="F260" i="5"/>
  <c r="B260" i="5" s="1"/>
  <c r="F268" i="5"/>
  <c r="F276" i="5"/>
  <c r="B276" i="5" s="1"/>
  <c r="F284" i="5"/>
  <c r="B284" i="5" s="1"/>
  <c r="F292" i="5"/>
  <c r="B292" i="5" s="1"/>
  <c r="F300" i="5"/>
  <c r="B300" i="5" s="1"/>
  <c r="F308" i="5"/>
  <c r="B308" i="5" s="1"/>
  <c r="F316" i="5"/>
  <c r="B316" i="5" s="1"/>
  <c r="F324" i="5"/>
  <c r="B324" i="5" s="1"/>
  <c r="F332" i="5"/>
  <c r="B332" i="5" s="1"/>
  <c r="F340" i="5"/>
  <c r="B340" i="5" s="1"/>
  <c r="F348" i="5"/>
  <c r="B348" i="5" s="1"/>
  <c r="F356" i="5"/>
  <c r="B356" i="5" s="1"/>
  <c r="F364" i="5"/>
  <c r="B364" i="5" s="1"/>
  <c r="F372" i="5"/>
  <c r="B372" i="5" s="1"/>
  <c r="F380" i="5"/>
  <c r="B380" i="5" s="1"/>
  <c r="F388" i="5"/>
  <c r="B388" i="5" s="1"/>
  <c r="F396" i="5"/>
  <c r="B396" i="5" s="1"/>
  <c r="F404" i="5"/>
  <c r="B404" i="5" s="1"/>
  <c r="F412" i="5"/>
  <c r="B412" i="5" s="1"/>
  <c r="F420" i="5"/>
  <c r="B420" i="5" s="1"/>
  <c r="F428" i="5"/>
  <c r="B428" i="5" s="1"/>
  <c r="F436" i="5"/>
  <c r="B436" i="5" s="1"/>
  <c r="F444" i="5"/>
  <c r="B444" i="5" s="1"/>
  <c r="F452" i="5"/>
  <c r="B452" i="5" s="1"/>
  <c r="F460" i="5"/>
  <c r="B460" i="5" s="1"/>
  <c r="F468" i="5"/>
  <c r="B468" i="5" s="1"/>
  <c r="F476" i="5"/>
  <c r="B476" i="5" s="1"/>
  <c r="F484" i="5"/>
  <c r="B484" i="5" s="1"/>
  <c r="F492" i="5"/>
  <c r="B492" i="5" s="1"/>
  <c r="F500" i="5"/>
  <c r="B500" i="5" s="1"/>
  <c r="F508" i="5"/>
  <c r="B508" i="5" s="1"/>
  <c r="F516" i="5"/>
  <c r="B516" i="5" s="1"/>
  <c r="F524" i="5"/>
  <c r="B524" i="5" s="1"/>
  <c r="F532" i="5"/>
  <c r="B532" i="5" s="1"/>
  <c r="F540" i="5"/>
  <c r="B540" i="5" s="1"/>
  <c r="F548" i="5"/>
  <c r="B548" i="5" s="1"/>
  <c r="F556" i="5"/>
  <c r="B556" i="5" s="1"/>
  <c r="F564" i="5"/>
  <c r="B564" i="5" s="1"/>
  <c r="F572" i="5"/>
  <c r="B572" i="5" s="1"/>
  <c r="F580" i="5"/>
  <c r="B580" i="5" s="1"/>
  <c r="F588" i="5"/>
  <c r="B588" i="5" s="1"/>
  <c r="F596" i="5"/>
  <c r="B596" i="5" s="1"/>
  <c r="F604" i="5"/>
  <c r="B604" i="5" s="1"/>
  <c r="F612" i="5"/>
  <c r="B612" i="5" s="1"/>
  <c r="F620" i="5"/>
  <c r="B620" i="5" s="1"/>
  <c r="F628" i="5"/>
  <c r="B628" i="5" s="1"/>
  <c r="F636" i="5"/>
  <c r="B636" i="5" s="1"/>
  <c r="F644" i="5"/>
  <c r="B644" i="5" s="1"/>
  <c r="F652" i="5"/>
  <c r="F660" i="5"/>
  <c r="B660" i="5" s="1"/>
  <c r="F668" i="5"/>
  <c r="B668" i="5" s="1"/>
  <c r="F676" i="5"/>
  <c r="B676" i="5"/>
  <c r="F684" i="5"/>
  <c r="B684" i="5" s="1"/>
  <c r="F692" i="5"/>
  <c r="B692" i="5" s="1"/>
  <c r="F693" i="5"/>
  <c r="B693" i="5" s="1"/>
  <c r="F695" i="5"/>
  <c r="B695" i="5" s="1"/>
  <c r="F697" i="5"/>
  <c r="B697" i="5" s="1"/>
  <c r="F699" i="5"/>
  <c r="B699" i="5" s="1"/>
  <c r="F700" i="5"/>
  <c r="B700" i="5" s="1"/>
  <c r="F708" i="5"/>
  <c r="B708" i="5"/>
  <c r="F709" i="5"/>
  <c r="B709" i="5" s="1"/>
  <c r="F710" i="5"/>
  <c r="F712" i="5"/>
  <c r="B712" i="5"/>
  <c r="F713" i="5"/>
  <c r="B713" i="5" s="1"/>
  <c r="F715" i="5"/>
  <c r="F716" i="5"/>
  <c r="F717" i="5"/>
  <c r="F718" i="5"/>
  <c r="F719" i="5"/>
  <c r="F720" i="5"/>
  <c r="F721" i="5"/>
  <c r="B28" i="5"/>
  <c r="B92" i="5"/>
  <c r="B108" i="5"/>
  <c r="B204" i="5"/>
  <c r="B268" i="5"/>
  <c r="B652" i="5"/>
  <c r="B710" i="5"/>
  <c r="F2" i="14"/>
  <c r="B2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5" i="15"/>
  <c r="B156" i="15"/>
  <c r="B157" i="15"/>
  <c r="B158" i="15"/>
  <c r="B159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7" i="15"/>
  <c r="B178" i="15"/>
  <c r="B179" i="15"/>
  <c r="B180" i="15"/>
  <c r="B181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199" i="15"/>
  <c r="B200" i="15"/>
  <c r="B201" i="15"/>
  <c r="B202" i="15"/>
  <c r="B203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1" i="15"/>
  <c r="B222" i="15"/>
  <c r="B223" i="15"/>
  <c r="B224" i="15"/>
  <c r="B225" i="15"/>
  <c r="B226" i="15"/>
  <c r="B227" i="15"/>
  <c r="B228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241" i="15"/>
  <c r="B242" i="15"/>
  <c r="B243" i="15"/>
  <c r="B244" i="15"/>
  <c r="B245" i="15"/>
  <c r="B246" i="15"/>
  <c r="B247" i="15"/>
  <c r="B248" i="15"/>
  <c r="B249" i="15"/>
  <c r="B250" i="15"/>
  <c r="B251" i="15"/>
  <c r="B252" i="15"/>
  <c r="B253" i="15"/>
  <c r="B254" i="15"/>
  <c r="B255" i="15"/>
  <c r="B256" i="15"/>
  <c r="B257" i="15"/>
  <c r="B258" i="15"/>
  <c r="B259" i="15"/>
  <c r="B260" i="15"/>
  <c r="B261" i="15"/>
  <c r="B262" i="15"/>
  <c r="B263" i="15"/>
  <c r="B264" i="15"/>
  <c r="B265" i="15"/>
  <c r="B266" i="15"/>
  <c r="B267" i="15"/>
  <c r="B268" i="15"/>
  <c r="B269" i="15"/>
  <c r="B270" i="15"/>
  <c r="B271" i="15"/>
  <c r="B272" i="15"/>
  <c r="B273" i="15"/>
  <c r="B274" i="15"/>
  <c r="B275" i="15"/>
  <c r="B276" i="15"/>
  <c r="B277" i="15"/>
  <c r="B278" i="15"/>
  <c r="B279" i="15"/>
  <c r="B280" i="15"/>
  <c r="B281" i="15"/>
  <c r="B282" i="15"/>
  <c r="B283" i="15"/>
  <c r="B284" i="15"/>
  <c r="B285" i="15"/>
  <c r="B286" i="15"/>
  <c r="B287" i="15"/>
  <c r="B288" i="15"/>
  <c r="B289" i="15"/>
  <c r="B290" i="15"/>
  <c r="B291" i="15"/>
  <c r="B292" i="15"/>
  <c r="B293" i="15"/>
  <c r="B294" i="15"/>
  <c r="B295" i="15"/>
  <c r="B296" i="15"/>
  <c r="B297" i="15"/>
  <c r="B298" i="15"/>
  <c r="B299" i="15"/>
  <c r="B300" i="15"/>
  <c r="B301" i="15"/>
  <c r="B302" i="15"/>
  <c r="B303" i="15"/>
  <c r="B304" i="15"/>
  <c r="B305" i="15"/>
  <c r="B306" i="15"/>
  <c r="B307" i="15"/>
  <c r="B308" i="15"/>
  <c r="B309" i="15"/>
  <c r="B310" i="15"/>
  <c r="B311" i="15"/>
  <c r="B312" i="15"/>
  <c r="B313" i="15"/>
  <c r="B314" i="15"/>
  <c r="B315" i="15"/>
  <c r="B316" i="15"/>
  <c r="B317" i="15"/>
  <c r="B318" i="15"/>
  <c r="B319" i="15"/>
  <c r="B320" i="15"/>
  <c r="B321" i="15"/>
  <c r="B322" i="15"/>
  <c r="B323" i="15"/>
  <c r="B324" i="15"/>
  <c r="B325" i="15"/>
  <c r="B326" i="15"/>
  <c r="B327" i="15"/>
  <c r="B328" i="15"/>
  <c r="B329" i="15"/>
  <c r="B330" i="15"/>
  <c r="B331" i="15"/>
  <c r="B332" i="15"/>
  <c r="B333" i="15"/>
  <c r="B334" i="15"/>
  <c r="B335" i="15"/>
  <c r="B336" i="15"/>
  <c r="B337" i="15"/>
  <c r="B338" i="15"/>
  <c r="B339" i="15"/>
  <c r="B340" i="15"/>
  <c r="B341" i="15"/>
  <c r="B342" i="15"/>
  <c r="B343" i="15"/>
  <c r="B344" i="15"/>
  <c r="B345" i="15"/>
  <c r="B346" i="15"/>
  <c r="B347" i="15"/>
  <c r="B348" i="15"/>
  <c r="B349" i="15"/>
  <c r="B350" i="15"/>
  <c r="B351" i="15"/>
  <c r="B352" i="15"/>
  <c r="B353" i="15"/>
  <c r="B354" i="15"/>
  <c r="B355" i="15"/>
  <c r="B356" i="15"/>
  <c r="B357" i="15"/>
  <c r="B358" i="15"/>
  <c r="B359" i="15"/>
  <c r="B360" i="15"/>
  <c r="B361" i="15"/>
  <c r="B362" i="15"/>
  <c r="B363" i="15"/>
  <c r="B364" i="15"/>
  <c r="B365" i="15"/>
  <c r="B366" i="15"/>
  <c r="B367" i="15"/>
  <c r="B368" i="15"/>
  <c r="B369" i="15"/>
  <c r="B370" i="15"/>
  <c r="B371" i="15"/>
  <c r="B372" i="15"/>
  <c r="B373" i="15"/>
  <c r="B374" i="15"/>
  <c r="B375" i="15"/>
  <c r="B376" i="15"/>
  <c r="B377" i="15"/>
  <c r="B378" i="15"/>
  <c r="B379" i="15"/>
  <c r="B380" i="15"/>
  <c r="B381" i="15"/>
  <c r="B382" i="15"/>
  <c r="B383" i="15"/>
  <c r="B384" i="15"/>
  <c r="B385" i="15"/>
  <c r="B386" i="15"/>
  <c r="B387" i="15"/>
  <c r="B388" i="15"/>
  <c r="B389" i="15"/>
  <c r="B390" i="15"/>
  <c r="B391" i="15"/>
  <c r="B392" i="15"/>
  <c r="B393" i="15"/>
  <c r="B394" i="15"/>
  <c r="B395" i="15"/>
  <c r="B396" i="15"/>
  <c r="B397" i="15"/>
  <c r="B398" i="15"/>
  <c r="B399" i="15"/>
  <c r="B400" i="15"/>
  <c r="B401" i="15"/>
  <c r="B402" i="15"/>
  <c r="B403" i="15"/>
  <c r="B404" i="15"/>
  <c r="B405" i="15"/>
  <c r="B406" i="15"/>
  <c r="B407" i="15"/>
  <c r="B408" i="15"/>
  <c r="B409" i="15"/>
  <c r="B410" i="15"/>
  <c r="B411" i="15"/>
  <c r="B412" i="15"/>
  <c r="B413" i="15"/>
  <c r="B414" i="15"/>
  <c r="B415" i="15"/>
  <c r="B416" i="15"/>
  <c r="B417" i="15"/>
  <c r="B418" i="15"/>
  <c r="B419" i="15"/>
  <c r="B420" i="15"/>
  <c r="B421" i="15"/>
  <c r="B422" i="15"/>
  <c r="B423" i="15"/>
  <c r="B424" i="15"/>
  <c r="B425" i="15"/>
  <c r="B426" i="15"/>
  <c r="B427" i="15"/>
  <c r="B428" i="15"/>
  <c r="B429" i="15"/>
  <c r="B430" i="15"/>
  <c r="B431" i="15"/>
  <c r="B432" i="15"/>
  <c r="B433" i="15"/>
  <c r="B434" i="15"/>
  <c r="B435" i="15"/>
  <c r="B436" i="15"/>
  <c r="B437" i="15"/>
  <c r="B438" i="15"/>
  <c r="B439" i="15"/>
  <c r="B440" i="15"/>
  <c r="B441" i="15"/>
  <c r="B442" i="15"/>
  <c r="B443" i="15"/>
  <c r="B444" i="15"/>
  <c r="B445" i="15"/>
  <c r="B446" i="15"/>
  <c r="B447" i="15"/>
  <c r="B448" i="15"/>
  <c r="B449" i="15"/>
  <c r="B450" i="15"/>
  <c r="B451" i="15"/>
  <c r="B452" i="15"/>
  <c r="B453" i="15"/>
  <c r="B454" i="15"/>
  <c r="B455" i="15"/>
  <c r="B456" i="15"/>
  <c r="B457" i="15"/>
  <c r="B458" i="15"/>
  <c r="B459" i="15"/>
  <c r="B460" i="15"/>
  <c r="B461" i="15"/>
  <c r="B462" i="15"/>
  <c r="B463" i="15"/>
  <c r="B464" i="15"/>
  <c r="B465" i="15"/>
  <c r="B466" i="15"/>
  <c r="B467" i="15"/>
  <c r="B468" i="15"/>
  <c r="B469" i="15"/>
  <c r="B470" i="15"/>
  <c r="B471" i="15"/>
  <c r="B472" i="15"/>
  <c r="B473" i="15"/>
  <c r="B474" i="15"/>
  <c r="B475" i="15"/>
  <c r="B476" i="15"/>
  <c r="B477" i="15"/>
  <c r="B478" i="15"/>
  <c r="B479" i="15"/>
  <c r="B480" i="15"/>
  <c r="B481" i="15"/>
  <c r="B482" i="15"/>
  <c r="B483" i="15"/>
  <c r="B484" i="15"/>
  <c r="B485" i="15"/>
  <c r="B486" i="15"/>
  <c r="B487" i="15"/>
  <c r="B488" i="15"/>
  <c r="B489" i="15"/>
  <c r="B490" i="15"/>
  <c r="B491" i="15"/>
  <c r="B492" i="15"/>
  <c r="B493" i="15"/>
  <c r="B494" i="15"/>
  <c r="B495" i="15"/>
  <c r="B496" i="15"/>
  <c r="B497" i="15"/>
  <c r="B498" i="15"/>
  <c r="B499" i="15"/>
  <c r="B500" i="15"/>
  <c r="B501" i="15"/>
  <c r="B502" i="15"/>
  <c r="B503" i="15"/>
  <c r="B504" i="15"/>
  <c r="B505" i="15"/>
  <c r="B506" i="15"/>
  <c r="B507" i="15"/>
  <c r="B508" i="15"/>
  <c r="B509" i="15"/>
  <c r="B510" i="15"/>
  <c r="B511" i="15"/>
  <c r="B512" i="15"/>
  <c r="B513" i="15"/>
  <c r="B514" i="15"/>
  <c r="B515" i="15"/>
  <c r="B516" i="15"/>
  <c r="B517" i="15"/>
  <c r="B518" i="15"/>
  <c r="B519" i="15"/>
  <c r="B520" i="15"/>
  <c r="B521" i="15"/>
  <c r="B522" i="15"/>
  <c r="B523" i="15"/>
  <c r="B524" i="15"/>
  <c r="B525" i="15"/>
  <c r="B526" i="15"/>
  <c r="B527" i="15"/>
  <c r="B528" i="15"/>
  <c r="B529" i="15"/>
  <c r="B530" i="15"/>
  <c r="B531" i="15"/>
  <c r="B532" i="15"/>
  <c r="B533" i="15"/>
  <c r="B534" i="15"/>
  <c r="B535" i="15"/>
  <c r="B536" i="15"/>
  <c r="B537" i="15"/>
  <c r="B538" i="15"/>
  <c r="B539" i="15"/>
  <c r="B540" i="15"/>
  <c r="B541" i="15"/>
  <c r="B542" i="15"/>
  <c r="B543" i="15"/>
  <c r="B544" i="15"/>
  <c r="B545" i="15"/>
  <c r="B546" i="15"/>
  <c r="B547" i="15"/>
  <c r="B548" i="15"/>
  <c r="B549" i="15"/>
  <c r="B550" i="15"/>
  <c r="B551" i="15"/>
  <c r="B552" i="15"/>
  <c r="B553" i="15"/>
  <c r="B554" i="15"/>
  <c r="B555" i="15"/>
  <c r="B556" i="15"/>
  <c r="B557" i="15"/>
  <c r="B558" i="15"/>
  <c r="B559" i="15"/>
  <c r="B560" i="15"/>
  <c r="B561" i="15"/>
  <c r="B562" i="15"/>
  <c r="B563" i="15"/>
  <c r="B564" i="15"/>
  <c r="B565" i="15"/>
  <c r="B566" i="15"/>
  <c r="B567" i="15"/>
  <c r="B568" i="15"/>
  <c r="B569" i="15"/>
  <c r="B570" i="15"/>
  <c r="B571" i="15"/>
  <c r="B572" i="15"/>
  <c r="B573" i="15"/>
  <c r="B574" i="15"/>
  <c r="B575" i="15"/>
  <c r="B576" i="15"/>
  <c r="B577" i="15"/>
  <c r="B578" i="15"/>
  <c r="B579" i="15"/>
  <c r="B580" i="15"/>
  <c r="B581" i="15"/>
  <c r="B582" i="15"/>
  <c r="B583" i="15"/>
  <c r="B584" i="15"/>
  <c r="B585" i="15"/>
  <c r="B586" i="15"/>
  <c r="B587" i="15"/>
  <c r="B588" i="15"/>
  <c r="B589" i="15"/>
  <c r="B590" i="15"/>
  <c r="B591" i="15"/>
  <c r="B592" i="15"/>
  <c r="B593" i="15"/>
  <c r="B594" i="15"/>
  <c r="B595" i="15"/>
  <c r="B596" i="15"/>
  <c r="B597" i="15"/>
  <c r="B598" i="15"/>
  <c r="B599" i="15"/>
  <c r="B600" i="15"/>
  <c r="B601" i="15"/>
  <c r="B602" i="15"/>
  <c r="B603" i="15"/>
  <c r="B604" i="15"/>
  <c r="B605" i="15"/>
  <c r="B606" i="15"/>
  <c r="B607" i="15"/>
  <c r="B608" i="15"/>
  <c r="B609" i="15"/>
  <c r="B610" i="15"/>
  <c r="B611" i="15"/>
  <c r="B612" i="15"/>
  <c r="B613" i="15"/>
  <c r="B614" i="15"/>
  <c r="B615" i="15"/>
  <c r="B616" i="15"/>
  <c r="B617" i="15"/>
  <c r="B618" i="15"/>
  <c r="B619" i="15"/>
  <c r="B620" i="15"/>
  <c r="B621" i="15"/>
  <c r="B622" i="15"/>
  <c r="B623" i="15"/>
  <c r="B624" i="15"/>
  <c r="B625" i="15"/>
  <c r="B626" i="15"/>
  <c r="B627" i="15"/>
  <c r="B628" i="15"/>
  <c r="B629" i="15"/>
  <c r="B630" i="15"/>
  <c r="B631" i="15"/>
  <c r="B632" i="15"/>
  <c r="B633" i="15"/>
  <c r="B634" i="15"/>
  <c r="B635" i="15"/>
  <c r="B636" i="15"/>
  <c r="B637" i="15"/>
  <c r="B638" i="15"/>
  <c r="B639" i="15"/>
  <c r="B640" i="15"/>
  <c r="B641" i="15"/>
  <c r="B642" i="15"/>
  <c r="B643" i="15"/>
  <c r="B644" i="15"/>
  <c r="B645" i="15"/>
  <c r="B646" i="15"/>
  <c r="B647" i="15"/>
  <c r="B648" i="15"/>
  <c r="B649" i="15"/>
  <c r="B650" i="15"/>
  <c r="B651" i="15"/>
  <c r="B652" i="15"/>
  <c r="B653" i="15"/>
  <c r="B654" i="15"/>
  <c r="B655" i="15"/>
  <c r="B656" i="15"/>
  <c r="B657" i="15"/>
  <c r="B658" i="15"/>
  <c r="B659" i="15"/>
  <c r="B660" i="15"/>
  <c r="B661" i="15"/>
  <c r="B662" i="15"/>
  <c r="B663" i="15"/>
  <c r="B664" i="15"/>
  <c r="B665" i="15"/>
  <c r="B666" i="15"/>
  <c r="B667" i="15"/>
  <c r="B668" i="15"/>
  <c r="B669" i="15"/>
  <c r="B670" i="15"/>
  <c r="B671" i="15"/>
  <c r="B672" i="15"/>
  <c r="B673" i="15"/>
  <c r="B674" i="15"/>
  <c r="B675" i="15"/>
  <c r="B676" i="15"/>
  <c r="B677" i="15"/>
  <c r="B678" i="15"/>
  <c r="B679" i="15"/>
  <c r="B680" i="15"/>
  <c r="B681" i="15"/>
  <c r="B682" i="15"/>
  <c r="B683" i="15"/>
  <c r="B684" i="15"/>
  <c r="B685" i="15"/>
  <c r="B686" i="15"/>
  <c r="B687" i="15"/>
  <c r="B688" i="15"/>
  <c r="B689" i="15"/>
  <c r="B690" i="15"/>
  <c r="B691" i="15"/>
  <c r="B692" i="15"/>
  <c r="B693" i="15"/>
  <c r="B694" i="15"/>
  <c r="B695" i="15"/>
  <c r="B696" i="15"/>
  <c r="B697" i="15"/>
  <c r="B698" i="15"/>
  <c r="B699" i="15"/>
  <c r="B700" i="15"/>
  <c r="B701" i="15"/>
  <c r="B702" i="15"/>
  <c r="B703" i="15"/>
  <c r="B704" i="15"/>
  <c r="B705" i="15"/>
  <c r="B706" i="15"/>
  <c r="B707" i="15"/>
  <c r="B708" i="15"/>
  <c r="B709" i="15"/>
  <c r="B710" i="15"/>
  <c r="B711" i="15"/>
  <c r="B712" i="15"/>
  <c r="B713" i="15"/>
  <c r="B714" i="15"/>
  <c r="B715" i="15"/>
  <c r="B716" i="15"/>
  <c r="B717" i="15"/>
  <c r="B718" i="15"/>
  <c r="B719" i="15"/>
  <c r="B720" i="15"/>
  <c r="B721" i="15"/>
  <c r="B722" i="15"/>
  <c r="B723" i="15"/>
  <c r="B724" i="15"/>
  <c r="B725" i="15"/>
  <c r="B726" i="15"/>
  <c r="B727" i="15"/>
  <c r="B728" i="15"/>
  <c r="B729" i="15"/>
  <c r="B730" i="15"/>
  <c r="B731" i="15"/>
  <c r="B732" i="15"/>
  <c r="B733" i="15"/>
  <c r="B734" i="15"/>
  <c r="B735" i="15"/>
  <c r="B736" i="15"/>
  <c r="B737" i="15"/>
  <c r="B738" i="15"/>
  <c r="B739" i="15"/>
  <c r="B740" i="15"/>
  <c r="B741" i="15"/>
  <c r="B742" i="15"/>
  <c r="B743" i="15"/>
  <c r="B744" i="15"/>
  <c r="B745" i="15"/>
  <c r="B746" i="15"/>
  <c r="B747" i="15"/>
  <c r="B748" i="15"/>
  <c r="B749" i="15"/>
  <c r="B750" i="15"/>
  <c r="B751" i="15"/>
  <c r="B752" i="15"/>
  <c r="B753" i="15"/>
  <c r="B754" i="15"/>
  <c r="B755" i="15"/>
  <c r="B756" i="15"/>
  <c r="B757" i="15"/>
  <c r="B758" i="15"/>
  <c r="B759" i="15"/>
  <c r="B760" i="15"/>
  <c r="B761" i="15"/>
  <c r="B762" i="15"/>
  <c r="B763" i="15"/>
  <c r="B764" i="15"/>
  <c r="B765" i="15"/>
  <c r="B766" i="15"/>
  <c r="B767" i="15"/>
  <c r="B768" i="15"/>
  <c r="B769" i="15"/>
  <c r="B770" i="15"/>
  <c r="B771" i="15"/>
  <c r="B772" i="15"/>
  <c r="B773" i="15"/>
  <c r="B774" i="15"/>
  <c r="B775" i="15"/>
  <c r="B776" i="15"/>
  <c r="B777" i="15"/>
  <c r="B778" i="15"/>
  <c r="B779" i="15"/>
  <c r="B780" i="15"/>
  <c r="B781" i="15"/>
  <c r="B782" i="15"/>
  <c r="B783" i="15"/>
  <c r="B784" i="15"/>
  <c r="B785" i="15"/>
  <c r="B786" i="15"/>
  <c r="B787" i="15"/>
  <c r="B788" i="15"/>
  <c r="B789" i="15"/>
  <c r="B790" i="15"/>
  <c r="B791" i="15"/>
  <c r="B792" i="15"/>
  <c r="B793" i="15"/>
  <c r="B794" i="15"/>
  <c r="B795" i="15"/>
  <c r="B796" i="15"/>
  <c r="B797" i="15"/>
  <c r="B798" i="15"/>
  <c r="B799" i="15"/>
  <c r="B800" i="15"/>
  <c r="B801" i="15"/>
  <c r="B802" i="15"/>
  <c r="B803" i="15"/>
  <c r="B804" i="15"/>
  <c r="B805" i="15"/>
  <c r="B806" i="15"/>
  <c r="B807" i="15"/>
  <c r="B808" i="15"/>
  <c r="B809" i="15"/>
  <c r="B810" i="15"/>
  <c r="B811" i="15"/>
  <c r="B812" i="15"/>
  <c r="B813" i="15"/>
  <c r="B814" i="15"/>
  <c r="B815" i="15"/>
  <c r="B816" i="15"/>
  <c r="B817" i="15"/>
  <c r="B818" i="15"/>
  <c r="B819" i="15"/>
  <c r="B820" i="15"/>
  <c r="B821" i="15"/>
  <c r="B822" i="15"/>
  <c r="B823" i="15"/>
  <c r="B824" i="15"/>
  <c r="B825" i="15"/>
  <c r="B826" i="15"/>
  <c r="B827" i="15"/>
  <c r="B828" i="15"/>
  <c r="B829" i="15"/>
  <c r="B830" i="15"/>
  <c r="B831" i="15"/>
  <c r="B832" i="15"/>
  <c r="B833" i="15"/>
  <c r="B834" i="15"/>
  <c r="B835" i="15"/>
  <c r="B836" i="15"/>
  <c r="B837" i="15"/>
  <c r="B838" i="15"/>
  <c r="B839" i="15"/>
  <c r="B840" i="15"/>
  <c r="B841" i="15"/>
  <c r="B842" i="15"/>
  <c r="B843" i="15"/>
  <c r="B844" i="15"/>
  <c r="B845" i="15"/>
  <c r="B846" i="15"/>
  <c r="B847" i="15"/>
  <c r="B848" i="15"/>
  <c r="B849" i="15"/>
  <c r="B850" i="15"/>
  <c r="B851" i="15"/>
  <c r="B852" i="15"/>
  <c r="B853" i="15"/>
  <c r="B854" i="15"/>
  <c r="B855" i="15"/>
  <c r="B856" i="15"/>
  <c r="B857" i="15"/>
  <c r="B858" i="15"/>
  <c r="B859" i="15"/>
  <c r="B860" i="15"/>
  <c r="B861" i="15"/>
  <c r="B862" i="15"/>
  <c r="B863" i="15"/>
  <c r="B864" i="15"/>
  <c r="B865" i="15"/>
  <c r="B866" i="15"/>
  <c r="B867" i="15"/>
  <c r="B868" i="15"/>
  <c r="B869" i="15"/>
  <c r="B870" i="15"/>
  <c r="B871" i="15"/>
  <c r="B872" i="15"/>
  <c r="B873" i="15"/>
  <c r="B874" i="15"/>
  <c r="B875" i="15"/>
  <c r="B876" i="15"/>
  <c r="B877" i="15"/>
  <c r="B878" i="15"/>
  <c r="B879" i="15"/>
  <c r="B880" i="15"/>
  <c r="B881" i="15"/>
  <c r="B882" i="15"/>
  <c r="B883" i="15"/>
  <c r="B884" i="15"/>
  <c r="B885" i="15"/>
  <c r="B886" i="15"/>
  <c r="B887" i="15"/>
  <c r="B888" i="15"/>
  <c r="B889" i="15"/>
  <c r="B890" i="15"/>
  <c r="B891" i="15"/>
  <c r="B892" i="15"/>
  <c r="B893" i="15"/>
  <c r="B894" i="15"/>
  <c r="B895" i="15"/>
  <c r="B896" i="15"/>
  <c r="B897" i="15"/>
  <c r="B898" i="15"/>
  <c r="B899" i="15"/>
  <c r="B900" i="15"/>
  <c r="B901" i="15"/>
  <c r="B902" i="15"/>
  <c r="B903" i="15"/>
  <c r="B904" i="15"/>
  <c r="B905" i="15"/>
  <c r="B906" i="15"/>
  <c r="B907" i="15"/>
  <c r="B908" i="15"/>
  <c r="B909" i="15"/>
  <c r="B910" i="15"/>
  <c r="B911" i="15"/>
  <c r="B912" i="15"/>
  <c r="B913" i="15"/>
  <c r="B914" i="15"/>
  <c r="B915" i="15"/>
  <c r="B916" i="15"/>
  <c r="B917" i="15"/>
  <c r="B918" i="15"/>
  <c r="B919" i="15"/>
  <c r="B920" i="15"/>
  <c r="B921" i="15"/>
  <c r="B922" i="15"/>
  <c r="B923" i="15"/>
  <c r="B924" i="15"/>
  <c r="B925" i="15"/>
  <c r="B926" i="15"/>
  <c r="B927" i="15"/>
  <c r="B928" i="15"/>
  <c r="B929" i="15"/>
  <c r="B930" i="15"/>
  <c r="B931" i="15"/>
  <c r="B932" i="15"/>
  <c r="B933" i="15"/>
  <c r="B934" i="15"/>
  <c r="B935" i="15"/>
  <c r="B936" i="15"/>
  <c r="B937" i="15"/>
  <c r="B938" i="15"/>
  <c r="B939" i="15"/>
  <c r="B940" i="15"/>
  <c r="B941" i="15"/>
  <c r="B942" i="15"/>
  <c r="B943" i="15"/>
  <c r="B944" i="15"/>
  <c r="B945" i="15"/>
  <c r="B946" i="15"/>
  <c r="B947" i="15"/>
  <c r="B948" i="15"/>
  <c r="B949" i="15"/>
  <c r="B950" i="15"/>
  <c r="B951" i="15"/>
  <c r="B952" i="15"/>
  <c r="B953" i="15"/>
  <c r="B954" i="15"/>
  <c r="B955" i="15"/>
  <c r="B956" i="15"/>
  <c r="B957" i="15"/>
  <c r="B958" i="15"/>
  <c r="B959" i="15"/>
  <c r="B960" i="15"/>
  <c r="B961" i="15"/>
  <c r="B962" i="15"/>
  <c r="B963" i="15"/>
  <c r="B964" i="15"/>
  <c r="B965" i="15"/>
  <c r="B966" i="15"/>
  <c r="B967" i="15"/>
  <c r="B968" i="15"/>
  <c r="B969" i="15"/>
  <c r="B970" i="15"/>
  <c r="B971" i="15"/>
  <c r="B972" i="15"/>
  <c r="B973" i="15"/>
  <c r="B974" i="15"/>
  <c r="B975" i="15"/>
  <c r="B976" i="15"/>
  <c r="B977" i="15"/>
  <c r="B978" i="15"/>
  <c r="B979" i="15"/>
  <c r="B980" i="15"/>
  <c r="B981" i="15"/>
  <c r="B982" i="15"/>
  <c r="B983" i="15"/>
  <c r="B984" i="15"/>
  <c r="B985" i="15"/>
  <c r="B986" i="15"/>
  <c r="B987" i="15"/>
  <c r="B988" i="15"/>
  <c r="B989" i="15"/>
  <c r="B990" i="15"/>
  <c r="B991" i="15"/>
  <c r="B992" i="15"/>
  <c r="B993" i="15"/>
  <c r="B994" i="15"/>
  <c r="B995" i="15"/>
  <c r="B996" i="15"/>
  <c r="B997" i="15"/>
  <c r="B998" i="15"/>
  <c r="B999" i="15"/>
  <c r="B1000" i="15"/>
  <c r="B1001" i="15"/>
  <c r="B1002" i="15"/>
  <c r="B1003" i="15"/>
  <c r="B1004" i="15"/>
  <c r="B1005" i="15"/>
  <c r="B1006" i="15"/>
  <c r="B1007" i="15"/>
  <c r="B1008" i="15"/>
  <c r="B1009" i="15"/>
  <c r="B1010" i="15"/>
  <c r="B1011" i="15"/>
  <c r="B1012" i="15"/>
  <c r="B1013" i="15"/>
  <c r="B1014" i="15"/>
  <c r="B1015" i="15"/>
  <c r="B1016" i="15"/>
  <c r="B1017" i="15"/>
  <c r="B1018" i="15"/>
  <c r="B1019" i="15"/>
  <c r="B1020" i="15"/>
  <c r="B1021" i="15"/>
  <c r="B1022" i="15"/>
  <c r="B1023" i="15"/>
  <c r="B1024" i="15"/>
  <c r="B1025" i="15"/>
  <c r="B1026" i="15"/>
  <c r="B1027" i="15"/>
  <c r="B1028" i="15"/>
  <c r="B1029" i="15"/>
  <c r="B1030" i="15"/>
  <c r="B1031" i="15"/>
  <c r="B1032" i="15"/>
  <c r="B1033" i="15"/>
  <c r="B1034" i="15"/>
  <c r="B1035" i="15"/>
  <c r="B1036" i="15"/>
  <c r="B1037" i="15"/>
  <c r="B1038" i="15"/>
  <c r="B1039" i="15"/>
  <c r="B1040" i="15"/>
  <c r="B1041" i="15"/>
  <c r="B1042" i="15"/>
  <c r="B1043" i="15"/>
  <c r="B1044" i="15"/>
  <c r="B1045" i="15"/>
  <c r="B1046" i="15"/>
  <c r="B1047" i="15"/>
  <c r="B1048" i="15"/>
  <c r="B1049" i="15"/>
  <c r="B1050" i="15"/>
  <c r="B1051" i="15"/>
  <c r="B1052" i="15"/>
  <c r="B1053" i="15"/>
  <c r="B1054" i="15"/>
  <c r="B1055" i="15"/>
  <c r="B1056" i="15"/>
  <c r="B1057" i="15"/>
  <c r="B1058" i="15"/>
  <c r="B1059" i="15"/>
  <c r="B1060" i="15"/>
  <c r="B1061" i="15"/>
  <c r="B1062" i="15"/>
  <c r="B1063" i="15"/>
  <c r="B1064" i="15"/>
  <c r="B1065" i="15"/>
  <c r="B1066" i="15"/>
  <c r="B1067" i="15"/>
  <c r="B1068" i="15"/>
  <c r="B1069" i="15"/>
  <c r="B1070" i="15"/>
  <c r="B1071" i="15"/>
  <c r="B1072" i="15"/>
  <c r="B1073" i="15"/>
  <c r="B1074" i="15"/>
  <c r="B1075" i="15"/>
  <c r="B1076" i="15"/>
  <c r="B1077" i="15"/>
  <c r="B1078" i="15"/>
  <c r="B1079" i="15"/>
  <c r="B1080" i="15"/>
  <c r="B1081" i="15"/>
  <c r="B1082" i="15"/>
  <c r="B1083" i="15"/>
  <c r="B1084" i="15"/>
  <c r="B1085" i="15"/>
  <c r="B1086" i="15"/>
  <c r="B1087" i="15"/>
  <c r="B1088" i="15"/>
  <c r="B1089" i="15"/>
  <c r="B1090" i="15"/>
  <c r="B1091" i="15"/>
  <c r="B1092" i="15"/>
  <c r="B1093" i="15"/>
  <c r="B1094" i="15"/>
  <c r="B1095" i="15"/>
  <c r="B1096" i="15"/>
  <c r="B1097" i="15"/>
  <c r="B1098" i="15"/>
  <c r="B1099" i="15"/>
  <c r="B1100" i="15"/>
  <c r="B1101" i="15"/>
  <c r="B1102" i="15"/>
  <c r="B1103" i="15"/>
  <c r="B1104" i="15"/>
  <c r="B1105" i="15"/>
  <c r="B1106" i="15"/>
  <c r="B1107" i="15"/>
  <c r="B1108" i="15"/>
  <c r="B1109" i="15"/>
  <c r="B1110" i="15"/>
  <c r="B1111" i="15"/>
  <c r="B1112" i="15"/>
  <c r="B1113" i="15"/>
  <c r="B1114" i="15"/>
  <c r="B1115" i="15"/>
  <c r="B1116" i="15"/>
  <c r="B1117" i="15"/>
  <c r="B1118" i="15"/>
  <c r="B1119" i="15"/>
  <c r="B1120" i="15"/>
  <c r="B1121" i="15"/>
  <c r="B1122" i="15"/>
  <c r="B1123" i="15"/>
  <c r="B1124" i="15"/>
  <c r="B1125" i="15"/>
  <c r="B1126" i="15"/>
  <c r="B1127" i="15"/>
  <c r="B1128" i="15"/>
  <c r="B1" i="15"/>
  <c r="A4" i="14"/>
  <c r="A7" i="14"/>
  <c r="A10" i="14"/>
  <c r="A11" i="14"/>
  <c r="A12" i="14"/>
  <c r="A13" i="14"/>
  <c r="A15" i="14"/>
  <c r="A16" i="14"/>
  <c r="A18" i="14"/>
  <c r="A19" i="14"/>
  <c r="A20" i="14"/>
  <c r="A22" i="14"/>
  <c r="A23" i="14"/>
  <c r="A26" i="14"/>
  <c r="A27" i="14"/>
  <c r="A28" i="14"/>
  <c r="A30" i="14"/>
  <c r="A31" i="14"/>
  <c r="A32" i="14"/>
  <c r="A34" i="14"/>
  <c r="A35" i="14"/>
  <c r="A36" i="14"/>
  <c r="A38" i="14"/>
  <c r="A39" i="14"/>
  <c r="A42" i="14"/>
  <c r="A43" i="14"/>
  <c r="A44" i="14"/>
  <c r="A45" i="14"/>
  <c r="A46" i="14"/>
  <c r="A47" i="14"/>
  <c r="A48" i="14"/>
  <c r="A50" i="14"/>
  <c r="A51" i="14"/>
  <c r="A52" i="14"/>
  <c r="A54" i="14"/>
  <c r="A55" i="14"/>
  <c r="A56" i="14"/>
  <c r="A58" i="14"/>
  <c r="A59" i="14"/>
  <c r="A60" i="14"/>
  <c r="A62" i="14"/>
  <c r="A63" i="14"/>
  <c r="A64" i="14"/>
  <c r="A66" i="14"/>
  <c r="A67" i="14"/>
  <c r="A68" i="14"/>
  <c r="A69" i="14"/>
  <c r="A70" i="14"/>
  <c r="A71" i="14"/>
  <c r="A74" i="14"/>
  <c r="A75" i="14"/>
  <c r="A76" i="14"/>
  <c r="A78" i="14"/>
  <c r="A79" i="14"/>
  <c r="A80" i="14"/>
  <c r="A82" i="14"/>
  <c r="A83" i="14"/>
  <c r="A84" i="14"/>
  <c r="A86" i="14"/>
  <c r="A87" i="14"/>
  <c r="A88" i="14"/>
  <c r="A90" i="14"/>
  <c r="A91" i="14"/>
  <c r="A92" i="14"/>
  <c r="A95" i="14"/>
  <c r="A96" i="14"/>
  <c r="A98" i="14"/>
  <c r="A99" i="14"/>
  <c r="A100" i="14"/>
  <c r="A101" i="14"/>
  <c r="A102" i="14"/>
  <c r="A103" i="14"/>
  <c r="A106" i="14"/>
  <c r="A107" i="14"/>
  <c r="A108" i="14"/>
  <c r="A109" i="14"/>
  <c r="A110" i="14"/>
  <c r="A111" i="14"/>
  <c r="A112" i="14"/>
  <c r="A113" i="14"/>
  <c r="A114" i="14"/>
  <c r="A115" i="14"/>
  <c r="A116" i="14"/>
  <c r="A118" i="14"/>
  <c r="A119" i="14"/>
  <c r="A123" i="14"/>
  <c r="A124" i="14"/>
  <c r="A126" i="14"/>
  <c r="A127" i="14"/>
  <c r="A128" i="14"/>
  <c r="A130" i="14"/>
  <c r="A131" i="14"/>
  <c r="A132" i="14"/>
  <c r="A134" i="14"/>
  <c r="A135" i="14"/>
  <c r="A136" i="14"/>
  <c r="A138" i="14"/>
  <c r="A139" i="14"/>
  <c r="A140" i="14"/>
  <c r="A142" i="14"/>
  <c r="A143" i="14"/>
  <c r="A144" i="14"/>
  <c r="A145" i="14"/>
  <c r="A146" i="14"/>
  <c r="A147" i="14"/>
  <c r="A148" i="14"/>
  <c r="A150" i="14"/>
  <c r="A151" i="14"/>
  <c r="A154" i="14"/>
  <c r="A155" i="14"/>
  <c r="A156" i="14"/>
  <c r="A158" i="14"/>
  <c r="A159" i="14"/>
  <c r="A160" i="14"/>
  <c r="A162" i="14"/>
  <c r="A163" i="14"/>
  <c r="A164" i="14"/>
  <c r="A166" i="14"/>
  <c r="A167" i="14"/>
  <c r="A170" i="14"/>
  <c r="A171" i="14"/>
  <c r="A172" i="14"/>
  <c r="A174" i="14"/>
  <c r="A175" i="14"/>
  <c r="A176" i="14"/>
  <c r="A179" i="14"/>
  <c r="A180" i="14"/>
  <c r="A182" i="14"/>
  <c r="A183" i="14"/>
  <c r="A185" i="14"/>
  <c r="A186" i="14"/>
  <c r="A187" i="14"/>
  <c r="A188" i="14"/>
  <c r="A189" i="14"/>
  <c r="A190" i="14"/>
  <c r="A191" i="14"/>
  <c r="A192" i="14"/>
  <c r="A194" i="14"/>
  <c r="A195" i="14"/>
  <c r="A196" i="14"/>
  <c r="A198" i="14"/>
  <c r="A199" i="14"/>
  <c r="A202" i="14"/>
  <c r="A203" i="14"/>
  <c r="A204" i="14"/>
  <c r="A207" i="14"/>
  <c r="A208" i="14"/>
  <c r="A210" i="14"/>
  <c r="A211" i="14"/>
  <c r="A212" i="14"/>
  <c r="A214" i="14"/>
  <c r="A215" i="14"/>
  <c r="A216" i="14"/>
  <c r="A218" i="14"/>
  <c r="A219" i="14"/>
  <c r="A220" i="14"/>
  <c r="A222" i="14"/>
  <c r="A223" i="14"/>
  <c r="A224" i="14"/>
  <c r="A226" i="14"/>
  <c r="A227" i="14"/>
  <c r="A228" i="14"/>
  <c r="A229" i="14"/>
  <c r="A230" i="14"/>
  <c r="A231" i="14"/>
  <c r="A234" i="14"/>
  <c r="A235" i="14"/>
  <c r="A236" i="14"/>
  <c r="A238" i="14"/>
  <c r="A239" i="14"/>
  <c r="A240" i="14"/>
  <c r="A242" i="14"/>
  <c r="A243" i="14"/>
  <c r="A244" i="14"/>
  <c r="A245" i="14"/>
  <c r="A246" i="14"/>
  <c r="A247" i="14"/>
  <c r="A249" i="14"/>
  <c r="A250" i="14"/>
  <c r="A251" i="14"/>
  <c r="A252" i="14"/>
  <c r="A254" i="14"/>
  <c r="A255" i="14"/>
  <c r="A256" i="14"/>
  <c r="A258" i="14"/>
  <c r="A259" i="14"/>
  <c r="A260" i="14"/>
  <c r="A262" i="14"/>
  <c r="A263" i="14"/>
  <c r="A266" i="14"/>
  <c r="A267" i="14"/>
  <c r="A268" i="14"/>
  <c r="A270" i="14"/>
  <c r="A271" i="14"/>
  <c r="A272" i="14"/>
  <c r="A273" i="14"/>
  <c r="A274" i="14"/>
  <c r="A275" i="14"/>
  <c r="A276" i="14"/>
  <c r="A278" i="14"/>
  <c r="A279" i="14"/>
  <c r="A283" i="14"/>
  <c r="A284" i="14"/>
  <c r="A286" i="14"/>
  <c r="A287" i="14"/>
  <c r="A288" i="14"/>
  <c r="A290" i="14"/>
  <c r="A291" i="14"/>
  <c r="A292" i="14"/>
  <c r="A294" i="14"/>
  <c r="A295" i="14"/>
  <c r="A297" i="14"/>
  <c r="A299" i="14"/>
  <c r="A300" i="14"/>
  <c r="A302" i="14"/>
  <c r="A303" i="14"/>
  <c r="A304" i="14"/>
  <c r="A306" i="14"/>
  <c r="A307" i="14"/>
  <c r="A308" i="14"/>
  <c r="A309" i="14"/>
  <c r="A310" i="14"/>
  <c r="A311" i="14"/>
  <c r="A313" i="14"/>
  <c r="A315" i="14"/>
  <c r="A316" i="14"/>
  <c r="A318" i="14"/>
  <c r="A319" i="14"/>
  <c r="A320" i="14"/>
  <c r="A322" i="14"/>
  <c r="A323" i="14"/>
  <c r="A324" i="14"/>
  <c r="A326" i="14"/>
  <c r="A327" i="14"/>
  <c r="A330" i="14"/>
  <c r="A331" i="14"/>
  <c r="A332" i="14"/>
  <c r="A333" i="14"/>
  <c r="A334" i="14"/>
  <c r="A335" i="14"/>
  <c r="A336" i="14"/>
  <c r="A337" i="14"/>
  <c r="A338" i="14"/>
  <c r="A339" i="14"/>
  <c r="A340" i="14"/>
  <c r="A342" i="14"/>
  <c r="A343" i="14"/>
  <c r="A346" i="14"/>
  <c r="A347" i="14"/>
  <c r="A350" i="14"/>
  <c r="A351" i="14"/>
  <c r="A354" i="14"/>
  <c r="A355" i="14"/>
  <c r="A358" i="14"/>
  <c r="A359" i="14"/>
  <c r="A363" i="14"/>
  <c r="A364" i="14"/>
  <c r="A366" i="14"/>
  <c r="A367" i="14"/>
  <c r="A368" i="14"/>
  <c r="A370" i="14"/>
  <c r="A371" i="14"/>
  <c r="A374" i="14"/>
  <c r="A375" i="14"/>
  <c r="A378" i="14"/>
  <c r="A379" i="14"/>
  <c r="A382" i="14"/>
  <c r="A383" i="14"/>
  <c r="A384" i="14"/>
  <c r="A386" i="14"/>
  <c r="A387" i="14"/>
  <c r="A389" i="14"/>
  <c r="A390" i="14"/>
  <c r="A391" i="14"/>
  <c r="A393" i="14"/>
  <c r="A394" i="14"/>
  <c r="A395" i="14"/>
  <c r="A398" i="14"/>
  <c r="A399" i="14"/>
  <c r="A402" i="14"/>
  <c r="A403" i="14"/>
  <c r="A405" i="14"/>
  <c r="A406" i="14"/>
  <c r="A407" i="14"/>
  <c r="A409" i="14"/>
  <c r="A410" i="14"/>
  <c r="A411" i="14"/>
  <c r="A412" i="14"/>
  <c r="A414" i="14"/>
  <c r="A415" i="14"/>
  <c r="A416" i="14"/>
  <c r="A418" i="14"/>
  <c r="A419" i="14"/>
  <c r="A422" i="14"/>
  <c r="A423" i="14"/>
  <c r="A426" i="14"/>
  <c r="A427" i="14"/>
  <c r="A431" i="14"/>
  <c r="A434" i="14"/>
  <c r="A435" i="14"/>
  <c r="A437" i="14"/>
  <c r="A438" i="14"/>
  <c r="A439" i="14"/>
  <c r="A441" i="14"/>
  <c r="A442" i="14"/>
  <c r="A443" i="14"/>
  <c r="A446" i="14"/>
  <c r="A447" i="14"/>
  <c r="A448" i="14"/>
  <c r="A450" i="14"/>
  <c r="A451" i="14"/>
  <c r="A454" i="14"/>
  <c r="A455" i="14"/>
  <c r="A456" i="14"/>
  <c r="A458" i="14"/>
  <c r="A459" i="14"/>
  <c r="A462" i="14"/>
  <c r="A463" i="14"/>
  <c r="A466" i="14"/>
  <c r="A467" i="14"/>
  <c r="A469" i="14"/>
  <c r="A470" i="14"/>
  <c r="A471" i="14"/>
  <c r="A472" i="14"/>
  <c r="A474" i="14"/>
  <c r="A475" i="14"/>
  <c r="A476" i="14"/>
  <c r="A479" i="14"/>
  <c r="A481" i="14"/>
  <c r="A482" i="14"/>
  <c r="A483" i="14"/>
  <c r="A484" i="14"/>
  <c r="A486" i="14"/>
  <c r="A487" i="14"/>
  <c r="A490" i="14"/>
  <c r="A491" i="14"/>
  <c r="A492" i="14"/>
  <c r="A494" i="14"/>
  <c r="A495" i="14"/>
  <c r="A497" i="14"/>
  <c r="A498" i="14"/>
  <c r="A499" i="14"/>
  <c r="A502" i="14"/>
  <c r="A503" i="14"/>
  <c r="A506" i="14"/>
  <c r="A507" i="14"/>
  <c r="A510" i="14"/>
  <c r="A511" i="14"/>
  <c r="A514" i="14"/>
  <c r="A515" i="14"/>
  <c r="A518" i="14"/>
  <c r="A519" i="14"/>
  <c r="A522" i="14"/>
  <c r="A523" i="14"/>
  <c r="A526" i="14"/>
  <c r="A527" i="14"/>
  <c r="A530" i="14"/>
  <c r="A531" i="14"/>
  <c r="A534" i="14"/>
  <c r="A535" i="14"/>
  <c r="A538" i="14"/>
  <c r="A539" i="14"/>
  <c r="A542" i="14"/>
  <c r="A543" i="14"/>
  <c r="A546" i="14"/>
  <c r="A547" i="14"/>
  <c r="A550" i="14"/>
  <c r="A551" i="14"/>
  <c r="A554" i="14"/>
  <c r="A555" i="14"/>
  <c r="A556" i="14"/>
  <c r="A558" i="14"/>
  <c r="A559" i="14"/>
  <c r="A560" i="14"/>
  <c r="A562" i="14"/>
  <c r="A563" i="14"/>
  <c r="A566" i="14"/>
  <c r="A567" i="14"/>
  <c r="A568" i="14"/>
  <c r="A570" i="14"/>
  <c r="A571" i="14"/>
  <c r="A574" i="14"/>
  <c r="A575" i="14"/>
  <c r="A577" i="14"/>
  <c r="A578" i="14"/>
  <c r="A579" i="14"/>
  <c r="A582" i="14"/>
  <c r="A583" i="14"/>
  <c r="A585" i="14"/>
  <c r="A586" i="14"/>
  <c r="A587" i="14"/>
  <c r="A589" i="14"/>
  <c r="A590" i="14"/>
  <c r="A591" i="14"/>
  <c r="A593" i="14"/>
  <c r="A594" i="14"/>
  <c r="A595" i="14"/>
  <c r="A598" i="14"/>
  <c r="A599" i="14"/>
  <c r="A602" i="14"/>
  <c r="A603" i="14"/>
  <c r="A606" i="14"/>
  <c r="A607" i="14"/>
  <c r="A608" i="14"/>
  <c r="A610" i="14"/>
  <c r="A611" i="14"/>
  <c r="A614" i="14"/>
  <c r="A615" i="14"/>
  <c r="A616" i="14"/>
  <c r="A618" i="14"/>
  <c r="A619" i="14"/>
  <c r="A620" i="14"/>
  <c r="A622" i="14"/>
  <c r="A623" i="14"/>
  <c r="A624" i="14"/>
  <c r="A626" i="14"/>
  <c r="A627" i="14"/>
  <c r="A630" i="14"/>
  <c r="A631" i="14"/>
  <c r="A632" i="14"/>
  <c r="A634" i="14"/>
  <c r="A635" i="14"/>
  <c r="A636" i="14"/>
  <c r="A638" i="14"/>
  <c r="A639" i="14"/>
  <c r="A640" i="14"/>
  <c r="A642" i="14"/>
  <c r="A643" i="14"/>
  <c r="A645" i="14"/>
  <c r="A646" i="14"/>
  <c r="A647" i="14"/>
  <c r="A650" i="14"/>
  <c r="A651" i="14"/>
  <c r="A652" i="14"/>
  <c r="A654" i="14"/>
  <c r="A655" i="14"/>
  <c r="A656" i="14"/>
  <c r="A658" i="14"/>
  <c r="A659" i="14"/>
  <c r="A662" i="14"/>
  <c r="A663" i="14"/>
  <c r="A666" i="14"/>
  <c r="A667" i="14"/>
  <c r="A670" i="14"/>
  <c r="A671" i="14"/>
  <c r="A674" i="14"/>
  <c r="A675" i="14"/>
  <c r="A678" i="14"/>
  <c r="A679" i="14"/>
  <c r="A682" i="14"/>
  <c r="A683" i="14"/>
  <c r="A684" i="14"/>
  <c r="A686" i="14"/>
  <c r="A687" i="14"/>
  <c r="A690" i="14"/>
  <c r="A691" i="14"/>
  <c r="A692" i="14"/>
  <c r="A694" i="14"/>
  <c r="A695" i="14"/>
  <c r="A696" i="14"/>
  <c r="A698" i="14"/>
  <c r="A699" i="14"/>
  <c r="A702" i="14"/>
  <c r="A703" i="14"/>
  <c r="A705" i="14"/>
  <c r="A706" i="14"/>
  <c r="A707" i="14"/>
  <c r="A709" i="14"/>
  <c r="A710" i="14"/>
  <c r="A711" i="14"/>
  <c r="A714" i="14"/>
  <c r="A715" i="14"/>
  <c r="A718" i="14"/>
  <c r="A719" i="14"/>
  <c r="A720" i="14"/>
  <c r="A722" i="14"/>
  <c r="A723" i="14"/>
  <c r="A724" i="14"/>
  <c r="A726" i="14"/>
  <c r="A727" i="14"/>
  <c r="A728" i="14"/>
  <c r="A730" i="14"/>
  <c r="A731" i="14"/>
  <c r="A734" i="14"/>
  <c r="A735" i="14"/>
  <c r="A738" i="14"/>
  <c r="A739" i="14"/>
  <c r="A742" i="14"/>
  <c r="A743" i="14"/>
  <c r="A745" i="14"/>
  <c r="A746" i="14"/>
  <c r="A747" i="14"/>
  <c r="A748" i="14"/>
  <c r="A750" i="14"/>
  <c r="A751" i="14"/>
  <c r="A752" i="14"/>
  <c r="A754" i="14"/>
  <c r="A755" i="14"/>
  <c r="A756" i="14"/>
  <c r="A758" i="14"/>
  <c r="A759" i="14"/>
  <c r="A760" i="14"/>
  <c r="A762" i="14"/>
  <c r="A763" i="14"/>
  <c r="A766" i="14"/>
  <c r="A767" i="14"/>
  <c r="A770" i="14"/>
  <c r="A771" i="14"/>
  <c r="A774" i="14"/>
  <c r="A775" i="14"/>
  <c r="A778" i="14"/>
  <c r="A779" i="14"/>
  <c r="A782" i="14"/>
  <c r="A783" i="14"/>
  <c r="A786" i="14"/>
  <c r="A787" i="14"/>
  <c r="A790" i="14"/>
  <c r="A791" i="14"/>
  <c r="A794" i="14"/>
  <c r="A795" i="14"/>
  <c r="A798" i="14"/>
  <c r="A799" i="14"/>
  <c r="A802" i="14"/>
  <c r="A803" i="14"/>
  <c r="A806" i="14"/>
  <c r="A807" i="14"/>
  <c r="A809" i="14"/>
  <c r="A810" i="14"/>
  <c r="A811" i="14"/>
  <c r="A814" i="14"/>
  <c r="A815" i="14"/>
  <c r="A816" i="14"/>
  <c r="A818" i="14"/>
  <c r="A819" i="14"/>
  <c r="A823" i="14"/>
  <c r="A824" i="14"/>
  <c r="A826" i="14"/>
  <c r="A827" i="14"/>
  <c r="A830" i="14"/>
  <c r="A831" i="14"/>
  <c r="A833" i="14"/>
  <c r="A834" i="14"/>
  <c r="A835" i="14"/>
  <c r="A838" i="14"/>
  <c r="A839" i="14"/>
  <c r="A840" i="14"/>
  <c r="A842" i="14"/>
  <c r="A843" i="14"/>
  <c r="A844" i="14"/>
  <c r="A846" i="14"/>
  <c r="A847" i="14"/>
  <c r="A850" i="14"/>
  <c r="A851" i="14"/>
  <c r="A854" i="14"/>
  <c r="A855" i="14"/>
  <c r="A858" i="14"/>
  <c r="A859" i="14"/>
  <c r="A862" i="14"/>
  <c r="A863" i="14"/>
  <c r="A865" i="14"/>
  <c r="A866" i="14"/>
  <c r="A869" i="14"/>
  <c r="A870" i="14"/>
  <c r="A871" i="14"/>
  <c r="A874" i="14"/>
  <c r="A875" i="14"/>
  <c r="A877" i="14"/>
  <c r="A878" i="14"/>
  <c r="A879" i="14"/>
  <c r="A882" i="14"/>
  <c r="A883" i="14"/>
  <c r="A886" i="14"/>
  <c r="A887" i="14"/>
  <c r="A890" i="14"/>
  <c r="A891" i="14"/>
  <c r="A894" i="14"/>
  <c r="A895" i="14"/>
  <c r="A897" i="14"/>
  <c r="A898" i="14"/>
  <c r="A899" i="14"/>
  <c r="A902" i="14"/>
  <c r="A903" i="14"/>
  <c r="A906" i="14"/>
  <c r="A907" i="14"/>
  <c r="A910" i="14"/>
  <c r="A911" i="14"/>
  <c r="A914" i="14"/>
  <c r="A915" i="14"/>
  <c r="A918" i="14"/>
  <c r="A919" i="14"/>
  <c r="A920" i="14"/>
  <c r="A922" i="14"/>
  <c r="A923" i="14"/>
  <c r="A926" i="14"/>
  <c r="A927" i="14"/>
  <c r="A930" i="14"/>
  <c r="A931" i="14"/>
  <c r="A934" i="14"/>
  <c r="A935" i="14"/>
  <c r="A938" i="14"/>
  <c r="A939" i="14"/>
  <c r="A942" i="14"/>
  <c r="A943" i="14"/>
  <c r="A946" i="14"/>
  <c r="A947" i="14"/>
  <c r="A948" i="14"/>
  <c r="A950" i="14"/>
  <c r="A951" i="14"/>
  <c r="A954" i="14"/>
  <c r="A955" i="14"/>
  <c r="A957" i="14"/>
  <c r="A958" i="14"/>
  <c r="A959" i="14"/>
  <c r="A962" i="14"/>
  <c r="A963" i="14"/>
  <c r="A966" i="14"/>
  <c r="A967" i="14"/>
  <c r="A968" i="14"/>
  <c r="A970" i="14"/>
  <c r="A971" i="14"/>
  <c r="A974" i="14"/>
  <c r="A975" i="14"/>
  <c r="A976" i="14"/>
  <c r="A978" i="14"/>
  <c r="A979" i="14"/>
  <c r="A980" i="14"/>
  <c r="A982" i="14"/>
  <c r="A983" i="14"/>
  <c r="A984" i="14"/>
  <c r="A986" i="14"/>
  <c r="A987" i="14"/>
  <c r="A988" i="14"/>
  <c r="A990" i="14"/>
  <c r="A991" i="14"/>
  <c r="A992" i="14"/>
  <c r="A994" i="14"/>
  <c r="A995" i="14"/>
  <c r="A996" i="14"/>
  <c r="A998" i="14"/>
  <c r="A999" i="14"/>
  <c r="D1001" i="14"/>
  <c r="D1002" i="14"/>
  <c r="D1003" i="14"/>
  <c r="D1004" i="14"/>
  <c r="D1005" i="14"/>
  <c r="D1006" i="14"/>
  <c r="D1007" i="14"/>
  <c r="D1008" i="14"/>
  <c r="D1009" i="14"/>
  <c r="D1010" i="14"/>
  <c r="D1011" i="14"/>
  <c r="D1012" i="14"/>
  <c r="D1013" i="14"/>
  <c r="D1014" i="14"/>
  <c r="D1015" i="14"/>
  <c r="D1016" i="14"/>
  <c r="D1017" i="14"/>
  <c r="D1018" i="14"/>
  <c r="D1019" i="14"/>
  <c r="D1020" i="14"/>
  <c r="D1021" i="14"/>
  <c r="D1022" i="14"/>
  <c r="D1023" i="14"/>
  <c r="D1024" i="14"/>
  <c r="D1025" i="14"/>
  <c r="D1026" i="14"/>
  <c r="D1027" i="14"/>
  <c r="D1028" i="14"/>
  <c r="D1029" i="14"/>
  <c r="D1030" i="14"/>
  <c r="D1031" i="14"/>
  <c r="D1032" i="14"/>
  <c r="D1033" i="14"/>
  <c r="D1034" i="14"/>
  <c r="D1035" i="14"/>
  <c r="D1036" i="14"/>
  <c r="D1037" i="14"/>
  <c r="D1038" i="14"/>
  <c r="D1039" i="14"/>
  <c r="D1040" i="14"/>
  <c r="D1041" i="14"/>
  <c r="D1042" i="14"/>
  <c r="D1043" i="14"/>
  <c r="D1044" i="14"/>
  <c r="D1045" i="14"/>
  <c r="D1046" i="14"/>
  <c r="D1047" i="14"/>
  <c r="D1048" i="14"/>
  <c r="D1049" i="14"/>
  <c r="D1050" i="14"/>
  <c r="D1051" i="14"/>
  <c r="D1052" i="14"/>
  <c r="D1053" i="14"/>
  <c r="D1054" i="14"/>
  <c r="D1055" i="14"/>
  <c r="D1056" i="14"/>
  <c r="D1057" i="14"/>
  <c r="D1058" i="14"/>
  <c r="D1059" i="14"/>
  <c r="D1060" i="14"/>
  <c r="D1061" i="14"/>
  <c r="D1062" i="14"/>
  <c r="D1063" i="14"/>
  <c r="D1064" i="14"/>
  <c r="D1065" i="14"/>
  <c r="D1066" i="14"/>
  <c r="D1067" i="14"/>
  <c r="D1068" i="14"/>
  <c r="D1069" i="14"/>
  <c r="D1070" i="14"/>
  <c r="D1071" i="14"/>
  <c r="D1072" i="14"/>
  <c r="D1073" i="14"/>
  <c r="D1074" i="14"/>
  <c r="D1075" i="14"/>
  <c r="D1076" i="14"/>
  <c r="D1077" i="14"/>
  <c r="D1078" i="14"/>
  <c r="D1079" i="14"/>
  <c r="D1080" i="14"/>
  <c r="D1081" i="14"/>
  <c r="D1082" i="14"/>
  <c r="D1083" i="14"/>
  <c r="D1084" i="14"/>
  <c r="D1085" i="14"/>
  <c r="D1086" i="14"/>
  <c r="D1087" i="14"/>
  <c r="D1088" i="14"/>
  <c r="D1089" i="14"/>
  <c r="D1090" i="14"/>
  <c r="D1091" i="14"/>
  <c r="D1092" i="14"/>
  <c r="D1093" i="14"/>
  <c r="D1094" i="14"/>
  <c r="D1095" i="14"/>
  <c r="D1096" i="14"/>
  <c r="D1097" i="14"/>
  <c r="D1098" i="14"/>
  <c r="D1099" i="14"/>
  <c r="D1100" i="14"/>
  <c r="D1101" i="14"/>
  <c r="D1102" i="14"/>
  <c r="D1103" i="14"/>
  <c r="D1104" i="14"/>
  <c r="D1105" i="14"/>
  <c r="D1106" i="14"/>
  <c r="D1107" i="14"/>
  <c r="D1108" i="14"/>
  <c r="D1109" i="14"/>
  <c r="D1110" i="14"/>
  <c r="D1111" i="14"/>
  <c r="D1112" i="14"/>
  <c r="D1113" i="14"/>
  <c r="D1114" i="14"/>
  <c r="D1115" i="14"/>
  <c r="D1116" i="14"/>
  <c r="D1117" i="14"/>
  <c r="D1118" i="14"/>
  <c r="D1119" i="14"/>
  <c r="D1120" i="14"/>
  <c r="D1121" i="14"/>
  <c r="D1122" i="14"/>
  <c r="D1123" i="14"/>
  <c r="D1124" i="14"/>
  <c r="D1125" i="14"/>
  <c r="D1126" i="14"/>
  <c r="D1127" i="14"/>
  <c r="D1128" i="14"/>
  <c r="D1129" i="14"/>
  <c r="D1130" i="14"/>
  <c r="D1131" i="14"/>
  <c r="D1132" i="14"/>
  <c r="D1133" i="14"/>
  <c r="D1134" i="14"/>
  <c r="D1135" i="14"/>
  <c r="D1136" i="14"/>
  <c r="D1137" i="14"/>
  <c r="D1138" i="14"/>
  <c r="D1139" i="14"/>
  <c r="D1140" i="14"/>
  <c r="D1141" i="14"/>
  <c r="D1142" i="14"/>
  <c r="D1143" i="14"/>
  <c r="D1144" i="14"/>
  <c r="D1145" i="14"/>
  <c r="D1146" i="14"/>
  <c r="D1147" i="14"/>
  <c r="D1148" i="14"/>
  <c r="D1149" i="14"/>
  <c r="D1150" i="14"/>
  <c r="D1151" i="14"/>
  <c r="D1152" i="14"/>
  <c r="D1153" i="14"/>
  <c r="D1154" i="14"/>
  <c r="D1155" i="14"/>
  <c r="D1156" i="14"/>
  <c r="D1157" i="14"/>
  <c r="D1158" i="14"/>
  <c r="D1159" i="14"/>
  <c r="D1160" i="14"/>
  <c r="A6" i="14"/>
  <c r="A8" i="14"/>
  <c r="A14" i="14"/>
  <c r="A17" i="14"/>
  <c r="A21" i="14"/>
  <c r="A25" i="14"/>
  <c r="A29" i="14"/>
  <c r="A33" i="14"/>
  <c r="A40" i="14"/>
  <c r="A49" i="14"/>
  <c r="A53" i="14"/>
  <c r="A61" i="14"/>
  <c r="A65" i="14"/>
  <c r="A73" i="14"/>
  <c r="A77" i="14"/>
  <c r="A81" i="14"/>
  <c r="A89" i="14"/>
  <c r="A97" i="14"/>
  <c r="A104" i="14"/>
  <c r="A117" i="14"/>
  <c r="A120" i="14"/>
  <c r="A125" i="14"/>
  <c r="A133" i="14"/>
  <c r="A137" i="14"/>
  <c r="A141" i="14"/>
  <c r="A149" i="14"/>
  <c r="A152" i="14"/>
  <c r="A153" i="14"/>
  <c r="A157" i="14"/>
  <c r="A161" i="14"/>
  <c r="A165" i="14"/>
  <c r="A173" i="14"/>
  <c r="A177" i="14"/>
  <c r="A181" i="14"/>
  <c r="A184" i="14"/>
  <c r="A193" i="14"/>
  <c r="A197" i="14"/>
  <c r="A205" i="14"/>
  <c r="A209" i="14"/>
  <c r="A213" i="14"/>
  <c r="A217" i="14"/>
  <c r="A221" i="14"/>
  <c r="A225" i="14"/>
  <c r="A232" i="14"/>
  <c r="A237" i="14"/>
  <c r="A241" i="14"/>
  <c r="A248" i="14"/>
  <c r="A253" i="14"/>
  <c r="A261" i="14"/>
  <c r="A265" i="14"/>
  <c r="A277" i="14"/>
  <c r="A280" i="14"/>
  <c r="A285" i="14"/>
  <c r="A289" i="14"/>
  <c r="A293" i="14"/>
  <c r="A296" i="14"/>
  <c r="A301" i="14"/>
  <c r="A305" i="14"/>
  <c r="A312" i="14"/>
  <c r="A317" i="14"/>
  <c r="A321" i="14"/>
  <c r="A325" i="14"/>
  <c r="A329" i="14"/>
  <c r="A344" i="14"/>
  <c r="A345" i="14"/>
  <c r="A352" i="14"/>
  <c r="A353" i="14"/>
  <c r="A360" i="14"/>
  <c r="A361" i="14"/>
  <c r="A369" i="14"/>
  <c r="A372" i="14"/>
  <c r="A373" i="14"/>
  <c r="A376" i="14"/>
  <c r="A377" i="14"/>
  <c r="A381" i="14"/>
  <c r="A385" i="14"/>
  <c r="A392" i="14"/>
  <c r="A396" i="14"/>
  <c r="A400" i="14"/>
  <c r="A401" i="14"/>
  <c r="A404" i="14"/>
  <c r="A408" i="14"/>
  <c r="A417" i="14"/>
  <c r="A420" i="14"/>
  <c r="A425" i="14"/>
  <c r="A428" i="14"/>
  <c r="A432" i="14"/>
  <c r="A433" i="14"/>
  <c r="A436" i="14"/>
  <c r="A440" i="14"/>
  <c r="A445" i="14"/>
  <c r="A449" i="14"/>
  <c r="A452" i="14"/>
  <c r="A457" i="14"/>
  <c r="A460" i="14"/>
  <c r="A464" i="14"/>
  <c r="A465" i="14"/>
  <c r="A473" i="14"/>
  <c r="A477" i="14"/>
  <c r="A480" i="14"/>
  <c r="A485" i="14"/>
  <c r="A488" i="14"/>
  <c r="A489" i="14"/>
  <c r="A496" i="14"/>
  <c r="A500" i="14"/>
  <c r="A504" i="14"/>
  <c r="A505" i="14"/>
  <c r="A508" i="14"/>
  <c r="A512" i="14"/>
  <c r="A513" i="14"/>
  <c r="A516" i="14"/>
  <c r="A521" i="14"/>
  <c r="A524" i="14"/>
  <c r="A528" i="14"/>
  <c r="A529" i="14"/>
  <c r="A536" i="14"/>
  <c r="A537" i="14"/>
  <c r="A540" i="14"/>
  <c r="A544" i="14"/>
  <c r="A545" i="14"/>
  <c r="A552" i="14"/>
  <c r="A553" i="14"/>
  <c r="A557" i="14"/>
  <c r="A565" i="14"/>
  <c r="A569" i="14"/>
  <c r="A573" i="14"/>
  <c r="A576" i="14"/>
  <c r="A581" i="14"/>
  <c r="A584" i="14"/>
  <c r="A588" i="14"/>
  <c r="A592" i="14"/>
  <c r="A597" i="14"/>
  <c r="A600" i="14"/>
  <c r="A604" i="14"/>
  <c r="A605" i="14"/>
  <c r="A609" i="14"/>
  <c r="A613" i="14"/>
  <c r="A617" i="14"/>
  <c r="A621" i="14"/>
  <c r="A629" i="14"/>
  <c r="A633" i="14"/>
  <c r="A637" i="14"/>
  <c r="A644" i="14"/>
  <c r="A648" i="14"/>
  <c r="A653" i="14"/>
  <c r="A657" i="14"/>
  <c r="A660" i="14"/>
  <c r="A661" i="14"/>
  <c r="A664" i="14"/>
  <c r="A668" i="14"/>
  <c r="A669" i="14"/>
  <c r="A672" i="14"/>
  <c r="A676" i="14"/>
  <c r="A677" i="14"/>
  <c r="A680" i="14"/>
  <c r="A685" i="14"/>
  <c r="A688" i="14"/>
  <c r="A689" i="14"/>
  <c r="A697" i="14"/>
  <c r="A700" i="14"/>
  <c r="A701" i="14"/>
  <c r="A704" i="14"/>
  <c r="A708" i="14"/>
  <c r="A712" i="14"/>
  <c r="A716" i="14"/>
  <c r="A717" i="14"/>
  <c r="A725" i="14"/>
  <c r="A729" i="14"/>
  <c r="A732" i="14"/>
  <c r="A733" i="14"/>
  <c r="A736" i="14"/>
  <c r="A737" i="14"/>
  <c r="A740" i="14"/>
  <c r="A744" i="14"/>
  <c r="A749" i="14"/>
  <c r="A761" i="14"/>
  <c r="A764" i="14"/>
  <c r="A765" i="14"/>
  <c r="A768" i="14"/>
  <c r="A769" i="14"/>
  <c r="A772" i="14"/>
  <c r="A773" i="14"/>
  <c r="A776" i="14"/>
  <c r="A781" i="14"/>
  <c r="A784" i="14"/>
  <c r="A785" i="14"/>
  <c r="A789" i="14"/>
  <c r="A792" i="14"/>
  <c r="A793" i="14"/>
  <c r="A796" i="14"/>
  <c r="A797" i="14"/>
  <c r="A800" i="14"/>
  <c r="A801" i="14"/>
  <c r="A804" i="14"/>
  <c r="A805" i="14"/>
  <c r="A808" i="14"/>
  <c r="A812" i="14"/>
  <c r="A813" i="14"/>
  <c r="A817" i="14"/>
  <c r="A820" i="14"/>
  <c r="A825" i="14"/>
  <c r="A828" i="14"/>
  <c r="A829" i="14"/>
  <c r="A832" i="14"/>
  <c r="A836" i="14"/>
  <c r="A837" i="14"/>
  <c r="A841" i="14"/>
  <c r="A845" i="14"/>
  <c r="A848" i="14"/>
  <c r="A852" i="14"/>
  <c r="A853" i="14"/>
  <c r="A856" i="14"/>
  <c r="A857" i="14"/>
  <c r="A860" i="14"/>
  <c r="A861" i="14"/>
  <c r="A864" i="14"/>
  <c r="A868" i="14"/>
  <c r="A872" i="14"/>
  <c r="A873" i="14"/>
  <c r="A876" i="14"/>
  <c r="A880" i="14"/>
  <c r="A884" i="14"/>
  <c r="A885" i="14"/>
  <c r="A888" i="14"/>
  <c r="A889" i="14"/>
  <c r="A892" i="14"/>
  <c r="A893" i="14"/>
  <c r="A896" i="14"/>
  <c r="A900" i="14"/>
  <c r="A904" i="14"/>
  <c r="A905" i="14"/>
  <c r="A908" i="14"/>
  <c r="A912" i="14"/>
  <c r="A913" i="14"/>
  <c r="A916" i="14"/>
  <c r="A917" i="14"/>
  <c r="A921" i="14"/>
  <c r="A924" i="14"/>
  <c r="A928" i="14"/>
  <c r="A929" i="14"/>
  <c r="A932" i="14"/>
  <c r="A936" i="14"/>
  <c r="A937" i="14"/>
  <c r="A941" i="14"/>
  <c r="A944" i="14"/>
  <c r="A945" i="14"/>
  <c r="A952" i="14"/>
  <c r="A953" i="14"/>
  <c r="A960" i="14"/>
  <c r="A961" i="14"/>
  <c r="A964" i="14"/>
  <c r="A965" i="14"/>
  <c r="A972" i="14"/>
  <c r="A973" i="14"/>
  <c r="A977" i="14"/>
  <c r="A981" i="14"/>
  <c r="A985" i="14"/>
  <c r="A989" i="14"/>
  <c r="A997" i="14"/>
  <c r="A1000" i="14"/>
  <c r="A5" i="14"/>
  <c r="A9" i="14"/>
  <c r="A24" i="14"/>
  <c r="A37" i="14"/>
  <c r="A41" i="14"/>
  <c r="A57" i="14"/>
  <c r="A72" i="14"/>
  <c r="A85" i="14"/>
  <c r="A93" i="14"/>
  <c r="A94" i="14"/>
  <c r="A105" i="14"/>
  <c r="A121" i="14"/>
  <c r="A122" i="14"/>
  <c r="A129" i="14"/>
  <c r="A168" i="14"/>
  <c r="A169" i="14"/>
  <c r="A178" i="14"/>
  <c r="A200" i="14"/>
  <c r="A201" i="14"/>
  <c r="A206" i="14"/>
  <c r="A233" i="14"/>
  <c r="A257" i="14"/>
  <c r="A264" i="14"/>
  <c r="A269" i="14"/>
  <c r="A281" i="14"/>
  <c r="A282" i="14"/>
  <c r="A298" i="14"/>
  <c r="A314" i="14"/>
  <c r="A328" i="14"/>
  <c r="A341" i="14"/>
  <c r="A348" i="14"/>
  <c r="A349" i="14"/>
  <c r="A356" i="14"/>
  <c r="A357" i="14"/>
  <c r="A362" i="14"/>
  <c r="A365" i="14"/>
  <c r="A380" i="14"/>
  <c r="A388" i="14"/>
  <c r="A397" i="14"/>
  <c r="A413" i="14"/>
  <c r="A421" i="14"/>
  <c r="A424" i="14"/>
  <c r="A429" i="14"/>
  <c r="A430" i="14"/>
  <c r="A444" i="14"/>
  <c r="A453" i="14"/>
  <c r="A461" i="14"/>
  <c r="A468" i="14"/>
  <c r="A478" i="14"/>
  <c r="A493" i="14"/>
  <c r="A501" i="14"/>
  <c r="A509" i="14"/>
  <c r="A517" i="14"/>
  <c r="A520" i="14"/>
  <c r="A525" i="14"/>
  <c r="A532" i="14"/>
  <c r="A533" i="14"/>
  <c r="A541" i="14"/>
  <c r="A548" i="14"/>
  <c r="A549" i="14"/>
  <c r="A561" i="14"/>
  <c r="A564" i="14"/>
  <c r="A572" i="14"/>
  <c r="A580" i="14"/>
  <c r="A596" i="14"/>
  <c r="A601" i="14"/>
  <c r="A612" i="14"/>
  <c r="A625" i="14"/>
  <c r="A628" i="14"/>
  <c r="A641" i="14"/>
  <c r="A649" i="14"/>
  <c r="A665" i="14"/>
  <c r="A673" i="14"/>
  <c r="A681" i="14"/>
  <c r="A693" i="14"/>
  <c r="A713" i="14"/>
  <c r="A721" i="14"/>
  <c r="A741" i="14"/>
  <c r="A753" i="14"/>
  <c r="A757" i="14"/>
  <c r="A777" i="14"/>
  <c r="A780" i="14"/>
  <c r="A788" i="14"/>
  <c r="A821" i="14"/>
  <c r="A822" i="14"/>
  <c r="A849" i="14"/>
  <c r="A867" i="14"/>
  <c r="A881" i="14"/>
  <c r="A901" i="14"/>
  <c r="A909" i="14"/>
  <c r="A925" i="14"/>
  <c r="A933" i="14"/>
  <c r="A940" i="14"/>
  <c r="A949" i="14"/>
  <c r="A956" i="14"/>
  <c r="A969" i="14"/>
  <c r="A993" i="14"/>
  <c r="A3" i="14"/>
  <c r="A1" i="14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B697" i="11"/>
  <c r="B698" i="11"/>
  <c r="B699" i="11"/>
  <c r="B700" i="11"/>
  <c r="B701" i="11"/>
  <c r="B702" i="11"/>
  <c r="B703" i="11"/>
  <c r="B704" i="11"/>
  <c r="B705" i="11"/>
  <c r="B706" i="11"/>
  <c r="B707" i="11"/>
  <c r="B708" i="11"/>
  <c r="B709" i="11"/>
  <c r="B710" i="11"/>
  <c r="B711" i="11"/>
  <c r="B712" i="11"/>
  <c r="B713" i="11"/>
  <c r="G3" i="12"/>
  <c r="G5" i="12"/>
  <c r="G9" i="12"/>
  <c r="G13" i="12"/>
  <c r="G25" i="12"/>
  <c r="G4" i="12"/>
  <c r="P4" i="12"/>
  <c r="G6" i="12"/>
  <c r="P6" i="12"/>
  <c r="G7" i="12"/>
  <c r="G8" i="12"/>
  <c r="P8" i="12"/>
  <c r="G10" i="12"/>
  <c r="P10" i="12"/>
  <c r="G11" i="12"/>
  <c r="G12" i="12"/>
  <c r="P12" i="12"/>
  <c r="G14" i="12"/>
  <c r="P14" i="12"/>
  <c r="G15" i="12"/>
  <c r="G16" i="12"/>
  <c r="P16" i="12"/>
  <c r="G17" i="12"/>
  <c r="G18" i="12"/>
  <c r="P18" i="12"/>
  <c r="G19" i="12"/>
  <c r="G20" i="12"/>
  <c r="P20" i="12"/>
  <c r="G21" i="12"/>
  <c r="G22" i="12"/>
  <c r="P22" i="12"/>
  <c r="G23" i="12"/>
  <c r="G24" i="12"/>
  <c r="P24" i="12"/>
  <c r="G26" i="12"/>
  <c r="P26" i="12"/>
  <c r="G27" i="12"/>
  <c r="G28" i="12"/>
  <c r="P28" i="12"/>
  <c r="G29" i="12"/>
  <c r="G30" i="12"/>
  <c r="P30" i="12"/>
  <c r="G31" i="12"/>
  <c r="G32" i="12"/>
  <c r="P32" i="12"/>
  <c r="G33" i="12"/>
  <c r="G34" i="12"/>
  <c r="P34" i="12"/>
  <c r="G35" i="12"/>
  <c r="G36" i="12"/>
  <c r="P36" i="12"/>
  <c r="G37" i="12"/>
  <c r="G38" i="12"/>
  <c r="P38" i="12"/>
  <c r="G39" i="12"/>
  <c r="G40" i="12"/>
  <c r="P40" i="12"/>
  <c r="G41" i="12"/>
  <c r="G42" i="12"/>
  <c r="P42" i="12"/>
  <c r="G43" i="12"/>
  <c r="G44" i="12"/>
  <c r="P44" i="12"/>
  <c r="G45" i="12"/>
  <c r="G46" i="12"/>
  <c r="P46" i="12"/>
  <c r="G47" i="12"/>
  <c r="G48" i="12"/>
  <c r="P48" i="12"/>
  <c r="G49" i="12"/>
  <c r="G50" i="12"/>
  <c r="P50" i="12"/>
  <c r="G51" i="12"/>
  <c r="G52" i="12"/>
  <c r="P52" i="12"/>
  <c r="G53" i="12"/>
  <c r="G54" i="12"/>
  <c r="P54" i="12"/>
  <c r="G55" i="12"/>
  <c r="G56" i="12"/>
  <c r="P56" i="12"/>
  <c r="G57" i="12"/>
  <c r="G58" i="12"/>
  <c r="P58" i="12"/>
  <c r="G59" i="12"/>
  <c r="G60" i="12"/>
  <c r="P60" i="12"/>
  <c r="G61" i="12"/>
  <c r="G62" i="12"/>
  <c r="P62" i="12"/>
  <c r="G63" i="12"/>
  <c r="G64" i="12"/>
  <c r="P64" i="12"/>
  <c r="G65" i="12"/>
  <c r="G66" i="12"/>
  <c r="P66" i="12"/>
  <c r="G67" i="12"/>
  <c r="G68" i="12"/>
  <c r="P68" i="12"/>
  <c r="G69" i="12"/>
  <c r="G70" i="12"/>
  <c r="P70" i="12"/>
  <c r="G71" i="12"/>
  <c r="G72" i="12"/>
  <c r="P72" i="12"/>
  <c r="G73" i="12"/>
  <c r="G74" i="12"/>
  <c r="P74" i="12"/>
  <c r="G75" i="12"/>
  <c r="G76" i="12"/>
  <c r="P76" i="12"/>
  <c r="G77" i="12"/>
  <c r="P77" i="12"/>
  <c r="G78" i="12"/>
  <c r="G79" i="12"/>
  <c r="P79" i="12"/>
  <c r="G80" i="12"/>
  <c r="G81" i="12"/>
  <c r="P81" i="12"/>
  <c r="G82" i="12"/>
  <c r="G83" i="12"/>
  <c r="P83" i="12"/>
  <c r="G84" i="12"/>
  <c r="G85" i="12"/>
  <c r="P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P80" i="12"/>
  <c r="P78" i="12"/>
  <c r="P84" i="12"/>
  <c r="P82" i="12"/>
  <c r="P73" i="12"/>
  <c r="P57" i="12"/>
  <c r="P35" i="12"/>
  <c r="P13" i="12"/>
  <c r="P5" i="12"/>
  <c r="P69" i="12"/>
  <c r="P53" i="12"/>
  <c r="P43" i="12"/>
  <c r="P27" i="12"/>
  <c r="P21" i="12"/>
  <c r="P9" i="12"/>
  <c r="P61" i="12"/>
  <c r="P47" i="12"/>
  <c r="P31" i="12"/>
  <c r="P75" i="12"/>
  <c r="P71" i="12"/>
  <c r="P67" i="12"/>
  <c r="P63" i="12"/>
  <c r="P59" i="12"/>
  <c r="P55" i="12"/>
  <c r="P51" i="12"/>
  <c r="P49" i="12"/>
  <c r="P45" i="12"/>
  <c r="P41" i="12"/>
  <c r="P37" i="12"/>
  <c r="P33" i="12"/>
  <c r="P29" i="12"/>
  <c r="P25" i="12"/>
  <c r="P23" i="12"/>
  <c r="P19" i="12"/>
  <c r="P15" i="12"/>
  <c r="P11" i="12"/>
  <c r="P7" i="12"/>
  <c r="P65" i="12"/>
  <c r="P39" i="12"/>
  <c r="P17" i="12"/>
  <c r="F628" i="11"/>
  <c r="B628" i="11" s="1"/>
  <c r="F620" i="11"/>
  <c r="B620" i="11" s="1"/>
  <c r="F484" i="11"/>
  <c r="B484" i="11" s="1"/>
  <c r="F460" i="11"/>
  <c r="B460" i="11" s="1"/>
  <c r="F404" i="11"/>
  <c r="B404" i="11" s="1"/>
  <c r="F172" i="11"/>
  <c r="B172" i="11" s="1"/>
  <c r="F652" i="11"/>
  <c r="B652" i="11" s="1"/>
  <c r="F68" i="11"/>
  <c r="B68" i="11" s="1"/>
  <c r="F28" i="11"/>
  <c r="B28" i="11" s="1"/>
  <c r="F12" i="11"/>
  <c r="B12" i="11" s="1"/>
  <c r="F564" i="11"/>
  <c r="B564" i="11" s="1"/>
  <c r="F540" i="11"/>
  <c r="B540" i="11" s="1"/>
  <c r="F420" i="11"/>
  <c r="B420" i="11" s="1"/>
  <c r="F252" i="11"/>
  <c r="B252" i="11" s="1"/>
  <c r="F132" i="11"/>
  <c r="B132" i="11" s="1"/>
  <c r="F508" i="11"/>
  <c r="B508" i="11" s="1"/>
  <c r="F452" i="11"/>
  <c r="B452" i="11" s="1"/>
  <c r="F444" i="11"/>
  <c r="B444" i="11" s="1"/>
  <c r="F372" i="11"/>
  <c r="B372" i="11" s="1"/>
  <c r="F364" i="11"/>
  <c r="B364" i="11" s="1"/>
  <c r="F268" i="11"/>
  <c r="B268" i="11" s="1"/>
  <c r="F236" i="11"/>
  <c r="B236" i="11" s="1"/>
  <c r="F156" i="11"/>
  <c r="B156" i="11" s="1"/>
  <c r="F76" i="11"/>
  <c r="B76" i="11" s="1"/>
  <c r="Y4" i="6"/>
  <c r="F20" i="11"/>
  <c r="B20" i="11" s="1"/>
  <c r="F36" i="11"/>
  <c r="B36" i="11" s="1"/>
  <c r="F44" i="11"/>
  <c r="B44" i="11" s="1"/>
  <c r="F52" i="11"/>
  <c r="B52" i="11" s="1"/>
  <c r="F60" i="11"/>
  <c r="B60" i="11" s="1"/>
  <c r="F84" i="11"/>
  <c r="B84" i="11" s="1"/>
  <c r="F92" i="11"/>
  <c r="B92" i="11" s="1"/>
  <c r="F100" i="11"/>
  <c r="B100" i="11" s="1"/>
  <c r="F108" i="11"/>
  <c r="B108" i="11" s="1"/>
  <c r="F116" i="11"/>
  <c r="B116" i="11" s="1"/>
  <c r="F124" i="11"/>
  <c r="B124" i="11" s="1"/>
  <c r="F140" i="11"/>
  <c r="B140" i="11" s="1"/>
  <c r="F148" i="11"/>
  <c r="B148" i="11" s="1"/>
  <c r="F164" i="11"/>
  <c r="B164" i="11" s="1"/>
  <c r="F180" i="11"/>
  <c r="B180" i="11" s="1"/>
  <c r="F188" i="11"/>
  <c r="B188" i="11" s="1"/>
  <c r="F196" i="11"/>
  <c r="B196" i="11" s="1"/>
  <c r="F204" i="11"/>
  <c r="B204" i="11" s="1"/>
  <c r="F212" i="11"/>
  <c r="B212" i="11" s="1"/>
  <c r="F220" i="11"/>
  <c r="B220" i="11" s="1"/>
  <c r="F228" i="11"/>
  <c r="B228" i="11" s="1"/>
  <c r="F244" i="11"/>
  <c r="B244" i="11" s="1"/>
  <c r="F260" i="11"/>
  <c r="B260" i="11" s="1"/>
  <c r="F276" i="11"/>
  <c r="B276" i="11" s="1"/>
  <c r="F284" i="11"/>
  <c r="B284" i="11" s="1"/>
  <c r="F292" i="11"/>
  <c r="B292" i="11" s="1"/>
  <c r="F300" i="11"/>
  <c r="B300" i="11" s="1"/>
  <c r="F324" i="11"/>
  <c r="B324" i="11" s="1"/>
  <c r="F332" i="11"/>
  <c r="B332" i="11" s="1"/>
  <c r="F340" i="11"/>
  <c r="B340" i="11" s="1"/>
  <c r="F348" i="11"/>
  <c r="B348" i="11" s="1"/>
  <c r="F356" i="11"/>
  <c r="B356" i="11" s="1"/>
  <c r="F380" i="11"/>
  <c r="B380" i="11" s="1"/>
  <c r="F388" i="11"/>
  <c r="B388" i="11" s="1"/>
  <c r="F396" i="11"/>
  <c r="B396" i="11" s="1"/>
  <c r="F412" i="11"/>
  <c r="B412" i="11" s="1"/>
  <c r="F428" i="11"/>
  <c r="B428" i="11" s="1"/>
  <c r="F436" i="11"/>
  <c r="B436" i="11" s="1"/>
  <c r="F468" i="11"/>
  <c r="B468" i="11" s="1"/>
  <c r="F476" i="11"/>
  <c r="B476" i="11" s="1"/>
  <c r="F492" i="11"/>
  <c r="B492" i="11" s="1"/>
  <c r="F500" i="11"/>
  <c r="B500" i="11" s="1"/>
  <c r="F516" i="11"/>
  <c r="B516" i="11"/>
  <c r="F524" i="11"/>
  <c r="B524" i="11" s="1"/>
  <c r="F532" i="11"/>
  <c r="B532" i="11" s="1"/>
  <c r="F548" i="11"/>
  <c r="B548" i="11" s="1"/>
  <c r="F556" i="11"/>
  <c r="B556" i="11" s="1"/>
  <c r="F572" i="11"/>
  <c r="B572" i="11" s="1"/>
  <c r="F580" i="11"/>
  <c r="B580" i="11" s="1"/>
  <c r="F588" i="11"/>
  <c r="B588" i="11" s="1"/>
  <c r="F596" i="11"/>
  <c r="B596" i="11" s="1"/>
  <c r="F604" i="11"/>
  <c r="B604" i="11" s="1"/>
  <c r="F612" i="11"/>
  <c r="B612" i="11" s="1"/>
  <c r="F636" i="11"/>
  <c r="B636" i="11" s="1"/>
  <c r="F644" i="11"/>
  <c r="B644" i="11" s="1"/>
  <c r="F660" i="11"/>
  <c r="B660" i="11" s="1"/>
  <c r="F668" i="11"/>
  <c r="B668" i="11" s="1"/>
  <c r="D56" i="4"/>
  <c r="F68" i="4"/>
  <c r="D58" i="4"/>
  <c r="D55" i="4"/>
  <c r="D54" i="4"/>
  <c r="D53" i="4"/>
  <c r="D48" i="4"/>
  <c r="D49" i="4"/>
  <c r="D50" i="4"/>
  <c r="D51" i="4"/>
  <c r="D52" i="4"/>
  <c r="D47" i="4"/>
  <c r="D33" i="4"/>
  <c r="D32" i="4"/>
  <c r="E1" i="6"/>
  <c r="F316" i="11"/>
  <c r="B316" i="11" s="1"/>
  <c r="F308" i="11"/>
  <c r="B308" i="11" s="1"/>
  <c r="E23" i="2"/>
  <c r="D21" i="2"/>
  <c r="D14" i="2"/>
  <c r="E12" i="2"/>
  <c r="F1" i="8"/>
  <c r="G1" i="8"/>
  <c r="H1" i="8"/>
  <c r="I1" i="8"/>
  <c r="J1" i="8"/>
  <c r="T2" i="7"/>
  <c r="X2" i="7"/>
  <c r="T1" i="8"/>
  <c r="A2" i="7"/>
  <c r="A2" i="8"/>
  <c r="A3" i="7"/>
  <c r="A10" i="8"/>
  <c r="A4" i="7"/>
  <c r="A18" i="8"/>
  <c r="A5" i="7"/>
  <c r="A26" i="8"/>
  <c r="A6" i="7"/>
  <c r="A34" i="8"/>
  <c r="A7" i="7"/>
  <c r="A42" i="8"/>
  <c r="A8" i="7"/>
  <c r="A50" i="8"/>
  <c r="A9" i="7"/>
  <c r="A58" i="8"/>
  <c r="A10" i="7"/>
  <c r="A66" i="8"/>
  <c r="A11" i="7"/>
  <c r="A74" i="8"/>
  <c r="A12" i="7"/>
  <c r="A82" i="8"/>
  <c r="A13" i="7"/>
  <c r="A90" i="8"/>
  <c r="A14" i="7"/>
  <c r="A98" i="8"/>
  <c r="A15" i="7"/>
  <c r="A106" i="8"/>
  <c r="A16" i="7"/>
  <c r="A114" i="8"/>
  <c r="A17" i="7"/>
  <c r="A122" i="8"/>
  <c r="A18" i="7"/>
  <c r="A130" i="8"/>
  <c r="A19" i="7"/>
  <c r="A138" i="8"/>
  <c r="A20" i="7"/>
  <c r="A146" i="8"/>
  <c r="A21" i="7"/>
  <c r="A154" i="8"/>
  <c r="A22" i="7"/>
  <c r="A162" i="8"/>
  <c r="A23" i="7"/>
  <c r="A170" i="8"/>
  <c r="A24" i="7"/>
  <c r="A178" i="8"/>
  <c r="A25" i="7"/>
  <c r="A186" i="8"/>
  <c r="A26" i="7"/>
  <c r="A194" i="8"/>
  <c r="A27" i="7"/>
  <c r="A202" i="8"/>
  <c r="A28" i="7"/>
  <c r="A210" i="8"/>
  <c r="A29" i="7"/>
  <c r="A218" i="8"/>
  <c r="A30" i="7"/>
  <c r="A226" i="8"/>
  <c r="A31" i="7"/>
  <c r="A234" i="8"/>
  <c r="A32" i="7"/>
  <c r="A242" i="8"/>
  <c r="A33" i="7"/>
  <c r="A250" i="8"/>
  <c r="A34" i="7"/>
  <c r="A258" i="8"/>
  <c r="A35" i="7"/>
  <c r="A266" i="8"/>
  <c r="A36" i="7"/>
  <c r="A274" i="8"/>
  <c r="A37" i="7"/>
  <c r="A282" i="8"/>
  <c r="A38" i="7"/>
  <c r="A290" i="8"/>
  <c r="A39" i="7"/>
  <c r="A298" i="8"/>
  <c r="A40" i="7"/>
  <c r="A306" i="8"/>
  <c r="A41" i="7"/>
  <c r="A314" i="8"/>
  <c r="A42" i="7"/>
  <c r="A322" i="8"/>
  <c r="A43" i="7"/>
  <c r="A330" i="8"/>
  <c r="A44" i="7"/>
  <c r="A338" i="8"/>
  <c r="A45" i="7"/>
  <c r="A346" i="8"/>
  <c r="A46" i="7"/>
  <c r="A354" i="8"/>
  <c r="A47" i="7"/>
  <c r="A362" i="8"/>
  <c r="A48" i="7"/>
  <c r="A370" i="8"/>
  <c r="A49" i="7"/>
  <c r="A378" i="8"/>
  <c r="A50" i="7"/>
  <c r="A386" i="8"/>
  <c r="A51" i="7"/>
  <c r="A394" i="8"/>
  <c r="A52" i="7"/>
  <c r="A402" i="8"/>
  <c r="A53" i="7"/>
  <c r="A410" i="8"/>
  <c r="A54" i="7"/>
  <c r="A418" i="8"/>
  <c r="A55" i="7"/>
  <c r="A426" i="8"/>
  <c r="A56" i="7"/>
  <c r="A434" i="8"/>
  <c r="A57" i="7"/>
  <c r="A442" i="8"/>
  <c r="A58" i="7"/>
  <c r="A450" i="8"/>
  <c r="A59" i="7"/>
  <c r="A458" i="8"/>
  <c r="A60" i="7"/>
  <c r="A466" i="8"/>
  <c r="A61" i="7"/>
  <c r="A474" i="8"/>
  <c r="A62" i="7"/>
  <c r="A482" i="8"/>
  <c r="A63" i="7"/>
  <c r="A490" i="8"/>
  <c r="A64" i="7"/>
  <c r="A498" i="8"/>
  <c r="A65" i="7"/>
  <c r="A506" i="8"/>
  <c r="A66" i="7"/>
  <c r="A514" i="8"/>
  <c r="A67" i="7"/>
  <c r="A522" i="8"/>
  <c r="A68" i="7"/>
  <c r="A530" i="8"/>
  <c r="A69" i="7"/>
  <c r="A538" i="8"/>
  <c r="A70" i="7"/>
  <c r="A546" i="8"/>
  <c r="A71" i="7"/>
  <c r="A554" i="8"/>
  <c r="A72" i="7"/>
  <c r="A562" i="8"/>
  <c r="A73" i="7"/>
  <c r="A570" i="8"/>
  <c r="A74" i="7"/>
  <c r="A578" i="8"/>
  <c r="A75" i="7"/>
  <c r="A586" i="8"/>
  <c r="A76" i="7"/>
  <c r="A594" i="8"/>
  <c r="A77" i="7"/>
  <c r="A602" i="8"/>
  <c r="A78" i="7"/>
  <c r="A610" i="8"/>
  <c r="A79" i="7"/>
  <c r="A618" i="8"/>
  <c r="A80" i="7"/>
  <c r="A626" i="8"/>
  <c r="A81" i="7"/>
  <c r="A634" i="8"/>
  <c r="A82" i="7"/>
  <c r="A642" i="8"/>
  <c r="A83" i="7"/>
  <c r="A650" i="8"/>
  <c r="A84" i="7"/>
  <c r="A658" i="8"/>
  <c r="A85" i="7"/>
  <c r="A666" i="8"/>
  <c r="A1" i="7"/>
  <c r="A1" i="8"/>
  <c r="B1" i="7"/>
  <c r="B1" i="8"/>
  <c r="D1" i="7"/>
  <c r="D1" i="8"/>
  <c r="E1" i="7"/>
  <c r="E1" i="8"/>
  <c r="C1" i="7"/>
  <c r="C1" i="8"/>
  <c r="CK40" i="1"/>
  <c r="D1" i="6"/>
  <c r="C1" i="6"/>
  <c r="D18" i="4"/>
  <c r="D19" i="4"/>
  <c r="D20" i="4"/>
  <c r="D21" i="4"/>
  <c r="D22" i="4"/>
  <c r="D23" i="4"/>
  <c r="D16" i="4"/>
  <c r="D13" i="4"/>
  <c r="D14" i="4"/>
  <c r="D15" i="4"/>
  <c r="D12" i="4"/>
  <c r="BT40" i="1"/>
  <c r="AW40" i="1"/>
  <c r="U40" i="1"/>
  <c r="AD40" i="1"/>
  <c r="CD40" i="1"/>
  <c r="AF40" i="1"/>
  <c r="CF40" i="1"/>
  <c r="CJ40" i="1"/>
  <c r="BX40" i="1"/>
  <c r="BU40" i="1"/>
  <c r="BI40" i="1"/>
  <c r="AM40" i="1"/>
  <c r="CH40" i="1"/>
  <c r="CC40" i="1"/>
  <c r="AK40" i="1"/>
  <c r="BP40" i="1"/>
  <c r="AP40" i="1"/>
  <c r="AJ40" i="1"/>
  <c r="AA40" i="1"/>
  <c r="BY40" i="1"/>
  <c r="BG40" i="1"/>
  <c r="BA40" i="1"/>
  <c r="BQ40" i="1"/>
  <c r="AX40" i="1"/>
  <c r="BR40" i="1"/>
  <c r="BZ40" i="1"/>
  <c r="BN40" i="1"/>
  <c r="BD40" i="1"/>
  <c r="AR40" i="1"/>
  <c r="AL40" i="1"/>
  <c r="AB40" i="1"/>
  <c r="BO40" i="1"/>
  <c r="BE40" i="1"/>
  <c r="T40" i="1"/>
  <c r="BJ40" i="1"/>
  <c r="CE40" i="1"/>
  <c r="CB40" i="1"/>
  <c r="BV40" i="1"/>
  <c r="BL40" i="1"/>
  <c r="BF40" i="1"/>
  <c r="BC40" i="1"/>
  <c r="AZ40" i="1"/>
  <c r="X40" i="1"/>
  <c r="BM40" i="1"/>
  <c r="Y40" i="1"/>
  <c r="BH40" i="1"/>
  <c r="AO40" i="1"/>
  <c r="V40" i="1"/>
  <c r="AS40" i="1"/>
  <c r="AC40" i="1"/>
  <c r="CG40" i="1"/>
  <c r="AN40" i="1"/>
  <c r="CI40" i="1"/>
  <c r="BB40" i="1"/>
  <c r="Z40" i="1"/>
  <c r="AH40" i="1"/>
  <c r="CA40" i="1"/>
  <c r="BK40" i="1"/>
  <c r="AY40" i="1"/>
  <c r="AV40" i="1"/>
  <c r="AI40" i="1"/>
  <c r="AG40" i="1"/>
  <c r="W40" i="1"/>
  <c r="BW40" i="1"/>
  <c r="AQ40" i="1"/>
  <c r="AT40" i="1"/>
  <c r="BS40" i="1"/>
  <c r="AU40" i="1"/>
  <c r="AE40" i="1"/>
  <c r="C712" i="5"/>
  <c r="C677" i="5"/>
  <c r="F686" i="5"/>
  <c r="B686" i="5" s="1"/>
  <c r="F706" i="5"/>
  <c r="B706" i="5" s="1"/>
  <c r="F702" i="5"/>
  <c r="B702" i="5" s="1"/>
  <c r="F683" i="5"/>
  <c r="B683" i="5" s="1"/>
  <c r="F679" i="5"/>
  <c r="B679" i="5" s="1"/>
  <c r="F687" i="5"/>
  <c r="B687" i="5" s="1"/>
  <c r="F690" i="5"/>
  <c r="B690" i="5"/>
  <c r="F707" i="5"/>
  <c r="B707" i="5" s="1"/>
  <c r="F680" i="5"/>
  <c r="B680" i="5" s="1"/>
  <c r="F685" i="5"/>
  <c r="B685" i="5" s="1"/>
  <c r="F705" i="5"/>
  <c r="B705" i="5" s="1"/>
  <c r="F682" i="5"/>
  <c r="B682" i="5" s="1"/>
  <c r="F678" i="5"/>
  <c r="B678" i="5" s="1"/>
  <c r="F688" i="5"/>
  <c r="B688" i="5" s="1"/>
  <c r="F691" i="5"/>
  <c r="B691" i="5" s="1"/>
  <c r="F703" i="5"/>
  <c r="B703" i="5" s="1"/>
  <c r="F704" i="5"/>
  <c r="B704" i="5" s="1"/>
  <c r="F681" i="5"/>
  <c r="B681" i="5" s="1"/>
  <c r="F689" i="5"/>
  <c r="B689" i="5"/>
  <c r="A2" i="14"/>
  <c r="AA4" i="1"/>
  <c r="AY4" i="1"/>
  <c r="BO4" i="1"/>
  <c r="BS4" i="1"/>
  <c r="CA4" i="1"/>
  <c r="CX4" i="1"/>
  <c r="CQ4" i="1"/>
  <c r="CU4" i="1"/>
  <c r="CY4" i="1"/>
  <c r="CE4" i="1"/>
  <c r="CI4" i="1"/>
  <c r="CS4" i="1"/>
  <c r="AG4" i="1"/>
  <c r="BU4" i="1"/>
  <c r="N118" i="2"/>
  <c r="N94" i="2"/>
  <c r="N114" i="2"/>
  <c r="N90" i="2"/>
  <c r="BW4" i="1"/>
  <c r="CM4" i="1"/>
  <c r="CV4" i="1"/>
  <c r="N46" i="2"/>
  <c r="N100" i="2"/>
  <c r="N50" i="2"/>
  <c r="C691" i="5"/>
  <c r="C682" i="5"/>
  <c r="C707" i="5"/>
  <c r="C687" i="5"/>
  <c r="C683" i="5"/>
  <c r="C688" i="5"/>
  <c r="C678" i="5"/>
  <c r="C705" i="5"/>
  <c r="C706" i="5"/>
  <c r="C689" i="5"/>
  <c r="C680" i="5"/>
  <c r="C679" i="5"/>
  <c r="C702" i="5"/>
  <c r="C681" i="5"/>
  <c r="C704" i="5"/>
  <c r="C703" i="5"/>
  <c r="C685" i="5"/>
  <c r="C690" i="5"/>
  <c r="C686" i="5"/>
  <c r="R41" i="6" l="1"/>
  <c r="I42" i="6"/>
  <c r="N42" i="6" s="1"/>
  <c r="R40" i="6"/>
  <c r="I41" i="6"/>
  <c r="N41" i="6" s="1"/>
  <c r="R39" i="6"/>
  <c r="I40" i="6"/>
  <c r="N40" i="6" s="1"/>
  <c r="R38" i="6"/>
  <c r="I39" i="6"/>
  <c r="N39" i="6" s="1"/>
  <c r="R37" i="6"/>
  <c r="I38" i="6"/>
  <c r="N38" i="6" s="1"/>
  <c r="L43" i="6"/>
  <c r="L42" i="6"/>
  <c r="L37" i="6"/>
  <c r="L41" i="6"/>
  <c r="L40" i="6"/>
  <c r="L39" i="6"/>
  <c r="L38" i="6"/>
  <c r="A42" i="6"/>
  <c r="A43" i="6"/>
  <c r="A39" i="6"/>
  <c r="A40" i="6"/>
  <c r="A38" i="6"/>
  <c r="A41" i="6"/>
  <c r="A37" i="6"/>
  <c r="R31" i="6"/>
  <c r="I32" i="6"/>
  <c r="N32" i="6" s="1"/>
  <c r="R30" i="6"/>
  <c r="I31" i="6"/>
  <c r="N31" i="6" s="1"/>
  <c r="R29" i="6"/>
  <c r="I30" i="6"/>
  <c r="N30" i="6" s="1"/>
  <c r="R22" i="6"/>
  <c r="I23" i="6"/>
  <c r="N23" i="6" s="1"/>
  <c r="R21" i="6"/>
  <c r="I22" i="6"/>
  <c r="N22" i="6" s="1"/>
  <c r="A15" i="6"/>
  <c r="R14" i="6"/>
  <c r="T14" i="6" s="1"/>
  <c r="I15" i="6"/>
  <c r="N15" i="6" s="1"/>
  <c r="G39" i="6"/>
  <c r="G37" i="6"/>
  <c r="G42" i="6"/>
  <c r="G40" i="6"/>
  <c r="G41" i="6"/>
  <c r="G38" i="6"/>
  <c r="G43" i="6"/>
  <c r="G36" i="6"/>
  <c r="G31" i="6"/>
  <c r="G29" i="6"/>
  <c r="G35" i="6"/>
  <c r="G28" i="6"/>
  <c r="G34" i="6"/>
  <c r="G30" i="6"/>
  <c r="G32" i="6"/>
  <c r="G33" i="6"/>
  <c r="G23" i="6"/>
  <c r="G22" i="6"/>
  <c r="G24" i="6"/>
  <c r="G25" i="6"/>
  <c r="G27" i="6"/>
  <c r="G20" i="6"/>
  <c r="G26" i="6"/>
  <c r="G21" i="6"/>
  <c r="G15" i="6"/>
  <c r="U15" i="6" s="1"/>
  <c r="V15" i="6" s="1"/>
  <c r="G16" i="6"/>
  <c r="G13" i="6"/>
  <c r="G18" i="6"/>
  <c r="G19" i="6"/>
  <c r="G17" i="6"/>
  <c r="G12" i="6"/>
  <c r="G14" i="6"/>
  <c r="U14" i="6" s="1"/>
  <c r="V14" i="6" s="1"/>
  <c r="M35" i="6"/>
  <c r="M30" i="6"/>
  <c r="M34" i="6"/>
  <c r="M29" i="6"/>
  <c r="M33" i="6"/>
  <c r="M32" i="6"/>
  <c r="M31" i="6"/>
  <c r="A34" i="6"/>
  <c r="A31" i="6"/>
  <c r="A35" i="6"/>
  <c r="A32" i="6"/>
  <c r="A30" i="6"/>
  <c r="A33" i="6"/>
  <c r="A29" i="6"/>
  <c r="A26" i="6"/>
  <c r="A27" i="6"/>
  <c r="A23" i="6"/>
  <c r="A21" i="6"/>
  <c r="A24" i="6"/>
  <c r="A25" i="6"/>
  <c r="A22" i="6"/>
  <c r="M26" i="6"/>
  <c r="M21" i="6"/>
  <c r="M25" i="6"/>
  <c r="M24" i="6"/>
  <c r="M23" i="6"/>
  <c r="M27" i="6"/>
  <c r="M22" i="6"/>
  <c r="J625" i="6"/>
  <c r="K625" i="6" s="1"/>
  <c r="O624" i="6"/>
  <c r="J665" i="6"/>
  <c r="K665" i="6" s="1"/>
  <c r="O664" i="6"/>
  <c r="J641" i="6"/>
  <c r="K641" i="6" s="1"/>
  <c r="O640" i="6"/>
  <c r="J673" i="6"/>
  <c r="K673" i="6" s="1"/>
  <c r="O672" i="6"/>
  <c r="J657" i="6"/>
  <c r="K657" i="6" s="1"/>
  <c r="O656" i="6"/>
  <c r="J649" i="6"/>
  <c r="K649" i="6" s="1"/>
  <c r="O648" i="6"/>
  <c r="J633" i="6"/>
  <c r="K633" i="6" s="1"/>
  <c r="O632" i="6"/>
  <c r="J617" i="6"/>
  <c r="K617" i="6" s="1"/>
  <c r="O616" i="6"/>
  <c r="J601" i="6"/>
  <c r="K601" i="6" s="1"/>
  <c r="O600" i="6"/>
  <c r="J609" i="6"/>
  <c r="K609" i="6" s="1"/>
  <c r="O608" i="6"/>
  <c r="J585" i="6"/>
  <c r="K585" i="6" s="1"/>
  <c r="O584" i="6"/>
  <c r="J577" i="6"/>
  <c r="K577" i="6" s="1"/>
  <c r="O576" i="6"/>
  <c r="O568" i="6"/>
  <c r="J569" i="6"/>
  <c r="K569" i="6" s="1"/>
  <c r="J593" i="6"/>
  <c r="K593" i="6" s="1"/>
  <c r="O592" i="6"/>
  <c r="J537" i="6"/>
  <c r="K537" i="6" s="1"/>
  <c r="O536" i="6"/>
  <c r="O528" i="6"/>
  <c r="J529" i="6"/>
  <c r="K529" i="6" s="1"/>
  <c r="J545" i="6"/>
  <c r="K545" i="6" s="1"/>
  <c r="O544" i="6"/>
  <c r="J521" i="6"/>
  <c r="K521" i="6" s="1"/>
  <c r="O520" i="6"/>
  <c r="J553" i="6"/>
  <c r="K553" i="6" s="1"/>
  <c r="O552" i="6"/>
  <c r="J561" i="6"/>
  <c r="K561" i="6" s="1"/>
  <c r="O560" i="6"/>
  <c r="J513" i="6"/>
  <c r="K513" i="6" s="1"/>
  <c r="O512" i="6"/>
  <c r="J473" i="6"/>
  <c r="K473" i="6" s="1"/>
  <c r="O472" i="6"/>
  <c r="J498" i="6"/>
  <c r="K498" i="6" s="1"/>
  <c r="O498" i="6" s="1"/>
  <c r="O497" i="6"/>
  <c r="J465" i="6"/>
  <c r="K465" i="6" s="1"/>
  <c r="O464" i="6"/>
  <c r="J481" i="6"/>
  <c r="K481" i="6" s="1"/>
  <c r="O480" i="6"/>
  <c r="J505" i="6"/>
  <c r="K505" i="6" s="1"/>
  <c r="O504" i="6"/>
  <c r="J457" i="6"/>
  <c r="K457" i="6" s="1"/>
  <c r="O456" i="6"/>
  <c r="J489" i="6"/>
  <c r="K489" i="6" s="1"/>
  <c r="O488" i="6"/>
  <c r="J441" i="6"/>
  <c r="K441" i="6" s="1"/>
  <c r="O440" i="6"/>
  <c r="J425" i="6"/>
  <c r="K425" i="6" s="1"/>
  <c r="O424" i="6"/>
  <c r="J401" i="6"/>
  <c r="K401" i="6" s="1"/>
  <c r="O400" i="6"/>
  <c r="O448" i="6"/>
  <c r="J449" i="6"/>
  <c r="K449" i="6" s="1"/>
  <c r="J417" i="6"/>
  <c r="K417" i="6" s="1"/>
  <c r="O416" i="6"/>
  <c r="J410" i="6"/>
  <c r="K410" i="6" s="1"/>
  <c r="O410" i="6" s="1"/>
  <c r="O409" i="6"/>
  <c r="J434" i="6"/>
  <c r="K434" i="6" s="1"/>
  <c r="O434" i="6" s="1"/>
  <c r="O433" i="6"/>
  <c r="J393" i="6"/>
  <c r="K393" i="6" s="1"/>
  <c r="O392" i="6"/>
  <c r="J361" i="6"/>
  <c r="K361" i="6" s="1"/>
  <c r="O360" i="6"/>
  <c r="J385" i="6"/>
  <c r="K385" i="6" s="1"/>
  <c r="O384" i="6"/>
  <c r="J369" i="6"/>
  <c r="K369" i="6" s="1"/>
  <c r="O368" i="6"/>
  <c r="J345" i="6"/>
  <c r="K345" i="6" s="1"/>
  <c r="O344" i="6"/>
  <c r="J353" i="6"/>
  <c r="K353" i="6" s="1"/>
  <c r="O352" i="6"/>
  <c r="J377" i="6"/>
  <c r="K377" i="6" s="1"/>
  <c r="O376" i="6"/>
  <c r="J289" i="6"/>
  <c r="K289" i="6" s="1"/>
  <c r="O288" i="6"/>
  <c r="O296" i="6"/>
  <c r="J297" i="6"/>
  <c r="K297" i="6" s="1"/>
  <c r="J313" i="6"/>
  <c r="K313" i="6" s="1"/>
  <c r="O312" i="6"/>
  <c r="J305" i="6"/>
  <c r="K305" i="6" s="1"/>
  <c r="O304" i="6"/>
  <c r="J321" i="6"/>
  <c r="K321" i="6" s="1"/>
  <c r="O320" i="6"/>
  <c r="J337" i="6"/>
  <c r="K337" i="6" s="1"/>
  <c r="O336" i="6"/>
  <c r="J329" i="6"/>
  <c r="K329" i="6" s="1"/>
  <c r="O328" i="6"/>
  <c r="J281" i="6"/>
  <c r="K281" i="6" s="1"/>
  <c r="O280" i="6"/>
  <c r="J274" i="6"/>
  <c r="K274" i="6" s="1"/>
  <c r="O274" i="6" s="1"/>
  <c r="O273" i="6"/>
  <c r="J241" i="6"/>
  <c r="K241" i="6" s="1"/>
  <c r="O240" i="6"/>
  <c r="J257" i="6"/>
  <c r="K257" i="6" s="1"/>
  <c r="O256" i="6"/>
  <c r="J234" i="6"/>
  <c r="K234" i="6" s="1"/>
  <c r="O234" i="6" s="1"/>
  <c r="O233" i="6"/>
  <c r="J265" i="6"/>
  <c r="K265" i="6" s="1"/>
  <c r="O264" i="6"/>
  <c r="J250" i="6"/>
  <c r="K250" i="6" s="1"/>
  <c r="O250" i="6" s="1"/>
  <c r="O249" i="6"/>
  <c r="O192" i="6"/>
  <c r="J193" i="6"/>
  <c r="K193" i="6" s="1"/>
  <c r="J225" i="6"/>
  <c r="K225" i="6" s="1"/>
  <c r="O224" i="6"/>
  <c r="J201" i="6"/>
  <c r="K201" i="6" s="1"/>
  <c r="O200" i="6"/>
  <c r="J218" i="6"/>
  <c r="K218" i="6" s="1"/>
  <c r="O218" i="6" s="1"/>
  <c r="O217" i="6"/>
  <c r="J185" i="6"/>
  <c r="K185" i="6" s="1"/>
  <c r="O184" i="6"/>
  <c r="J177" i="6"/>
  <c r="K177" i="6" s="1"/>
  <c r="O176" i="6"/>
  <c r="J209" i="6"/>
  <c r="K209" i="6" s="1"/>
  <c r="O208" i="6"/>
  <c r="J121" i="6"/>
  <c r="K121" i="6" s="1"/>
  <c r="O120" i="6"/>
  <c r="J169" i="6"/>
  <c r="K169" i="6" s="1"/>
  <c r="O168" i="6"/>
  <c r="J153" i="6"/>
  <c r="K153" i="6" s="1"/>
  <c r="O152" i="6"/>
  <c r="J137" i="6"/>
  <c r="K137" i="6" s="1"/>
  <c r="O136" i="6"/>
  <c r="O144" i="6"/>
  <c r="J145" i="6"/>
  <c r="K145" i="6" s="1"/>
  <c r="J129" i="6"/>
  <c r="K129" i="6" s="1"/>
  <c r="O128" i="6"/>
  <c r="J161" i="6"/>
  <c r="K161" i="6" s="1"/>
  <c r="O160" i="6"/>
  <c r="J97" i="6"/>
  <c r="K97" i="6" s="1"/>
  <c r="O96" i="6"/>
  <c r="J66" i="6"/>
  <c r="K66" i="6" s="1"/>
  <c r="O66" i="6" s="1"/>
  <c r="O65" i="6"/>
  <c r="J73" i="6"/>
  <c r="K73" i="6" s="1"/>
  <c r="O72" i="6"/>
  <c r="J89" i="6"/>
  <c r="K89" i="6" s="1"/>
  <c r="O88" i="6"/>
  <c r="J113" i="6"/>
  <c r="K113" i="6" s="1"/>
  <c r="O112" i="6"/>
  <c r="J105" i="6"/>
  <c r="K105" i="6" s="1"/>
  <c r="O104" i="6"/>
  <c r="O80" i="6"/>
  <c r="J81" i="6"/>
  <c r="K81" i="6" s="1"/>
  <c r="O56" i="6"/>
  <c r="J57" i="6"/>
  <c r="K57" i="6" s="1"/>
  <c r="J49" i="6"/>
  <c r="K49" i="6" s="1"/>
  <c r="O48" i="6"/>
  <c r="J41" i="6"/>
  <c r="K41" i="6" s="1"/>
  <c r="O40" i="6"/>
  <c r="J33" i="6"/>
  <c r="K33" i="6" s="1"/>
  <c r="O32" i="6"/>
  <c r="J25" i="6"/>
  <c r="K25" i="6" s="1"/>
  <c r="O24" i="6"/>
  <c r="J18" i="6"/>
  <c r="K18" i="6" s="1"/>
  <c r="O18" i="6" s="1"/>
  <c r="O17" i="6"/>
  <c r="D22" i="2"/>
  <c r="D23" i="2" s="1"/>
  <c r="CI11" i="22"/>
  <c r="CI13" i="22" s="1"/>
  <c r="CG11" i="22"/>
  <c r="CG13" i="22" s="1"/>
  <c r="CE11" i="22"/>
  <c r="CE13" i="22" s="1"/>
  <c r="CC11" i="22"/>
  <c r="CC13" i="22" s="1"/>
  <c r="CA11" i="22"/>
  <c r="CA13" i="22" s="1"/>
  <c r="AC11" i="22"/>
  <c r="AC13" i="22" s="1"/>
  <c r="X11" i="22"/>
  <c r="X13" i="22" s="1"/>
  <c r="T11" i="22"/>
  <c r="T13" i="22" s="1"/>
  <c r="BW11" i="22"/>
  <c r="BW13" i="22" s="1"/>
  <c r="BS11" i="22"/>
  <c r="BS13" i="22" s="1"/>
  <c r="BO11" i="22"/>
  <c r="BO13" i="22" s="1"/>
  <c r="BK11" i="22"/>
  <c r="BK13" i="22" s="1"/>
  <c r="BG11" i="22"/>
  <c r="BG13" i="22" s="1"/>
  <c r="BC11" i="22"/>
  <c r="BC13" i="22" s="1"/>
  <c r="AY11" i="22"/>
  <c r="AY13" i="22" s="1"/>
  <c r="AU11" i="22"/>
  <c r="AU13" i="22" s="1"/>
  <c r="AQ11" i="22"/>
  <c r="AQ13" i="22" s="1"/>
  <c r="AM11" i="22"/>
  <c r="AM13" i="22" s="1"/>
  <c r="Z11" i="22"/>
  <c r="Z13" i="22" s="1"/>
  <c r="V11" i="22"/>
  <c r="V13" i="22" s="1"/>
  <c r="R11" i="22"/>
  <c r="R13" i="22" s="1"/>
  <c r="AB10" i="22"/>
  <c r="AB12" i="22" s="1"/>
  <c r="AB14" i="22" s="1"/>
  <c r="X10" i="22"/>
  <c r="X12" i="22" s="1"/>
  <c r="X14" i="22" s="1"/>
  <c r="U10" i="22"/>
  <c r="U12" i="22" s="1"/>
  <c r="U14" i="22" s="1"/>
  <c r="S12" i="22"/>
  <c r="S14" i="22" s="1"/>
  <c r="J11" i="22"/>
  <c r="J13" i="22" s="1"/>
  <c r="T10" i="22"/>
  <c r="T12" i="22" s="1"/>
  <c r="T14" i="22" s="1"/>
  <c r="Q8" i="22"/>
  <c r="Q7" i="22"/>
  <c r="O12" i="22"/>
  <c r="O14" i="22" s="1"/>
  <c r="K11" i="22"/>
  <c r="K13" i="22" s="1"/>
  <c r="G11" i="22"/>
  <c r="G13" i="22" s="1"/>
  <c r="CF12" i="22"/>
  <c r="CF14" i="22" s="1"/>
  <c r="CB12" i="22"/>
  <c r="CB14" i="22" s="1"/>
  <c r="BX12" i="22"/>
  <c r="BX14" i="22" s="1"/>
  <c r="BT12" i="22"/>
  <c r="BT14" i="22" s="1"/>
  <c r="BP12" i="22"/>
  <c r="BP14" i="22" s="1"/>
  <c r="BL12" i="22"/>
  <c r="BL14" i="22" s="1"/>
  <c r="BH12" i="22"/>
  <c r="BH14" i="22" s="1"/>
  <c r="BD12" i="22"/>
  <c r="BD14" i="22" s="1"/>
  <c r="AZ12" i="22"/>
  <c r="AZ14" i="22" s="1"/>
  <c r="AV12" i="22"/>
  <c r="AV14" i="22" s="1"/>
  <c r="AR12" i="22"/>
  <c r="AR14" i="22" s="1"/>
  <c r="AN12" i="22"/>
  <c r="AN14" i="22" s="1"/>
  <c r="AJ12" i="22"/>
  <c r="AJ14" i="22" s="1"/>
  <c r="AH12" i="22"/>
  <c r="AH14" i="22" s="1"/>
  <c r="P10" i="22"/>
  <c r="P12" i="22"/>
  <c r="P14" i="22" s="1"/>
  <c r="G10" i="22"/>
  <c r="G12" i="22" s="1"/>
  <c r="G14" i="22" s="1"/>
  <c r="BV17" i="22"/>
  <c r="P72" i="7" s="1"/>
  <c r="P562" i="8" s="1"/>
  <c r="BZ18" i="22"/>
  <c r="Q76" i="7" s="1"/>
  <c r="Q594" i="8" s="1"/>
  <c r="CB17" i="22"/>
  <c r="P78" i="7" s="1"/>
  <c r="P610" i="8" s="1"/>
  <c r="CD16" i="22"/>
  <c r="O80" i="7" s="1"/>
  <c r="O626" i="8" s="1"/>
  <c r="CF15" i="22"/>
  <c r="N82" i="7" s="1"/>
  <c r="N642" i="8" s="1"/>
  <c r="CH17" i="22"/>
  <c r="P84" i="7" s="1"/>
  <c r="P658" i="8" s="1"/>
  <c r="H11" i="22"/>
  <c r="H13" i="22" s="1"/>
  <c r="CI12" i="22"/>
  <c r="CI14" i="22" s="1"/>
  <c r="CH10" i="22"/>
  <c r="CH12" i="22" s="1"/>
  <c r="CH14" i="22" s="1"/>
  <c r="CE12" i="22"/>
  <c r="CE14" i="22" s="1"/>
  <c r="CD10" i="22"/>
  <c r="CD12" i="22" s="1"/>
  <c r="CD14" i="22" s="1"/>
  <c r="CA12" i="22"/>
  <c r="CA14" i="22" s="1"/>
  <c r="BZ10" i="22"/>
  <c r="BZ12" i="22" s="1"/>
  <c r="BZ14" i="22" s="1"/>
  <c r="BW12" i="22"/>
  <c r="BW14" i="22" s="1"/>
  <c r="BV10" i="22"/>
  <c r="BV12" i="22" s="1"/>
  <c r="BV14" i="22" s="1"/>
  <c r="BS12" i="22"/>
  <c r="BS14" i="22" s="1"/>
  <c r="BR10" i="22"/>
  <c r="BR12" i="22" s="1"/>
  <c r="BR14" i="22" s="1"/>
  <c r="BO12" i="22"/>
  <c r="BO14" i="22" s="1"/>
  <c r="BN10" i="22"/>
  <c r="BN12" i="22" s="1"/>
  <c r="BN14" i="22" s="1"/>
  <c r="BK12" i="22"/>
  <c r="BK14" i="22" s="1"/>
  <c r="BJ10" i="22"/>
  <c r="BJ12" i="22" s="1"/>
  <c r="BJ14" i="22" s="1"/>
  <c r="BG12" i="22"/>
  <c r="BG14" i="22" s="1"/>
  <c r="BF10" i="22"/>
  <c r="BF12" i="22" s="1"/>
  <c r="BF14" i="22" s="1"/>
  <c r="BC12" i="22"/>
  <c r="BC14" i="22" s="1"/>
  <c r="BB10" i="22"/>
  <c r="BB12" i="22" s="1"/>
  <c r="BB14" i="22" s="1"/>
  <c r="AY12" i="22"/>
  <c r="AY14" i="22" s="1"/>
  <c r="AX10" i="22"/>
  <c r="AX12" i="22" s="1"/>
  <c r="AX14" i="22" s="1"/>
  <c r="AU12" i="22"/>
  <c r="AU14" i="22" s="1"/>
  <c r="AT10" i="22"/>
  <c r="AT12" i="22" s="1"/>
  <c r="AT14" i="22" s="1"/>
  <c r="AQ12" i="22"/>
  <c r="AQ14" i="22" s="1"/>
  <c r="AP10" i="22"/>
  <c r="AP12" i="22" s="1"/>
  <c r="AP14" i="22" s="1"/>
  <c r="AM12" i="22"/>
  <c r="AM14" i="22" s="1"/>
  <c r="AL10" i="22"/>
  <c r="AL12" i="22" s="1"/>
  <c r="AL14" i="22" s="1"/>
  <c r="AG12" i="22"/>
  <c r="AG14" i="22" s="1"/>
  <c r="AF10" i="22"/>
  <c r="AF12" i="22" s="1"/>
  <c r="AF14" i="22" s="1"/>
  <c r="AC10" i="22"/>
  <c r="AC12" i="22" s="1"/>
  <c r="AC14" i="22" s="1"/>
  <c r="Y10" i="22"/>
  <c r="Y12" i="22" s="1"/>
  <c r="Y14" i="22" s="1"/>
  <c r="W12" i="22"/>
  <c r="W14" i="22" s="1"/>
  <c r="I10" i="22"/>
  <c r="I12" i="22" s="1"/>
  <c r="I14" i="22" s="1"/>
  <c r="K12" i="22"/>
  <c r="K14" i="22" s="1"/>
  <c r="J12" i="22"/>
  <c r="J14" i="22" s="1"/>
  <c r="M11" i="22"/>
  <c r="M13" i="22" s="1"/>
  <c r="M17" i="22" s="1"/>
  <c r="P11" i="7" s="1"/>
  <c r="P74" i="8" s="1"/>
  <c r="BF5" i="1"/>
  <c r="L40" i="7" s="1"/>
  <c r="L306" i="8" s="1"/>
  <c r="BF18" i="1"/>
  <c r="N92" i="2"/>
  <c r="CC4" i="1"/>
  <c r="N121" i="2"/>
  <c r="CT18" i="1"/>
  <c r="AN18" i="1"/>
  <c r="AR18" i="1"/>
  <c r="V18" i="1"/>
  <c r="CH18" i="1"/>
  <c r="CH4" i="1"/>
  <c r="N93" i="2"/>
  <c r="N101" i="2"/>
  <c r="AI10" i="22"/>
  <c r="AI16" i="22" s="1"/>
  <c r="O33" i="7" s="1"/>
  <c r="O250" i="8" s="1"/>
  <c r="AI11" i="22"/>
  <c r="AI13" i="22" s="1"/>
  <c r="AI17" i="22" s="1"/>
  <c r="P33" i="7" s="1"/>
  <c r="P250" i="8" s="1"/>
  <c r="AD11" i="22"/>
  <c r="AD13" i="22" s="1"/>
  <c r="AD17" i="22" s="1"/>
  <c r="P28" i="7" s="1"/>
  <c r="P210" i="8" s="1"/>
  <c r="AD12" i="22"/>
  <c r="AD14" i="22" s="1"/>
  <c r="AD18" i="22" s="1"/>
  <c r="Q28" i="7" s="1"/>
  <c r="Q210" i="8" s="1"/>
  <c r="AA10" i="22"/>
  <c r="AA12" i="22" s="1"/>
  <c r="AA14" i="22" s="1"/>
  <c r="AA18" i="22" s="1"/>
  <c r="Q25" i="7" s="1"/>
  <c r="Q186" i="8" s="1"/>
  <c r="AA7" i="22"/>
  <c r="AA16" i="22"/>
  <c r="O25" i="7" s="1"/>
  <c r="O186" i="8" s="1"/>
  <c r="M12" i="22"/>
  <c r="M14" i="22" s="1"/>
  <c r="M18" i="22" s="1"/>
  <c r="Q11" i="7" s="1"/>
  <c r="Q74" i="8" s="1"/>
  <c r="L10" i="22"/>
  <c r="L16" i="22" s="1"/>
  <c r="O10" i="7" s="1"/>
  <c r="O66" i="8" s="1"/>
  <c r="L7" i="22"/>
  <c r="E10" i="22"/>
  <c r="E16" i="22" s="1"/>
  <c r="O3" i="7" s="1"/>
  <c r="O10" i="8" s="1"/>
  <c r="E11" i="22"/>
  <c r="E13" i="22" s="1"/>
  <c r="E17" i="22" s="1"/>
  <c r="P3" i="7" s="1"/>
  <c r="P10" i="8" s="1"/>
  <c r="I6" i="6"/>
  <c r="N6" i="6" s="1"/>
  <c r="R5" i="6"/>
  <c r="N7" i="6"/>
  <c r="I9" i="6"/>
  <c r="N9" i="6" s="1"/>
  <c r="I10" i="6"/>
  <c r="N10" i="6" s="1"/>
  <c r="D11" i="22"/>
  <c r="D13" i="22" s="1"/>
  <c r="D17" i="22" s="1"/>
  <c r="P2" i="7" s="1"/>
  <c r="P2" i="8" s="1"/>
  <c r="J5" i="6" s="1"/>
  <c r="D12" i="22"/>
  <c r="D14" i="22" s="1"/>
  <c r="D18" i="22" s="1"/>
  <c r="Q2" i="7" s="1"/>
  <c r="Q2" i="8" s="1"/>
  <c r="N119" i="2"/>
  <c r="AX18" i="1"/>
  <c r="BX4" i="1"/>
  <c r="AP4" i="1"/>
  <c r="CB4" i="1"/>
  <c r="CW4" i="1"/>
  <c r="BT18" i="1"/>
  <c r="CB18" i="1"/>
  <c r="CJ18" i="1"/>
  <c r="N115" i="2"/>
  <c r="CJ4" i="1"/>
  <c r="CR18" i="1"/>
  <c r="CR4" i="1"/>
  <c r="CY5" i="1"/>
  <c r="L85" i="7" s="1"/>
  <c r="L666" i="8" s="1"/>
  <c r="G9" i="6"/>
  <c r="G7" i="6"/>
  <c r="G5" i="6"/>
  <c r="G8" i="6"/>
  <c r="G11" i="6"/>
  <c r="G6" i="6"/>
  <c r="G10" i="6"/>
  <c r="G4" i="6"/>
  <c r="K5" i="6"/>
  <c r="O5" i="6" s="1"/>
  <c r="N5" i="6"/>
  <c r="H11" i="6"/>
  <c r="N11" i="6" s="1"/>
  <c r="H8" i="6"/>
  <c r="I8" i="6" s="1"/>
  <c r="N8" i="6" s="1"/>
  <c r="C69" i="7"/>
  <c r="C538" i="8" s="1"/>
  <c r="N108" i="2"/>
  <c r="N69" i="2"/>
  <c r="CK4" i="1"/>
  <c r="N63" i="2"/>
  <c r="AX4" i="1"/>
  <c r="X4" i="1"/>
  <c r="AM4" i="1"/>
  <c r="CS18" i="1"/>
  <c r="AT4" i="1"/>
  <c r="AI4" i="1"/>
  <c r="CK18" i="1"/>
  <c r="CS6" i="1"/>
  <c r="K79" i="7" s="1"/>
  <c r="K618" i="8" s="1"/>
  <c r="N67" i="2"/>
  <c r="AT18" i="1"/>
  <c r="CQ18" i="1"/>
  <c r="CQ5" i="1"/>
  <c r="L77" i="7" s="1"/>
  <c r="L602" i="8" s="1"/>
  <c r="AU4" i="1"/>
  <c r="BN4" i="1"/>
  <c r="AZ18" i="1"/>
  <c r="BA18" i="1"/>
  <c r="AZ4" i="1"/>
  <c r="BA4" i="1"/>
  <c r="AZ5" i="1"/>
  <c r="L34" i="7" s="1"/>
  <c r="L258" i="8" s="1"/>
  <c r="BA6" i="1"/>
  <c r="K35" i="7" s="1"/>
  <c r="K266" i="8" s="1"/>
  <c r="D9" i="4"/>
  <c r="D35" i="4" s="1"/>
  <c r="C13" i="1"/>
  <c r="AQ4" i="1"/>
  <c r="AC4" i="1"/>
  <c r="W18" i="1"/>
  <c r="AU18" i="1"/>
  <c r="X18" i="1"/>
  <c r="AJ18" i="1"/>
  <c r="Z6" i="1"/>
  <c r="K8" i="7" s="1"/>
  <c r="K50" i="8" s="1"/>
  <c r="N54" i="2"/>
  <c r="N58" i="2"/>
  <c r="W4" i="1"/>
  <c r="Z4" i="1"/>
  <c r="BM4" i="1"/>
  <c r="U18" i="1"/>
  <c r="Z18" i="1"/>
  <c r="V5" i="1"/>
  <c r="L4" i="7" s="1"/>
  <c r="L18" i="8" s="1"/>
  <c r="W5" i="1"/>
  <c r="L5" i="7" s="1"/>
  <c r="L26" i="8" s="1"/>
  <c r="X6" i="1"/>
  <c r="K6" i="7" s="1"/>
  <c r="K34" i="8" s="1"/>
  <c r="AC5" i="1"/>
  <c r="L11" i="7" s="1"/>
  <c r="L74" i="8" s="1"/>
  <c r="N68" i="2"/>
  <c r="BJ4" i="1"/>
  <c r="CL18" i="1"/>
  <c r="N91" i="2"/>
  <c r="BJ18" i="1"/>
  <c r="BQ18" i="1"/>
  <c r="CW18" i="1"/>
  <c r="N123" i="2"/>
  <c r="AN4" i="1"/>
  <c r="N98" i="2"/>
  <c r="N61" i="2"/>
  <c r="N82" i="2"/>
  <c r="N112" i="2"/>
  <c r="N89" i="2"/>
  <c r="BQ4" i="1"/>
  <c r="BB4" i="1"/>
  <c r="BR4" i="1"/>
  <c r="BK18" i="1"/>
  <c r="BR18" i="1"/>
  <c r="CO18" i="1"/>
  <c r="CY18" i="1"/>
  <c r="AG18" i="1"/>
  <c r="N103" i="2"/>
  <c r="CL4" i="1"/>
  <c r="BI4" i="1"/>
  <c r="BD18" i="1"/>
  <c r="BZ18" i="1"/>
  <c r="CE18" i="1"/>
  <c r="CU18" i="1"/>
  <c r="BQ5" i="1"/>
  <c r="L51" i="7" s="1"/>
  <c r="L394" i="8" s="1"/>
  <c r="BR6" i="1"/>
  <c r="K52" i="7" s="1"/>
  <c r="K402" i="8" s="1"/>
  <c r="N122" i="2"/>
  <c r="N124" i="2"/>
  <c r="C85" i="7"/>
  <c r="C666" i="8" s="1"/>
  <c r="N43" i="2"/>
  <c r="N48" i="2"/>
  <c r="N116" i="2"/>
  <c r="CO4" i="1"/>
  <c r="BT4" i="1"/>
  <c r="BZ4" i="1"/>
  <c r="BF4" i="1"/>
  <c r="AD18" i="1"/>
  <c r="BG18" i="1"/>
  <c r="CP18" i="1"/>
  <c r="N53" i="2"/>
  <c r="N45" i="2"/>
  <c r="N120" i="2"/>
  <c r="AL4" i="1"/>
  <c r="BH4" i="1"/>
  <c r="AB4" i="1"/>
  <c r="CN4" i="1"/>
  <c r="BV4" i="1"/>
  <c r="BH18" i="1"/>
  <c r="AF6" i="1"/>
  <c r="K14" i="7" s="1"/>
  <c r="K98" i="8" s="1"/>
  <c r="CN6" i="1"/>
  <c r="K74" i="7" s="1"/>
  <c r="K578" i="8" s="1"/>
  <c r="N44" i="2"/>
  <c r="BG4" i="1"/>
  <c r="T4" i="1"/>
  <c r="CP4" i="1"/>
  <c r="CN18" i="1"/>
  <c r="AA5" i="1"/>
  <c r="L9" i="7" s="1"/>
  <c r="L58" i="8" s="1"/>
  <c r="AB6" i="1"/>
  <c r="K10" i="7" s="1"/>
  <c r="K66" i="8" s="1"/>
  <c r="AF5" i="1"/>
  <c r="L14" i="7" s="1"/>
  <c r="L98" i="8" s="1"/>
  <c r="BG6" i="1"/>
  <c r="K41" i="7" s="1"/>
  <c r="K314" i="8" s="1"/>
  <c r="CO6" i="1"/>
  <c r="K75" i="7" s="1"/>
  <c r="K586" i="8" s="1"/>
  <c r="CP5" i="1"/>
  <c r="L76" i="7" s="1"/>
  <c r="L594" i="8" s="1"/>
  <c r="C47" i="7"/>
  <c r="C362" i="8" s="1"/>
  <c r="N86" i="2"/>
  <c r="C67" i="7"/>
  <c r="C522" i="8" s="1"/>
  <c r="N106" i="2"/>
  <c r="C3" i="7"/>
  <c r="C10" i="8" s="1"/>
  <c r="N42" i="2"/>
  <c r="C66" i="7"/>
  <c r="C514" i="8" s="1"/>
  <c r="N105" i="2"/>
  <c r="C68" i="7"/>
  <c r="C530" i="8" s="1"/>
  <c r="N107" i="2"/>
  <c r="C70" i="7"/>
  <c r="C546" i="8" s="1"/>
  <c r="N109" i="2"/>
  <c r="C2" i="7"/>
  <c r="C2" i="8" s="1"/>
  <c r="E4" i="6" s="1"/>
  <c r="A4" i="6" s="1"/>
  <c r="A11" i="6" s="1"/>
  <c r="N41" i="2"/>
  <c r="C16" i="7"/>
  <c r="C114" i="8" s="1"/>
  <c r="N55" i="2"/>
  <c r="C42" i="7"/>
  <c r="C322" i="8" s="1"/>
  <c r="N81" i="2"/>
  <c r="C48" i="7"/>
  <c r="C370" i="8" s="1"/>
  <c r="N87" i="2"/>
  <c r="C72" i="7"/>
  <c r="C562" i="8" s="1"/>
  <c r="N111" i="2"/>
  <c r="N110" i="2"/>
  <c r="N97" i="2"/>
  <c r="N104" i="2"/>
  <c r="N51" i="2"/>
  <c r="BE4" i="1"/>
  <c r="AD4" i="1"/>
  <c r="AA18" i="1"/>
  <c r="AF18" i="1"/>
  <c r="BE18" i="1"/>
  <c r="AT6" i="1"/>
  <c r="K28" i="7" s="1"/>
  <c r="K210" i="8" s="1"/>
  <c r="AU6" i="1"/>
  <c r="K29" i="7" s="1"/>
  <c r="K218" i="8" s="1"/>
  <c r="AV6" i="1"/>
  <c r="K30" i="7" s="1"/>
  <c r="K226" i="8" s="1"/>
  <c r="AW6" i="1"/>
  <c r="K31" i="7" s="1"/>
  <c r="K234" i="8" s="1"/>
  <c r="AX6" i="1"/>
  <c r="K32" i="7" s="1"/>
  <c r="K242" i="8" s="1"/>
  <c r="BB6" i="1"/>
  <c r="K36" i="7" s="1"/>
  <c r="K274" i="8" s="1"/>
  <c r="BD6" i="1"/>
  <c r="K38" i="7" s="1"/>
  <c r="K290" i="8" s="1"/>
  <c r="BO6" i="1"/>
  <c r="K49" i="7" s="1"/>
  <c r="K378" i="8" s="1"/>
  <c r="BS6" i="1"/>
  <c r="K53" i="7" s="1"/>
  <c r="K410" i="8" s="1"/>
  <c r="BU6" i="1"/>
  <c r="K55" i="7" s="1"/>
  <c r="K426" i="8" s="1"/>
  <c r="CE6" i="1"/>
  <c r="K65" i="7" s="1"/>
  <c r="K506" i="8" s="1"/>
  <c r="CL6" i="1"/>
  <c r="K72" i="7" s="1"/>
  <c r="K562" i="8" s="1"/>
  <c r="M8" i="6"/>
  <c r="M6" i="6"/>
  <c r="N49" i="2"/>
  <c r="N47" i="2"/>
  <c r="N113" i="2"/>
  <c r="AH4" i="1"/>
  <c r="N76" i="2"/>
  <c r="N62" i="2"/>
  <c r="AW4" i="1"/>
  <c r="CG4" i="1"/>
  <c r="CF4" i="1"/>
  <c r="N77" i="2"/>
  <c r="AB18" i="1"/>
  <c r="AW18" i="1"/>
  <c r="CM18" i="1"/>
  <c r="AV5" i="1"/>
  <c r="L30" i="7" s="1"/>
  <c r="L226" i="8" s="1"/>
  <c r="AY6" i="1"/>
  <c r="K33" i="7" s="1"/>
  <c r="K250" i="8" s="1"/>
  <c r="BB5" i="1"/>
  <c r="L36" i="7" s="1"/>
  <c r="L274" i="8" s="1"/>
  <c r="BC6" i="1"/>
  <c r="K37" i="7" s="1"/>
  <c r="K282" i="8" s="1"/>
  <c r="BE6" i="1"/>
  <c r="K39" i="7" s="1"/>
  <c r="K298" i="8" s="1"/>
  <c r="BT5" i="1"/>
  <c r="L54" i="7" s="1"/>
  <c r="L418" i="8" s="1"/>
  <c r="CM6" i="1"/>
  <c r="K73" i="7" s="1"/>
  <c r="K570" i="8" s="1"/>
  <c r="N56" i="2"/>
  <c r="N99" i="2"/>
  <c r="BD4" i="1"/>
  <c r="BC4" i="1"/>
  <c r="V4" i="1"/>
  <c r="N65" i="2"/>
  <c r="T18" i="1"/>
  <c r="Y18" i="1"/>
  <c r="BC18" i="1"/>
  <c r="CF18" i="1"/>
  <c r="CF6" i="1"/>
  <c r="K66" i="7" s="1"/>
  <c r="K514" i="8" s="1"/>
  <c r="BF6" i="1"/>
  <c r="K40" i="7" s="1"/>
  <c r="K306" i="8" s="1"/>
  <c r="CD4" i="1"/>
  <c r="C39" i="7"/>
  <c r="C298" i="8" s="1"/>
  <c r="N78" i="2"/>
  <c r="C40" i="7"/>
  <c r="C306" i="8" s="1"/>
  <c r="N79" i="2"/>
  <c r="C56" i="7"/>
  <c r="C434" i="8" s="1"/>
  <c r="N95" i="2"/>
  <c r="C33" i="7"/>
  <c r="C250" i="8" s="1"/>
  <c r="N72" i="2"/>
  <c r="C46" i="7"/>
  <c r="C354" i="8" s="1"/>
  <c r="N85" i="2"/>
  <c r="C34" i="7"/>
  <c r="C258" i="8" s="1"/>
  <c r="N73" i="2"/>
  <c r="C31" i="7"/>
  <c r="C234" i="8" s="1"/>
  <c r="N70" i="2"/>
  <c r="C35" i="7"/>
  <c r="C266" i="8" s="1"/>
  <c r="N74" i="2"/>
  <c r="BY4" i="1"/>
  <c r="N102" i="2"/>
  <c r="N83" i="2"/>
  <c r="BP4" i="1"/>
  <c r="AV18" i="1"/>
  <c r="BL18" i="1"/>
  <c r="BP18" i="1"/>
  <c r="N96" i="2"/>
  <c r="N80" i="2"/>
  <c r="BY18" i="1"/>
  <c r="BP6" i="1"/>
  <c r="K50" i="7" s="1"/>
  <c r="K386" i="8" s="1"/>
  <c r="BW6" i="1"/>
  <c r="K57" i="7" s="1"/>
  <c r="K442" i="8" s="1"/>
  <c r="CD6" i="1"/>
  <c r="K64" i="7" s="1"/>
  <c r="K498" i="8" s="1"/>
  <c r="N75" i="2"/>
  <c r="N71" i="2"/>
  <c r="N88" i="2"/>
  <c r="N84" i="2"/>
  <c r="CD18" i="1"/>
  <c r="C27" i="7"/>
  <c r="C202" i="8" s="1"/>
  <c r="N66" i="2"/>
  <c r="AS4" i="1"/>
  <c r="N64" i="2"/>
  <c r="AO4" i="1"/>
  <c r="C18" i="7"/>
  <c r="C130" i="8" s="1"/>
  <c r="N57" i="2"/>
  <c r="N59" i="2"/>
  <c r="AK4" i="1"/>
  <c r="N60" i="2"/>
  <c r="N52" i="2"/>
  <c r="AD6" i="1"/>
  <c r="K12" i="7" s="1"/>
  <c r="K82" i="8" s="1"/>
  <c r="Y4" i="1"/>
  <c r="AE18" i="1"/>
  <c r="Y6" i="1"/>
  <c r="K7" i="7" s="1"/>
  <c r="K42" i="8" s="1"/>
  <c r="AE6" i="1"/>
  <c r="K13" i="7" s="1"/>
  <c r="K90" i="8" s="1"/>
  <c r="U4" i="1"/>
  <c r="AE4" i="1"/>
  <c r="N117" i="2"/>
  <c r="AN6" i="1"/>
  <c r="K22" i="7" s="1"/>
  <c r="K162" i="8" s="1"/>
  <c r="AG6" i="1"/>
  <c r="K15" i="7" s="1"/>
  <c r="K106" i="8" s="1"/>
  <c r="BI6" i="1"/>
  <c r="K43" i="7" s="1"/>
  <c r="K330" i="8" s="1"/>
  <c r="CR6" i="1"/>
  <c r="K78" i="7" s="1"/>
  <c r="K610" i="8" s="1"/>
  <c r="CK6" i="1"/>
  <c r="K71" i="7" s="1"/>
  <c r="K554" i="8" s="1"/>
  <c r="M11" i="6"/>
  <c r="M9" i="6"/>
  <c r="M10" i="6"/>
  <c r="M7" i="6"/>
  <c r="AI5" i="1"/>
  <c r="L17" i="7" s="1"/>
  <c r="L122" i="8" s="1"/>
  <c r="AI6" i="1"/>
  <c r="K17" i="7" s="1"/>
  <c r="K122" i="8" s="1"/>
  <c r="AM5" i="1"/>
  <c r="L21" i="7" s="1"/>
  <c r="L154" i="8" s="1"/>
  <c r="AM6" i="1"/>
  <c r="K21" i="7" s="1"/>
  <c r="K154" i="8" s="1"/>
  <c r="AP5" i="1"/>
  <c r="L24" i="7" s="1"/>
  <c r="L178" i="8" s="1"/>
  <c r="AP6" i="1"/>
  <c r="K24" i="7" s="1"/>
  <c r="K178" i="8" s="1"/>
  <c r="U6" i="1"/>
  <c r="K3" i="7" s="1"/>
  <c r="K10" i="8" s="1"/>
  <c r="AH5" i="1"/>
  <c r="L16" i="7" s="1"/>
  <c r="L114" i="8" s="1"/>
  <c r="AH6" i="1"/>
  <c r="K16" i="7" s="1"/>
  <c r="K114" i="8" s="1"/>
  <c r="AL5" i="1"/>
  <c r="L20" i="7" s="1"/>
  <c r="L146" i="8" s="1"/>
  <c r="AL6" i="1"/>
  <c r="K20" i="7" s="1"/>
  <c r="K146" i="8" s="1"/>
  <c r="AO5" i="1"/>
  <c r="L23" i="7" s="1"/>
  <c r="L170" i="8" s="1"/>
  <c r="AO6" i="1"/>
  <c r="K23" i="7" s="1"/>
  <c r="K170" i="8" s="1"/>
  <c r="AS5" i="1"/>
  <c r="L27" i="7" s="1"/>
  <c r="L202" i="8" s="1"/>
  <c r="AS6" i="1"/>
  <c r="K27" i="7" s="1"/>
  <c r="K202" i="8" s="1"/>
  <c r="AK5" i="1"/>
  <c r="L19" i="7" s="1"/>
  <c r="L138" i="8" s="1"/>
  <c r="AK6" i="1"/>
  <c r="K19" i="7" s="1"/>
  <c r="K138" i="8" s="1"/>
  <c r="AR5" i="1"/>
  <c r="L26" i="7" s="1"/>
  <c r="L194" i="8" s="1"/>
  <c r="AR6" i="1"/>
  <c r="K26" i="7" s="1"/>
  <c r="K194" i="8" s="1"/>
  <c r="T5" i="1"/>
  <c r="L2" i="7" s="1"/>
  <c r="L2" i="8" s="1"/>
  <c r="AJ5" i="1"/>
  <c r="L18" i="7" s="1"/>
  <c r="L130" i="8" s="1"/>
  <c r="AJ6" i="1"/>
  <c r="K18" i="7" s="1"/>
  <c r="K130" i="8" s="1"/>
  <c r="AQ5" i="1"/>
  <c r="L25" i="7" s="1"/>
  <c r="L186" i="8" s="1"/>
  <c r="AQ6" i="1"/>
  <c r="K25" i="7" s="1"/>
  <c r="K186" i="8" s="1"/>
  <c r="BK5" i="1"/>
  <c r="L45" i="7" s="1"/>
  <c r="L346" i="8" s="1"/>
  <c r="BK6" i="1"/>
  <c r="K45" i="7" s="1"/>
  <c r="K346" i="8" s="1"/>
  <c r="BL5" i="1"/>
  <c r="L46" i="7" s="1"/>
  <c r="L354" i="8" s="1"/>
  <c r="BL6" i="1"/>
  <c r="K46" i="7" s="1"/>
  <c r="K354" i="8" s="1"/>
  <c r="BM5" i="1"/>
  <c r="L47" i="7" s="1"/>
  <c r="L362" i="8" s="1"/>
  <c r="BM6" i="1"/>
  <c r="K47" i="7" s="1"/>
  <c r="K362" i="8" s="1"/>
  <c r="BN5" i="1"/>
  <c r="L48" i="7" s="1"/>
  <c r="L370" i="8" s="1"/>
  <c r="BN6" i="1"/>
  <c r="K48" i="7" s="1"/>
  <c r="K370" i="8" s="1"/>
  <c r="BH6" i="1"/>
  <c r="K42" i="7" s="1"/>
  <c r="K322" i="8" s="1"/>
  <c r="BJ6" i="1"/>
  <c r="K44" i="7" s="1"/>
  <c r="K338" i="8" s="1"/>
  <c r="BV5" i="1"/>
  <c r="L56" i="7" s="1"/>
  <c r="L434" i="8" s="1"/>
  <c r="BV6" i="1"/>
  <c r="K56" i="7" s="1"/>
  <c r="K434" i="8" s="1"/>
  <c r="BX5" i="1"/>
  <c r="L58" i="7" s="1"/>
  <c r="L450" i="8" s="1"/>
  <c r="BX6" i="1"/>
  <c r="K58" i="7" s="1"/>
  <c r="K450" i="8" s="1"/>
  <c r="BY6" i="1"/>
  <c r="K59" i="7" s="1"/>
  <c r="K458" i="8" s="1"/>
  <c r="BZ6" i="1"/>
  <c r="K60" i="7" s="1"/>
  <c r="K466" i="8" s="1"/>
  <c r="CA6" i="1"/>
  <c r="K61" i="7" s="1"/>
  <c r="K474" i="8" s="1"/>
  <c r="CB6" i="1"/>
  <c r="K62" i="7" s="1"/>
  <c r="K482" i="8" s="1"/>
  <c r="CC5" i="1"/>
  <c r="L63" i="7" s="1"/>
  <c r="L490" i="8" s="1"/>
  <c r="CC6" i="1"/>
  <c r="K63" i="7" s="1"/>
  <c r="K490" i="8" s="1"/>
  <c r="CG6" i="1"/>
  <c r="K67" i="7" s="1"/>
  <c r="K522" i="8" s="1"/>
  <c r="CH6" i="1"/>
  <c r="K68" i="7" s="1"/>
  <c r="K530" i="8" s="1"/>
  <c r="CI6" i="1"/>
  <c r="K69" i="7" s="1"/>
  <c r="K538" i="8" s="1"/>
  <c r="CJ6" i="1"/>
  <c r="K70" i="7" s="1"/>
  <c r="K546" i="8" s="1"/>
  <c r="CV5" i="1"/>
  <c r="L82" i="7" s="1"/>
  <c r="L642" i="8" s="1"/>
  <c r="CV6" i="1"/>
  <c r="K82" i="7" s="1"/>
  <c r="K642" i="8" s="1"/>
  <c r="CT5" i="1"/>
  <c r="L80" i="7" s="1"/>
  <c r="L626" i="8" s="1"/>
  <c r="CT6" i="1"/>
  <c r="K80" i="7" s="1"/>
  <c r="K626" i="8" s="1"/>
  <c r="CX5" i="1"/>
  <c r="L84" i="7" s="1"/>
  <c r="L658" i="8" s="1"/>
  <c r="CX6" i="1"/>
  <c r="K84" i="7" s="1"/>
  <c r="K658" i="8" s="1"/>
  <c r="CW6" i="1"/>
  <c r="K83" i="7" s="1"/>
  <c r="K650" i="8" s="1"/>
  <c r="CU6" i="1"/>
  <c r="K81" i="7" s="1"/>
  <c r="K634" i="8" s="1"/>
  <c r="D4" i="4"/>
  <c r="U38" i="6" l="1"/>
  <c r="V38" i="6" s="1"/>
  <c r="U42" i="6"/>
  <c r="V42" i="6" s="1"/>
  <c r="M42" i="6"/>
  <c r="M41" i="6"/>
  <c r="P41" i="6" s="1"/>
  <c r="S41" i="6" s="1"/>
  <c r="T41" i="6" s="1"/>
  <c r="M40" i="6"/>
  <c r="M39" i="6"/>
  <c r="M37" i="6"/>
  <c r="M43" i="6"/>
  <c r="M38" i="6"/>
  <c r="U40" i="6"/>
  <c r="V40" i="6" s="1"/>
  <c r="P38" i="6"/>
  <c r="S38" i="6" s="1"/>
  <c r="T38" i="6" s="1"/>
  <c r="P37" i="6"/>
  <c r="S37" i="6" s="1"/>
  <c r="T37" i="6" s="1"/>
  <c r="Y37" i="6"/>
  <c r="W37" i="6"/>
  <c r="U37" i="6"/>
  <c r="V37" i="6" s="1"/>
  <c r="U39" i="6"/>
  <c r="V39" i="6" s="1"/>
  <c r="P39" i="6"/>
  <c r="S39" i="6" s="1"/>
  <c r="T39" i="6" s="1"/>
  <c r="P42" i="6"/>
  <c r="S42" i="6" s="1"/>
  <c r="T42" i="6" s="1"/>
  <c r="U41" i="6"/>
  <c r="V41" i="6" s="1"/>
  <c r="Y43" i="6"/>
  <c r="U43" i="6"/>
  <c r="V43" i="6" s="1"/>
  <c r="W43" i="6"/>
  <c r="P40" i="6"/>
  <c r="S40" i="6" s="1"/>
  <c r="T40" i="6" s="1"/>
  <c r="P43" i="6"/>
  <c r="S43" i="6" s="1"/>
  <c r="T43" i="6" s="1"/>
  <c r="U30" i="6"/>
  <c r="V30" i="6" s="1"/>
  <c r="Y34" i="6"/>
  <c r="W34" i="6"/>
  <c r="U34" i="6"/>
  <c r="V34" i="6" s="1"/>
  <c r="U32" i="6"/>
  <c r="V32" i="6" s="1"/>
  <c r="L33" i="6"/>
  <c r="P33" i="6" s="1"/>
  <c r="S33" i="6" s="1"/>
  <c r="T33" i="6" s="1"/>
  <c r="L32" i="6"/>
  <c r="P32" i="6" s="1"/>
  <c r="S32" i="6" s="1"/>
  <c r="T32" i="6" s="1"/>
  <c r="L31" i="6"/>
  <c r="P31" i="6" s="1"/>
  <c r="S31" i="6" s="1"/>
  <c r="T31" i="6" s="1"/>
  <c r="L35" i="6"/>
  <c r="P35" i="6" s="1"/>
  <c r="S35" i="6" s="1"/>
  <c r="T35" i="6" s="1"/>
  <c r="L30" i="6"/>
  <c r="P30" i="6" s="1"/>
  <c r="S30" i="6" s="1"/>
  <c r="T30" i="6" s="1"/>
  <c r="L34" i="6"/>
  <c r="P34" i="6" s="1"/>
  <c r="S34" i="6" s="1"/>
  <c r="T34" i="6" s="1"/>
  <c r="L29" i="6"/>
  <c r="P29" i="6" s="1"/>
  <c r="S29" i="6" s="1"/>
  <c r="T29" i="6" s="1"/>
  <c r="U29" i="6"/>
  <c r="V29" i="6" s="1"/>
  <c r="Y29" i="6"/>
  <c r="W29" i="6"/>
  <c r="Y35" i="6"/>
  <c r="W35" i="6"/>
  <c r="U35" i="6"/>
  <c r="V35" i="6" s="1"/>
  <c r="U33" i="6"/>
  <c r="V33" i="6" s="1"/>
  <c r="Y33" i="6"/>
  <c r="W33" i="6"/>
  <c r="U31" i="6"/>
  <c r="V31" i="6" s="1"/>
  <c r="L27" i="6"/>
  <c r="P27" i="6" s="1"/>
  <c r="S27" i="6" s="1"/>
  <c r="T27" i="6" s="1"/>
  <c r="L22" i="6"/>
  <c r="P22" i="6" s="1"/>
  <c r="S22" i="6" s="1"/>
  <c r="T22" i="6" s="1"/>
  <c r="L26" i="6"/>
  <c r="P26" i="6" s="1"/>
  <c r="S26" i="6" s="1"/>
  <c r="T26" i="6" s="1"/>
  <c r="L21" i="6"/>
  <c r="P21" i="6" s="1"/>
  <c r="S21" i="6" s="1"/>
  <c r="T21" i="6" s="1"/>
  <c r="L25" i="6"/>
  <c r="P25" i="6" s="1"/>
  <c r="S25" i="6" s="1"/>
  <c r="T25" i="6" s="1"/>
  <c r="L24" i="6"/>
  <c r="P24" i="6" s="1"/>
  <c r="S24" i="6" s="1"/>
  <c r="T24" i="6" s="1"/>
  <c r="L23" i="6"/>
  <c r="P23" i="6" s="1"/>
  <c r="S23" i="6" s="1"/>
  <c r="T23" i="6" s="1"/>
  <c r="U21" i="6"/>
  <c r="V21" i="6" s="1"/>
  <c r="Y21" i="6"/>
  <c r="W21" i="6"/>
  <c r="U22" i="6"/>
  <c r="V22" i="6" s="1"/>
  <c r="U23" i="6"/>
  <c r="V23" i="6" s="1"/>
  <c r="Y25" i="6"/>
  <c r="W25" i="6"/>
  <c r="U25" i="6"/>
  <c r="V25" i="6" s="1"/>
  <c r="Y27" i="6"/>
  <c r="U27" i="6"/>
  <c r="V27" i="6" s="1"/>
  <c r="W27" i="6"/>
  <c r="W24" i="6"/>
  <c r="U24" i="6"/>
  <c r="V24" i="6" s="1"/>
  <c r="Y24" i="6"/>
  <c r="Y26" i="6"/>
  <c r="U26" i="6"/>
  <c r="V26" i="6" s="1"/>
  <c r="W26" i="6"/>
  <c r="J650" i="6"/>
  <c r="K650" i="6" s="1"/>
  <c r="O650" i="6" s="1"/>
  <c r="O649" i="6"/>
  <c r="J674" i="6"/>
  <c r="K674" i="6" s="1"/>
  <c r="O674" i="6" s="1"/>
  <c r="O673" i="6"/>
  <c r="J666" i="6"/>
  <c r="K666" i="6" s="1"/>
  <c r="O666" i="6" s="1"/>
  <c r="O665" i="6"/>
  <c r="J634" i="6"/>
  <c r="K634" i="6" s="1"/>
  <c r="O634" i="6" s="1"/>
  <c r="O633" i="6"/>
  <c r="J658" i="6"/>
  <c r="K658" i="6" s="1"/>
  <c r="O658" i="6" s="1"/>
  <c r="O657" i="6"/>
  <c r="J642" i="6"/>
  <c r="K642" i="6" s="1"/>
  <c r="O642" i="6" s="1"/>
  <c r="O641" i="6"/>
  <c r="J626" i="6"/>
  <c r="K626" i="6" s="1"/>
  <c r="O626" i="6" s="1"/>
  <c r="O625" i="6"/>
  <c r="J570" i="6"/>
  <c r="K570" i="6" s="1"/>
  <c r="O570" i="6" s="1"/>
  <c r="O569" i="6"/>
  <c r="J586" i="6"/>
  <c r="K586" i="6" s="1"/>
  <c r="O586" i="6" s="1"/>
  <c r="O585" i="6"/>
  <c r="J602" i="6"/>
  <c r="K602" i="6" s="1"/>
  <c r="O602" i="6" s="1"/>
  <c r="O601" i="6"/>
  <c r="J594" i="6"/>
  <c r="K594" i="6" s="1"/>
  <c r="O594" i="6" s="1"/>
  <c r="O593" i="6"/>
  <c r="J578" i="6"/>
  <c r="K578" i="6" s="1"/>
  <c r="O578" i="6" s="1"/>
  <c r="O577" i="6"/>
  <c r="J610" i="6"/>
  <c r="K610" i="6" s="1"/>
  <c r="O610" i="6" s="1"/>
  <c r="O609" i="6"/>
  <c r="J618" i="6"/>
  <c r="K618" i="6" s="1"/>
  <c r="O618" i="6" s="1"/>
  <c r="O617" i="6"/>
  <c r="J530" i="6"/>
  <c r="K530" i="6" s="1"/>
  <c r="O530" i="6" s="1"/>
  <c r="O529" i="6"/>
  <c r="J562" i="6"/>
  <c r="K562" i="6" s="1"/>
  <c r="O562" i="6" s="1"/>
  <c r="O561" i="6"/>
  <c r="J522" i="6"/>
  <c r="K522" i="6" s="1"/>
  <c r="O522" i="6" s="1"/>
  <c r="O521" i="6"/>
  <c r="J514" i="6"/>
  <c r="K514" i="6" s="1"/>
  <c r="O514" i="6" s="1"/>
  <c r="O513" i="6"/>
  <c r="J554" i="6"/>
  <c r="K554" i="6" s="1"/>
  <c r="O554" i="6" s="1"/>
  <c r="O553" i="6"/>
  <c r="J546" i="6"/>
  <c r="K546" i="6" s="1"/>
  <c r="O546" i="6" s="1"/>
  <c r="O545" i="6"/>
  <c r="J538" i="6"/>
  <c r="K538" i="6" s="1"/>
  <c r="O538" i="6" s="1"/>
  <c r="O537" i="6"/>
  <c r="J482" i="6"/>
  <c r="K482" i="6" s="1"/>
  <c r="O482" i="6" s="1"/>
  <c r="O481" i="6"/>
  <c r="O457" i="6"/>
  <c r="J458" i="6"/>
  <c r="K458" i="6" s="1"/>
  <c r="O458" i="6" s="1"/>
  <c r="J490" i="6"/>
  <c r="K490" i="6" s="1"/>
  <c r="O490" i="6" s="1"/>
  <c r="O489" i="6"/>
  <c r="J506" i="6"/>
  <c r="K506" i="6" s="1"/>
  <c r="O506" i="6" s="1"/>
  <c r="O505" i="6"/>
  <c r="J466" i="6"/>
  <c r="K466" i="6" s="1"/>
  <c r="O466" i="6" s="1"/>
  <c r="O465" i="6"/>
  <c r="J474" i="6"/>
  <c r="K474" i="6" s="1"/>
  <c r="O474" i="6" s="1"/>
  <c r="O473" i="6"/>
  <c r="J450" i="6"/>
  <c r="K450" i="6" s="1"/>
  <c r="O450" i="6" s="1"/>
  <c r="O449" i="6"/>
  <c r="J426" i="6"/>
  <c r="K426" i="6" s="1"/>
  <c r="O426" i="6" s="1"/>
  <c r="O425" i="6"/>
  <c r="O417" i="6"/>
  <c r="J418" i="6"/>
  <c r="K418" i="6" s="1"/>
  <c r="O418" i="6" s="1"/>
  <c r="J402" i="6"/>
  <c r="K402" i="6" s="1"/>
  <c r="O402" i="6" s="1"/>
  <c r="O401" i="6"/>
  <c r="O441" i="6"/>
  <c r="J442" i="6"/>
  <c r="K442" i="6" s="1"/>
  <c r="O442" i="6" s="1"/>
  <c r="J354" i="6"/>
  <c r="K354" i="6" s="1"/>
  <c r="O354" i="6" s="1"/>
  <c r="O353" i="6"/>
  <c r="J370" i="6"/>
  <c r="K370" i="6" s="1"/>
  <c r="O370" i="6" s="1"/>
  <c r="O369" i="6"/>
  <c r="J362" i="6"/>
  <c r="K362" i="6" s="1"/>
  <c r="O362" i="6" s="1"/>
  <c r="O361" i="6"/>
  <c r="J378" i="6"/>
  <c r="K378" i="6" s="1"/>
  <c r="O378" i="6" s="1"/>
  <c r="O377" i="6"/>
  <c r="J346" i="6"/>
  <c r="K346" i="6" s="1"/>
  <c r="O346" i="6" s="1"/>
  <c r="O345" i="6"/>
  <c r="J386" i="6"/>
  <c r="K386" i="6" s="1"/>
  <c r="O386" i="6" s="1"/>
  <c r="O385" i="6"/>
  <c r="J394" i="6"/>
  <c r="K394" i="6" s="1"/>
  <c r="O394" i="6" s="1"/>
  <c r="O393" i="6"/>
  <c r="J298" i="6"/>
  <c r="K298" i="6" s="1"/>
  <c r="O298" i="6" s="1"/>
  <c r="O297" i="6"/>
  <c r="J338" i="6"/>
  <c r="K338" i="6" s="1"/>
  <c r="O338" i="6" s="1"/>
  <c r="O337" i="6"/>
  <c r="J306" i="6"/>
  <c r="K306" i="6" s="1"/>
  <c r="O306" i="6" s="1"/>
  <c r="O305" i="6"/>
  <c r="J330" i="6"/>
  <c r="K330" i="6" s="1"/>
  <c r="O330" i="6" s="1"/>
  <c r="O329" i="6"/>
  <c r="J322" i="6"/>
  <c r="K322" i="6" s="1"/>
  <c r="O322" i="6" s="1"/>
  <c r="O321" i="6"/>
  <c r="J314" i="6"/>
  <c r="K314" i="6" s="1"/>
  <c r="O314" i="6" s="1"/>
  <c r="O313" i="6"/>
  <c r="O289" i="6"/>
  <c r="J290" i="6"/>
  <c r="K290" i="6" s="1"/>
  <c r="O290" i="6" s="1"/>
  <c r="J266" i="6"/>
  <c r="K266" i="6" s="1"/>
  <c r="O266" i="6" s="1"/>
  <c r="O265" i="6"/>
  <c r="J258" i="6"/>
  <c r="K258" i="6" s="1"/>
  <c r="O258" i="6" s="1"/>
  <c r="O257" i="6"/>
  <c r="J242" i="6"/>
  <c r="K242" i="6" s="1"/>
  <c r="O242" i="6" s="1"/>
  <c r="O241" i="6"/>
  <c r="J282" i="6"/>
  <c r="K282" i="6" s="1"/>
  <c r="O282" i="6" s="1"/>
  <c r="O281" i="6"/>
  <c r="J178" i="6"/>
  <c r="K178" i="6" s="1"/>
  <c r="O178" i="6" s="1"/>
  <c r="O177" i="6"/>
  <c r="J226" i="6"/>
  <c r="K226" i="6" s="1"/>
  <c r="O226" i="6" s="1"/>
  <c r="O225" i="6"/>
  <c r="J194" i="6"/>
  <c r="K194" i="6" s="1"/>
  <c r="O194" i="6" s="1"/>
  <c r="O193" i="6"/>
  <c r="J210" i="6"/>
  <c r="K210" i="6" s="1"/>
  <c r="O210" i="6" s="1"/>
  <c r="O209" i="6"/>
  <c r="J186" i="6"/>
  <c r="K186" i="6" s="1"/>
  <c r="O186" i="6" s="1"/>
  <c r="O185" i="6"/>
  <c r="J202" i="6"/>
  <c r="K202" i="6" s="1"/>
  <c r="O202" i="6" s="1"/>
  <c r="O201" i="6"/>
  <c r="J130" i="6"/>
  <c r="K130" i="6" s="1"/>
  <c r="O130" i="6" s="1"/>
  <c r="O129" i="6"/>
  <c r="J138" i="6"/>
  <c r="K138" i="6" s="1"/>
  <c r="O138" i="6" s="1"/>
  <c r="O137" i="6"/>
  <c r="J170" i="6"/>
  <c r="K170" i="6" s="1"/>
  <c r="O170" i="6" s="1"/>
  <c r="O169" i="6"/>
  <c r="J146" i="6"/>
  <c r="K146" i="6" s="1"/>
  <c r="O146" i="6" s="1"/>
  <c r="O145" i="6"/>
  <c r="J162" i="6"/>
  <c r="K162" i="6" s="1"/>
  <c r="O162" i="6" s="1"/>
  <c r="O161" i="6"/>
  <c r="J154" i="6"/>
  <c r="K154" i="6" s="1"/>
  <c r="O154" i="6" s="1"/>
  <c r="O153" i="6"/>
  <c r="J122" i="6"/>
  <c r="K122" i="6" s="1"/>
  <c r="O122" i="6" s="1"/>
  <c r="O121" i="6"/>
  <c r="J106" i="6"/>
  <c r="K106" i="6" s="1"/>
  <c r="O106" i="6" s="1"/>
  <c r="O105" i="6"/>
  <c r="J90" i="6"/>
  <c r="K90" i="6" s="1"/>
  <c r="O90" i="6" s="1"/>
  <c r="O89" i="6"/>
  <c r="J82" i="6"/>
  <c r="K82" i="6" s="1"/>
  <c r="O82" i="6" s="1"/>
  <c r="O81" i="6"/>
  <c r="J114" i="6"/>
  <c r="K114" i="6" s="1"/>
  <c r="O114" i="6" s="1"/>
  <c r="O113" i="6"/>
  <c r="J74" i="6"/>
  <c r="K74" i="6" s="1"/>
  <c r="O74" i="6" s="1"/>
  <c r="O73" i="6"/>
  <c r="J98" i="6"/>
  <c r="K98" i="6" s="1"/>
  <c r="O98" i="6" s="1"/>
  <c r="O97" i="6"/>
  <c r="J58" i="6"/>
  <c r="K58" i="6" s="1"/>
  <c r="O58" i="6" s="1"/>
  <c r="O57" i="6"/>
  <c r="J50" i="6"/>
  <c r="K50" i="6" s="1"/>
  <c r="O50" i="6" s="1"/>
  <c r="O49" i="6"/>
  <c r="J42" i="6"/>
  <c r="K42" i="6" s="1"/>
  <c r="O42" i="6" s="1"/>
  <c r="O41" i="6"/>
  <c r="J34" i="6"/>
  <c r="K34" i="6" s="1"/>
  <c r="O34" i="6" s="1"/>
  <c r="O33" i="6"/>
  <c r="J26" i="6"/>
  <c r="K26" i="6" s="1"/>
  <c r="O26" i="6" s="1"/>
  <c r="O25" i="6"/>
  <c r="W15" i="6"/>
  <c r="W14" i="6"/>
  <c r="Q9" i="22"/>
  <c r="Q11" i="22" s="1"/>
  <c r="Q13" i="22" s="1"/>
  <c r="Q10" i="22"/>
  <c r="Q12" i="22" s="1"/>
  <c r="Q14" i="22" s="1"/>
  <c r="AI12" i="22"/>
  <c r="AI14" i="22" s="1"/>
  <c r="AI18" i="22" s="1"/>
  <c r="Q33" i="7" s="1"/>
  <c r="Q250" i="8" s="1"/>
  <c r="AA9" i="22"/>
  <c r="AA15" i="22" s="1"/>
  <c r="N25" i="7" s="1"/>
  <c r="N186" i="8" s="1"/>
  <c r="L9" i="22"/>
  <c r="L15" i="22" s="1"/>
  <c r="N10" i="7" s="1"/>
  <c r="N66" i="8" s="1"/>
  <c r="L12" i="22"/>
  <c r="L14" i="22" s="1"/>
  <c r="L18" i="22" s="1"/>
  <c r="Q10" i="7" s="1"/>
  <c r="Q66" i="8" s="1"/>
  <c r="E12" i="22"/>
  <c r="E14" i="22" s="1"/>
  <c r="E18" i="22" s="1"/>
  <c r="Q3" i="7" s="1"/>
  <c r="Q10" i="8" s="1"/>
  <c r="A6" i="6"/>
  <c r="U6" i="6" s="1"/>
  <c r="A8" i="6"/>
  <c r="U8" i="6" s="1"/>
  <c r="F633" i="11"/>
  <c r="B633" i="11" s="1"/>
  <c r="F598" i="11"/>
  <c r="B598" i="11" s="1"/>
  <c r="F598" i="5"/>
  <c r="B598" i="5" s="1"/>
  <c r="F410" i="11"/>
  <c r="B410" i="11" s="1"/>
  <c r="F344" i="11"/>
  <c r="B344" i="11" s="1"/>
  <c r="F169" i="5"/>
  <c r="B169" i="5" s="1"/>
  <c r="F90" i="5"/>
  <c r="B90" i="5" s="1"/>
  <c r="F90" i="11"/>
  <c r="B90" i="11" s="1"/>
  <c r="F638" i="11"/>
  <c r="B638" i="11" s="1"/>
  <c r="F638" i="5"/>
  <c r="B638" i="5" s="1"/>
  <c r="F610" i="11"/>
  <c r="B610" i="11" s="1"/>
  <c r="F606" i="5"/>
  <c r="B606" i="5" s="1"/>
  <c r="F606" i="11"/>
  <c r="B606" i="11" s="1"/>
  <c r="F577" i="11"/>
  <c r="B577" i="11" s="1"/>
  <c r="F449" i="11"/>
  <c r="B449" i="11" s="1"/>
  <c r="F417" i="11"/>
  <c r="B417" i="11" s="1"/>
  <c r="F418" i="5"/>
  <c r="B418" i="5" s="1"/>
  <c r="F418" i="11"/>
  <c r="B418" i="11" s="1"/>
  <c r="F386" i="5"/>
  <c r="B386" i="5" s="1"/>
  <c r="F320" i="11"/>
  <c r="B320" i="11" s="1"/>
  <c r="F616" i="11"/>
  <c r="B616" i="11" s="1"/>
  <c r="F614" i="11"/>
  <c r="B614" i="11" s="1"/>
  <c r="F614" i="5"/>
  <c r="B614" i="5" s="1"/>
  <c r="F582" i="11"/>
  <c r="B582" i="11" s="1"/>
  <c r="F582" i="5"/>
  <c r="B582" i="5" s="1"/>
  <c r="F584" i="11"/>
  <c r="B584" i="11" s="1"/>
  <c r="F584" i="5"/>
  <c r="B584" i="5" s="1"/>
  <c r="F392" i="5"/>
  <c r="B392" i="5" s="1"/>
  <c r="F392" i="11"/>
  <c r="B392" i="11" s="1"/>
  <c r="F177" i="5"/>
  <c r="B177" i="5" s="1"/>
  <c r="F654" i="11"/>
  <c r="B654" i="11" s="1"/>
  <c r="F625" i="11"/>
  <c r="B625" i="11" s="1"/>
  <c r="F625" i="5"/>
  <c r="B625" i="5" s="1"/>
  <c r="F626" i="5"/>
  <c r="B626" i="5" s="1"/>
  <c r="F594" i="5"/>
  <c r="B594" i="5" s="1"/>
  <c r="F594" i="11"/>
  <c r="B594" i="11" s="1"/>
  <c r="F498" i="11"/>
  <c r="B498" i="11" s="1"/>
  <c r="F466" i="5"/>
  <c r="B466" i="5" s="1"/>
  <c r="F466" i="11"/>
  <c r="B466" i="11" s="1"/>
  <c r="F432" i="11"/>
  <c r="B432" i="11" s="1"/>
  <c r="F432" i="5"/>
  <c r="B432" i="5" s="1"/>
  <c r="F401" i="11"/>
  <c r="B401" i="11" s="1"/>
  <c r="F337" i="5"/>
  <c r="B337" i="5" s="1"/>
  <c r="F337" i="11"/>
  <c r="B337" i="11" s="1"/>
  <c r="F666" i="11"/>
  <c r="B666" i="11" s="1"/>
  <c r="F666" i="5"/>
  <c r="B666" i="5" s="1"/>
  <c r="F664" i="11"/>
  <c r="B664" i="11" s="1"/>
  <c r="F631" i="11"/>
  <c r="B631" i="11" s="1"/>
  <c r="F631" i="5"/>
  <c r="B631" i="5" s="1"/>
  <c r="F634" i="11"/>
  <c r="B634" i="11" s="1"/>
  <c r="F601" i="11"/>
  <c r="B601" i="11" s="1"/>
  <c r="F601" i="5"/>
  <c r="B601" i="5" s="1"/>
  <c r="F409" i="5"/>
  <c r="B409" i="5" s="1"/>
  <c r="F202" i="11"/>
  <c r="B202" i="11" s="1"/>
  <c r="F202" i="5"/>
  <c r="B202" i="5" s="1"/>
  <c r="F170" i="11"/>
  <c r="B170" i="11" s="1"/>
  <c r="F170" i="5"/>
  <c r="B170" i="5" s="1"/>
  <c r="F514" i="11"/>
  <c r="B514" i="11" s="1"/>
  <c r="F514" i="5"/>
  <c r="B514" i="5" s="1"/>
  <c r="F450" i="5"/>
  <c r="B450" i="5" s="1"/>
  <c r="F450" i="11"/>
  <c r="B450" i="11" s="1"/>
  <c r="F414" i="5"/>
  <c r="B414" i="5" s="1"/>
  <c r="F354" i="5"/>
  <c r="B354" i="5" s="1"/>
  <c r="F321" i="11"/>
  <c r="B321" i="11" s="1"/>
  <c r="F321" i="5"/>
  <c r="B321" i="5" s="1"/>
  <c r="F154" i="5"/>
  <c r="B154" i="5" s="1"/>
  <c r="F66" i="11"/>
  <c r="B66" i="11" s="1"/>
  <c r="F66" i="5"/>
  <c r="B66" i="5" s="1"/>
  <c r="F646" i="11"/>
  <c r="B646" i="11" s="1"/>
  <c r="F647" i="11"/>
  <c r="B647" i="11" s="1"/>
  <c r="F583" i="11"/>
  <c r="B583" i="11" s="1"/>
  <c r="F583" i="5"/>
  <c r="B583" i="5" s="1"/>
  <c r="F458" i="5"/>
  <c r="B458" i="5" s="1"/>
  <c r="F458" i="11"/>
  <c r="B458" i="11" s="1"/>
  <c r="F426" i="5"/>
  <c r="B426" i="5" s="1"/>
  <c r="F394" i="11"/>
  <c r="B394" i="11" s="1"/>
  <c r="F74" i="5"/>
  <c r="B74" i="5" s="1"/>
  <c r="F656" i="11"/>
  <c r="B656" i="11" s="1"/>
  <c r="F657" i="5"/>
  <c r="B657" i="5" s="1"/>
  <c r="F591" i="5"/>
  <c r="B591" i="5" s="1"/>
  <c r="F592" i="5"/>
  <c r="B592" i="5" s="1"/>
  <c r="F592" i="11"/>
  <c r="B592" i="11" s="1"/>
  <c r="F561" i="5"/>
  <c r="B561" i="5" s="1"/>
  <c r="F561" i="11"/>
  <c r="B561" i="11" s="1"/>
  <c r="F338" i="11"/>
  <c r="B338" i="11" s="1"/>
  <c r="F146" i="11"/>
  <c r="B146" i="11" s="1"/>
  <c r="F146" i="5"/>
  <c r="B146" i="5" s="1"/>
  <c r="F145" i="5"/>
  <c r="B145" i="5" s="1"/>
  <c r="F80" i="5"/>
  <c r="B80" i="5" s="1"/>
  <c r="F599" i="11"/>
  <c r="B599" i="11" s="1"/>
  <c r="F599" i="5"/>
  <c r="B599" i="5" s="1"/>
  <c r="F602" i="11"/>
  <c r="B602" i="11" s="1"/>
  <c r="F474" i="11"/>
  <c r="B474" i="11" s="1"/>
  <c r="F343" i="11"/>
  <c r="B343" i="11" s="1"/>
  <c r="F343" i="5"/>
  <c r="B343" i="5" s="1"/>
  <c r="F345" i="11"/>
  <c r="B345" i="11" s="1"/>
  <c r="F281" i="5"/>
  <c r="B281" i="5" s="1"/>
  <c r="F281" i="11"/>
  <c r="B281" i="11" s="1"/>
  <c r="F186" i="11"/>
  <c r="B186" i="11" s="1"/>
  <c r="F186" i="5"/>
  <c r="B186" i="5" s="1"/>
  <c r="F168" i="5"/>
  <c r="B168" i="5" s="1"/>
  <c r="F641" i="5"/>
  <c r="B641" i="5" s="1"/>
  <c r="F641" i="11"/>
  <c r="B641" i="11" s="1"/>
  <c r="F639" i="11"/>
  <c r="B639" i="11" s="1"/>
  <c r="F639" i="5"/>
  <c r="B639" i="5" s="1"/>
  <c r="F608" i="11"/>
  <c r="B608" i="11" s="1"/>
  <c r="F608" i="5"/>
  <c r="B608" i="5" s="1"/>
  <c r="F578" i="5"/>
  <c r="B578" i="5" s="1"/>
  <c r="F578" i="11"/>
  <c r="B578" i="11" s="1"/>
  <c r="F482" i="11"/>
  <c r="B482" i="11" s="1"/>
  <c r="F482" i="5"/>
  <c r="B482" i="5" s="1"/>
  <c r="F448" i="11"/>
  <c r="B448" i="11" s="1"/>
  <c r="F448" i="5"/>
  <c r="B448" i="5" s="1"/>
  <c r="F416" i="11"/>
  <c r="B416" i="11" s="1"/>
  <c r="F416" i="5"/>
  <c r="B416" i="5" s="1"/>
  <c r="F385" i="5"/>
  <c r="B385" i="5" s="1"/>
  <c r="F385" i="11"/>
  <c r="B385" i="11" s="1"/>
  <c r="F384" i="11"/>
  <c r="B384" i="11" s="1"/>
  <c r="F153" i="5"/>
  <c r="B153" i="5" s="1"/>
  <c r="F98" i="11"/>
  <c r="B98" i="11" s="1"/>
  <c r="F98" i="5"/>
  <c r="B98" i="5" s="1"/>
  <c r="F649" i="5"/>
  <c r="B649" i="5" s="1"/>
  <c r="F649" i="11"/>
  <c r="B649" i="11" s="1"/>
  <c r="F617" i="11"/>
  <c r="B617" i="11" s="1"/>
  <c r="F618" i="11"/>
  <c r="B618" i="11" s="1"/>
  <c r="F393" i="11"/>
  <c r="B393" i="11" s="1"/>
  <c r="F393" i="5"/>
  <c r="B393" i="5" s="1"/>
  <c r="F194" i="5"/>
  <c r="B194" i="5" s="1"/>
  <c r="F655" i="11"/>
  <c r="B655" i="11" s="1"/>
  <c r="F593" i="11"/>
  <c r="B593" i="11" s="1"/>
  <c r="F593" i="5"/>
  <c r="B593" i="5" s="1"/>
  <c r="F562" i="11"/>
  <c r="B562" i="11" s="1"/>
  <c r="F562" i="5"/>
  <c r="B562" i="5" s="1"/>
  <c r="F434" i="5"/>
  <c r="B434" i="5" s="1"/>
  <c r="F434" i="11"/>
  <c r="B434" i="11" s="1"/>
  <c r="F431" i="5"/>
  <c r="B431" i="5" s="1"/>
  <c r="F431" i="11"/>
  <c r="B431" i="11" s="1"/>
  <c r="F402" i="11"/>
  <c r="B402" i="11" s="1"/>
  <c r="F402" i="5"/>
  <c r="B402" i="5" s="1"/>
  <c r="F336" i="11"/>
  <c r="B336" i="11" s="1"/>
  <c r="F336" i="5"/>
  <c r="B336" i="5" s="1"/>
  <c r="F144" i="5"/>
  <c r="B144" i="5" s="1"/>
  <c r="U11" i="6"/>
  <c r="V11" i="6" s="1"/>
  <c r="F662" i="11"/>
  <c r="B662" i="11" s="1"/>
  <c r="F662" i="5"/>
  <c r="B662" i="5" s="1"/>
  <c r="F632" i="11"/>
  <c r="B632" i="11" s="1"/>
  <c r="F600" i="11"/>
  <c r="B600" i="11" s="1"/>
  <c r="F600" i="5"/>
  <c r="B600" i="5" s="1"/>
  <c r="F506" i="11"/>
  <c r="B506" i="11" s="1"/>
  <c r="F472" i="5"/>
  <c r="B472" i="5" s="1"/>
  <c r="F346" i="5"/>
  <c r="B346" i="5" s="1"/>
  <c r="F346" i="11"/>
  <c r="B346" i="11" s="1"/>
  <c r="F282" i="5"/>
  <c r="B282" i="5" s="1"/>
  <c r="F282" i="11"/>
  <c r="B282" i="11" s="1"/>
  <c r="F58" i="11"/>
  <c r="B58" i="11" s="1"/>
  <c r="F58" i="5"/>
  <c r="B58" i="5" s="1"/>
  <c r="F640" i="11"/>
  <c r="B640" i="11" s="1"/>
  <c r="F640" i="5"/>
  <c r="B640" i="5" s="1"/>
  <c r="F609" i="11"/>
  <c r="B609" i="11" s="1"/>
  <c r="F609" i="5"/>
  <c r="B609" i="5" s="1"/>
  <c r="F607" i="11"/>
  <c r="B607" i="11" s="1"/>
  <c r="F607" i="5"/>
  <c r="B607" i="5" s="1"/>
  <c r="F576" i="11"/>
  <c r="B576" i="11" s="1"/>
  <c r="F447" i="5"/>
  <c r="B447" i="5" s="1"/>
  <c r="F447" i="11"/>
  <c r="B447" i="11" s="1"/>
  <c r="F415" i="11"/>
  <c r="B415" i="11" s="1"/>
  <c r="F415" i="5"/>
  <c r="B415" i="5" s="1"/>
  <c r="F383" i="5"/>
  <c r="B383" i="5" s="1"/>
  <c r="F383" i="11"/>
  <c r="B383" i="11" s="1"/>
  <c r="F322" i="11"/>
  <c r="B322" i="11" s="1"/>
  <c r="F322" i="5"/>
  <c r="B322" i="5" s="1"/>
  <c r="F63" i="5"/>
  <c r="B63" i="5" s="1"/>
  <c r="F615" i="11"/>
  <c r="B615" i="11" s="1"/>
  <c r="F615" i="5"/>
  <c r="B615" i="5" s="1"/>
  <c r="F585" i="5"/>
  <c r="B585" i="5" s="1"/>
  <c r="F586" i="11"/>
  <c r="B586" i="11" s="1"/>
  <c r="F490" i="11"/>
  <c r="B490" i="11" s="1"/>
  <c r="F490" i="5"/>
  <c r="B490" i="5" s="1"/>
  <c r="F391" i="11"/>
  <c r="B391" i="11" s="1"/>
  <c r="F391" i="5"/>
  <c r="B391" i="5" s="1"/>
  <c r="F226" i="11"/>
  <c r="B226" i="11" s="1"/>
  <c r="F226" i="5"/>
  <c r="B226" i="5" s="1"/>
  <c r="F658" i="11"/>
  <c r="B658" i="11" s="1"/>
  <c r="F622" i="11"/>
  <c r="B622" i="11" s="1"/>
  <c r="F622" i="5"/>
  <c r="B622" i="5" s="1"/>
  <c r="F623" i="11"/>
  <c r="B623" i="11" s="1"/>
  <c r="F590" i="5"/>
  <c r="B590" i="5" s="1"/>
  <c r="F590" i="11"/>
  <c r="B590" i="11" s="1"/>
  <c r="F497" i="5"/>
  <c r="B497" i="5" s="1"/>
  <c r="F433" i="5"/>
  <c r="B433" i="5" s="1"/>
  <c r="F433" i="11"/>
  <c r="B433" i="11" s="1"/>
  <c r="F400" i="11"/>
  <c r="B400" i="11" s="1"/>
  <c r="F400" i="5"/>
  <c r="B400" i="5" s="1"/>
  <c r="F160" i="5"/>
  <c r="B160" i="5" s="1"/>
  <c r="F50" i="11"/>
  <c r="B50" i="11" s="1"/>
  <c r="F50" i="5"/>
  <c r="B50" i="5" s="1"/>
  <c r="F619" i="5"/>
  <c r="B619" i="5" s="1"/>
  <c r="F413" i="5"/>
  <c r="B413" i="5" s="1"/>
  <c r="F213" i="5"/>
  <c r="B213" i="5" s="1"/>
  <c r="F37" i="5"/>
  <c r="B37" i="5" s="1"/>
  <c r="F595" i="5"/>
  <c r="B595" i="5" s="1"/>
  <c r="F459" i="5"/>
  <c r="B459" i="5" s="1"/>
  <c r="F453" i="5"/>
  <c r="B453" i="5" s="1"/>
  <c r="F501" i="5"/>
  <c r="B501" i="5" s="1"/>
  <c r="F293" i="5"/>
  <c r="B293" i="5" s="1"/>
  <c r="F235" i="5"/>
  <c r="B235" i="5" s="1"/>
  <c r="F53" i="5"/>
  <c r="B53" i="5" s="1"/>
  <c r="F491" i="5"/>
  <c r="B491" i="5" s="1"/>
  <c r="F627" i="5"/>
  <c r="B627" i="5" s="1"/>
  <c r="F635" i="5"/>
  <c r="B635" i="5" s="1"/>
  <c r="F587" i="5"/>
  <c r="B587" i="5" s="1"/>
  <c r="F603" i="5"/>
  <c r="B603" i="5" s="1"/>
  <c r="F579" i="5"/>
  <c r="B579" i="5" s="1"/>
  <c r="F515" i="5"/>
  <c r="B515" i="5" s="1"/>
  <c r="F555" i="5"/>
  <c r="B555" i="5" s="1"/>
  <c r="F523" i="5"/>
  <c r="B523" i="5" s="1"/>
  <c r="F483" i="5"/>
  <c r="B483" i="5" s="1"/>
  <c r="F467" i="5"/>
  <c r="B467" i="5" s="1"/>
  <c r="F507" i="5"/>
  <c r="B507" i="5" s="1"/>
  <c r="F451" i="5"/>
  <c r="B451" i="5" s="1"/>
  <c r="F419" i="5"/>
  <c r="B419" i="5" s="1"/>
  <c r="F435" i="5"/>
  <c r="B435" i="5" s="1"/>
  <c r="F427" i="5"/>
  <c r="B427" i="5" s="1"/>
  <c r="F395" i="5"/>
  <c r="B395" i="5" s="1"/>
  <c r="F387" i="5"/>
  <c r="B387" i="5" s="1"/>
  <c r="F315" i="5"/>
  <c r="B315" i="5" s="1"/>
  <c r="F299" i="5"/>
  <c r="B299" i="5" s="1"/>
  <c r="F283" i="5"/>
  <c r="B283" i="5" s="1"/>
  <c r="F267" i="5"/>
  <c r="B267" i="5" s="1"/>
  <c r="F259" i="5"/>
  <c r="B259" i="5" s="1"/>
  <c r="F195" i="5"/>
  <c r="B195" i="5" s="1"/>
  <c r="F219" i="5"/>
  <c r="B219" i="5" s="1"/>
  <c r="F163" i="5"/>
  <c r="B163" i="5" s="1"/>
  <c r="F123" i="5"/>
  <c r="B123" i="5" s="1"/>
  <c r="F147" i="5"/>
  <c r="B147" i="5" s="1"/>
  <c r="F67" i="5"/>
  <c r="B67" i="5" s="1"/>
  <c r="F115" i="5"/>
  <c r="B115" i="5" s="1"/>
  <c r="F75" i="5"/>
  <c r="B75" i="5" s="1"/>
  <c r="F43" i="5"/>
  <c r="B43" i="5" s="1"/>
  <c r="F51" i="5"/>
  <c r="B51" i="5" s="1"/>
  <c r="F27" i="5"/>
  <c r="B27" i="5" s="1"/>
  <c r="F35" i="5"/>
  <c r="B35" i="5" s="1"/>
  <c r="A10" i="6"/>
  <c r="U10" i="6" s="1"/>
  <c r="A5" i="6"/>
  <c r="U5" i="6" s="1"/>
  <c r="A7" i="6"/>
  <c r="U7" i="6" s="1"/>
  <c r="O6" i="6"/>
  <c r="A9" i="6"/>
  <c r="U9" i="6" s="1"/>
  <c r="C643" i="5"/>
  <c r="S20" i="1"/>
  <c r="F394" i="5"/>
  <c r="B394" i="5" s="1"/>
  <c r="C283" i="5"/>
  <c r="F338" i="5"/>
  <c r="B338" i="5" s="1"/>
  <c r="F618" i="5"/>
  <c r="B618" i="5" s="1"/>
  <c r="C59" i="5"/>
  <c r="F449" i="5"/>
  <c r="B449" i="5" s="1"/>
  <c r="F506" i="5"/>
  <c r="B506" i="5" s="1"/>
  <c r="C115" i="5"/>
  <c r="F617" i="5"/>
  <c r="B617" i="5" s="1"/>
  <c r="C451" i="5"/>
  <c r="C619" i="5"/>
  <c r="C395" i="5"/>
  <c r="C563" i="5"/>
  <c r="C507" i="5"/>
  <c r="C227" i="5"/>
  <c r="F616" i="5"/>
  <c r="B616" i="5" s="1"/>
  <c r="F633" i="5"/>
  <c r="B633" i="5" s="1"/>
  <c r="F658" i="5"/>
  <c r="B658" i="5" s="1"/>
  <c r="F654" i="5"/>
  <c r="B654" i="5" s="1"/>
  <c r="F626" i="11"/>
  <c r="B626" i="11" s="1"/>
  <c r="F577" i="5"/>
  <c r="B577" i="5" s="1"/>
  <c r="C587" i="5"/>
  <c r="C419" i="5"/>
  <c r="F384" i="5"/>
  <c r="B384" i="5" s="1"/>
  <c r="F409" i="11"/>
  <c r="B409" i="11" s="1"/>
  <c r="F344" i="5"/>
  <c r="B344" i="5" s="1"/>
  <c r="C475" i="5"/>
  <c r="F401" i="5"/>
  <c r="B401" i="5" s="1"/>
  <c r="C259" i="5"/>
  <c r="C75" i="5"/>
  <c r="C43" i="5"/>
  <c r="C155" i="5"/>
  <c r="C147" i="5"/>
  <c r="C99" i="5"/>
  <c r="F632" i="5"/>
  <c r="B632" i="5" s="1"/>
  <c r="F646" i="5"/>
  <c r="B646" i="5" s="1"/>
  <c r="F655" i="5"/>
  <c r="B655" i="5" s="1"/>
  <c r="C579" i="5"/>
  <c r="C599" i="5"/>
  <c r="C499" i="5"/>
  <c r="C291" i="5"/>
  <c r="F386" i="11"/>
  <c r="B386" i="11" s="1"/>
  <c r="C403" i="5"/>
  <c r="C219" i="5"/>
  <c r="C163" i="5"/>
  <c r="C67" i="5"/>
  <c r="F630" i="11"/>
  <c r="B630" i="11" s="1"/>
  <c r="F630" i="5"/>
  <c r="B630" i="5" s="1"/>
  <c r="F647" i="5"/>
  <c r="B647" i="5" s="1"/>
  <c r="F657" i="11"/>
  <c r="B657" i="11" s="1"/>
  <c r="F623" i="5"/>
  <c r="B623" i="5" s="1"/>
  <c r="C627" i="5"/>
  <c r="F602" i="5"/>
  <c r="B602" i="5" s="1"/>
  <c r="F576" i="5"/>
  <c r="B576" i="5" s="1"/>
  <c r="C611" i="5"/>
  <c r="F586" i="5"/>
  <c r="B586" i="5" s="1"/>
  <c r="C467" i="5"/>
  <c r="C483" i="5"/>
  <c r="F426" i="11"/>
  <c r="B426" i="11" s="1"/>
  <c r="C515" i="5"/>
  <c r="C323" i="5"/>
  <c r="F382" i="5"/>
  <c r="B382" i="5" s="1"/>
  <c r="F410" i="5"/>
  <c r="B410" i="5" s="1"/>
  <c r="F345" i="5"/>
  <c r="B345" i="5" s="1"/>
  <c r="C318" i="5"/>
  <c r="F663" i="5"/>
  <c r="B663" i="5" s="1"/>
  <c r="F663" i="11"/>
  <c r="B663" i="11" s="1"/>
  <c r="F665" i="11"/>
  <c r="B665" i="11" s="1"/>
  <c r="F665" i="5"/>
  <c r="B665" i="5" s="1"/>
  <c r="C491" i="5"/>
  <c r="F474" i="5"/>
  <c r="B474" i="5" s="1"/>
  <c r="C435" i="5"/>
  <c r="C299" i="5"/>
  <c r="C235" i="5"/>
  <c r="F74" i="11"/>
  <c r="B74" i="11" s="1"/>
  <c r="C83" i="5"/>
  <c r="C187" i="5"/>
  <c r="C91" i="5"/>
  <c r="F634" i="5"/>
  <c r="B634" i="5" s="1"/>
  <c r="C635" i="5"/>
  <c r="F656" i="5"/>
  <c r="B656" i="5" s="1"/>
  <c r="F648" i="11"/>
  <c r="B648" i="11" s="1"/>
  <c r="F648" i="5"/>
  <c r="B648" i="5" s="1"/>
  <c r="F642" i="11"/>
  <c r="B642" i="11" s="1"/>
  <c r="F642" i="5"/>
  <c r="B642" i="5" s="1"/>
  <c r="C631" i="5"/>
  <c r="F624" i="5"/>
  <c r="B624" i="5" s="1"/>
  <c r="F624" i="11"/>
  <c r="B624" i="11" s="1"/>
  <c r="C603" i="5"/>
  <c r="F591" i="11"/>
  <c r="B591" i="11" s="1"/>
  <c r="C595" i="5"/>
  <c r="C641" i="5"/>
  <c r="F585" i="11"/>
  <c r="B585" i="11" s="1"/>
  <c r="F498" i="5"/>
  <c r="B498" i="5" s="1"/>
  <c r="C555" i="5"/>
  <c r="F425" i="5"/>
  <c r="B425" i="5" s="1"/>
  <c r="C459" i="5"/>
  <c r="F417" i="5"/>
  <c r="B417" i="5" s="1"/>
  <c r="F320" i="5"/>
  <c r="B320" i="5" s="1"/>
  <c r="F290" i="11"/>
  <c r="B290" i="11" s="1"/>
  <c r="F290" i="5"/>
  <c r="B290" i="5" s="1"/>
  <c r="C387" i="5"/>
  <c r="C411" i="5"/>
  <c r="F664" i="5"/>
  <c r="B664" i="5" s="1"/>
  <c r="C415" i="5"/>
  <c r="C315" i="5"/>
  <c r="F354" i="11"/>
  <c r="B354" i="11" s="1"/>
  <c r="C363" i="5"/>
  <c r="C251" i="5"/>
  <c r="C211" i="5"/>
  <c r="C203" i="5"/>
  <c r="C107" i="5"/>
  <c r="L11" i="6"/>
  <c r="P11" i="6" s="1"/>
  <c r="S11" i="6" s="1"/>
  <c r="T11" i="6" s="1"/>
  <c r="L10" i="6"/>
  <c r="P10" i="6" s="1"/>
  <c r="S10" i="6" s="1"/>
  <c r="T10" i="6" s="1"/>
  <c r="L7" i="6"/>
  <c r="P7" i="6" s="1"/>
  <c r="S7" i="6" s="1"/>
  <c r="T7" i="6" s="1"/>
  <c r="L8" i="6"/>
  <c r="P8" i="6" s="1"/>
  <c r="S8" i="6" s="1"/>
  <c r="T8" i="6" s="1"/>
  <c r="L5" i="6"/>
  <c r="L6" i="6"/>
  <c r="P6" i="6" s="1"/>
  <c r="S6" i="6" s="1"/>
  <c r="T6" i="6" s="1"/>
  <c r="L9" i="6"/>
  <c r="P9" i="6" s="1"/>
  <c r="S9" i="6" s="1"/>
  <c r="T9" i="6" s="1"/>
  <c r="F154" i="11"/>
  <c r="B154" i="11" s="1"/>
  <c r="C51" i="5"/>
  <c r="C131" i="5"/>
  <c r="C27" i="5"/>
  <c r="C2" i="5"/>
  <c r="C2" i="11" s="1"/>
  <c r="B2" i="4"/>
  <c r="W42" i="6" l="1"/>
  <c r="F42" i="5" s="1"/>
  <c r="B42" i="5" s="1"/>
  <c r="W41" i="6"/>
  <c r="W40" i="6"/>
  <c r="W39" i="6"/>
  <c r="W38" i="6"/>
  <c r="W32" i="6"/>
  <c r="F32" i="5" s="1"/>
  <c r="B32" i="5" s="1"/>
  <c r="W31" i="6"/>
  <c r="F31" i="5" s="1"/>
  <c r="B31" i="5" s="1"/>
  <c r="W30" i="6"/>
  <c r="F30" i="5" s="1"/>
  <c r="B30" i="5" s="1"/>
  <c r="W23" i="6"/>
  <c r="F23" i="5" s="1"/>
  <c r="B23" i="5" s="1"/>
  <c r="W22" i="6"/>
  <c r="F22" i="5" s="1"/>
  <c r="B22" i="5" s="1"/>
  <c r="F505" i="5"/>
  <c r="B505" i="5" s="1"/>
  <c r="F495" i="5"/>
  <c r="B495" i="5" s="1"/>
  <c r="F494" i="5"/>
  <c r="B494" i="5" s="1"/>
  <c r="F479" i="5"/>
  <c r="B479" i="5" s="1"/>
  <c r="F465" i="5"/>
  <c r="B465" i="5" s="1"/>
  <c r="F463" i="5"/>
  <c r="B463" i="5" s="1"/>
  <c r="F456" i="5"/>
  <c r="B456" i="5" s="1"/>
  <c r="F457" i="5"/>
  <c r="B457" i="5" s="1"/>
  <c r="F390" i="5"/>
  <c r="B390" i="5" s="1"/>
  <c r="F342" i="5"/>
  <c r="B342" i="5" s="1"/>
  <c r="F298" i="5"/>
  <c r="B298" i="5" s="1"/>
  <c r="F297" i="5"/>
  <c r="B297" i="5" s="1"/>
  <c r="F296" i="5"/>
  <c r="B296" i="5" s="1"/>
  <c r="F295" i="5"/>
  <c r="B295" i="5" s="1"/>
  <c r="C381" i="5"/>
  <c r="C487" i="5"/>
  <c r="C427" i="5"/>
  <c r="F499" i="5"/>
  <c r="B499" i="5" s="1"/>
  <c r="F107" i="5"/>
  <c r="B107" i="5" s="1"/>
  <c r="F611" i="5"/>
  <c r="B611" i="5" s="1"/>
  <c r="C495" i="5"/>
  <c r="C523" i="5"/>
  <c r="F363" i="5"/>
  <c r="B363" i="5" s="1"/>
  <c r="F83" i="5"/>
  <c r="B83" i="5" s="1"/>
  <c r="F403" i="5"/>
  <c r="B403" i="5" s="1"/>
  <c r="F307" i="5"/>
  <c r="B307" i="5" s="1"/>
  <c r="F339" i="5"/>
  <c r="B339" i="5" s="1"/>
  <c r="F251" i="5"/>
  <c r="B251" i="5" s="1"/>
  <c r="F323" i="5"/>
  <c r="B323" i="5" s="1"/>
  <c r="F531" i="5"/>
  <c r="B531" i="5" s="1"/>
  <c r="F99" i="5"/>
  <c r="B99" i="5" s="1"/>
  <c r="F91" i="5"/>
  <c r="B91" i="5" s="1"/>
  <c r="F227" i="5"/>
  <c r="B227" i="5" s="1"/>
  <c r="F347" i="5"/>
  <c r="B347" i="5" s="1"/>
  <c r="F411" i="5"/>
  <c r="B411" i="5" s="1"/>
  <c r="F179" i="5"/>
  <c r="B179" i="5" s="1"/>
  <c r="W11" i="6"/>
  <c r="F11" i="5" s="1"/>
  <c r="B11" i="5" s="1"/>
  <c r="F643" i="5"/>
  <c r="B643" i="5" s="1"/>
  <c r="F651" i="5"/>
  <c r="B651" i="5" s="1"/>
  <c r="F59" i="5"/>
  <c r="B59" i="5" s="1"/>
  <c r="F563" i="5"/>
  <c r="B563" i="5" s="1"/>
  <c r="F275" i="5"/>
  <c r="B275" i="5" s="1"/>
  <c r="F250" i="5"/>
  <c r="B250" i="5" s="1"/>
  <c r="F234" i="5"/>
  <c r="B234" i="5" s="1"/>
  <c r="F233" i="5"/>
  <c r="B233" i="5" s="1"/>
  <c r="F232" i="5"/>
  <c r="B232" i="5" s="1"/>
  <c r="F185" i="5"/>
  <c r="B185" i="5" s="1"/>
  <c r="F184" i="5"/>
  <c r="B184" i="5" s="1"/>
  <c r="F26" i="5"/>
  <c r="B26" i="5" s="1"/>
  <c r="F62" i="5"/>
  <c r="B62" i="5" s="1"/>
  <c r="F114" i="5"/>
  <c r="B114" i="5" s="1"/>
  <c r="F143" i="5"/>
  <c r="B143" i="5" s="1"/>
  <c r="F130" i="5"/>
  <c r="B130" i="5" s="1"/>
  <c r="F129" i="5"/>
  <c r="B129" i="5" s="1"/>
  <c r="F128" i="5"/>
  <c r="B128" i="5" s="1"/>
  <c r="F106" i="5"/>
  <c r="B106" i="5" s="1"/>
  <c r="F104" i="5"/>
  <c r="B104" i="5" s="1"/>
  <c r="F103" i="5"/>
  <c r="B103" i="5" s="1"/>
  <c r="F95" i="5"/>
  <c r="B95" i="5" s="1"/>
  <c r="F41" i="5"/>
  <c r="B41" i="5" s="1"/>
  <c r="F34" i="5"/>
  <c r="B34" i="5" s="1"/>
  <c r="F33" i="5"/>
  <c r="B33" i="5" s="1"/>
  <c r="F24" i="5"/>
  <c r="B24" i="5" s="1"/>
  <c r="C11" i="5"/>
  <c r="F280" i="5"/>
  <c r="B280" i="5" s="1"/>
  <c r="F279" i="5"/>
  <c r="B279" i="5" s="1"/>
  <c r="F278" i="5"/>
  <c r="B278" i="5" s="1"/>
  <c r="F231" i="5"/>
  <c r="B231" i="5" s="1"/>
  <c r="F218" i="5"/>
  <c r="B218" i="5" s="1"/>
  <c r="F217" i="5"/>
  <c r="B217" i="5" s="1"/>
  <c r="F216" i="5"/>
  <c r="B216" i="5" s="1"/>
  <c r="F215" i="5"/>
  <c r="B215" i="5" s="1"/>
  <c r="F214" i="5"/>
  <c r="B214" i="5" s="1"/>
  <c r="F201" i="5"/>
  <c r="B201" i="5" s="1"/>
  <c r="F178" i="5"/>
  <c r="B178" i="5" s="1"/>
  <c r="F176" i="5"/>
  <c r="B176" i="5" s="1"/>
  <c r="F175" i="5"/>
  <c r="B175" i="5" s="1"/>
  <c r="F162" i="5"/>
  <c r="B162" i="5" s="1"/>
  <c r="F161" i="5"/>
  <c r="B161" i="5" s="1"/>
  <c r="F159" i="5"/>
  <c r="B159" i="5" s="1"/>
  <c r="F152" i="5"/>
  <c r="B152" i="5" s="1"/>
  <c r="F151" i="5"/>
  <c r="B151" i="5" s="1"/>
  <c r="F127" i="5"/>
  <c r="B127" i="5" s="1"/>
  <c r="F113" i="5"/>
  <c r="B113" i="5" s="1"/>
  <c r="F112" i="5"/>
  <c r="B112" i="5" s="1"/>
  <c r="F105" i="5"/>
  <c r="B105" i="5" s="1"/>
  <c r="F78" i="5"/>
  <c r="B78" i="5" s="1"/>
  <c r="F65" i="5"/>
  <c r="B65" i="5" s="1"/>
  <c r="F64" i="5"/>
  <c r="B64" i="5" s="1"/>
  <c r="F57" i="5"/>
  <c r="B57" i="5" s="1"/>
  <c r="F40" i="5"/>
  <c r="B40" i="5" s="1"/>
  <c r="F97" i="5"/>
  <c r="B97" i="5" s="1"/>
  <c r="F96" i="5"/>
  <c r="B96" i="5" s="1"/>
  <c r="F89" i="5"/>
  <c r="B89" i="5" s="1"/>
  <c r="F88" i="5"/>
  <c r="B88" i="5" s="1"/>
  <c r="F82" i="5"/>
  <c r="B82" i="5" s="1"/>
  <c r="F81" i="5"/>
  <c r="B81" i="5" s="1"/>
  <c r="F79" i="5"/>
  <c r="B79" i="5" s="1"/>
  <c r="F56" i="5"/>
  <c r="B56" i="5" s="1"/>
  <c r="F55" i="5"/>
  <c r="B55" i="5" s="1"/>
  <c r="F54" i="5"/>
  <c r="B54" i="5" s="1"/>
  <c r="F49" i="5"/>
  <c r="B49" i="5" s="1"/>
  <c r="F48" i="5"/>
  <c r="B48" i="5" s="1"/>
  <c r="F47" i="5"/>
  <c r="B47" i="5" s="1"/>
  <c r="F46" i="5"/>
  <c r="B46" i="5" s="1"/>
  <c r="F39" i="5"/>
  <c r="B39" i="5" s="1"/>
  <c r="F38" i="5"/>
  <c r="B38" i="5" s="1"/>
  <c r="F25" i="5"/>
  <c r="B25" i="5" s="1"/>
  <c r="C35" i="5"/>
  <c r="C267" i="5"/>
  <c r="C275" i="5"/>
  <c r="C165" i="5"/>
  <c r="C195" i="5"/>
  <c r="C179" i="5"/>
  <c r="C285" i="5"/>
  <c r="C286" i="5"/>
  <c r="C193" i="5"/>
  <c r="P5" i="6"/>
  <c r="S5" i="6" s="1"/>
  <c r="T5" i="6" s="1"/>
  <c r="F560" i="5"/>
  <c r="B560" i="5" s="1"/>
  <c r="F559" i="5"/>
  <c r="B559" i="5" s="1"/>
  <c r="F558" i="5"/>
  <c r="B558" i="5" s="1"/>
  <c r="F513" i="5"/>
  <c r="B513" i="5" s="1"/>
  <c r="F512" i="5"/>
  <c r="B512" i="5" s="1"/>
  <c r="F511" i="5"/>
  <c r="B511" i="5" s="1"/>
  <c r="F510" i="5"/>
  <c r="B510" i="5" s="1"/>
  <c r="F504" i="5"/>
  <c r="B504" i="5" s="1"/>
  <c r="F503" i="5"/>
  <c r="B503" i="5" s="1"/>
  <c r="F502" i="5"/>
  <c r="B502" i="5" s="1"/>
  <c r="F496" i="5"/>
  <c r="B496" i="5" s="1"/>
  <c r="F489" i="5"/>
  <c r="B489" i="5" s="1"/>
  <c r="F488" i="5"/>
  <c r="B488" i="5" s="1"/>
  <c r="F487" i="5"/>
  <c r="B487" i="5" s="1"/>
  <c r="F486" i="5"/>
  <c r="B486" i="5" s="1"/>
  <c r="F481" i="5"/>
  <c r="B481" i="5" s="1"/>
  <c r="F480" i="5"/>
  <c r="B480" i="5" s="1"/>
  <c r="F478" i="5"/>
  <c r="B478" i="5" s="1"/>
  <c r="F473" i="5"/>
  <c r="B473" i="5" s="1"/>
  <c r="F471" i="5"/>
  <c r="B471" i="5" s="1"/>
  <c r="F470" i="5"/>
  <c r="B470" i="5" s="1"/>
  <c r="F464" i="5"/>
  <c r="B464" i="5" s="1"/>
  <c r="F462" i="5"/>
  <c r="B462" i="5" s="1"/>
  <c r="F455" i="5"/>
  <c r="B455" i="5" s="1"/>
  <c r="F454" i="5"/>
  <c r="B454" i="5" s="1"/>
  <c r="F446" i="5"/>
  <c r="B446" i="5" s="1"/>
  <c r="F430" i="5"/>
  <c r="B430" i="5" s="1"/>
  <c r="F424" i="5"/>
  <c r="B424" i="5" s="1"/>
  <c r="F423" i="5"/>
  <c r="B423" i="5" s="1"/>
  <c r="F422" i="5"/>
  <c r="B422" i="5" s="1"/>
  <c r="F408" i="5"/>
  <c r="B408" i="5" s="1"/>
  <c r="F406" i="5"/>
  <c r="B406" i="5" s="1"/>
  <c r="F407" i="5"/>
  <c r="B407" i="5" s="1"/>
  <c r="F399" i="5"/>
  <c r="B399" i="5" s="1"/>
  <c r="F398" i="5"/>
  <c r="B398" i="5" s="1"/>
  <c r="F353" i="5"/>
  <c r="B353" i="5" s="1"/>
  <c r="F352" i="5"/>
  <c r="B352" i="5" s="1"/>
  <c r="F351" i="5"/>
  <c r="B351" i="5" s="1"/>
  <c r="F350" i="5"/>
  <c r="B350" i="5" s="1"/>
  <c r="F335" i="5"/>
  <c r="B335" i="5" s="1"/>
  <c r="F334" i="5"/>
  <c r="B334" i="5" s="1"/>
  <c r="F319" i="5"/>
  <c r="B319" i="5" s="1"/>
  <c r="F318" i="5"/>
  <c r="B318" i="5" s="1"/>
  <c r="F294" i="5"/>
  <c r="B294" i="5" s="1"/>
  <c r="F289" i="5"/>
  <c r="B289" i="5" s="1"/>
  <c r="F288" i="5"/>
  <c r="B288" i="5" s="1"/>
  <c r="F287" i="5"/>
  <c r="B287" i="5" s="1"/>
  <c r="F286" i="5"/>
  <c r="B286" i="5" s="1"/>
  <c r="C317" i="5"/>
  <c r="C307" i="5"/>
  <c r="C341" i="5"/>
  <c r="AA11" i="22"/>
  <c r="AA13" i="22" s="1"/>
  <c r="AA17" i="22" s="1"/>
  <c r="P25" i="7" s="1"/>
  <c r="P186" i="8" s="1"/>
  <c r="L11" i="22"/>
  <c r="L13" i="22" s="1"/>
  <c r="L17" i="22" s="1"/>
  <c r="P10" i="7" s="1"/>
  <c r="P66" i="8" s="1"/>
  <c r="F249" i="5"/>
  <c r="B249" i="5" s="1"/>
  <c r="F248" i="5"/>
  <c r="B248" i="5" s="1"/>
  <c r="F247" i="5"/>
  <c r="B247" i="5" s="1"/>
  <c r="F246" i="5"/>
  <c r="B246" i="5" s="1"/>
  <c r="F230" i="5"/>
  <c r="B230" i="5" s="1"/>
  <c r="F225" i="5"/>
  <c r="B225" i="5" s="1"/>
  <c r="F224" i="5"/>
  <c r="B224" i="5" s="1"/>
  <c r="F223" i="5"/>
  <c r="B223" i="5" s="1"/>
  <c r="F222" i="5"/>
  <c r="B222" i="5" s="1"/>
  <c r="F200" i="5"/>
  <c r="B200" i="5" s="1"/>
  <c r="F199" i="5"/>
  <c r="B199" i="5" s="1"/>
  <c r="F198" i="5"/>
  <c r="B198" i="5" s="1"/>
  <c r="C191" i="5"/>
  <c r="C221" i="5"/>
  <c r="C166" i="5"/>
  <c r="F73" i="5"/>
  <c r="B73" i="5" s="1"/>
  <c r="F72" i="5"/>
  <c r="B72" i="5" s="1"/>
  <c r="F71" i="5"/>
  <c r="B71" i="5" s="1"/>
  <c r="F70" i="5"/>
  <c r="B70" i="5" s="1"/>
  <c r="F126" i="5"/>
  <c r="B126" i="5" s="1"/>
  <c r="F150" i="5"/>
  <c r="B150" i="5" s="1"/>
  <c r="F111" i="5"/>
  <c r="B111" i="5" s="1"/>
  <c r="F191" i="5"/>
  <c r="B191" i="5" s="1"/>
  <c r="W10" i="6"/>
  <c r="F10" i="5" s="1"/>
  <c r="B10" i="5" s="1"/>
  <c r="F182" i="5"/>
  <c r="B182" i="5" s="1"/>
  <c r="F94" i="5"/>
  <c r="B94" i="5" s="1"/>
  <c r="F193" i="5"/>
  <c r="B193" i="5" s="1"/>
  <c r="F192" i="5"/>
  <c r="B192" i="5" s="1"/>
  <c r="F190" i="5"/>
  <c r="B190" i="5" s="1"/>
  <c r="F183" i="5"/>
  <c r="B183" i="5" s="1"/>
  <c r="F174" i="5"/>
  <c r="B174" i="5" s="1"/>
  <c r="F158" i="5"/>
  <c r="B158" i="5" s="1"/>
  <c r="F142" i="5"/>
  <c r="B142" i="5" s="1"/>
  <c r="F110" i="5"/>
  <c r="B110" i="5" s="1"/>
  <c r="F102" i="5"/>
  <c r="B102" i="5" s="1"/>
  <c r="F87" i="5"/>
  <c r="B87" i="5" s="1"/>
  <c r="F86" i="5"/>
  <c r="B86" i="5" s="1"/>
  <c r="C280" i="5"/>
  <c r="C123" i="5"/>
  <c r="Y10" i="6"/>
  <c r="F10" i="11" s="1"/>
  <c r="B10" i="11" s="1"/>
  <c r="F443" i="5"/>
  <c r="B443" i="5" s="1"/>
  <c r="C443" i="5"/>
  <c r="F661" i="5"/>
  <c r="B661" i="5" s="1"/>
  <c r="F167" i="5"/>
  <c r="B167" i="5" s="1"/>
  <c r="F166" i="5"/>
  <c r="B166" i="5" s="1"/>
  <c r="F405" i="5"/>
  <c r="B405" i="5" s="1"/>
  <c r="F629" i="5"/>
  <c r="B629" i="5" s="1"/>
  <c r="F461" i="5"/>
  <c r="B461" i="5" s="1"/>
  <c r="F397" i="5"/>
  <c r="B397" i="5" s="1"/>
  <c r="F581" i="5"/>
  <c r="B581" i="5" s="1"/>
  <c r="F573" i="5"/>
  <c r="B573" i="5" s="1"/>
  <c r="F469" i="5"/>
  <c r="B469" i="5" s="1"/>
  <c r="F509" i="5"/>
  <c r="B509" i="5" s="1"/>
  <c r="F637" i="5"/>
  <c r="B637" i="5" s="1"/>
  <c r="F621" i="5"/>
  <c r="B621" i="5" s="1"/>
  <c r="F421" i="5"/>
  <c r="B421" i="5" s="1"/>
  <c r="F557" i="5"/>
  <c r="B557" i="5" s="1"/>
  <c r="F485" i="5"/>
  <c r="B485" i="5" s="1"/>
  <c r="F645" i="5"/>
  <c r="B645" i="5" s="1"/>
  <c r="F597" i="5"/>
  <c r="B597" i="5" s="1"/>
  <c r="F613" i="5"/>
  <c r="B613" i="5" s="1"/>
  <c r="F445" i="5"/>
  <c r="B445" i="5" s="1"/>
  <c r="F605" i="5"/>
  <c r="B605" i="5" s="1"/>
  <c r="F653" i="5"/>
  <c r="B653" i="5" s="1"/>
  <c r="F477" i="5"/>
  <c r="B477" i="5" s="1"/>
  <c r="F389" i="5"/>
  <c r="B389" i="5" s="1"/>
  <c r="F589" i="5"/>
  <c r="B589" i="5" s="1"/>
  <c r="F429" i="5"/>
  <c r="B429" i="5" s="1"/>
  <c r="F493" i="5"/>
  <c r="B493" i="5" s="1"/>
  <c r="F381" i="5"/>
  <c r="B381" i="5" s="1"/>
  <c r="C531" i="5"/>
  <c r="C389" i="5"/>
  <c r="C390" i="5"/>
  <c r="F349" i="5"/>
  <c r="B349" i="5" s="1"/>
  <c r="F341" i="5"/>
  <c r="B341" i="5" s="1"/>
  <c r="F109" i="5"/>
  <c r="B109" i="5" s="1"/>
  <c r="F141" i="5"/>
  <c r="B141" i="5" s="1"/>
  <c r="F277" i="5"/>
  <c r="B277" i="5" s="1"/>
  <c r="F221" i="5"/>
  <c r="B221" i="5" s="1"/>
  <c r="F29" i="5"/>
  <c r="B29" i="5" s="1"/>
  <c r="F197" i="5"/>
  <c r="B197" i="5" s="1"/>
  <c r="F101" i="5"/>
  <c r="B101" i="5" s="1"/>
  <c r="F149" i="5"/>
  <c r="B149" i="5" s="1"/>
  <c r="F21" i="5"/>
  <c r="B21" i="5" s="1"/>
  <c r="F85" i="5"/>
  <c r="B85" i="5" s="1"/>
  <c r="F229" i="5"/>
  <c r="B229" i="5" s="1"/>
  <c r="F165" i="5"/>
  <c r="B165" i="5" s="1"/>
  <c r="F157" i="5"/>
  <c r="B157" i="5" s="1"/>
  <c r="F285" i="5"/>
  <c r="B285" i="5" s="1"/>
  <c r="F245" i="5"/>
  <c r="B245" i="5" s="1"/>
  <c r="F173" i="5"/>
  <c r="B173" i="5" s="1"/>
  <c r="F189" i="5"/>
  <c r="B189" i="5" s="1"/>
  <c r="F61" i="5"/>
  <c r="B61" i="5" s="1"/>
  <c r="F181" i="5"/>
  <c r="B181" i="5" s="1"/>
  <c r="F77" i="5"/>
  <c r="B77" i="5" s="1"/>
  <c r="F125" i="5"/>
  <c r="B125" i="5" s="1"/>
  <c r="F69" i="5"/>
  <c r="B69" i="5" s="1"/>
  <c r="F45" i="5"/>
  <c r="B45" i="5" s="1"/>
  <c r="F93" i="5"/>
  <c r="B93" i="5" s="1"/>
  <c r="F333" i="5"/>
  <c r="B333" i="5" s="1"/>
  <c r="F317" i="5"/>
  <c r="B317" i="5" s="1"/>
  <c r="F547" i="5"/>
  <c r="B547" i="5" s="1"/>
  <c r="C547" i="5"/>
  <c r="F571" i="5"/>
  <c r="B571" i="5" s="1"/>
  <c r="C571" i="5"/>
  <c r="F139" i="5"/>
  <c r="B139" i="5" s="1"/>
  <c r="C139" i="5"/>
  <c r="F379" i="5"/>
  <c r="B379" i="5" s="1"/>
  <c r="C379" i="5"/>
  <c r="F243" i="5"/>
  <c r="B243" i="5" s="1"/>
  <c r="C243" i="5"/>
  <c r="F19" i="5"/>
  <c r="B19" i="5" s="1"/>
  <c r="C19" i="5"/>
  <c r="F256" i="5"/>
  <c r="B256" i="5" s="1"/>
  <c r="F670" i="11"/>
  <c r="B670" i="11" s="1"/>
  <c r="F670" i="5"/>
  <c r="B670" i="5" s="1"/>
  <c r="F671" i="5"/>
  <c r="B671" i="5" s="1"/>
  <c r="F671" i="11"/>
  <c r="B671" i="11" s="1"/>
  <c r="F530" i="5"/>
  <c r="B530" i="5" s="1"/>
  <c r="F530" i="11"/>
  <c r="B530" i="11" s="1"/>
  <c r="F518" i="5"/>
  <c r="B518" i="5" s="1"/>
  <c r="F376" i="5"/>
  <c r="B376" i="5" s="1"/>
  <c r="F376" i="11"/>
  <c r="B376" i="11" s="1"/>
  <c r="F266" i="5"/>
  <c r="B266" i="5" s="1"/>
  <c r="F266" i="11"/>
  <c r="B266" i="11" s="1"/>
  <c r="F362" i="5"/>
  <c r="B362" i="5" s="1"/>
  <c r="F362" i="11"/>
  <c r="B362" i="11" s="1"/>
  <c r="F358" i="5"/>
  <c r="B358" i="5" s="1"/>
  <c r="F569" i="11"/>
  <c r="B569" i="11" s="1"/>
  <c r="F569" i="5"/>
  <c r="B569" i="5" s="1"/>
  <c r="F133" i="5"/>
  <c r="B133" i="5" s="1"/>
  <c r="F258" i="5"/>
  <c r="B258" i="5" s="1"/>
  <c r="F258" i="11"/>
  <c r="B258" i="11" s="1"/>
  <c r="F673" i="11"/>
  <c r="B673" i="11" s="1"/>
  <c r="F673" i="5"/>
  <c r="B673" i="5" s="1"/>
  <c r="F522" i="5"/>
  <c r="B522" i="5" s="1"/>
  <c r="F551" i="5"/>
  <c r="B551" i="5" s="1"/>
  <c r="F375" i="5"/>
  <c r="B375" i="5" s="1"/>
  <c r="F375" i="11"/>
  <c r="B375" i="11" s="1"/>
  <c r="F265" i="11"/>
  <c r="B265" i="11" s="1"/>
  <c r="F265" i="5"/>
  <c r="B265" i="5" s="1"/>
  <c r="F442" i="11"/>
  <c r="B442" i="11" s="1"/>
  <c r="F442" i="5"/>
  <c r="B442" i="5" s="1"/>
  <c r="F360" i="5"/>
  <c r="B360" i="5" s="1"/>
  <c r="F270" i="5"/>
  <c r="B270" i="5" s="1"/>
  <c r="F543" i="5"/>
  <c r="B543" i="5" s="1"/>
  <c r="F546" i="11"/>
  <c r="B546" i="11" s="1"/>
  <c r="F546" i="5"/>
  <c r="B546" i="5" s="1"/>
  <c r="F568" i="11"/>
  <c r="B568" i="11" s="1"/>
  <c r="F568" i="5"/>
  <c r="B568" i="5" s="1"/>
  <c r="F136" i="5"/>
  <c r="B136" i="5" s="1"/>
  <c r="F238" i="5"/>
  <c r="B238" i="5" s="1"/>
  <c r="F674" i="11"/>
  <c r="B674" i="11" s="1"/>
  <c r="F674" i="5"/>
  <c r="B674" i="5" s="1"/>
  <c r="F554" i="11"/>
  <c r="B554" i="11" s="1"/>
  <c r="F554" i="5"/>
  <c r="B554" i="5" s="1"/>
  <c r="F122" i="11"/>
  <c r="B122" i="11" s="1"/>
  <c r="F122" i="5"/>
  <c r="B122" i="5" s="1"/>
  <c r="F378" i="5"/>
  <c r="B378" i="5" s="1"/>
  <c r="F378" i="11"/>
  <c r="B378" i="11" s="1"/>
  <c r="F263" i="5"/>
  <c r="B263" i="5" s="1"/>
  <c r="F437" i="5"/>
  <c r="B437" i="5" s="1"/>
  <c r="F271" i="5"/>
  <c r="B271" i="5" s="1"/>
  <c r="F567" i="5"/>
  <c r="B567" i="5" s="1"/>
  <c r="F567" i="11"/>
  <c r="B567" i="11" s="1"/>
  <c r="F570" i="5"/>
  <c r="B570" i="5" s="1"/>
  <c r="F570" i="11"/>
  <c r="B570" i="11" s="1"/>
  <c r="F138" i="5"/>
  <c r="B138" i="5" s="1"/>
  <c r="F311" i="5"/>
  <c r="B311" i="5" s="1"/>
  <c r="F257" i="11"/>
  <c r="B257" i="11" s="1"/>
  <c r="F257" i="5"/>
  <c r="B257" i="5" s="1"/>
  <c r="F237" i="5"/>
  <c r="B237" i="5" s="1"/>
  <c r="F672" i="11"/>
  <c r="B672" i="11" s="1"/>
  <c r="F672" i="5"/>
  <c r="B672" i="5" s="1"/>
  <c r="F521" i="5"/>
  <c r="B521" i="5" s="1"/>
  <c r="F377" i="11"/>
  <c r="B377" i="11" s="1"/>
  <c r="F377" i="5"/>
  <c r="B377" i="5" s="1"/>
  <c r="F306" i="11"/>
  <c r="B306" i="11" s="1"/>
  <c r="F306" i="5"/>
  <c r="B306" i="5" s="1"/>
  <c r="F274" i="11"/>
  <c r="B274" i="11" s="1"/>
  <c r="F274" i="5"/>
  <c r="B274" i="5" s="1"/>
  <c r="F272" i="5"/>
  <c r="B272" i="5" s="1"/>
  <c r="F187" i="5"/>
  <c r="B187" i="5" s="1"/>
  <c r="F610" i="5"/>
  <c r="B610" i="5" s="1"/>
  <c r="F650" i="5"/>
  <c r="B650" i="5" s="1"/>
  <c r="F574" i="5"/>
  <c r="B574" i="5" s="1"/>
  <c r="O7" i="6"/>
  <c r="J8" i="6"/>
  <c r="K8" i="6" s="1"/>
  <c r="F203" i="5"/>
  <c r="B203" i="5" s="1"/>
  <c r="F291" i="5"/>
  <c r="B291" i="5" s="1"/>
  <c r="F194" i="11"/>
  <c r="B194" i="11" s="1"/>
  <c r="F650" i="11"/>
  <c r="B650" i="11" s="1"/>
  <c r="F475" i="5"/>
  <c r="B475" i="5" s="1"/>
  <c r="F575" i="5"/>
  <c r="B575" i="5" s="1"/>
  <c r="F155" i="5"/>
  <c r="B155" i="5" s="1"/>
  <c r="F131" i="5"/>
  <c r="B131" i="5" s="1"/>
  <c r="F211" i="5"/>
  <c r="B211" i="5" s="1"/>
  <c r="C337" i="5"/>
  <c r="C561" i="5"/>
  <c r="C56" i="5"/>
  <c r="C614" i="5"/>
  <c r="C224" i="5"/>
  <c r="C505" i="5"/>
  <c r="C562" i="5"/>
  <c r="C557" i="5"/>
  <c r="C616" i="5"/>
  <c r="C336" i="5"/>
  <c r="C333" i="5"/>
  <c r="C445" i="5"/>
  <c r="C110" i="5"/>
  <c r="C168" i="5"/>
  <c r="C53" i="5"/>
  <c r="C113" i="5"/>
  <c r="C502" i="5"/>
  <c r="C617" i="5"/>
  <c r="F171" i="5"/>
  <c r="B171" i="5" s="1"/>
  <c r="C171" i="5"/>
  <c r="C222" i="5"/>
  <c r="C277" i="5"/>
  <c r="C169" i="5"/>
  <c r="C167" i="5"/>
  <c r="C338" i="5"/>
  <c r="C334" i="5"/>
  <c r="C504" i="5"/>
  <c r="C170" i="5"/>
  <c r="C223" i="5"/>
  <c r="C279" i="5"/>
  <c r="C281" i="5"/>
  <c r="C448" i="5"/>
  <c r="C226" i="5"/>
  <c r="C339" i="5"/>
  <c r="C278" i="5"/>
  <c r="C114" i="5"/>
  <c r="C109" i="5"/>
  <c r="C54" i="5"/>
  <c r="C335" i="5"/>
  <c r="C613" i="5"/>
  <c r="C506" i="5"/>
  <c r="C501" i="5"/>
  <c r="C392" i="5"/>
  <c r="C112" i="5"/>
  <c r="C394" i="5"/>
  <c r="C391" i="5"/>
  <c r="C446" i="5"/>
  <c r="C57" i="5"/>
  <c r="C111" i="5"/>
  <c r="C503" i="5"/>
  <c r="C560" i="5"/>
  <c r="C58" i="5"/>
  <c r="C615" i="5"/>
  <c r="C282" i="5"/>
  <c r="C559" i="5"/>
  <c r="C393" i="5"/>
  <c r="C558" i="5"/>
  <c r="C447" i="5"/>
  <c r="C449" i="5"/>
  <c r="C618" i="5"/>
  <c r="C225" i="5"/>
  <c r="C55" i="5"/>
  <c r="C450" i="5"/>
  <c r="C174" i="5"/>
  <c r="C47" i="5"/>
  <c r="C88" i="5"/>
  <c r="C233" i="5"/>
  <c r="C247" i="5"/>
  <c r="C354" i="5"/>
  <c r="C402" i="5"/>
  <c r="C296" i="5"/>
  <c r="C473" i="5"/>
  <c r="C347" i="5"/>
  <c r="C425" i="5"/>
  <c r="C656" i="5"/>
  <c r="C98" i="5"/>
  <c r="C173" i="5"/>
  <c r="C46" i="5"/>
  <c r="C144" i="5"/>
  <c r="C152" i="5"/>
  <c r="C37" i="5"/>
  <c r="C350" i="5"/>
  <c r="C400" i="5"/>
  <c r="C470" i="5"/>
  <c r="C474" i="5"/>
  <c r="C665" i="5"/>
  <c r="C663" i="5"/>
  <c r="C382" i="5"/>
  <c r="C288" i="5"/>
  <c r="C319" i="5"/>
  <c r="C454" i="5"/>
  <c r="C607" i="5"/>
  <c r="C600" i="5"/>
  <c r="C623" i="5"/>
  <c r="C640" i="5"/>
  <c r="C96" i="5"/>
  <c r="C40" i="5"/>
  <c r="C78" i="5"/>
  <c r="C245" i="5"/>
  <c r="C214" i="5"/>
  <c r="C398" i="5"/>
  <c r="C294" i="5"/>
  <c r="C406" i="5"/>
  <c r="C321" i="5"/>
  <c r="C465" i="5"/>
  <c r="C494" i="5"/>
  <c r="F659" i="5"/>
  <c r="B659" i="5" s="1"/>
  <c r="C659" i="5"/>
  <c r="C23" i="5"/>
  <c r="C62" i="5"/>
  <c r="C95" i="5"/>
  <c r="C175" i="5"/>
  <c r="C142" i="5"/>
  <c r="C150" i="5"/>
  <c r="C186" i="5"/>
  <c r="C182" i="5"/>
  <c r="C77" i="5"/>
  <c r="C33" i="5"/>
  <c r="C194" i="5"/>
  <c r="C229" i="5"/>
  <c r="C232" i="5"/>
  <c r="C218" i="5"/>
  <c r="C213" i="5"/>
  <c r="C401" i="5"/>
  <c r="C293" i="5"/>
  <c r="C289" i="5"/>
  <c r="C514" i="5"/>
  <c r="C423" i="5"/>
  <c r="C493" i="5"/>
  <c r="C606" i="5"/>
  <c r="C610" i="5"/>
  <c r="C654" i="5"/>
  <c r="C66" i="5"/>
  <c r="C94" i="5"/>
  <c r="C177" i="5"/>
  <c r="C146" i="5"/>
  <c r="C141" i="5"/>
  <c r="C154" i="5"/>
  <c r="C38" i="5"/>
  <c r="C70" i="5"/>
  <c r="C231" i="5"/>
  <c r="C351" i="5"/>
  <c r="C485" i="5"/>
  <c r="C488" i="5"/>
  <c r="C664" i="5"/>
  <c r="C512" i="5"/>
  <c r="C477" i="5"/>
  <c r="C480" i="5"/>
  <c r="C464" i="5"/>
  <c r="C463" i="5"/>
  <c r="C498" i="5"/>
  <c r="C605" i="5"/>
  <c r="C608" i="5"/>
  <c r="C591" i="5"/>
  <c r="C22" i="5"/>
  <c r="C26" i="5"/>
  <c r="C93" i="5"/>
  <c r="C126" i="5"/>
  <c r="C130" i="5"/>
  <c r="C49" i="5"/>
  <c r="C183" i="5"/>
  <c r="C102" i="5"/>
  <c r="C250" i="5"/>
  <c r="C246" i="5"/>
  <c r="C352" i="5"/>
  <c r="C295" i="5"/>
  <c r="C410" i="5"/>
  <c r="C385" i="5"/>
  <c r="C457" i="5"/>
  <c r="C422" i="5"/>
  <c r="C426" i="5"/>
  <c r="C479" i="5"/>
  <c r="C602" i="5"/>
  <c r="C630" i="5"/>
  <c r="C176" i="5"/>
  <c r="C86" i="5"/>
  <c r="C185" i="5"/>
  <c r="C184" i="5"/>
  <c r="C81" i="5"/>
  <c r="C248" i="5"/>
  <c r="C297" i="5"/>
  <c r="C433" i="5"/>
  <c r="C489" i="5"/>
  <c r="C661" i="5"/>
  <c r="C386" i="5"/>
  <c r="C383" i="5"/>
  <c r="C458" i="5"/>
  <c r="C510" i="5"/>
  <c r="C598" i="5"/>
  <c r="C651" i="5"/>
  <c r="V10" i="6"/>
  <c r="C10" i="5"/>
  <c r="C65" i="5"/>
  <c r="C90" i="5"/>
  <c r="C71" i="5"/>
  <c r="C104" i="5"/>
  <c r="C201" i="5"/>
  <c r="C353" i="5"/>
  <c r="C430" i="5"/>
  <c r="C434" i="5"/>
  <c r="C405" i="5"/>
  <c r="C409" i="5"/>
  <c r="C384" i="5"/>
  <c r="C509" i="5"/>
  <c r="C546" i="5"/>
  <c r="C552" i="5"/>
  <c r="C497" i="5"/>
  <c r="C622" i="5"/>
  <c r="C626" i="5"/>
  <c r="C658" i="5"/>
  <c r="C638" i="5"/>
  <c r="C650" i="5"/>
  <c r="C6" i="5"/>
  <c r="V6" i="6"/>
  <c r="W6" i="6" s="1"/>
  <c r="F6" i="5" s="1"/>
  <c r="C61" i="5"/>
  <c r="C97" i="5"/>
  <c r="C149" i="5"/>
  <c r="C41" i="5"/>
  <c r="C80" i="5"/>
  <c r="C34" i="5"/>
  <c r="C73" i="5"/>
  <c r="C192" i="5"/>
  <c r="C217" i="5"/>
  <c r="C429" i="5"/>
  <c r="C432" i="5"/>
  <c r="C407" i="5"/>
  <c r="C320" i="5"/>
  <c r="C585" i="5"/>
  <c r="C578" i="5"/>
  <c r="C601" i="5"/>
  <c r="C653" i="5"/>
  <c r="C634" i="5"/>
  <c r="C87" i="5"/>
  <c r="C79" i="5"/>
  <c r="C161" i="5"/>
  <c r="C74" i="5"/>
  <c r="C105" i="5"/>
  <c r="C190" i="5"/>
  <c r="C431" i="5"/>
  <c r="C345" i="5"/>
  <c r="C343" i="5"/>
  <c r="C378" i="5"/>
  <c r="C342" i="5"/>
  <c r="C496" i="5"/>
  <c r="C529" i="5"/>
  <c r="C566" i="5"/>
  <c r="C582" i="5"/>
  <c r="C586" i="5"/>
  <c r="C593" i="5"/>
  <c r="C657" i="5"/>
  <c r="V5" i="6"/>
  <c r="W5" i="6" s="1"/>
  <c r="F5" i="5" s="1"/>
  <c r="B5" i="5" s="1"/>
  <c r="C5" i="5"/>
  <c r="C63" i="5"/>
  <c r="C50" i="5"/>
  <c r="C89" i="5"/>
  <c r="C143" i="5"/>
  <c r="C106" i="5"/>
  <c r="C197" i="5"/>
  <c r="C200" i="5"/>
  <c r="C230" i="5"/>
  <c r="C234" i="5"/>
  <c r="C346" i="5"/>
  <c r="C287" i="5"/>
  <c r="C413" i="5"/>
  <c r="C416" i="5"/>
  <c r="C453" i="5"/>
  <c r="C513" i="5"/>
  <c r="C421" i="5"/>
  <c r="C424" i="5"/>
  <c r="C481" i="5"/>
  <c r="C581" i="5"/>
  <c r="C584" i="5"/>
  <c r="C609" i="5"/>
  <c r="C590" i="5"/>
  <c r="C594" i="5"/>
  <c r="C625" i="5"/>
  <c r="C629" i="5"/>
  <c r="C632" i="5"/>
  <c r="C129" i="5"/>
  <c r="C48" i="5"/>
  <c r="C85" i="5"/>
  <c r="C199" i="5"/>
  <c r="C249" i="5"/>
  <c r="C486" i="5"/>
  <c r="C490" i="5"/>
  <c r="C666" i="5"/>
  <c r="C375" i="5"/>
  <c r="C478" i="5"/>
  <c r="C482" i="5"/>
  <c r="C466" i="5"/>
  <c r="C462" i="5"/>
  <c r="C583" i="5"/>
  <c r="C589" i="5"/>
  <c r="C592" i="5"/>
  <c r="C597" i="5"/>
  <c r="C645" i="5"/>
  <c r="C633" i="5"/>
  <c r="V8" i="6"/>
  <c r="W8" i="6" s="1"/>
  <c r="F8" i="5" s="1"/>
  <c r="B8" i="5" s="1"/>
  <c r="C8" i="5"/>
  <c r="C181" i="5"/>
  <c r="C157" i="5"/>
  <c r="C160" i="5"/>
  <c r="C29" i="5"/>
  <c r="C103" i="5"/>
  <c r="C216" i="5"/>
  <c r="C399" i="5"/>
  <c r="C290" i="5"/>
  <c r="C417" i="5"/>
  <c r="C455" i="5"/>
  <c r="C621" i="5"/>
  <c r="C624" i="5"/>
  <c r="C642" i="5"/>
  <c r="C637" i="5"/>
  <c r="C648" i="5"/>
  <c r="C9" i="5"/>
  <c r="V9" i="6"/>
  <c r="W9" i="6" s="1"/>
  <c r="F9" i="5" s="1"/>
  <c r="B9" i="5" s="1"/>
  <c r="C64" i="5"/>
  <c r="C178" i="5"/>
  <c r="C145" i="5"/>
  <c r="C42" i="5"/>
  <c r="C159" i="5"/>
  <c r="C32" i="5"/>
  <c r="C69" i="5"/>
  <c r="C198" i="5"/>
  <c r="C202" i="5"/>
  <c r="C215" i="5"/>
  <c r="C361" i="5"/>
  <c r="C414" i="5"/>
  <c r="C418" i="5"/>
  <c r="C511" i="5"/>
  <c r="C550" i="5"/>
  <c r="C576" i="5"/>
  <c r="C649" i="5"/>
  <c r="C647" i="5"/>
  <c r="C21" i="5"/>
  <c r="C24" i="5"/>
  <c r="V7" i="6"/>
  <c r="W7" i="6" s="1"/>
  <c r="F7" i="5" s="1"/>
  <c r="B7" i="5" s="1"/>
  <c r="C7" i="5"/>
  <c r="C125" i="5"/>
  <c r="C128" i="5"/>
  <c r="C45" i="5"/>
  <c r="C153" i="5"/>
  <c r="C151" i="5"/>
  <c r="C31" i="5"/>
  <c r="C72" i="5"/>
  <c r="C101" i="5"/>
  <c r="C189" i="5"/>
  <c r="C349" i="5"/>
  <c r="C469" i="5"/>
  <c r="C472" i="5"/>
  <c r="F667" i="5"/>
  <c r="B667" i="5" s="1"/>
  <c r="C667" i="5"/>
  <c r="C408" i="5"/>
  <c r="C461" i="5"/>
  <c r="C655" i="5"/>
  <c r="C639" i="5"/>
  <c r="C646" i="5"/>
  <c r="C25" i="5"/>
  <c r="C127" i="5"/>
  <c r="C39" i="5"/>
  <c r="C82" i="5"/>
  <c r="C158" i="5"/>
  <c r="C162" i="5"/>
  <c r="C30" i="5"/>
  <c r="F355" i="5"/>
  <c r="B355" i="5" s="1"/>
  <c r="C355" i="5"/>
  <c r="C397" i="5"/>
  <c r="C271" i="5"/>
  <c r="C298" i="5"/>
  <c r="C471" i="5"/>
  <c r="C662" i="5"/>
  <c r="C344" i="5"/>
  <c r="C322" i="5"/>
  <c r="C456" i="5"/>
  <c r="C577" i="5"/>
  <c r="D11" i="4"/>
  <c r="D37" i="4" s="1"/>
  <c r="Y41" i="6" s="1"/>
  <c r="D6" i="4"/>
  <c r="Y42" i="6" l="1"/>
  <c r="F42" i="11" s="1"/>
  <c r="B42" i="11" s="1"/>
  <c r="Y30" i="6"/>
  <c r="Y40" i="6"/>
  <c r="Y39" i="6"/>
  <c r="Y38" i="6"/>
  <c r="F38" i="11" s="1"/>
  <c r="B38" i="11" s="1"/>
  <c r="Y32" i="6"/>
  <c r="F32" i="11" s="1"/>
  <c r="B32" i="11" s="1"/>
  <c r="Y31" i="6"/>
  <c r="Y22" i="6"/>
  <c r="F22" i="11" s="1"/>
  <c r="B22" i="11" s="1"/>
  <c r="Y23" i="6"/>
  <c r="Y15" i="6"/>
  <c r="F15" i="11" s="1"/>
  <c r="B15" i="11" s="1"/>
  <c r="Y14" i="6"/>
  <c r="F14" i="11" s="1"/>
  <c r="B14" i="11" s="1"/>
  <c r="C14" i="5"/>
  <c r="C358" i="5"/>
  <c r="C542" i="5"/>
  <c r="C439" i="5"/>
  <c r="F390" i="11"/>
  <c r="B390" i="11" s="1"/>
  <c r="F575" i="11"/>
  <c r="B575" i="11" s="1"/>
  <c r="F574" i="11"/>
  <c r="B574" i="11" s="1"/>
  <c r="F550" i="5"/>
  <c r="B550" i="5" s="1"/>
  <c r="F527" i="5"/>
  <c r="B527" i="5" s="1"/>
  <c r="F518" i="11"/>
  <c r="B518" i="11" s="1"/>
  <c r="F457" i="11"/>
  <c r="B457" i="11" s="1"/>
  <c r="C568" i="5"/>
  <c r="F296" i="11"/>
  <c r="B296" i="11" s="1"/>
  <c r="F382" i="11"/>
  <c r="B382" i="11" s="1"/>
  <c r="F374" i="11"/>
  <c r="B374" i="11" s="1"/>
  <c r="C304" i="5"/>
  <c r="F298" i="11"/>
  <c r="B298" i="11" s="1"/>
  <c r="F297" i="11"/>
  <c r="B297" i="11" s="1"/>
  <c r="C263" i="5"/>
  <c r="F254" i="5"/>
  <c r="B254" i="5" s="1"/>
  <c r="C242" i="5"/>
  <c r="C442" i="5"/>
  <c r="C305" i="5"/>
  <c r="C138" i="5"/>
  <c r="C549" i="5"/>
  <c r="C16" i="5"/>
  <c r="C357" i="5"/>
  <c r="C254" i="5"/>
  <c r="C554" i="5"/>
  <c r="C544" i="5"/>
  <c r="C520" i="5"/>
  <c r="C437" i="5"/>
  <c r="C241" i="5"/>
  <c r="C208" i="5"/>
  <c r="C133" i="5"/>
  <c r="C136" i="5"/>
  <c r="C117" i="5"/>
  <c r="F130" i="11"/>
  <c r="B130" i="11" s="1"/>
  <c r="Y11" i="6"/>
  <c r="F11" i="11" s="1"/>
  <c r="B11" i="11" s="1"/>
  <c r="C543" i="5"/>
  <c r="C530" i="5"/>
  <c r="C438" i="5"/>
  <c r="F234" i="11"/>
  <c r="B234" i="11" s="1"/>
  <c r="F233" i="11"/>
  <c r="B233" i="11" s="1"/>
  <c r="F232" i="11"/>
  <c r="B232" i="11" s="1"/>
  <c r="F210" i="5"/>
  <c r="B210" i="5" s="1"/>
  <c r="F210" i="11"/>
  <c r="B210" i="11" s="1"/>
  <c r="F185" i="11"/>
  <c r="B185" i="11" s="1"/>
  <c r="F184" i="11"/>
  <c r="B184" i="11" s="1"/>
  <c r="F138" i="11"/>
  <c r="B138" i="11" s="1"/>
  <c r="F137" i="5"/>
  <c r="B137" i="5" s="1"/>
  <c r="F121" i="11"/>
  <c r="B121" i="11" s="1"/>
  <c r="F121" i="5"/>
  <c r="B121" i="5" s="1"/>
  <c r="F120" i="5"/>
  <c r="B120" i="5" s="1"/>
  <c r="F120" i="11"/>
  <c r="B120" i="11" s="1"/>
  <c r="C119" i="5"/>
  <c r="F106" i="11"/>
  <c r="B106" i="11" s="1"/>
  <c r="F114" i="11"/>
  <c r="B114" i="11" s="1"/>
  <c r="F255" i="11"/>
  <c r="B255" i="11" s="1"/>
  <c r="F34" i="11"/>
  <c r="B34" i="11" s="1"/>
  <c r="F26" i="11"/>
  <c r="B26" i="11" s="1"/>
  <c r="F18" i="5"/>
  <c r="B18" i="5" s="1"/>
  <c r="F18" i="11"/>
  <c r="B18" i="11" s="1"/>
  <c r="C312" i="5"/>
  <c r="C273" i="5"/>
  <c r="F295" i="11"/>
  <c r="B295" i="11" s="1"/>
  <c r="F280" i="11"/>
  <c r="B280" i="11" s="1"/>
  <c r="F279" i="11"/>
  <c r="B279" i="11" s="1"/>
  <c r="F278" i="11"/>
  <c r="B278" i="11" s="1"/>
  <c r="F273" i="11"/>
  <c r="B273" i="11" s="1"/>
  <c r="F273" i="5"/>
  <c r="B273" i="5" s="1"/>
  <c r="F272" i="11"/>
  <c r="B272" i="11" s="1"/>
  <c r="F271" i="11"/>
  <c r="B271" i="11" s="1"/>
  <c r="F270" i="11"/>
  <c r="B270" i="11" s="1"/>
  <c r="F264" i="5"/>
  <c r="B264" i="5" s="1"/>
  <c r="F264" i="11"/>
  <c r="B264" i="11" s="1"/>
  <c r="F263" i="11"/>
  <c r="B263" i="11" s="1"/>
  <c r="F262" i="11"/>
  <c r="B262" i="11" s="1"/>
  <c r="F262" i="5"/>
  <c r="B262" i="5" s="1"/>
  <c r="F256" i="11"/>
  <c r="B256" i="11" s="1"/>
  <c r="F255" i="5"/>
  <c r="B255" i="5" s="1"/>
  <c r="F254" i="11"/>
  <c r="B254" i="11" s="1"/>
  <c r="F214" i="11"/>
  <c r="B214" i="11" s="1"/>
  <c r="F231" i="11"/>
  <c r="B231" i="11" s="1"/>
  <c r="F218" i="11"/>
  <c r="B218" i="11" s="1"/>
  <c r="F217" i="11"/>
  <c r="B217" i="11" s="1"/>
  <c r="F216" i="11"/>
  <c r="B216" i="11" s="1"/>
  <c r="F215" i="11"/>
  <c r="B215" i="11" s="1"/>
  <c r="F209" i="5"/>
  <c r="B209" i="5" s="1"/>
  <c r="C207" i="5"/>
  <c r="F207" i="5"/>
  <c r="B207" i="5" s="1"/>
  <c r="F178" i="11"/>
  <c r="B178" i="11" s="1"/>
  <c r="F201" i="11"/>
  <c r="B201" i="11" s="1"/>
  <c r="F176" i="11"/>
  <c r="B176" i="11" s="1"/>
  <c r="F177" i="11"/>
  <c r="B177" i="11" s="1"/>
  <c r="F169" i="11"/>
  <c r="B169" i="11" s="1"/>
  <c r="F175" i="11"/>
  <c r="B175" i="11" s="1"/>
  <c r="F161" i="11"/>
  <c r="B161" i="11" s="1"/>
  <c r="F168" i="11"/>
  <c r="B168" i="11" s="1"/>
  <c r="F162" i="11"/>
  <c r="B162" i="11" s="1"/>
  <c r="F153" i="11"/>
  <c r="B153" i="11" s="1"/>
  <c r="F160" i="11"/>
  <c r="B160" i="11" s="1"/>
  <c r="F159" i="11"/>
  <c r="B159" i="11" s="1"/>
  <c r="F145" i="11"/>
  <c r="B145" i="11" s="1"/>
  <c r="F152" i="11"/>
  <c r="B152" i="11" s="1"/>
  <c r="F151" i="11"/>
  <c r="B151" i="11" s="1"/>
  <c r="F129" i="11"/>
  <c r="B129" i="11" s="1"/>
  <c r="F144" i="11"/>
  <c r="B144" i="11" s="1"/>
  <c r="F143" i="11"/>
  <c r="B143" i="11" s="1"/>
  <c r="F137" i="11"/>
  <c r="B137" i="11" s="1"/>
  <c r="F136" i="11"/>
  <c r="B136" i="11" s="1"/>
  <c r="F135" i="5"/>
  <c r="B135" i="5" s="1"/>
  <c r="F135" i="11"/>
  <c r="B135" i="11" s="1"/>
  <c r="F127" i="11"/>
  <c r="B127" i="11" s="1"/>
  <c r="F128" i="11"/>
  <c r="B128" i="11" s="1"/>
  <c r="F119" i="11"/>
  <c r="B119" i="11" s="1"/>
  <c r="F119" i="5"/>
  <c r="B119" i="5" s="1"/>
  <c r="F65" i="11"/>
  <c r="B65" i="11" s="1"/>
  <c r="F113" i="11"/>
  <c r="B113" i="11" s="1"/>
  <c r="F112" i="11"/>
  <c r="B112" i="11" s="1"/>
  <c r="F103" i="11"/>
  <c r="B103" i="11" s="1"/>
  <c r="F64" i="11"/>
  <c r="B64" i="11" s="1"/>
  <c r="F57" i="11"/>
  <c r="B57" i="11" s="1"/>
  <c r="F41" i="11"/>
  <c r="B41" i="11" s="1"/>
  <c r="F105" i="11"/>
  <c r="B105" i="11" s="1"/>
  <c r="F104" i="11"/>
  <c r="B104" i="11" s="1"/>
  <c r="F95" i="11"/>
  <c r="B95" i="11" s="1"/>
  <c r="F97" i="11"/>
  <c r="B97" i="11" s="1"/>
  <c r="F96" i="11"/>
  <c r="B96" i="11" s="1"/>
  <c r="F81" i="11"/>
  <c r="B81" i="11" s="1"/>
  <c r="F89" i="11"/>
  <c r="B89" i="11" s="1"/>
  <c r="F88" i="11"/>
  <c r="B88" i="11" s="1"/>
  <c r="F82" i="11"/>
  <c r="B82" i="11" s="1"/>
  <c r="F79" i="11"/>
  <c r="B79" i="11" s="1"/>
  <c r="F80" i="11"/>
  <c r="B80" i="11" s="1"/>
  <c r="F63" i="11"/>
  <c r="B63" i="11" s="1"/>
  <c r="F78" i="11"/>
  <c r="B78" i="11" s="1"/>
  <c r="F48" i="11"/>
  <c r="B48" i="11" s="1"/>
  <c r="F62" i="11"/>
  <c r="B62" i="11" s="1"/>
  <c r="F56" i="11"/>
  <c r="B56" i="11" s="1"/>
  <c r="F55" i="11"/>
  <c r="B55" i="11" s="1"/>
  <c r="F54" i="11"/>
  <c r="B54" i="11" s="1"/>
  <c r="F49" i="11"/>
  <c r="B49" i="11" s="1"/>
  <c r="F46" i="11"/>
  <c r="B46" i="11" s="1"/>
  <c r="F47" i="11"/>
  <c r="B47" i="11" s="1"/>
  <c r="F31" i="11"/>
  <c r="B31" i="11" s="1"/>
  <c r="F40" i="11"/>
  <c r="B40" i="11" s="1"/>
  <c r="F39" i="11"/>
  <c r="B39" i="11" s="1"/>
  <c r="F33" i="11"/>
  <c r="B33" i="11" s="1"/>
  <c r="F25" i="11"/>
  <c r="B25" i="11" s="1"/>
  <c r="F30" i="11"/>
  <c r="B30" i="11" s="1"/>
  <c r="Y9" i="6"/>
  <c r="F9" i="11" s="1"/>
  <c r="B9" i="11" s="1"/>
  <c r="F24" i="11"/>
  <c r="B24" i="11" s="1"/>
  <c r="F23" i="11"/>
  <c r="B23" i="11" s="1"/>
  <c r="F17" i="5"/>
  <c r="B17" i="5" s="1"/>
  <c r="F17" i="11"/>
  <c r="B17" i="11" s="1"/>
  <c r="F16" i="11"/>
  <c r="B16" i="11" s="1"/>
  <c r="F16" i="5"/>
  <c r="B16" i="5" s="1"/>
  <c r="F15" i="5"/>
  <c r="B15" i="5" s="1"/>
  <c r="F14" i="5"/>
  <c r="B14" i="5" s="1"/>
  <c r="F560" i="11"/>
  <c r="B560" i="11" s="1"/>
  <c r="Y8" i="6"/>
  <c r="F8" i="11" s="1"/>
  <c r="B8" i="11" s="1"/>
  <c r="Y7" i="6"/>
  <c r="F7" i="11" s="1"/>
  <c r="B7" i="11" s="1"/>
  <c r="F2" i="5"/>
  <c r="B6" i="5"/>
  <c r="Y6" i="6"/>
  <c r="F6" i="11" s="1"/>
  <c r="B6" i="11" s="1"/>
  <c r="C270" i="5"/>
  <c r="C257" i="5"/>
  <c r="C206" i="5"/>
  <c r="C256" i="5"/>
  <c r="C18" i="5"/>
  <c r="C239" i="5"/>
  <c r="C134" i="5"/>
  <c r="F566" i="5"/>
  <c r="B566" i="5" s="1"/>
  <c r="F566" i="11"/>
  <c r="B566" i="11" s="1"/>
  <c r="F512" i="11"/>
  <c r="B512" i="11" s="1"/>
  <c r="F559" i="11"/>
  <c r="B559" i="11" s="1"/>
  <c r="F558" i="11"/>
  <c r="B558" i="11" s="1"/>
  <c r="F553" i="5"/>
  <c r="B553" i="5" s="1"/>
  <c r="F553" i="11"/>
  <c r="B553" i="11" s="1"/>
  <c r="F552" i="5"/>
  <c r="B552" i="5" s="1"/>
  <c r="F552" i="11"/>
  <c r="B552" i="11" s="1"/>
  <c r="F551" i="11"/>
  <c r="B551" i="11" s="1"/>
  <c r="F550" i="11"/>
  <c r="B550" i="11" s="1"/>
  <c r="F545" i="5"/>
  <c r="B545" i="5" s="1"/>
  <c r="F545" i="11"/>
  <c r="B545" i="11" s="1"/>
  <c r="F544" i="11"/>
  <c r="B544" i="11" s="1"/>
  <c r="F544" i="5"/>
  <c r="B544" i="5" s="1"/>
  <c r="F543" i="11"/>
  <c r="B543" i="11" s="1"/>
  <c r="F542" i="5"/>
  <c r="B542" i="5" s="1"/>
  <c r="F542" i="11"/>
  <c r="B542" i="11" s="1"/>
  <c r="F529" i="5"/>
  <c r="B529" i="5" s="1"/>
  <c r="F529" i="11"/>
  <c r="B529" i="11" s="1"/>
  <c r="F528" i="5"/>
  <c r="B528" i="5" s="1"/>
  <c r="F528" i="11"/>
  <c r="B528" i="11" s="1"/>
  <c r="F527" i="11"/>
  <c r="B527" i="11" s="1"/>
  <c r="F526" i="11"/>
  <c r="B526" i="11" s="1"/>
  <c r="F522" i="11"/>
  <c r="B522" i="11" s="1"/>
  <c r="F521" i="11"/>
  <c r="B521" i="11" s="1"/>
  <c r="F520" i="11"/>
  <c r="B520" i="11" s="1"/>
  <c r="F520" i="5"/>
  <c r="B520" i="5" s="1"/>
  <c r="F519" i="5"/>
  <c r="B519" i="5" s="1"/>
  <c r="F519" i="11"/>
  <c r="B519" i="11" s="1"/>
  <c r="F513" i="11"/>
  <c r="B513" i="11" s="1"/>
  <c r="F502" i="11"/>
  <c r="B502" i="11" s="1"/>
  <c r="F511" i="11"/>
  <c r="B511" i="11" s="1"/>
  <c r="F510" i="11"/>
  <c r="B510" i="11" s="1"/>
  <c r="F505" i="11"/>
  <c r="B505" i="11" s="1"/>
  <c r="F504" i="11"/>
  <c r="B504" i="11" s="1"/>
  <c r="F503" i="11"/>
  <c r="B503" i="11" s="1"/>
  <c r="F494" i="11"/>
  <c r="B494" i="11" s="1"/>
  <c r="F497" i="11"/>
  <c r="B497" i="11" s="1"/>
  <c r="F496" i="11"/>
  <c r="B496" i="11" s="1"/>
  <c r="F495" i="11"/>
  <c r="B495" i="11" s="1"/>
  <c r="F480" i="11"/>
  <c r="B480" i="11" s="1"/>
  <c r="F489" i="11"/>
  <c r="B489" i="11" s="1"/>
  <c r="F488" i="11"/>
  <c r="B488" i="11" s="1"/>
  <c r="F487" i="11"/>
  <c r="B487" i="11" s="1"/>
  <c r="F486" i="11"/>
  <c r="B486" i="11" s="1"/>
  <c r="F481" i="11"/>
  <c r="B481" i="11" s="1"/>
  <c r="F473" i="11"/>
  <c r="B473" i="11" s="1"/>
  <c r="F479" i="11"/>
  <c r="B479" i="11" s="1"/>
  <c r="F478" i="11"/>
  <c r="B478" i="11" s="1"/>
  <c r="F462" i="11"/>
  <c r="B462" i="11" s="1"/>
  <c r="F472" i="11"/>
  <c r="B472" i="11" s="1"/>
  <c r="F471" i="11"/>
  <c r="B471" i="11" s="1"/>
  <c r="F470" i="11"/>
  <c r="B470" i="11" s="1"/>
  <c r="F465" i="11"/>
  <c r="B465" i="11" s="1"/>
  <c r="F464" i="11"/>
  <c r="B464" i="11" s="1"/>
  <c r="F463" i="11"/>
  <c r="B463" i="11" s="1"/>
  <c r="F454" i="11"/>
  <c r="B454" i="11" s="1"/>
  <c r="F456" i="11"/>
  <c r="B456" i="11" s="1"/>
  <c r="F455" i="11"/>
  <c r="B455" i="11" s="1"/>
  <c r="F438" i="11"/>
  <c r="B438" i="11" s="1"/>
  <c r="F446" i="11"/>
  <c r="B446" i="11" s="1"/>
  <c r="F441" i="11"/>
  <c r="B441" i="11" s="1"/>
  <c r="F441" i="5"/>
  <c r="B441" i="5" s="1"/>
  <c r="F440" i="5"/>
  <c r="B440" i="5" s="1"/>
  <c r="F440" i="11"/>
  <c r="B440" i="11" s="1"/>
  <c r="F439" i="11"/>
  <c r="B439" i="11" s="1"/>
  <c r="F439" i="5"/>
  <c r="B439" i="5" s="1"/>
  <c r="F438" i="5"/>
  <c r="B438" i="5" s="1"/>
  <c r="F414" i="11"/>
  <c r="B414" i="11" s="1"/>
  <c r="F430" i="11"/>
  <c r="B430" i="11" s="1"/>
  <c r="F425" i="11"/>
  <c r="B425" i="11" s="1"/>
  <c r="F424" i="11"/>
  <c r="B424" i="11" s="1"/>
  <c r="F423" i="11"/>
  <c r="B423" i="11" s="1"/>
  <c r="F422" i="11"/>
  <c r="B422" i="11" s="1"/>
  <c r="F399" i="11"/>
  <c r="B399" i="11" s="1"/>
  <c r="F408" i="11"/>
  <c r="B408" i="11" s="1"/>
  <c r="F406" i="11"/>
  <c r="B406" i="11" s="1"/>
  <c r="F407" i="11"/>
  <c r="B407" i="11" s="1"/>
  <c r="F359" i="11"/>
  <c r="B359" i="11" s="1"/>
  <c r="F398" i="11"/>
  <c r="B398" i="11" s="1"/>
  <c r="F361" i="11"/>
  <c r="B361" i="11" s="1"/>
  <c r="F361" i="5"/>
  <c r="B361" i="5" s="1"/>
  <c r="F360" i="11"/>
  <c r="B360" i="11" s="1"/>
  <c r="F359" i="5"/>
  <c r="B359" i="5" s="1"/>
  <c r="F358" i="11"/>
  <c r="B358" i="11" s="1"/>
  <c r="F350" i="11"/>
  <c r="B350" i="11" s="1"/>
  <c r="F353" i="11"/>
  <c r="B353" i="11" s="1"/>
  <c r="F352" i="11"/>
  <c r="B352" i="11" s="1"/>
  <c r="F351" i="11"/>
  <c r="B351" i="11" s="1"/>
  <c r="F294" i="11"/>
  <c r="B294" i="11" s="1"/>
  <c r="F342" i="11"/>
  <c r="B342" i="11" s="1"/>
  <c r="F335" i="11"/>
  <c r="B335" i="11" s="1"/>
  <c r="F334" i="11"/>
  <c r="B334" i="11" s="1"/>
  <c r="F319" i="11"/>
  <c r="B319" i="11" s="1"/>
  <c r="F318" i="11"/>
  <c r="B318" i="11" s="1"/>
  <c r="F314" i="5"/>
  <c r="B314" i="5" s="1"/>
  <c r="F314" i="11"/>
  <c r="B314" i="11" s="1"/>
  <c r="F313" i="11"/>
  <c r="B313" i="11" s="1"/>
  <c r="F313" i="5"/>
  <c r="B313" i="5" s="1"/>
  <c r="F312" i="5"/>
  <c r="B312" i="5" s="1"/>
  <c r="F312" i="11"/>
  <c r="B312" i="11" s="1"/>
  <c r="F311" i="11"/>
  <c r="B311" i="11" s="1"/>
  <c r="F310" i="5"/>
  <c r="B310" i="5" s="1"/>
  <c r="F310" i="11"/>
  <c r="B310" i="11" s="1"/>
  <c r="F305" i="5"/>
  <c r="B305" i="5" s="1"/>
  <c r="F305" i="11"/>
  <c r="B305" i="11" s="1"/>
  <c r="F304" i="11"/>
  <c r="B304" i="11" s="1"/>
  <c r="F304" i="5"/>
  <c r="B304" i="5" s="1"/>
  <c r="F303" i="5"/>
  <c r="B303" i="5" s="1"/>
  <c r="F303" i="11"/>
  <c r="B303" i="11" s="1"/>
  <c r="F302" i="11"/>
  <c r="B302" i="11" s="1"/>
  <c r="F288" i="11"/>
  <c r="B288" i="11" s="1"/>
  <c r="F289" i="11"/>
  <c r="B289" i="11" s="1"/>
  <c r="F286" i="11"/>
  <c r="B286" i="11" s="1"/>
  <c r="F287" i="11"/>
  <c r="B287" i="11" s="1"/>
  <c r="C313" i="5"/>
  <c r="C311" i="5"/>
  <c r="C306" i="5"/>
  <c r="C310" i="5"/>
  <c r="C362" i="5"/>
  <c r="C301" i="5"/>
  <c r="F238" i="11"/>
  <c r="B238" i="11" s="1"/>
  <c r="F250" i="11"/>
  <c r="B250" i="11" s="1"/>
  <c r="F249" i="11"/>
  <c r="B249" i="11" s="1"/>
  <c r="F248" i="11"/>
  <c r="B248" i="11" s="1"/>
  <c r="F247" i="11"/>
  <c r="B247" i="11" s="1"/>
  <c r="F246" i="11"/>
  <c r="B246" i="11" s="1"/>
  <c r="F242" i="11"/>
  <c r="B242" i="11" s="1"/>
  <c r="F242" i="5"/>
  <c r="B242" i="5" s="1"/>
  <c r="F241" i="11"/>
  <c r="B241" i="11" s="1"/>
  <c r="F241" i="5"/>
  <c r="B241" i="5" s="1"/>
  <c r="F240" i="5"/>
  <c r="B240" i="5" s="1"/>
  <c r="F240" i="11"/>
  <c r="B240" i="11" s="1"/>
  <c r="F239" i="11"/>
  <c r="B239" i="11" s="1"/>
  <c r="F239" i="5"/>
  <c r="B239" i="5" s="1"/>
  <c r="F224" i="11"/>
  <c r="B224" i="11" s="1"/>
  <c r="F230" i="11"/>
  <c r="B230" i="11" s="1"/>
  <c r="F225" i="11"/>
  <c r="B225" i="11" s="1"/>
  <c r="F158" i="11"/>
  <c r="B158" i="11" s="1"/>
  <c r="F223" i="11"/>
  <c r="B223" i="11" s="1"/>
  <c r="F222" i="11"/>
  <c r="B222" i="11" s="1"/>
  <c r="F209" i="11"/>
  <c r="B209" i="11" s="1"/>
  <c r="F208" i="11"/>
  <c r="B208" i="11" s="1"/>
  <c r="F208" i="5"/>
  <c r="B208" i="5" s="1"/>
  <c r="F207" i="11"/>
  <c r="B207" i="11" s="1"/>
  <c r="F206" i="5"/>
  <c r="B206" i="5" s="1"/>
  <c r="F206" i="11"/>
  <c r="B206" i="11" s="1"/>
  <c r="F200" i="11"/>
  <c r="B200" i="11" s="1"/>
  <c r="F199" i="11"/>
  <c r="B199" i="11" s="1"/>
  <c r="F198" i="11"/>
  <c r="B198" i="11" s="1"/>
  <c r="F73" i="11"/>
  <c r="B73" i="11" s="1"/>
  <c r="F72" i="11"/>
  <c r="B72" i="11" s="1"/>
  <c r="F71" i="11"/>
  <c r="B71" i="11" s="1"/>
  <c r="F70" i="11"/>
  <c r="B70" i="11" s="1"/>
  <c r="F134" i="5"/>
  <c r="B134" i="5" s="1"/>
  <c r="C551" i="5"/>
  <c r="C121" i="5"/>
  <c r="C376" i="5"/>
  <c r="C527" i="5"/>
  <c r="C569" i="5"/>
  <c r="C525" i="5"/>
  <c r="C309" i="5"/>
  <c r="C303" i="5"/>
  <c r="C274" i="5"/>
  <c r="F193" i="11"/>
  <c r="B193" i="11" s="1"/>
  <c r="F192" i="11"/>
  <c r="B192" i="11" s="1"/>
  <c r="F191" i="11"/>
  <c r="B191" i="11" s="1"/>
  <c r="F190" i="11"/>
  <c r="B190" i="11" s="1"/>
  <c r="F183" i="11"/>
  <c r="B183" i="11" s="1"/>
  <c r="F182" i="11"/>
  <c r="B182" i="11" s="1"/>
  <c r="F174" i="11"/>
  <c r="B174" i="11" s="1"/>
  <c r="F134" i="11"/>
  <c r="B134" i="11" s="1"/>
  <c r="F150" i="11"/>
  <c r="B150" i="11" s="1"/>
  <c r="F142" i="11"/>
  <c r="B142" i="11" s="1"/>
  <c r="F111" i="11"/>
  <c r="B111" i="11" s="1"/>
  <c r="F126" i="11"/>
  <c r="B126" i="11" s="1"/>
  <c r="F118" i="11"/>
  <c r="B118" i="11" s="1"/>
  <c r="F118" i="5"/>
  <c r="B118" i="5" s="1"/>
  <c r="F453" i="11"/>
  <c r="B453" i="11" s="1"/>
  <c r="F110" i="11"/>
  <c r="B110" i="11" s="1"/>
  <c r="F102" i="11"/>
  <c r="B102" i="11" s="1"/>
  <c r="F94" i="11"/>
  <c r="B94" i="11" s="1"/>
  <c r="F87" i="11"/>
  <c r="B87" i="11" s="1"/>
  <c r="F86" i="11"/>
  <c r="B86" i="11" s="1"/>
  <c r="C272" i="5"/>
  <c r="C238" i="5"/>
  <c r="C240" i="5"/>
  <c r="C209" i="5"/>
  <c r="C258" i="5"/>
  <c r="C265" i="5"/>
  <c r="C261" i="5"/>
  <c r="C255" i="5"/>
  <c r="F309" i="5"/>
  <c r="B309" i="5" s="1"/>
  <c r="C137" i="5"/>
  <c r="C253" i="5"/>
  <c r="C521" i="5"/>
  <c r="C266" i="5"/>
  <c r="C118" i="5"/>
  <c r="C205" i="5"/>
  <c r="C237" i="5"/>
  <c r="C377" i="5"/>
  <c r="C314" i="5"/>
  <c r="C373" i="5"/>
  <c r="C528" i="5"/>
  <c r="C360" i="5"/>
  <c r="C553" i="5"/>
  <c r="C440" i="5"/>
  <c r="C13" i="5"/>
  <c r="C518" i="5"/>
  <c r="C441" i="5"/>
  <c r="C545" i="5"/>
  <c r="C210" i="5"/>
  <c r="C565" i="5"/>
  <c r="C135" i="5"/>
  <c r="F565" i="5"/>
  <c r="B565" i="5" s="1"/>
  <c r="F167" i="11"/>
  <c r="B167" i="11" s="1"/>
  <c r="F166" i="11"/>
  <c r="B166" i="11" s="1"/>
  <c r="C122" i="5"/>
  <c r="C15" i="5"/>
  <c r="C17" i="5"/>
  <c r="C120" i="5"/>
  <c r="F517" i="11"/>
  <c r="B517" i="11" s="1"/>
  <c r="F405" i="11"/>
  <c r="B405" i="11" s="1"/>
  <c r="F469" i="11"/>
  <c r="B469" i="11" s="1"/>
  <c r="F509" i="11"/>
  <c r="B509" i="11" s="1"/>
  <c r="C570" i="5"/>
  <c r="F525" i="11"/>
  <c r="B525" i="11" s="1"/>
  <c r="F565" i="11"/>
  <c r="B565" i="11" s="1"/>
  <c r="F621" i="11"/>
  <c r="B621" i="11" s="1"/>
  <c r="F581" i="11"/>
  <c r="B581" i="11" s="1"/>
  <c r="C519" i="5"/>
  <c r="C522" i="5"/>
  <c r="F541" i="11"/>
  <c r="B541" i="11" s="1"/>
  <c r="F605" i="11"/>
  <c r="B605" i="11" s="1"/>
  <c r="F637" i="11"/>
  <c r="B637" i="11" s="1"/>
  <c r="F397" i="11"/>
  <c r="B397" i="11" s="1"/>
  <c r="F413" i="11"/>
  <c r="B413" i="11" s="1"/>
  <c r="F525" i="5"/>
  <c r="B525" i="5" s="1"/>
  <c r="F461" i="11"/>
  <c r="B461" i="11" s="1"/>
  <c r="F573" i="11"/>
  <c r="B573" i="11" s="1"/>
  <c r="F629" i="11"/>
  <c r="B629" i="11" s="1"/>
  <c r="F669" i="5"/>
  <c r="B669" i="5" s="1"/>
  <c r="F77" i="11"/>
  <c r="B77" i="11" s="1"/>
  <c r="F557" i="11"/>
  <c r="B557" i="11" s="1"/>
  <c r="F381" i="11"/>
  <c r="B381" i="11" s="1"/>
  <c r="F429" i="11"/>
  <c r="B429" i="11" s="1"/>
  <c r="F589" i="11"/>
  <c r="B589" i="11" s="1"/>
  <c r="F501" i="11"/>
  <c r="B501" i="11" s="1"/>
  <c r="F389" i="11"/>
  <c r="B389" i="11" s="1"/>
  <c r="F373" i="5"/>
  <c r="B373" i="5" s="1"/>
  <c r="F549" i="5"/>
  <c r="B549" i="5" s="1"/>
  <c r="F437" i="11"/>
  <c r="B437" i="11" s="1"/>
  <c r="F669" i="11"/>
  <c r="B669" i="11" s="1"/>
  <c r="F613" i="11"/>
  <c r="B613" i="11" s="1"/>
  <c r="F597" i="11"/>
  <c r="B597" i="11" s="1"/>
  <c r="F661" i="11"/>
  <c r="B661" i="11" s="1"/>
  <c r="F421" i="11"/>
  <c r="B421" i="11" s="1"/>
  <c r="F373" i="11"/>
  <c r="B373" i="11" s="1"/>
  <c r="F549" i="11"/>
  <c r="B549" i="11" s="1"/>
  <c r="F653" i="11"/>
  <c r="B653" i="11" s="1"/>
  <c r="F645" i="11"/>
  <c r="B645" i="11" s="1"/>
  <c r="F485" i="11"/>
  <c r="B485" i="11" s="1"/>
  <c r="F493" i="11"/>
  <c r="B493" i="11" s="1"/>
  <c r="F445" i="11"/>
  <c r="B445" i="11" s="1"/>
  <c r="F477" i="11"/>
  <c r="B477" i="11" s="1"/>
  <c r="C359" i="5"/>
  <c r="F357" i="11"/>
  <c r="B357" i="11" s="1"/>
  <c r="F357" i="5"/>
  <c r="B357" i="5" s="1"/>
  <c r="F349" i="11"/>
  <c r="B349" i="11" s="1"/>
  <c r="F341" i="11"/>
  <c r="B341" i="11" s="1"/>
  <c r="F269" i="11"/>
  <c r="B269" i="11" s="1"/>
  <c r="F205" i="5"/>
  <c r="B205" i="5" s="1"/>
  <c r="F309" i="11"/>
  <c r="B309" i="11" s="1"/>
  <c r="F205" i="11"/>
  <c r="B205" i="11" s="1"/>
  <c r="F253" i="5"/>
  <c r="B253" i="5" s="1"/>
  <c r="F133" i="11"/>
  <c r="B133" i="11" s="1"/>
  <c r="F61" i="11"/>
  <c r="B61" i="11" s="1"/>
  <c r="F293" i="11"/>
  <c r="B293" i="11" s="1"/>
  <c r="F21" i="11"/>
  <c r="B21" i="11" s="1"/>
  <c r="F101" i="11"/>
  <c r="B101" i="11" s="1"/>
  <c r="F29" i="11"/>
  <c r="B29" i="11" s="1"/>
  <c r="F109" i="11"/>
  <c r="B109" i="11" s="1"/>
  <c r="F301" i="5"/>
  <c r="B301" i="5" s="1"/>
  <c r="F261" i="5"/>
  <c r="B261" i="5" s="1"/>
  <c r="F117" i="5"/>
  <c r="B117" i="5" s="1"/>
  <c r="F253" i="11"/>
  <c r="B253" i="11" s="1"/>
  <c r="F13" i="5"/>
  <c r="B13" i="5" s="1"/>
  <c r="F189" i="11"/>
  <c r="B189" i="11" s="1"/>
  <c r="F213" i="11"/>
  <c r="B213" i="11" s="1"/>
  <c r="F245" i="11"/>
  <c r="B245" i="11" s="1"/>
  <c r="F333" i="11"/>
  <c r="B333" i="11" s="1"/>
  <c r="F221" i="11"/>
  <c r="B221" i="11" s="1"/>
  <c r="F149" i="11"/>
  <c r="B149" i="11" s="1"/>
  <c r="F229" i="11"/>
  <c r="B229" i="11" s="1"/>
  <c r="F285" i="11"/>
  <c r="B285" i="11" s="1"/>
  <c r="F197" i="11"/>
  <c r="B197" i="11" s="1"/>
  <c r="F277" i="11"/>
  <c r="B277" i="11" s="1"/>
  <c r="F85" i="11"/>
  <c r="B85" i="11" s="1"/>
  <c r="Y5" i="6"/>
  <c r="F5" i="11" s="1"/>
  <c r="B5" i="11" s="1"/>
  <c r="F173" i="11"/>
  <c r="B173" i="11" s="1"/>
  <c r="F165" i="11"/>
  <c r="B165" i="11" s="1"/>
  <c r="F301" i="11"/>
  <c r="B301" i="11" s="1"/>
  <c r="F261" i="11"/>
  <c r="B261" i="11" s="1"/>
  <c r="F13" i="11"/>
  <c r="B13" i="11" s="1"/>
  <c r="F157" i="11"/>
  <c r="B157" i="11" s="1"/>
  <c r="F141" i="11"/>
  <c r="B141" i="11" s="1"/>
  <c r="F317" i="11"/>
  <c r="B317" i="11" s="1"/>
  <c r="F37" i="11"/>
  <c r="B37" i="11" s="1"/>
  <c r="F125" i="11"/>
  <c r="B125" i="11" s="1"/>
  <c r="F237" i="11"/>
  <c r="B237" i="11" s="1"/>
  <c r="F117" i="11"/>
  <c r="B117" i="11" s="1"/>
  <c r="F181" i="11"/>
  <c r="B181" i="11" s="1"/>
  <c r="F53" i="11"/>
  <c r="B53" i="11" s="1"/>
  <c r="F69" i="11"/>
  <c r="B69" i="11" s="1"/>
  <c r="F93" i="11"/>
  <c r="B93" i="11" s="1"/>
  <c r="F45" i="11"/>
  <c r="B45" i="11" s="1"/>
  <c r="F326" i="11"/>
  <c r="B326" i="11" s="1"/>
  <c r="F302" i="5"/>
  <c r="B302" i="5" s="1"/>
  <c r="C302" i="5"/>
  <c r="F374" i="5"/>
  <c r="B374" i="5" s="1"/>
  <c r="C374" i="5"/>
  <c r="F368" i="11"/>
  <c r="B368" i="11" s="1"/>
  <c r="F541" i="5"/>
  <c r="B541" i="5" s="1"/>
  <c r="C541" i="5"/>
  <c r="F327" i="11"/>
  <c r="B327" i="11" s="1"/>
  <c r="F329" i="11"/>
  <c r="B329" i="11" s="1"/>
  <c r="F535" i="11"/>
  <c r="B535" i="11" s="1"/>
  <c r="F517" i="5"/>
  <c r="B517" i="5" s="1"/>
  <c r="C517" i="5"/>
  <c r="F369" i="11"/>
  <c r="B369" i="11" s="1"/>
  <c r="F369" i="5"/>
  <c r="B369" i="5" s="1"/>
  <c r="F371" i="11"/>
  <c r="B371" i="11" s="1"/>
  <c r="F526" i="5"/>
  <c r="B526" i="5" s="1"/>
  <c r="C526" i="5"/>
  <c r="F330" i="11"/>
  <c r="B330" i="11" s="1"/>
  <c r="F330" i="5"/>
  <c r="B330" i="5" s="1"/>
  <c r="F328" i="11"/>
  <c r="B328" i="11" s="1"/>
  <c r="F538" i="11"/>
  <c r="B538" i="11" s="1"/>
  <c r="F538" i="5"/>
  <c r="B538" i="5" s="1"/>
  <c r="F537" i="11"/>
  <c r="B537" i="11" s="1"/>
  <c r="F269" i="5"/>
  <c r="B269" i="5" s="1"/>
  <c r="C269" i="5"/>
  <c r="F366" i="11"/>
  <c r="B366" i="11" s="1"/>
  <c r="F367" i="11"/>
  <c r="B367" i="11" s="1"/>
  <c r="C567" i="5"/>
  <c r="F325" i="11"/>
  <c r="B325" i="11" s="1"/>
  <c r="F370" i="11"/>
  <c r="B370" i="11" s="1"/>
  <c r="F370" i="5"/>
  <c r="B370" i="5" s="1"/>
  <c r="F675" i="11"/>
  <c r="B675" i="11" s="1"/>
  <c r="F643" i="11"/>
  <c r="B643" i="11" s="1"/>
  <c r="F651" i="11"/>
  <c r="B651" i="11" s="1"/>
  <c r="F667" i="11"/>
  <c r="B667" i="11" s="1"/>
  <c r="F659" i="11"/>
  <c r="B659" i="11" s="1"/>
  <c r="F635" i="11"/>
  <c r="B635" i="11" s="1"/>
  <c r="F627" i="11"/>
  <c r="B627" i="11" s="1"/>
  <c r="F579" i="11"/>
  <c r="B579" i="11" s="1"/>
  <c r="F595" i="11"/>
  <c r="B595" i="11" s="1"/>
  <c r="F603" i="11"/>
  <c r="B603" i="11" s="1"/>
  <c r="F611" i="11"/>
  <c r="B611" i="11" s="1"/>
  <c r="F587" i="11"/>
  <c r="B587" i="11" s="1"/>
  <c r="F571" i="11"/>
  <c r="B571" i="11" s="1"/>
  <c r="F619" i="11"/>
  <c r="B619" i="11" s="1"/>
  <c r="F547" i="11"/>
  <c r="B547" i="11" s="1"/>
  <c r="F531" i="11"/>
  <c r="B531" i="11" s="1"/>
  <c r="F515" i="11"/>
  <c r="B515" i="11" s="1"/>
  <c r="F563" i="11"/>
  <c r="B563" i="11" s="1"/>
  <c r="F555" i="11"/>
  <c r="B555" i="11" s="1"/>
  <c r="F523" i="11"/>
  <c r="B523" i="11" s="1"/>
  <c r="F539" i="11"/>
  <c r="B539" i="11" s="1"/>
  <c r="F475" i="11"/>
  <c r="B475" i="11" s="1"/>
  <c r="F491" i="11"/>
  <c r="B491" i="11" s="1"/>
  <c r="F467" i="11"/>
  <c r="B467" i="11" s="1"/>
  <c r="F507" i="11"/>
  <c r="B507" i="11" s="1"/>
  <c r="F459" i="11"/>
  <c r="B459" i="11" s="1"/>
  <c r="F483" i="11"/>
  <c r="B483" i="11" s="1"/>
  <c r="F499" i="11"/>
  <c r="B499" i="11" s="1"/>
  <c r="F411" i="11"/>
  <c r="B411" i="11" s="1"/>
  <c r="F443" i="11"/>
  <c r="B443" i="11" s="1"/>
  <c r="F435" i="11"/>
  <c r="B435" i="11" s="1"/>
  <c r="F419" i="11"/>
  <c r="B419" i="11" s="1"/>
  <c r="F427" i="11"/>
  <c r="B427" i="11" s="1"/>
  <c r="F403" i="11"/>
  <c r="B403" i="11" s="1"/>
  <c r="F451" i="11"/>
  <c r="B451" i="11" s="1"/>
  <c r="F379" i="11"/>
  <c r="B379" i="11" s="1"/>
  <c r="F363" i="11"/>
  <c r="B363" i="11" s="1"/>
  <c r="F395" i="11"/>
  <c r="B395" i="11" s="1"/>
  <c r="F387" i="11"/>
  <c r="B387" i="11" s="1"/>
  <c r="F355" i="11"/>
  <c r="B355" i="11" s="1"/>
  <c r="F347" i="11"/>
  <c r="B347" i="11" s="1"/>
  <c r="F307" i="11"/>
  <c r="B307" i="11" s="1"/>
  <c r="F323" i="11"/>
  <c r="B323" i="11" s="1"/>
  <c r="F331" i="11"/>
  <c r="B331" i="11" s="1"/>
  <c r="F299" i="11"/>
  <c r="B299" i="11" s="1"/>
  <c r="F339" i="11"/>
  <c r="B339" i="11" s="1"/>
  <c r="F315" i="11"/>
  <c r="B315" i="11" s="1"/>
  <c r="F291" i="11"/>
  <c r="B291" i="11" s="1"/>
  <c r="F283" i="11"/>
  <c r="B283" i="11" s="1"/>
  <c r="F251" i="11"/>
  <c r="B251" i="11" s="1"/>
  <c r="F275" i="11"/>
  <c r="B275" i="11" s="1"/>
  <c r="F235" i="11"/>
  <c r="B235" i="11" s="1"/>
  <c r="F267" i="11"/>
  <c r="B267" i="11" s="1"/>
  <c r="F243" i="11"/>
  <c r="B243" i="11" s="1"/>
  <c r="F259" i="11"/>
  <c r="B259" i="11" s="1"/>
  <c r="F227" i="11"/>
  <c r="B227" i="11" s="1"/>
  <c r="F195" i="11"/>
  <c r="B195" i="11" s="1"/>
  <c r="F203" i="11"/>
  <c r="B203" i="11" s="1"/>
  <c r="F179" i="11"/>
  <c r="B179" i="11" s="1"/>
  <c r="F187" i="11"/>
  <c r="B187" i="11" s="1"/>
  <c r="F219" i="11"/>
  <c r="B219" i="11" s="1"/>
  <c r="F211" i="11"/>
  <c r="B211" i="11" s="1"/>
  <c r="F131" i="11"/>
  <c r="B131" i="11" s="1"/>
  <c r="F171" i="11"/>
  <c r="B171" i="11" s="1"/>
  <c r="F139" i="11"/>
  <c r="B139" i="11" s="1"/>
  <c r="F123" i="11"/>
  <c r="B123" i="11" s="1"/>
  <c r="F163" i="11"/>
  <c r="B163" i="11" s="1"/>
  <c r="F147" i="11"/>
  <c r="B147" i="11" s="1"/>
  <c r="F155" i="11"/>
  <c r="B155" i="11" s="1"/>
  <c r="F67" i="11"/>
  <c r="B67" i="11" s="1"/>
  <c r="F83" i="11"/>
  <c r="B83" i="11" s="1"/>
  <c r="F91" i="11"/>
  <c r="B91" i="11" s="1"/>
  <c r="F75" i="11"/>
  <c r="B75" i="11" s="1"/>
  <c r="F99" i="11"/>
  <c r="B99" i="11" s="1"/>
  <c r="F115" i="11"/>
  <c r="B115" i="11" s="1"/>
  <c r="F107" i="11"/>
  <c r="B107" i="11" s="1"/>
  <c r="F59" i="11"/>
  <c r="B59" i="11" s="1"/>
  <c r="F43" i="11"/>
  <c r="B43" i="11" s="1"/>
  <c r="F51" i="11"/>
  <c r="B51" i="11" s="1"/>
  <c r="F27" i="11"/>
  <c r="B27" i="11" s="1"/>
  <c r="F35" i="11"/>
  <c r="B35" i="11" s="1"/>
  <c r="F19" i="11"/>
  <c r="B19" i="11" s="1"/>
  <c r="O8" i="6"/>
  <c r="J9" i="6"/>
  <c r="K9" i="6" s="1"/>
  <c r="C573" i="5"/>
  <c r="C574" i="5"/>
  <c r="C575" i="5"/>
  <c r="C669" i="5"/>
  <c r="C671" i="5"/>
  <c r="C675" i="5"/>
  <c r="C674" i="5"/>
  <c r="C673" i="5"/>
  <c r="F675" i="5"/>
  <c r="B675" i="5" s="1"/>
  <c r="C670" i="5"/>
  <c r="C672" i="5"/>
  <c r="C264" i="5"/>
  <c r="C262" i="5"/>
  <c r="F536" i="11" l="1"/>
  <c r="B536" i="11" s="1"/>
  <c r="F534" i="11"/>
  <c r="B534" i="11" s="1"/>
  <c r="F367" i="5"/>
  <c r="B367" i="5" s="1"/>
  <c r="F365" i="11"/>
  <c r="B365" i="11" s="1"/>
  <c r="F533" i="11"/>
  <c r="B533" i="11" s="1"/>
  <c r="F537" i="5"/>
  <c r="B537" i="5" s="1"/>
  <c r="C537" i="5"/>
  <c r="F539" i="5"/>
  <c r="B539" i="5" s="1"/>
  <c r="C539" i="5"/>
  <c r="F331" i="5"/>
  <c r="B331" i="5" s="1"/>
  <c r="C331" i="5"/>
  <c r="F325" i="5"/>
  <c r="B325" i="5" s="1"/>
  <c r="C325" i="5"/>
  <c r="C367" i="5"/>
  <c r="C330" i="5"/>
  <c r="F329" i="5"/>
  <c r="B329" i="5" s="1"/>
  <c r="C329" i="5"/>
  <c r="F368" i="5"/>
  <c r="B368" i="5" s="1"/>
  <c r="C368" i="5"/>
  <c r="C370" i="5"/>
  <c r="F328" i="5"/>
  <c r="B328" i="5" s="1"/>
  <c r="C328" i="5"/>
  <c r="C369" i="5"/>
  <c r="F536" i="5"/>
  <c r="B536" i="5" s="1"/>
  <c r="C536" i="5"/>
  <c r="F535" i="5"/>
  <c r="B535" i="5" s="1"/>
  <c r="C535" i="5"/>
  <c r="F534" i="5"/>
  <c r="B534" i="5" s="1"/>
  <c r="C534" i="5"/>
  <c r="F326" i="5"/>
  <c r="B326" i="5" s="1"/>
  <c r="C326" i="5"/>
  <c r="F365" i="5"/>
  <c r="B365" i="5" s="1"/>
  <c r="C365" i="5"/>
  <c r="F533" i="5"/>
  <c r="B533" i="5" s="1"/>
  <c r="C533" i="5"/>
  <c r="F366" i="5"/>
  <c r="B366" i="5" s="1"/>
  <c r="C366" i="5"/>
  <c r="C538" i="5"/>
  <c r="F371" i="5"/>
  <c r="B371" i="5" s="1"/>
  <c r="C371" i="5"/>
  <c r="F327" i="5"/>
  <c r="B327" i="5" s="1"/>
  <c r="C327" i="5"/>
  <c r="J10" i="6"/>
  <c r="O9" i="6"/>
  <c r="K10" i="6" l="1"/>
  <c r="O10" i="6" s="1"/>
  <c r="H2" i="11"/>
</calcChain>
</file>

<file path=xl/sharedStrings.xml><?xml version="1.0" encoding="utf-8"?>
<sst xmlns="http://schemas.openxmlformats.org/spreadsheetml/2006/main" count="5496" uniqueCount="738">
  <si>
    <t>Row</t>
  </si>
  <si>
    <t>Are there more then three authors?</t>
  </si>
  <si>
    <t>No</t>
  </si>
  <si>
    <t>Yes</t>
  </si>
  <si>
    <t>Slide  Type</t>
  </si>
  <si>
    <t>Box</t>
  </si>
  <si>
    <t>Well</t>
  </si>
  <si>
    <t>"project_last_updated":</t>
  </si>
  <si>
    <t>"project_path":</t>
  </si>
  <si>
    <t>"K:/1_Capture/"</t>
  </si>
  <si>
    <t>"project_name":</t>
  </si>
  <si>
    <t>"--"</t>
  </si>
  <si>
    <t>"project_subject_id":</t>
  </si>
  <si>
    <t>"project_author":</t>
  </si>
  <si>
    <t>"project_date":</t>
  </si>
  <si>
    <t>"project_notes":</t>
  </si>
  <si>
    <t>"project_data_directory":</t>
  </si>
  <si>
    <t>"project_boundary_left":</t>
  </si>
  <si>
    <t>"project_boundary_right":</t>
  </si>
  <si>
    <t>"project_boundary_top":</t>
  </si>
  <si>
    <t>"project_boundary_bottom":</t>
  </si>
  <si>
    <t>"project_boundary_highfocus":</t>
  </si>
  <si>
    <t>"project_boundary_lowfocus":</t>
  </si>
  <si>
    <t>"project_startposition_x":</t>
  </si>
  <si>
    <t>"project_startposition_y":</t>
  </si>
  <si>
    <t>"project_registration_x":</t>
  </si>
  <si>
    <t>"project_registration_y":</t>
  </si>
  <si>
    <t>"project_registration_z":</t>
  </si>
  <si>
    <t>"project_image_overlap":</t>
  </si>
  <si>
    <t>"0.3"</t>
  </si>
  <si>
    <t>"project_image_overlap_vertical":</t>
  </si>
  <si>
    <t>"project_focus_overlap":</t>
  </si>
  <si>
    <t>"0.2"</t>
  </si>
  <si>
    <t>"project_fov":</t>
  </si>
  <si>
    <t>"project_dof":</t>
  </si>
  <si>
    <t>Date</t>
  </si>
  <si>
    <t>Hour, Minute, Second</t>
  </si>
  <si>
    <t>Generated Project File</t>
  </si>
  <si>
    <t>Generated Queue File</t>
  </si>
  <si>
    <t>A</t>
  </si>
  <si>
    <t>B</t>
  </si>
  <si>
    <t>C</t>
  </si>
  <si>
    <t>D</t>
  </si>
  <si>
    <t>E</t>
  </si>
  <si>
    <t>F</t>
  </si>
  <si>
    <t>G</t>
  </si>
  <si>
    <t>1A</t>
  </si>
  <si>
    <t>2A</t>
  </si>
  <si>
    <t>3A</t>
  </si>
  <si>
    <t>4A</t>
  </si>
  <si>
    <t>5A</t>
  </si>
  <si>
    <t>7A</t>
  </si>
  <si>
    <t>2B</t>
  </si>
  <si>
    <t>1B</t>
  </si>
  <si>
    <t>1C</t>
  </si>
  <si>
    <t>1D</t>
  </si>
  <si>
    <t>1E</t>
  </si>
  <si>
    <t>1F</t>
  </si>
  <si>
    <t>1G</t>
  </si>
  <si>
    <t>Row 2</t>
  </si>
  <si>
    <t>Row 3</t>
  </si>
  <si>
    <t>Row 5</t>
  </si>
  <si>
    <t>Number of Columns</t>
  </si>
  <si>
    <t>2C</t>
  </si>
  <si>
    <t>2D</t>
  </si>
  <si>
    <t>2E</t>
  </si>
  <si>
    <t>2F</t>
  </si>
  <si>
    <t>2G</t>
  </si>
  <si>
    <t>3B</t>
  </si>
  <si>
    <t>3C</t>
  </si>
  <si>
    <t>3D</t>
  </si>
  <si>
    <t>3E</t>
  </si>
  <si>
    <t>3F</t>
  </si>
  <si>
    <t>3G</t>
  </si>
  <si>
    <t>4B</t>
  </si>
  <si>
    <t>4C</t>
  </si>
  <si>
    <t>4D</t>
  </si>
  <si>
    <t>4E</t>
  </si>
  <si>
    <t>4F</t>
  </si>
  <si>
    <t>4G</t>
  </si>
  <si>
    <t>5B</t>
  </si>
  <si>
    <t>5C</t>
  </si>
  <si>
    <t>5D</t>
  </si>
  <si>
    <t>5E</t>
  </si>
  <si>
    <t>5F</t>
  </si>
  <si>
    <t>5G</t>
  </si>
  <si>
    <t>6A</t>
  </si>
  <si>
    <t>6B</t>
  </si>
  <si>
    <t>6C</t>
  </si>
  <si>
    <t>6D</t>
  </si>
  <si>
    <t>6E</t>
  </si>
  <si>
    <t>6F</t>
  </si>
  <si>
    <t>6G</t>
  </si>
  <si>
    <t>7B</t>
  </si>
  <si>
    <t>7C</t>
  </si>
  <si>
    <t>7D</t>
  </si>
  <si>
    <t>7E</t>
  </si>
  <si>
    <t>7F</t>
  </si>
  <si>
    <t>7G</t>
  </si>
  <si>
    <t>8A</t>
  </si>
  <si>
    <t>8B</t>
  </si>
  <si>
    <t>8C</t>
  </si>
  <si>
    <t>8D</t>
  </si>
  <si>
    <t>8E</t>
  </si>
  <si>
    <t>8F</t>
  </si>
  <si>
    <t>8G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</si>
  <si>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</si>
  <si>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</si>
  <si>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</si>
  <si>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</si>
  <si>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</si>
  <si>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</si>
  <si>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</si>
  <si>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</si>
  <si>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</si>
  <si>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</si>
  <si>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</si>
  <si>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</si>
  <si>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</si>
  <si>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</si>
  <si>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11A</t>
  </si>
  <si>
    <t>11B</t>
  </si>
  <si>
    <t>11C</t>
  </si>
  <si>
    <t>11D</t>
  </si>
  <si>
    <t>11E</t>
  </si>
  <si>
    <t>11F</t>
  </si>
  <si>
    <t>11G</t>
  </si>
  <si>
    <t>12A</t>
  </si>
  <si>
    <t>12B</t>
  </si>
  <si>
    <t>12C</t>
  </si>
  <si>
    <t>12D</t>
  </si>
  <si>
    <t>12E</t>
  </si>
  <si>
    <t>12F</t>
  </si>
  <si>
    <t>12G</t>
  </si>
  <si>
    <t>Well Slide</t>
  </si>
  <si>
    <t>Left Base Corner</t>
  </si>
  <si>
    <t xml:space="preserve"> to Left Photo Corner</t>
  </si>
  <si>
    <t xml:space="preserve"> to Right Photo Corner</t>
  </si>
  <si>
    <t>to Top Photo Corner</t>
  </si>
  <si>
    <t>to Bottom Photo Corner</t>
  </si>
  <si>
    <t>Set Base Distances</t>
  </si>
  <si>
    <t>Upermost Left Corner</t>
  </si>
  <si>
    <t>to 1A Left Corner</t>
  </si>
  <si>
    <t>to 1B Left Corner</t>
  </si>
  <si>
    <t>to 2A Left Corner</t>
  </si>
  <si>
    <t>Box Slide</t>
  </si>
  <si>
    <t xml:space="preserve"> to Left Box Corner R1,1</t>
  </si>
  <si>
    <t>Left Box Corner R1,1</t>
  </si>
  <si>
    <t>to Top Photo Corner R1,1</t>
  </si>
  <si>
    <t>&lt;-</t>
  </si>
  <si>
    <t>Vertical Distance Between Base Indents</t>
  </si>
  <si>
    <t>Lateral and Vertical Distance from Base Corner to Well Photo Left Base</t>
  </si>
  <si>
    <t>Lateral and Vertical Distance from Base Corner to Box Photo Left Base</t>
  </si>
  <si>
    <t>to Bottom Photo Corner R1,1</t>
  </si>
  <si>
    <t>to Right Photo Corner R1,1</t>
  </si>
  <si>
    <t>Width of single box on box slide</t>
  </si>
  <si>
    <t>Height of single box on box slide</t>
  </si>
  <si>
    <t>1. Set to Consistent Origin</t>
  </si>
  <si>
    <t>3. Determine if Well or Box Slide</t>
  </si>
  <si>
    <t>4. Move to Upper Left Corner of Photo Area</t>
  </si>
  <si>
    <t>5. Photograph Area</t>
  </si>
  <si>
    <t>Lateral Distance Between Upper Left Corners of Base Indents</t>
  </si>
  <si>
    <t>x (mm)</t>
  </si>
  <si>
    <t>y (mm)</t>
  </si>
  <si>
    <t>Width and Height of Well Box</t>
  </si>
  <si>
    <t>Height and Width of Single Box</t>
  </si>
  <si>
    <t>Notes</t>
  </si>
  <si>
    <t>High Focus</t>
  </si>
  <si>
    <t>Generated Queue Filename</t>
  </si>
  <si>
    <t>Years</t>
  </si>
  <si>
    <t>Row 1</t>
  </si>
  <si>
    <t>Row 4</t>
  </si>
  <si>
    <t>Slide Contents</t>
  </si>
  <si>
    <t>Empty</t>
  </si>
  <si>
    <t>Project File Name</t>
  </si>
  <si>
    <t>Contents of File</t>
  </si>
  <si>
    <t>Queue File Name</t>
  </si>
  <si>
    <t>Contents of Queue File</t>
  </si>
  <si>
    <t>*</t>
  </si>
  <si>
    <t>Part 1 of Filename</t>
  </si>
  <si>
    <t>Part 2 of Filename</t>
  </si>
  <si>
    <t>BaseHoleX</t>
  </si>
  <si>
    <t>BaseHoleY</t>
  </si>
  <si>
    <t>BoxX</t>
  </si>
  <si>
    <t>BoxY</t>
  </si>
  <si>
    <t>List of Current Slides</t>
  </si>
  <si>
    <t>Type</t>
  </si>
  <si>
    <t>Slide Location</t>
  </si>
  <si>
    <t>Row1</t>
  </si>
  <si>
    <t>Row2</t>
  </si>
  <si>
    <t>Row3</t>
  </si>
  <si>
    <t>Row4</t>
  </si>
  <si>
    <t>LocationX</t>
  </si>
  <si>
    <t>LocationY</t>
  </si>
  <si>
    <t>0</t>
  </si>
  <si>
    <t>Run?</t>
  </si>
  <si>
    <t>Row5</t>
  </si>
  <si>
    <t>Project Filename</t>
  </si>
  <si>
    <t>Columns</t>
  </si>
  <si>
    <t>List of Project Types</t>
  </si>
  <si>
    <t>Number of Project Types</t>
  </si>
  <si>
    <t>Space Blank to Add Between Projects</t>
  </si>
  <si>
    <t>Total Rows for Each Project</t>
  </si>
  <si>
    <t>Base Number</t>
  </si>
  <si>
    <t>Base Designation</t>
  </si>
  <si>
    <t>Number of Columns in Box Slide:</t>
  </si>
  <si>
    <t>Extra Vertical Amount</t>
  </si>
  <si>
    <t>Vertical Distance Between Base Trays</t>
  </si>
  <si>
    <t>Tray 1</t>
  </si>
  <si>
    <t>Tray 2</t>
  </si>
  <si>
    <t>Tray 3</t>
  </si>
  <si>
    <t>Tray 4</t>
  </si>
  <si>
    <t>Project Name as Part of Queue File</t>
  </si>
  <si>
    <t>Data Directory</t>
  </si>
  <si>
    <t>"project_startposition_z":</t>
  </si>
  <si>
    <t>{</t>
  </si>
  <si>
    <t>project_last_updated:"Last updated on...1-26-2017 151245",</t>
  </si>
  <si>
    <t>project_name:"Rexroad_Craig_1971_box1x2",</t>
  </si>
  <si>
    <t>project_path:"K:/1_Capture/",</t>
  </si>
  <si>
    <t>project_name:"Rexroad_Craig_1971_box1x1",</t>
  </si>
  <si>
    <t>project_subject_id:"--",</t>
  </si>
  <si>
    <t>project_author:"--AZ",</t>
  </si>
  <si>
    <t>project_date:"1-26-2017",</t>
  </si>
  <si>
    <t>project_notes:"--",</t>
  </si>
  <si>
    <t>project_data_directory:"rexroad_craig_1971_box1x2_",</t>
  </si>
  <si>
    <t>project_data_directory:"rexroad_craig_1971_box1x1_",</t>
  </si>
  <si>
    <t>project_boundary_left":"83.71",</t>
  </si>
  <si>
    <t>project_boundary_left:"0.",</t>
  </si>
  <si>
    <t>project_boundary_right:"90.44",</t>
  </si>
  <si>
    <t>project_boundary_right:"9.18",</t>
  </si>
  <si>
    <t>project_boundary_top:"0",</t>
  </si>
  <si>
    <t>project_boundary_top:"0.",</t>
  </si>
  <si>
    <t>project_boundary_bottom:"5.27",</t>
  </si>
  <si>
    <t>project_boundary_highfocus:"0.83",</t>
  </si>
  <si>
    <t>project_boundary_lowfocus:"0",</t>
  </si>
  <si>
    <t>project_boundary_lowfocus:"0.",</t>
  </si>
  <si>
    <t>project_subject_width:"6.730000000000004",</t>
  </si>
  <si>
    <t>this just equals left - right</t>
  </si>
  <si>
    <t>project_startposition_x:"0",</t>
  </si>
  <si>
    <t>project_subject_height:"5.27",</t>
  </si>
  <si>
    <t>project_startposition_y:"0",</t>
  </si>
  <si>
    <t>project_subject_depth:"0.83",</t>
  </si>
  <si>
    <t>high focus - low focus</t>
  </si>
  <si>
    <t>project_startposition_z:"0",</t>
  </si>
  <si>
    <t>project_registration_x:"0",</t>
  </si>
  <si>
    <t>project_registration_y:"0",</t>
  </si>
  <si>
    <t>project_registration_z:"0",</t>
  </si>
  <si>
    <t>project_image_overlap:"0.3",</t>
  </si>
  <si>
    <t>project_image_overlap_vertical:"0.3",</t>
  </si>
  <si>
    <t>project_focus_overlap:"0.2",</t>
  </si>
  <si>
    <t>project_fov:"5.044843049327354",</t>
  </si>
  <si>
    <t>project_dof:"0.08226387964704181"</t>
  </si>
  <si>
    <t>}</t>
  </si>
  <si>
    <t>project_fov_width:"5.044843049327354",</t>
  </si>
  <si>
    <t>same as project fov of project</t>
  </si>
  <si>
    <t>project_fov_height:"3.3632286995515694",</t>
  </si>
  <si>
    <t>??</t>
  </si>
  <si>
    <t>project_dof:"0.08226387964704181",</t>
  </si>
  <si>
    <t>project_total_images:"168"</t>
  </si>
  <si>
    <t>Full</t>
  </si>
  <si>
    <t>Width of Full Cell</t>
  </si>
  <si>
    <t>Height of Full Cell</t>
  </si>
  <si>
    <t>bottom - top</t>
  </si>
  <si>
    <t>always this</t>
  </si>
  <si>
    <t>"project_total_images":</t>
  </si>
  <si>
    <t>"project_fov_height":</t>
  </si>
  <si>
    <t>"project_fov_width":</t>
  </si>
  <si>
    <t>"project_subject_depth":</t>
  </si>
  <si>
    <t>"project_subject_height":</t>
  </si>
  <si>
    <t>"project_subject_width":</t>
  </si>
  <si>
    <t>Stacks</t>
  </si>
  <si>
    <t>Images</t>
  </si>
  <si>
    <t>Rows</t>
  </si>
  <si>
    <t>Project File Contents</t>
  </si>
  <si>
    <t>Queue File Component</t>
  </si>
  <si>
    <t>"project_boundary_highfocus:"</t>
  </si>
  <si>
    <t>"project_boundary_lowfocus:"</t>
  </si>
  <si>
    <t>Low Focus</t>
  </si>
  <si>
    <t>ends at 675</t>
  </si>
  <si>
    <t>Custom Focus High</t>
  </si>
  <si>
    <t>Custom Focus Low</t>
  </si>
  <si>
    <t>Tray 1 Base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</si>
  <si>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</si>
  <si>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</si>
  <si>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</si>
  <si>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</si>
  <si>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</si>
  <si>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</si>
  <si>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</si>
  <si>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</si>
  <si>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</si>
  <si>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</si>
  <si>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</si>
  <si>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</si>
  <si>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</si>
  <si>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</si>
  <si>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</si>
  <si>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</si>
  <si>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</si>
  <si>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</si>
  <si>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</si>
  <si>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Custom Focus?</t>
  </si>
  <si>
    <t>depth of stack=</t>
  </si>
  <si>
    <t>Slide Types</t>
  </si>
  <si>
    <t/>
  </si>
  <si>
    <t>File Path Save Location</t>
  </si>
  <si>
    <t>C:\Users\azthe\Box Sync\RAship Spring 2017\</t>
  </si>
  <si>
    <t>x</t>
  </si>
  <si>
    <t>y</t>
  </si>
  <si>
    <t>z</t>
  </si>
  <si>
    <t>distance from corner of A1</t>
  </si>
  <si>
    <t>Standard Foci</t>
  </si>
  <si>
    <t>Error!</t>
  </si>
  <si>
    <t>Queue Information</t>
  </si>
  <si>
    <t>Automatically Generated Fields</t>
  </si>
  <si>
    <t>STEP 1</t>
  </si>
  <si>
    <t>STEP 3</t>
  </si>
  <si>
    <t>Lowest Focus?</t>
  </si>
  <si>
    <t>All Trays</t>
  </si>
  <si>
    <t>STEP 4</t>
  </si>
  <si>
    <t>Selected Cells</t>
  </si>
  <si>
    <t>STEP 2</t>
  </si>
  <si>
    <t>Count of "Full"-type Projects</t>
  </si>
  <si>
    <t>attachments</t>
  </si>
  <si>
    <t>(hold CTRL key while selecting multiple cells)</t>
  </si>
  <si>
    <t>Parent Folder Directory</t>
  </si>
  <si>
    <t>Only After Photography!</t>
  </si>
  <si>
    <t>IUPC Number</t>
  </si>
  <si>
    <t>IUPC</t>
  </si>
  <si>
    <t xml:space="preserve">IUPC </t>
  </si>
  <si>
    <t>For 1x</t>
  </si>
  <si>
    <t>STEP 5</t>
  </si>
  <si>
    <t>Italics in cell designates a custom focus depth.</t>
  </si>
  <si>
    <t>Missing!</t>
  </si>
  <si>
    <t>full</t>
  </si>
  <si>
    <t>full - Copy</t>
  </si>
  <si>
    <t>for 3x</t>
  </si>
  <si>
    <t>same</t>
  </si>
  <si>
    <t>for 1x full</t>
  </si>
  <si>
    <t>for 1 column</t>
  </si>
  <si>
    <t>&lt;- this added to the number of boxes equals the number of coulmns</t>
  </si>
  <si>
    <t>&lt;Round to this many decimal places</t>
  </si>
  <si>
    <t>Well and Box slides use 3X lens.</t>
  </si>
  <si>
    <t>Full slides use 2X lens!!</t>
  </si>
  <si>
    <t>2. Goes to Upper Left Corner of Given Base Indent</t>
  </si>
  <si>
    <t>x space between cells</t>
  </si>
  <si>
    <t>OldBaseHoleX</t>
  </si>
  <si>
    <t>OldBaseHoleY</t>
  </si>
  <si>
    <t>NewBaseX</t>
  </si>
  <si>
    <t>NewBaseY</t>
  </si>
  <si>
    <t>Number of Projects</t>
  </si>
  <si>
    <t>x-width of box</t>
  </si>
  <si>
    <t>mm</t>
  </si>
  <si>
    <t>y-height of box</t>
  </si>
  <si>
    <t>Top</t>
  </si>
  <si>
    <t>Bottom</t>
  </si>
  <si>
    <t>Left</t>
  </si>
  <si>
    <t>Right</t>
  </si>
  <si>
    <t>Name</t>
  </si>
  <si>
    <t>Custom Code</t>
  </si>
  <si>
    <t>Spilt Top Left</t>
  </si>
  <si>
    <t>Split Bottom Right</t>
  </si>
  <si>
    <t>Code-Left</t>
  </si>
  <si>
    <t>Code-Right</t>
  </si>
  <si>
    <t>Code-Top</t>
  </si>
  <si>
    <t>Code-Bottom</t>
  </si>
  <si>
    <t>Code-Top#</t>
  </si>
  <si>
    <t>Code-Bottom#</t>
  </si>
  <si>
    <t>Custom Right</t>
  </si>
  <si>
    <t>Custom Left</t>
  </si>
  <si>
    <t>Custom Top</t>
  </si>
  <si>
    <t>Custom Bottom</t>
  </si>
  <si>
    <t>='Custom Well'!</t>
  </si>
  <si>
    <t>`$15</t>
  </si>
  <si>
    <t>`$16</t>
  </si>
  <si>
    <t>`$17</t>
  </si>
  <si>
    <t>`$18</t>
  </si>
  <si>
    <t>Alex_Zimmerman_1A_Full_8099-293</t>
  </si>
  <si>
    <t>Alex_Zimmerman_1B_Full_8099-294</t>
  </si>
  <si>
    <t>Alex_Zimmerman_1C_Full_8099-295</t>
  </si>
  <si>
    <t>Alex_Zimmerman_1D_Full_8099-296</t>
  </si>
  <si>
    <t>Alex_Zimmerman_1E_Full_8099-297</t>
  </si>
  <si>
    <t>Alex_Zimmerman_1F_Full_8099-298</t>
  </si>
  <si>
    <t>Alex_Zimmerman_1G_Full_8099-299</t>
  </si>
  <si>
    <t>Alex_Zimmerman_2A_Full_8099-300</t>
  </si>
  <si>
    <t>Alex_Zimmerman_2B_Full_8099-301</t>
  </si>
  <si>
    <t>Alex_Zimmerman_2C_Full_8099-302</t>
  </si>
  <si>
    <t>Alex_Zimmerman_2D_Full_8099-302B</t>
  </si>
  <si>
    <t>Alex_Zimmerman_2E_Full_8099-303</t>
  </si>
  <si>
    <t>Alex_Zimmerman_2F_Full_8099-304</t>
  </si>
  <si>
    <t>Alex_Zimmerman_2G_Full_8099-305</t>
  </si>
  <si>
    <t>Alex_Zimmerman_3A_Full_8099-306</t>
  </si>
  <si>
    <t>Alex_Zimmerman_3B_Full_8099-307</t>
  </si>
  <si>
    <t>Alex_Zimmerman_3C_Full_8099-308</t>
  </si>
  <si>
    <t>Alex_Zimmerman_3D_Full_8099-309</t>
  </si>
  <si>
    <t>Alex_Zimmerman_3F_Full_280-1</t>
  </si>
  <si>
    <t>Alex_Zimmerman_3G_Full_280-2</t>
  </si>
  <si>
    <t>Alex_Zimmerman_4A_Full_280-</t>
  </si>
  <si>
    <t>Alex_Zimmerman_4B_Full_280-4</t>
  </si>
  <si>
    <t>Alex_Zimmerman_4C_Full_280-5</t>
  </si>
  <si>
    <t>Alex_Zimmerman_4D_Full_280-6</t>
  </si>
  <si>
    <t>Alex_Zimmerman_4E_Full_280-7</t>
  </si>
  <si>
    <t>Alex_Zimmerman_4F_Full_280-8</t>
  </si>
  <si>
    <t>Alex_Zimmerman_4G_Full_280-9</t>
  </si>
  <si>
    <t>Alex_Zimmerman_5A_Full_280-10</t>
  </si>
  <si>
    <t>Alex_Zimmerman_5B_Full_280-11</t>
  </si>
  <si>
    <t>Alex_Zimmerman_5C_Full_280-12</t>
  </si>
  <si>
    <t>Alex_Zimmerman_5D_Full_280-13</t>
  </si>
  <si>
    <t>Alex_Zimmerman_5E_Full_280-14</t>
  </si>
  <si>
    <t>Alex_Zimmerman_5F_Full_280-15</t>
  </si>
  <si>
    <t>Alex_Zimmerman_5G_Full_280-16</t>
  </si>
  <si>
    <t>Alex_Zimmerman_6A_Full_280-17</t>
  </si>
  <si>
    <t>Alex_Zimmerman_6B_Full_280-18</t>
  </si>
  <si>
    <t>Alex_Zimmerman_6C_Full_280-19</t>
  </si>
  <si>
    <t>Alex_Zimmerman_6D_Full_280-20</t>
  </si>
  <si>
    <t>Alex_Zimmerman_6E_Full_280-21</t>
  </si>
  <si>
    <t>Alex_Zimmerman_6F_Full_280-22</t>
  </si>
  <si>
    <t>Alex_Zimmerman_6G_Full_280-23</t>
  </si>
  <si>
    <t>Alex_Zimmerman_7A_Full_280-24</t>
  </si>
  <si>
    <t>Alex_Zimmerman_7B_Full_280-25</t>
  </si>
  <si>
    <t>Alex_Zimmerman_7D_Full_crinoind-a</t>
  </si>
  <si>
    <t>Alex_Zimmerman_7E_Full_crinodia-b</t>
  </si>
  <si>
    <t>Photographer First Name Initial:</t>
  </si>
  <si>
    <t>Photographer Last Name Initial:</t>
  </si>
  <si>
    <t>"7.5"</t>
  </si>
  <si>
    <t>"0.13"</t>
  </si>
  <si>
    <t>"5.0"</t>
  </si>
  <si>
    <t>6102-1</t>
  </si>
  <si>
    <t>6102-2</t>
  </si>
  <si>
    <t>6102-3</t>
  </si>
  <si>
    <t>6102-6</t>
  </si>
  <si>
    <t>6102-6_b</t>
  </si>
  <si>
    <t>6102-7</t>
  </si>
  <si>
    <t>6102-8</t>
  </si>
  <si>
    <t>6102-9</t>
  </si>
  <si>
    <t>6103-1</t>
  </si>
  <si>
    <t>6103-3</t>
  </si>
  <si>
    <t>6103-4</t>
  </si>
  <si>
    <t>6103-5</t>
  </si>
  <si>
    <t>6103-6</t>
  </si>
  <si>
    <t>6103-7</t>
  </si>
  <si>
    <t>6103-8</t>
  </si>
  <si>
    <t>6103-9</t>
  </si>
  <si>
    <t>6103-10</t>
  </si>
  <si>
    <t>6103-11</t>
  </si>
  <si>
    <t>6103-12</t>
  </si>
  <si>
    <t>6103-13</t>
  </si>
  <si>
    <t>6103-14</t>
  </si>
  <si>
    <t>6103-15</t>
  </si>
  <si>
    <t>6103-16</t>
  </si>
  <si>
    <t>6103-18</t>
  </si>
  <si>
    <t>6103-16_b</t>
  </si>
  <si>
    <t>6103-18_b</t>
  </si>
  <si>
    <t>6103-19</t>
  </si>
  <si>
    <t>6103-20</t>
  </si>
  <si>
    <t>6103-20_b</t>
  </si>
  <si>
    <t>6103-21</t>
  </si>
  <si>
    <t>6103-22</t>
  </si>
  <si>
    <t>6103-23</t>
  </si>
  <si>
    <t>6103-24</t>
  </si>
  <si>
    <t>6103-25</t>
  </si>
  <si>
    <t>6103-26</t>
  </si>
  <si>
    <t>6103-27</t>
  </si>
  <si>
    <t>6103-28</t>
  </si>
  <si>
    <t>6103-29</t>
  </si>
  <si>
    <t>6103-30</t>
  </si>
  <si>
    <t>6103-32</t>
  </si>
  <si>
    <t>6103-32_b</t>
  </si>
  <si>
    <t>6103-33</t>
  </si>
  <si>
    <t>6103-34</t>
  </si>
  <si>
    <t>6103-35</t>
  </si>
  <si>
    <t>6103-36</t>
  </si>
  <si>
    <t>6103-36_b</t>
  </si>
  <si>
    <t>6103-37</t>
  </si>
  <si>
    <t>6103-37_b</t>
  </si>
  <si>
    <t>6103-38</t>
  </si>
  <si>
    <t>6103-38_b</t>
  </si>
  <si>
    <t>6103-39</t>
  </si>
  <si>
    <t>6103-40</t>
  </si>
  <si>
    <t>6103-41</t>
  </si>
  <si>
    <t>6103-42</t>
  </si>
  <si>
    <t>6103-43</t>
  </si>
  <si>
    <t>6103-45</t>
  </si>
  <si>
    <t>6103-45_b</t>
  </si>
  <si>
    <t>6103-46</t>
  </si>
  <si>
    <t>6103-47</t>
  </si>
  <si>
    <t>6103-48</t>
  </si>
  <si>
    <t>6103-48_b</t>
  </si>
  <si>
    <t>6103-49</t>
  </si>
  <si>
    <t>6103-50</t>
  </si>
  <si>
    <t>6130-51</t>
  </si>
  <si>
    <t>6103-52</t>
  </si>
  <si>
    <t>6103-53</t>
  </si>
  <si>
    <t>6103-54</t>
  </si>
  <si>
    <t>6103-55</t>
  </si>
  <si>
    <t>6103-58</t>
  </si>
  <si>
    <t>6103-59</t>
  </si>
  <si>
    <t>6103-59_b</t>
  </si>
  <si>
    <t>6104-1</t>
  </si>
  <si>
    <t>6104-3</t>
  </si>
  <si>
    <t>6104-4</t>
  </si>
  <si>
    <t>6015-1</t>
  </si>
  <si>
    <t>6105-2</t>
  </si>
  <si>
    <t>6105-2_b</t>
  </si>
  <si>
    <t>6105-3</t>
  </si>
  <si>
    <t>2x</t>
  </si>
  <si>
    <t>"11.25"</t>
  </si>
  <si>
    <t>"0.220"</t>
  </si>
  <si>
    <t>6015-12</t>
  </si>
  <si>
    <t>6105-11</t>
  </si>
  <si>
    <t>6105-10</t>
  </si>
  <si>
    <t>6105-9</t>
  </si>
  <si>
    <t>6105-8</t>
  </si>
  <si>
    <t>6105-7</t>
  </si>
  <si>
    <t>6105-6</t>
  </si>
  <si>
    <t>6105-5</t>
  </si>
  <si>
    <t>6107-1</t>
  </si>
  <si>
    <t>6107-3</t>
  </si>
  <si>
    <t>6107-3_b</t>
  </si>
  <si>
    <t>6105-13</t>
  </si>
  <si>
    <t>6105-14</t>
  </si>
  <si>
    <t>6105-16</t>
  </si>
  <si>
    <t>6105-17</t>
  </si>
  <si>
    <t>6105-18</t>
  </si>
  <si>
    <t>6105-19</t>
  </si>
  <si>
    <t>6105-20</t>
  </si>
  <si>
    <t>6105-21</t>
  </si>
  <si>
    <t>6105-22</t>
  </si>
  <si>
    <t>6105-22_b</t>
  </si>
  <si>
    <t>6105-32</t>
  </si>
  <si>
    <t>6105-32_b</t>
  </si>
  <si>
    <t>6105-4</t>
  </si>
  <si>
    <t>6105-25</t>
  </si>
  <si>
    <t>6105-26</t>
  </si>
  <si>
    <t>6105-27</t>
  </si>
  <si>
    <t>6105-28</t>
  </si>
  <si>
    <t>6105-29</t>
  </si>
  <si>
    <t>6105-30</t>
  </si>
  <si>
    <t>6105-30_b</t>
  </si>
  <si>
    <t>6105-31_b</t>
  </si>
  <si>
    <t>6105-34</t>
  </si>
  <si>
    <t>6105-34_b</t>
  </si>
  <si>
    <t>6107-4</t>
  </si>
  <si>
    <t>6107-6</t>
  </si>
  <si>
    <t>6107-7_b</t>
  </si>
  <si>
    <t>6107-6_b</t>
  </si>
  <si>
    <t>6106-1</t>
  </si>
  <si>
    <t>6106-2</t>
  </si>
  <si>
    <t>6106-3</t>
  </si>
  <si>
    <t>6108-1</t>
  </si>
  <si>
    <t>6108-2</t>
  </si>
  <si>
    <t>6108-2_b</t>
  </si>
  <si>
    <t>6108-3</t>
  </si>
  <si>
    <t>6108-3_b</t>
  </si>
  <si>
    <t>6109-1</t>
  </si>
  <si>
    <t>6109-2</t>
  </si>
  <si>
    <t>6109-3</t>
  </si>
  <si>
    <t>6109-4</t>
  </si>
  <si>
    <t>6109-5</t>
  </si>
  <si>
    <t>6109-6</t>
  </si>
  <si>
    <t>6109-7</t>
  </si>
  <si>
    <t>6109-10</t>
  </si>
  <si>
    <t>6109-11</t>
  </si>
  <si>
    <t>6109-11_b</t>
  </si>
  <si>
    <t>6109-12</t>
  </si>
  <si>
    <t>6109-12_b</t>
  </si>
  <si>
    <t>6110-2</t>
  </si>
  <si>
    <t>6110-3</t>
  </si>
  <si>
    <t>6110-4</t>
  </si>
  <si>
    <t>6110-4_b</t>
  </si>
  <si>
    <t>6110-5</t>
  </si>
  <si>
    <t>6110-5_b</t>
  </si>
  <si>
    <t>6110-6</t>
  </si>
  <si>
    <t>6110-6_b</t>
  </si>
  <si>
    <t>6110-7</t>
  </si>
  <si>
    <t>6110-8</t>
  </si>
  <si>
    <t>6110-8_b</t>
  </si>
  <si>
    <t>6110-9</t>
  </si>
  <si>
    <t>6110-9_b</t>
  </si>
  <si>
    <t>6110-10</t>
  </si>
  <si>
    <t>6110-11</t>
  </si>
  <si>
    <t>6107-8</t>
  </si>
  <si>
    <t>6111-1</t>
  </si>
  <si>
    <t>6111-2</t>
  </si>
  <si>
    <t>6111-3</t>
  </si>
  <si>
    <t>6111-3_b</t>
  </si>
  <si>
    <t>6111-4</t>
  </si>
  <si>
    <t>104-14</t>
  </si>
  <si>
    <t>149-1</t>
  </si>
  <si>
    <t>162-2</t>
  </si>
  <si>
    <t>107-23</t>
  </si>
  <si>
    <t>171-25</t>
  </si>
  <si>
    <t>166-8</t>
  </si>
  <si>
    <t>166-10</t>
  </si>
  <si>
    <t>118-18</t>
  </si>
  <si>
    <t>107-17</t>
  </si>
  <si>
    <t>134-84-5</t>
  </si>
  <si>
    <t>165-6</t>
  </si>
  <si>
    <t>165-1</t>
  </si>
  <si>
    <t>134-9</t>
  </si>
  <si>
    <t>155-18</t>
  </si>
  <si>
    <t>131-15</t>
  </si>
  <si>
    <t>133-4</t>
  </si>
  <si>
    <t>123-4</t>
  </si>
  <si>
    <t>123-16</t>
  </si>
  <si>
    <t>124-14</t>
  </si>
  <si>
    <t>123-19</t>
  </si>
  <si>
    <t>123-5</t>
  </si>
  <si>
    <t>167-18</t>
  </si>
  <si>
    <t>158-1</t>
  </si>
  <si>
    <t>158-2</t>
  </si>
  <si>
    <t>158-3</t>
  </si>
  <si>
    <t>158-4</t>
  </si>
  <si>
    <t>50-22</t>
  </si>
  <si>
    <t>163-23</t>
  </si>
  <si>
    <t>146-8</t>
  </si>
  <si>
    <t>184-7</t>
  </si>
  <si>
    <t>184-6</t>
  </si>
  <si>
    <t>126-6</t>
  </si>
  <si>
    <t>126-1</t>
  </si>
  <si>
    <t>203-5</t>
  </si>
  <si>
    <t>202-18</t>
  </si>
  <si>
    <t>150-16</t>
  </si>
  <si>
    <t>148-13</t>
  </si>
  <si>
    <t>150-4</t>
  </si>
  <si>
    <t>157-22</t>
  </si>
  <si>
    <t>210-1</t>
  </si>
  <si>
    <t xml:space="preserve"> </t>
  </si>
  <si>
    <t>{"project_name":"10732-01001_AZ_1A_Well","project_path":"K:/1_Capture/","project_subject_id":"--","project_author":"","project_date":"5-3-2017","project_notes":"","project_data_directory":"AZ_5-3-2017_","project_boundary_left":"34.91","project_boundary_right":"43.51","project_boundary_top":"10.43","project_boundary_bottom":"19.03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</si>
  <si>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10734-00101_AZ_1B_Well","project_path":"K:/1_Capture/","project_subject_id":"--","project_author":"","project_date":"5-3-2017","project_notes":"","project_data_directory":"AZ_5-3-2017_","project_boundary_left":"122.11","project_boundary_right":"130.71","project_boundary_top":"10.43","project_boundary_bottom":"19.03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</si>
  <si>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10740-00401_AZ_1C_Well","project_path":"K:/1_Capture/","project_subject_id":"--","project_author":"","project_date":"5-3-2017","project_notes":"","project_data_directory":"AZ_5-3-2017_","project_boundary_left":"208.71","project_boundary_right":"217.31","project_boundary_top":"10.43","project_boundary_bottom":"19.03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</si>
  <si>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10740-00402_AZ_1D_Well","project_path":"K:/1_Capture/","project_subject_id":"--","project_author":"","project_date":"5-3-2017","project_notes":"","project_data_directory":"AZ_5-3-2017_","project_boundary_left":"295.71","project_boundary_right":"304.31","project_boundary_top":"10.43","project_boundary_bottom":"19.03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</si>
  <si>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10740-00502_AZ_1E_Well","project_path":"K:/1_Capture/","project_subject_id":"--","project_author":"","project_date":"5-3-2017","project_notes":"","project_data_directory":"AZ_5-3-2017_","project_boundary_left":"382.11","project_boundary_right":"390.71","project_boundary_top":"10.43","project_boundary_bottom":"19.03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</si>
  <si>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10740-00504_AZ_1F_Well","project_path":"K:/1_Capture/","project_subject_id":"--","project_author":"","project_date":"5-3-2017","project_notes":"","project_data_directory":"AZ_5-3-2017_","project_boundary_left":"468.71","project_boundary_right":"477.31","project_boundary_top":"10.43","project_boundary_bottom":"19.03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</si>
  <si>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10740-00701_AZ_1G_Well","project_path":"K:/1_Capture/","project_subject_id":"--","project_author":"","project_date":"5-3-2017","project_notes":"","project_data_directory":"AZ_5-3-2017_","project_boundary_left":"555.61","project_boundary_right":"564.21","project_boundary_top":"10.43","project_boundary_bottom":"19.03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</si>
  <si>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10740-027_AZ_2A_Well","project_path":"K:/1_Capture/","project_subject_id":"--","project_author":"","project_date":"5-3-2017","project_notes":"","project_data_directory":"AZ_5-3-2017_","project_boundary_left":"34.91","project_boundary_right":"43.51","project_boundary_top":"46.93","project_boundary_bottom":"55.53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</si>
  <si>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10741-09001_AZ_2B_Well","project_path":"K:/1_Capture/","project_subject_id":"--","project_author":"","project_date":"5-3-2017","project_notes":"","project_data_directory":"AZ_5-3-2017_","project_boundary_left":"122.11","project_boundary_right":"130.71","project_boundary_top":"46.93","project_boundary_bottom":"55.53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</si>
  <si>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10741-12801_AZ_2C_Well","project_path":"K:/1_Capture/","project_subject_id":"--","project_author":"","project_date":"5-3-2017","project_notes":"","project_data_directory":"AZ_5-3-2017_","project_boundary_left":"208.71","project_boundary_right":"217.31","project_boundary_top":"46.93","project_boundary_bottom":"55.53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</si>
  <si>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10741-12802_AZ_2D_Well","project_path":"K:/1_Capture/","project_subject_id":"--","project_author":"","project_date":"5-3-2017","project_notes":"","project_data_directory":"AZ_5-3-2017_","project_boundary_left":"295.71","project_boundary_right":"304.31","project_boundary_top":"46.93","project_boundary_bottom":"55.53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</si>
  <si>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10741-13701_AZ_2E_Well","project_path":"K:/1_Capture/","project_subject_id":"--","project_author":"","project_date":"5-3-2017","project_notes":"","project_data_directory":"AZ_5-3-2017_","project_boundary_left":"382.11","project_boundary_right":"390.71","project_boundary_top":"46.93","project_boundary_bottom":"55.53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</si>
  <si>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10741-14001_AZ_2F_Well","project_path":"K:/1_Capture/","project_subject_id":"--","project_author":"","project_date":"5-3-2017","project_notes":"","project_data_directory":"AZ_5-3-2017_","project_boundary_left":"468.71","project_boundary_right":"477.31","project_boundary_top":"46.93","project_boundary_bottom":"55.53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</si>
  <si>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10741-14101_AZ_2G_Well","project_path":"K:/1_Capture/","project_subject_id":"--","project_author":"","project_date":"5-3-2017","project_notes":"","project_data_directory":"AZ_5-3-2017_","project_boundary_left":"555.61","project_boundary_right":"564.21","project_boundary_top":"46.93","project_boundary_bottom":"55.53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</si>
  <si>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10741-14102_AZ_3A_Well","project_path":"K:/1_Capture/","project_subject_id":"--","project_author":"","project_date":"5-3-2017","project_notes":"","project_data_directory":"AZ_5-3-2017_","project_boundary_left":"34.91","project_boundary_right":"43.51","project_boundary_top":"83.42","project_boundary_bottom":"92.02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</si>
  <si>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10742-00401_AZ_3B_Well","project_path":"K:/1_Capture/","project_subject_id":"--","project_author":"","project_date":"5-3-2017","project_notes":"","project_data_directory":"AZ_5-3-2017_","project_boundary_left":"122.11","project_boundary_right":"130.71","project_boundary_top":"83.42","project_boundary_bottom":"92.02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</si>
  <si>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10742-01001_AZ_3C_Well","project_path":"K:/1_Capture/","project_subject_id":"--","project_author":"","project_date":"5-3-2017","project_notes":"","project_data_directory":"AZ_5-3-2017_","project_boundary_left":"208.71","project_boundary_right":"217.31","project_boundary_top":"83.42","project_boundary_bottom":"92.02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</si>
  <si>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10742-01901_AZ_3D_Well","project_path":"K:/1_Capture/","project_subject_id":"--","project_author":"","project_date":"5-3-2017","project_notes":"","project_data_directory":"AZ_5-3-2017_","project_boundary_left":"295.71","project_boundary_right":"304.31","project_boundary_top":"83.42","project_boundary_bottom":"92.02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</si>
  <si>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10742-03601_AZ_3E_Well","project_path":"K:/1_Capture/","project_subject_id":"--","project_author":"","project_date":"5-3-2017","project_notes":"","project_data_directory":"AZ_5-3-2017_","project_boundary_left":"382.11","project_boundary_right":"390.71","project_boundary_top":"83.42","project_boundary_bottom":"92.02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</si>
  <si>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10742-04001_AZ_3F_Well","project_path":"K:/1_Capture/","project_subject_id":"--","project_author":"","project_date":"5-3-2017","project_notes":"","project_data_directory":"AZ_5-3-2017_","project_boundary_left":"468.71","project_boundary_right":"477.31","project_boundary_top":"83.42","project_boundary_bottom":"92.02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</si>
  <si>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10744-029_AZ_3G_Well","project_path":"K:/1_Capture/","project_subject_id":"--","project_author":"","project_date":"5-3-2017","project_notes":"","project_data_directory":"AZ_5-3-2017_","project_boundary_left":"555.61","project_boundary_right":"564.21","project_boundary_top":"83.42","project_boundary_bottom":"92.02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</si>
  <si>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10745-00401_AZ_4A_Well","project_path":"K:/1_Capture/","project_subject_id":"--","project_author":"","project_date":"5-3-2017","project_notes":"","project_data_directory":"AZ_5-3-2017_","project_boundary_left":"34.51","project_boundary_right":"43.11","project_boundary_top":"134.94","project_boundary_bottom":"143.54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</si>
  <si>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10745-02102_AZ_4B_Well","project_path":"K:/1_Capture/","project_subject_id":"--","project_author":"","project_date":"5-3-2017","project_notes":"","project_data_directory":"AZ_5-3-2017_","project_boundary_left":"122.51","project_boundary_right":"131.11","project_boundary_top":"134.94","project_boundary_bottom":"143.54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</si>
  <si>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10745-03601_AZ_4C_Well","project_path":"K:/1_Capture/","project_subject_id":"--","project_author":"","project_date":"5-3-2017","project_notes":"","project_data_directory":"AZ_5-3-2017_","project_boundary_left":"209.11","project_boundary_right":"217.71","project_boundary_top":"134.94","project_boundary_bottom":"143.54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</si>
  <si>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10745-04801_AZ_4D_Well","project_path":"K:/1_Capture/","project_subject_id":"--","project_author":"","project_date":"5-3-2017","project_notes":"","project_data_directory":"AZ_5-3-2017_","project_boundary_left":"296.11","project_boundary_right":"304.71","project_boundary_top":"134.94","project_boundary_bottom":"143.54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</si>
  <si>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10745-05001_AZ_4E_Well","project_path":"K:/1_Capture/","project_subject_id":"--","project_author":"","project_date":"5-3-2017","project_notes":"","project_data_directory":"AZ_5-3-2017_","project_boundary_left":"382.51","project_boundary_right":"391.11","project_boundary_top":"134.94","project_boundary_bottom":"143.54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</si>
  <si>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14884_AZ_4F_Row1","project_path":"K:/1_Capture/","project_subject_id":"--","project_author":"","project_date":"5-3-2017","project_notes":"","project_data_directory":"AZ_5-3-2017_","project_boundary_left":"461.91","project_boundary_right":"507.51","project_boundary_top":"130.54","project_boundary_bottom":"134.34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</si>
  <si>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14884_AZ_4F_Row2","project_path":"K:/1_Capture/","project_subject_id":"--","project_author":"","project_date":"5-3-2017","project_notes":"","project_data_directory":"AZ_5-3-2017_","project_boundary_left":"461.91","project_boundary_right":"507.51","project_boundary_top":"134.34","project_boundary_bottom":"138.14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</si>
  <si>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14885_AZ_4G_Row1","project_path":"K:/1_Capture/","project_subject_id":"--","project_author":"","project_date":"5-3-2017","project_notes":"","project_data_directory":"AZ_5-3-2017_","project_boundary_left":"548.81","project_boundary_right":"590.61","project_boundary_top":"130.54","project_boundary_bottom":"134.34","project_boundary_highfocus":"1.6","project_boundary_lowfocus":"0.8","project_subject_width":"41.8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</si>
  <si>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14885_AZ_4G_Row2","project_path":"K:/1_Capture/","project_subject_id":"--","project_author":"","project_date":"5-3-2017","project_notes":"","project_data_directory":"AZ_5-3-2017_","project_boundary_left":"548.81","project_boundary_right":"594.41","project_boundary_top":"134.34","project_boundary_bottom":"138.14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</si>
  <si>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14885_AZ_4G_Row3","project_path":"K:/1_Capture/","project_subject_id":"--","project_author":"","project_date":"5-3-2017","project_notes":"","project_data_directory":"AZ_5-3-2017_","project_boundary_left":"548.81","project_boundary_right":"594.41","project_boundary_top":"138.14","project_boundary_bottom":"141.94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546"}</t>
  </si>
  <si>
    <t>{"project_name":"14885_AZ_4G_Row4","project_path":"K:/1_Capture/","project_subject_id":"--","project_author":"","project_date":"5-3-2017","project_notes":"","project_data_directory":"AZ_5-3-2017_","project_boundary_left":"548.81","project_boundary_right":"590.61","project_boundary_top":"141.94","project_boundary_bottom":"145.74","project_boundary_highfocus":"1.6","project_boundary_lowfocus":"0.8","project_subject_width":"41.8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</si>
  <si>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14886_AZ_5A_Row1","project_path":"K:/1_Capture/","project_subject_id":"--","project_author":"","project_date":"5-3-2017","project_notes":"","project_data_directory":"AZ_5-3-2017_","project_boundary_left":"27.31","project_boundary_right":"72.91","project_boundary_top":"167.23","project_boundary_bottom":"171.03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</si>
  <si>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14886_AZ_5A_Row2","project_path":"K:/1_Capture/","project_subject_id":"--","project_author":"","project_date":"5-3-2017","project_notes":"","project_data_directory":"AZ_5-3-2017_","project_boundary_left":"27.31","project_boundary_right":"72.91","project_boundary_top":"171.03","project_boundary_bottom":"174.83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</si>
  <si>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14886_AZ_5A_Row3","project_path":"K:/1_Capture/","project_subject_id":"--","project_author":"","project_date":"5-3-2017","project_notes":"","project_data_directory":"AZ_5-3-2017_","project_boundary_left":"27.31","project_boundary_right":"72.91","project_boundary_top":"174.83","project_boundary_bottom":"178.63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</si>
  <si>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14886_AZ_5A_Row4","project_path":"K:/1_Capture/","project_subject_id":"--","project_author":"","project_date":"5-3-2017","project_notes":"","project_data_directory":"AZ_5-3-2017_","project_boundary_left":"27.31","project_boundary_right":"72.91","project_boundary_top":"178.63","project_boundary_bottom":"182.43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</si>
  <si>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10736-39_AZ_5C_Row1","project_path":"K:/1_Capture/","project_subject_id":"--","project_author":"","project_date":"5-3-2017","project_notes":"","project_data_directory":"AZ_5-3-2017_","project_boundary_left":"201.91","project_boundary_right":"213.31","project_boundary_top":"167.23","project_boundary_bottom":"171.03","project_boundary_highfocus":"1.6","project_boundary_lowfocus":"0.8","project_subject_width":"11.4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126"}</t>
  </si>
  <si>
    <t>{"project_name":"10736-39_AZ_5C_Row2","project_path":"K:/1_Capture/","project_subject_id":"--","project_author":"","project_date":"5-3-2017","project_notes":"","project_data_directory":"AZ_5-3-2017_","project_boundary_left":"201.91","project_boundary_right":"205.71","project_boundary_top":"171.03","project_boundary_bottom":"174.83","project_boundary_highfocus":"1.6","project_boundary_lowfocus":"0.8","project_subject_width":"3.8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</si>
  <si>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10736-40_AZ_5D_Row1","project_path":"K:/1_Capture/","project_subject_id":"--","project_author":"","project_date":"5-3-2017","project_notes":"","project_data_directory":"AZ_5-3-2017_","project_boundary_left":"288.91","project_boundary_right":"292.71","project_boundary_top":"167.23","project_boundary_bottom":"171.03","project_boundary_highfocus":"1.6","project_boundary_lowfocus":"0.8","project_subject_width":"3.8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</si>
  <si>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10736-41_AZ_5E_Row1","project_path":"K:/1_Capture/","project_subject_id":"--","project_author":"","project_date":"5-3-2017","project_notes":"","project_data_directory":"AZ_5-3-2017_","project_boundary_left":"375.31","project_boundary_right":"379.11","project_boundary_top":"167.23","project_boundary_bottom":"171.03","project_boundary_highfocus":"1.6","project_boundary_lowfocus":"0.8","project_subject_width":"3.8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</si>
  <si>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10741-97_AZ_5F_Row1","project_path":"K:/1_Capture/","project_subject_id":"--","project_author":"","project_date":"5-3-2017","project_notes":"","project_data_directory":"AZ_5-3-2017_","project_boundary_left":"461.91","project_boundary_right":"507.51","project_boundary_top":"167.23","project_boundary_bottom":"171.03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336"}</t>
  </si>
  <si>
    <t>{"project_name":"10741-97_AZ_5F_Row2","project_path":"K:/1_Capture/","project_subject_id":"--","project_author":"","project_date":"5-3-2017","project_notes":"","project_data_directory":"AZ_5-3-2017_","project_boundary_left":"461.91","project_boundary_right":"484.71","project_boundary_top":"171.03","project_boundary_bottom":"174.83","project_boundary_highfocus":"1.6","project_boundary_lowfocus":"0.8","project_subject_width":"22.8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</si>
  <si>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10741-93_AZ_5G_Row1","project_path":"K:/1_Capture/","project_subject_id":"--","project_author":"","project_date":"5-3-2017","project_notes":"","project_data_directory":"AZ_5-3-2017_","project_boundary_left":"548.81","project_boundary_right":"560.21","project_boundary_top":"167.23","project_boundary_bottom":"171.03","project_boundary_highfocus":"1.6","project_boundary_lowfocus":"0.8","project_subject_width":"11.4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168"}</t>
  </si>
  <si>
    <t>{"project_name":"10741-93_AZ_5G_Row2","project_path":"K:/1_Capture/","project_subject_id":"--","project_author":"","project_date":"5-3-2017","project_notes":"","project_data_directory":"AZ_5-3-2017_","project_boundary_left":"548.81","project_boundary_right":"556.41","project_boundary_top":"171.03","project_boundary_bottom":"174.83","project_boundary_highfocus":"1.6","project_boundary_lowfocus":"0.8","project_subject_width":"7.6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</si>
  <si>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10741-94_AZ_6A_Row1","project_path":"K:/1_Capture/","project_subject_id":"--","project_author":"","project_date":"5-3-2017","project_notes":"","project_data_directory":"AZ_5-3-2017_","project_boundary_left":"27.31","project_boundary_right":"61.51","project_boundary_top":"203.77","project_boundary_bottom":"207.57","project_boundary_highfocus":"1.6","project_boundary_lowfocus":"0.8","project_subject_width":"34.2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</si>
  <si>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10742_Slide1_AZ_6B_Row1","project_path":"K:/1_Capture/","project_subject_id":"--","project_author":"","project_date":"5-3-2017","project_notes":"","project_data_directory":"AZ_5-3-2017_","project_boundary_left":"115.31","project_boundary_right":"149.51","project_boundary_top":"203.77","project_boundary_bottom":"207.57","project_boundary_highfocus":"1.6","project_boundary_lowfocus":"0.8","project_subject_width":"34.2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</si>
  <si>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10742_Slide1_AZ_6B_Row2","project_path":"K:/1_Capture/","project_subject_id":"--","project_author":"","project_date":"5-3-2017","project_notes":"","project_data_directory":"AZ_5-3-2017_","project_boundary_left":"115.31","project_boundary_right":"160.91","project_boundary_top":"207.57","project_boundary_bottom":"211.37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546"}</t>
  </si>
  <si>
    <t>{"project_name":"10742_Slide1_AZ_6B_Row3","project_path":"K:/1_Capture/","project_subject_id":"--","project_author":"","project_date":"5-3-2017","project_notes":"","project_data_directory":"AZ_5-3-2017_","project_boundary_left":"115.31","project_boundary_right":"157.11","project_boundary_top":"211.37","project_boundary_bottom":"215.17","project_boundary_highfocus":"1.6","project_boundary_lowfocus":"0.8","project_subject_width":"41.8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546"}</t>
  </si>
  <si>
    <t>{"project_name":"10742_Slide1_AZ_6B_Row4","project_path":"K:/1_Capture/","project_subject_id":"--","project_author":"","project_date":"5-3-2017","project_notes":"","project_data_directory":"AZ_5-3-2017_","project_boundary_left":"115.31","project_boundary_right":"157.11","project_boundary_top":"215.17","project_boundary_bottom":"218.97","project_boundary_highfocus":"1.6","project_boundary_lowfocus":"0.8","project_subject_width":"41.8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168"}</t>
  </si>
  <si>
    <t>{"project_name":"10742_Slide1_AZ_6B_Row5","project_path":"K:/1_Capture/","project_subject_id":"--","project_author":"","project_date":"5-3-2017","project_notes":"","project_data_directory":"AZ_5-3-2017_","project_boundary_left":"115.31","project_boundary_right":"122.91","project_boundary_top":"218.97","project_boundary_bottom":"222.77","project_boundary_highfocus":"1.6","project_boundary_lowfocus":"0.8","project_subject_width":"7.6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</si>
  <si>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10742_Slide2_AZ_6C_Row1","project_path":"K:/1_Capture/","project_subject_id":"--","project_author":"","project_date":"5-3-2017","project_notes":"","project_data_directory":"AZ_5-3-2017_","project_boundary_left":"201.91","project_boundary_right":"220.91","project_boundary_top":"203.77","project_boundary_bottom":"207.57","project_boundary_highfocus":"1.6","project_boundary_lowfocus":"0.8","project_subject_width":"19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</si>
  <si>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10742_AZ_6D_Row1","project_path":"K:/1_Capture/","project_subject_id":"--","project_author":"","project_date":"5-3-2017","project_notes":"","project_data_directory":"AZ_5-3-2017_","project_boundary_left":"288.91","project_boundary_right":"292.71","project_boundary_top":"203.77","project_boundary_bottom":"207.57","project_boundary_highfocus":"1.6","project_boundary_lowfocus":"0.8","project_subject_width":"3.8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</si>
  <si>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10742-47_AZ_6E_Well","project_path":"K:/1_Capture/","project_subject_id":"--","project_author":"","project_date":"5-3-2017","project_notes":"","project_data_directory":"AZ_5-3-2017_","project_boundary_left":"382.51","project_boundary_right":"391.11","project_boundary_top":"208.17","project_boundary_bottom":"216.77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</si>
  <si>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10742-48_AZ_6F_Well","project_path":"K:/1_Capture/","project_subject_id":"--","project_author":"","project_date":"5-3-2017","project_notes":"","project_data_directory":"AZ_5-3-2017_","project_boundary_left":"469.11","project_boundary_right":"477.71","project_boundary_top":"208.17","project_boundary_bottom":"216.77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</si>
  <si>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10742-52_AZ_6G_Well","project_path":"K:/1_Capture/","project_subject_id":"--","project_author":"","project_date":"5-3-2017","project_notes":"","project_data_directory":"AZ_5-3-2017_","project_boundary_left":"556.01","project_boundary_right":"564.61","project_boundary_top":"208.17","project_boundary_bottom":"216.77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</si>
  <si>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10742-53_AZ_7A_Row1","project_path":"K:/1_Capture/","project_subject_id":"--","project_author":"","project_date":"5-3-2017","project_notes":"","project_data_directory":"AZ_5-3-2017_","project_boundary_left":"27.51","project_boundary_right":"35.11","project_boundary_top":"255.73","project_boundary_bottom":"259.53","project_boundary_highfocus":"1.6","project_boundary_lowfocus":"0.8","project_subject_width":"7.6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</si>
  <si>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10742-54_AZ_7B_Row1","project_path":"K:/1_Capture/","project_subject_id":"--","project_author":"","project_date":"5-3-2017","project_notes":"","project_data_directory":"AZ_5-3-2017_","project_boundary_left":"115.11","project_boundary_right":"122.71","project_boundary_top":"255.73","project_boundary_bottom":"259.53","project_boundary_highfocus":"1.6","project_boundary_lowfocus":"0.8","project_subject_width":"7.6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</si>
  <si>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10742-54_AZ_7C_Well","project_path":"K:/1_Capture/","project_subject_id":"--","project_author":"","project_date":"5-3-2017","project_notes":"","project_data_directory":"AZ_5-3-2017_","project_boundary_left":"208.91","project_boundary_right":"217.51","project_boundary_top":"260.13","project_boundary_bottom":"268.73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</si>
  <si>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10742-55_AZ_7D_Well","project_path":"K:/1_Capture/","project_subject_id":"--","project_author":"","project_date":"5-3-2017","project_notes":"","project_data_directory":"AZ_5-3-2017_","project_boundary_left":"295.91","project_boundary_right":"304.51","project_boundary_top":"260.13","project_boundary_bottom":"268.73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</si>
  <si>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10742-96_AZ_7E_Row1","project_path":"K:/1_Capture/","project_subject_id":"--","project_author":"","project_date":"5-3-2017","project_notes":"","project_data_directory":"AZ_5-3-2017_","project_boundary_left":"375.11","project_boundary_right":"386.51","project_boundary_top":"255.73","project_boundary_bottom":"259.53","project_boundary_highfocus":"1.6","project_boundary_lowfocus":"0.8","project_subject_width":"11.4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</si>
  <si>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10742-97_AZ_7F_Row1","project_path":"K:/1_Capture/","project_subject_id":"--","project_author":"","project_date":"5-3-2017","project_notes":"","project_data_directory":"AZ_5-3-2017_","project_boundary_left":"461.71","project_boundary_right":"480.71","project_boundary_top":"255.73","project_boundary_bottom":"259.53","project_boundary_highfocus":"1.6","project_boundary_lowfocus":"0.8","project_subject_width":"19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</si>
  <si>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10742-98_AZ_7G_Row1","project_path":"K:/1_Capture/","project_subject_id":"--","project_author":"","project_date":"5-3-2017","project_notes":"","project_data_directory":"AZ_5-3-2017_","project_boundary_left":"548.61","project_boundary_right":"594.21","project_boundary_top":"255.73","project_boundary_bottom":"259.53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</si>
  <si>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10742-99_AZ_8A_Row1","project_path":"K:/1_Capture/","project_subject_id":"--","project_author":"","project_date":"5-3-2017","project_notes":"","project_data_directory":"AZ_5-3-2017_","project_boundary_left":"27.51","project_boundary_right":"31.31","project_boundary_top":"292.53","project_boundary_bottom":"296.33","project_boundary_highfocus":"1.6","project_boundary_lowfocus":"0.8","project_subject_width":"3.8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</si>
  <si>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10744-17_AZ_8B_Well","project_path":"K:/1_Capture/","project_subject_id":"--","project_author":"","project_date":"5-3-2017","project_notes":"","project_data_directory":"AZ_5-3-2017_","project_boundary_left":"122.31","project_boundary_right":"130.91","project_boundary_top":"296.93","project_boundary_bottom":"305.53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</si>
  <si>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10744-18_AZ_8C_Well","project_path":"K:/1_Capture/","project_subject_id":"--","project_author":"","project_date":"5-3-2017","project_notes":"","project_data_directory":"AZ_5-3-2017_","project_boundary_left":"208.91","project_boundary_right":"217.51","project_boundary_top":"296.93","project_boundary_bottom":"305.53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</si>
  <si>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10744-20_AZ_8D_Well","project_path":"K:/1_Capture/","project_subject_id":"--","project_author":"","project_date":"5-3-2017","project_notes":"","project_data_directory":"AZ_5-3-2017_","project_boundary_left":"295.91","project_boundary_right":"304.51","project_boundary_top":"296.93","project_boundary_bottom":"305.53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</si>
  <si>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10744-33_AZ_8E_Well","project_path":"K:/1_Capture/","project_subject_id":"--","project_author":"","project_date":"5-3-2017","project_notes":"","project_data_directory":"AZ_5-3-2017_","project_boundary_left":"382.31","project_boundary_right":"390.91","project_boundary_top":"296.93","project_boundary_bottom":"305.53","project_boundary_highfocus":"1.6","project_boundary_lowfocus":"0.8","project_subject_width":"8.6","project_subject_height":"8.6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140"}</t>
  </si>
  <si>
    <t>{"project_name":"Sanders_Slide1of3_AZ_9A_Row1","project_path":"K:/1_Capture/","project_subject_id":"--","project_author":"","project_date":"5-3-2017","project_notes":"","project_data_directory":"AZ_5-3-2017_","project_boundary_left":"27.51","project_boundary_right":"73.11","project_boundary_top":"329.02","project_boundary_bottom":"332.82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</si>
  <si>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Sanders_Slide1of3_AZ_9A_Row2","project_path":"K:/1_Capture/","project_subject_id":"--","project_author":"","project_date":"5-3-2017","project_notes":"","project_data_directory":"AZ_5-3-2017_","project_boundary_left":"27.51","project_boundary_right":"73.11","project_boundary_top":"332.82","project_boundary_bottom":"336.62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</si>
  <si>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Sanders_Slide1of3_AZ_9A_Row3","project_path":"K:/1_Capture/","project_subject_id":"--","project_author":"","project_date":"5-3-2017","project_notes":"","project_data_directory":"AZ_5-3-2017_","project_boundary_left":"27.51","project_boundary_right":"73.11","project_boundary_top":"336.62","project_boundary_bottom":"340.42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</si>
  <si>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Sanders_Slide1of3_AZ_9A_Row4","project_path":"K:/1_Capture/","project_subject_id":"--","project_author":"","project_date":"5-3-2017","project_notes":"","project_data_directory":"AZ_5-3-2017_","project_boundary_left":"27.51","project_boundary_right":"73.11","project_boundary_top":"340.42","project_boundary_bottom":"344.22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</si>
  <si>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Sanders_Slide2of3_AZ_9B_Row1","project_path":"K:/1_Capture/","project_subject_id":"--","project_author":"","project_date":"5-3-2017","project_notes":"","project_data_directory":"AZ_5-3-2017_","project_boundary_left":"115.11","project_boundary_right":"160.71","project_boundary_top":"329.02","project_boundary_bottom":"332.82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</si>
  <si>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Sanders_Slide2of3_AZ_9B_Row2","project_path":"K:/1_Capture/","project_subject_id":"--","project_author":"","project_date":"5-3-2017","project_notes":"","project_data_directory":"AZ_5-3-2017_","project_boundary_left":"115.11","project_boundary_right":"160.71","project_boundary_top":"332.82","project_boundary_bottom":"336.62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</si>
  <si>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Sanders_Slide2of3_AZ_9B_Row3","project_path":"K:/1_Capture/","project_subject_id":"--","project_author":"","project_date":"5-3-2017","project_notes":"","project_data_directory":"AZ_5-3-2017_","project_boundary_left":"115.11","project_boundary_right":"160.71","project_boundary_top":"336.62","project_boundary_bottom":"340.42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</si>
  <si>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Sanders_Slide2of3_AZ_9B_Row4","project_path":"K:/1_Capture/","project_subject_id":"--","project_author":"","project_date":"5-3-2017","project_notes":"","project_data_directory":"AZ_5-3-2017_","project_boundary_left":"115.11","project_boundary_right":"160.71","project_boundary_top":"340.42","project_boundary_bottom":"344.22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</si>
  <si>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Sanders_Slide3of3_AZ_9C_Row1","project_path":"K:/1_Capture/","project_subject_id":"--","project_author":"","project_date":"5-3-2017","project_notes":"","project_data_directory":"AZ_5-3-2017_","project_boundary_left":"201.71","project_boundary_right":"247.31","project_boundary_top":"329.02","project_boundary_bottom":"332.82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168"}</t>
  </si>
  <si>
    <t>{"project_name":"Sanders_Slide3of3_AZ_9C_Row2","project_path":"K:/1_Capture/","project_subject_id":"--","project_author":"","project_date":"5-3-2017","project_notes":"","project_data_directory":"AZ_5-3-2017_","project_boundary_left":"201.71","project_boundary_right":"209.31","project_boundary_top":"332.82","project_boundary_bottom":"336.62","project_boundary_highfocus":"1.6","project_boundary_lowfocus":"0.8","project_subject_width":"7.6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</si>
  <si>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Sanders_Slide1of2_AZ_9D_Row1","project_path":"K:/1_Capture/","project_subject_id":"--","project_author":"","project_date":"5-3-2017","project_notes":"","project_data_directory":"AZ_5-3-2017_","project_boundary_left":"288.71","project_boundary_right":"334.31","project_boundary_top":"329.02","project_boundary_bottom":"332.82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</si>
  <si>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Sanders_Slide1of2_AZ_9D_Row2","project_path":"K:/1_Capture/","project_subject_id":"--","project_author":"","project_date":"5-3-2017","project_notes":"","project_data_directory":"AZ_5-3-2017_","project_boundary_left":"288.71","project_boundary_right":"334.31","project_boundary_top":"332.82","project_boundary_bottom":"336.62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</si>
  <si>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Sanders_Slide1of2_AZ_9D_Row3","project_path":"K:/1_Capture/","project_subject_id":"--","project_author":"","project_date":"5-3-2017","project_notes":"","project_data_directory":"AZ_5-3-2017_","project_boundary_left":"288.71","project_boundary_right":"334.31","project_boundary_top":"336.62","project_boundary_bottom":"340.42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</si>
  <si>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Sanders_Slide1of2_AZ_9D_Row4","project_path":"K:/1_Capture/","project_subject_id":"--","project_author":"","project_date":"5-3-2017","project_notes":"","project_data_directory":"AZ_5-3-2017_","project_boundary_left":"288.71","project_boundary_right":"334.31","project_boundary_top":"340.42","project_boundary_bottom":"344.22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</si>
  <si>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Sanders_Slide2of2_AZ_9E_Row1","project_path":"K:/1_Capture/","project_subject_id":"--","project_author":"","project_date":"5-3-2017","project_notes":"","project_data_directory":"AZ_5-3-2017_","project_boundary_left":"375.11","project_boundary_right":"420.71","project_boundary_top":"329.02","project_boundary_bottom":"332.82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168"}</t>
  </si>
  <si>
    <t>{"project_name":"Sanders_Slide2of2_AZ_9E_Row2","project_path":"K:/1_Capture/","project_subject_id":"--","project_author":"","project_date":"5-3-2017","project_notes":"","project_data_directory":"AZ_5-3-2017_","project_boundary_left":"375.11","project_boundary_right":"382.71","project_boundary_top":"332.82","project_boundary_bottom":"336.62","project_boundary_highfocus":"1.6","project_boundary_lowfocus":"0.8","project_subject_width":"7.6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</si>
  <si>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Sanders_Lroundyi_AZ_9F_Row1","project_path":"K:/1_Capture/","project_subject_id":"--","project_author":"","project_date":"5-3-2017","project_notes":"","project_data_directory":"AZ_5-3-2017_","project_boundary_left":"461.71","project_boundary_right":"507.31","project_boundary_top":"329.02","project_boundary_bottom":"332.82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</si>
  <si>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Sanders_Lroundyi_AZ_9F_Row2","project_path":"K:/1_Capture/","project_subject_id":"--","project_author":"","project_date":"5-3-2017","project_notes":"","project_data_directory":"AZ_5-3-2017_","project_boundary_left":"461.71","project_boundary_right":"507.31","project_boundary_top":"332.82","project_boundary_bottom":"336.62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</si>
  <si>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Sanders_Lroundyi_AZ_9F_Row3","project_path":"K:/1_Capture/","project_subject_id":"--","project_author":"","project_date":"5-3-2017","project_notes":"","project_data_directory":"AZ_5-3-2017_","project_boundary_left":"461.71","project_boundary_right":"507.31","project_boundary_top":"336.62","project_boundary_bottom":"340.42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</si>
  <si>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Sanders_Neoprion_AZ_9G_Row1","project_path":"K:/1_Capture/","project_subject_id":"--","project_author":"","project_date":"5-3-2017","project_notes":"","project_data_directory":"AZ_5-3-2017_","project_boundary_left":"548.61","project_boundary_right":"594.21","project_boundary_top":"329.02","project_boundary_bottom":"332.82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</si>
  <si>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Sanders_Neoprion_AZ_9G_Row2","project_path":"K:/1_Capture/","project_subject_id":"--","project_author":"","project_date":"5-3-2017","project_notes":"","project_data_directory":"AZ_5-3-2017_","project_boundary_left":"548.61","project_boundary_right":"594.21","project_boundary_top":"332.82","project_boundary_bottom":"336.62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</si>
  <si>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Sanders_Neoprion_AZ_9G_Row3","project_path":"K:/1_Capture/","project_subject_id":"--","project_author":"","project_date":"5-3-2017","project_notes":"","project_data_directory":"AZ_5-3-2017_","project_boundary_left":"548.61","project_boundary_right":"594.21","project_boundary_top":"336.62","project_boundary_bottom":"340.42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</si>
  <si>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Sanders_Neoprion_AZ_9G_Row4","project_path":"K:/1_Capture/","project_subject_id":"--","project_author":"","project_date":"5-3-2017","project_notes":"","project_data_directory":"AZ_5-3-2017_","project_boundary_left":"548.61","project_boundary_right":"594.21","project_boundary_top":"340.42","project_boundary_bottom":"344.22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</si>
  <si>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Sanders_Lonch_AZ_10A_Row1","project_path":"K:/1_Capture/","project_subject_id":"--","project_author":"","project_date":"5-3-2017","project_notes":"","project_data_directory":"AZ_5-3-2017_","project_boundary_left":"27.31","project_boundary_right":"50.11","project_boundary_top":"380.73","project_boundary_bottom":"384.53","project_boundary_highfocus":"1.6","project_boundary_lowfocus":"0.8","project_subject_width":"22.8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210"}</t>
  </si>
  <si>
    <t>{"project_name":"Sanders_Lonch_AZ_10A_Row2","project_path":"K:/1_Capture/","project_subject_id":"--","project_author":"","project_date":"5-3-2017","project_notes":"","project_data_directory":"AZ_5-3-2017_","project_boundary_left":"27.31","project_boundary_right":"38.71","project_boundary_top":"384.53","project_boundary_bottom":"388.33","project_boundary_highfocus":"1.6","project_boundary_lowfocus":"0.8","project_subject_width":"11.4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</si>
  <si>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Sanders_Roundya_AZ_10B_Row1","project_path":"K:/1_Capture/","project_subject_id":"--","project_author":"","project_date":"5-3-2017","project_notes":"","project_data_directory":"AZ_5-3-2017_","project_boundary_left":"115.31","project_boundary_right":"134.31","project_boundary_top":"380.73","project_boundary_bottom":"384.53","project_boundary_highfocus":"1.6","project_boundary_lowfocus":"0.8","project_subject_width":"19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</si>
  <si>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Sanders_Synprion_AZ_10C_Row1","project_path":"K:/1_Capture/","project_subject_id":"--","project_author":"","project_date":"5-3-2017","project_notes":"","project_data_directory":"AZ_5-3-2017_","project_boundary_left":"201.91","project_boundary_right":"247.51","project_boundary_top":"380.73","project_boundary_bottom":"384.53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210"}</t>
  </si>
  <si>
    <t>{"project_name":"Sanders_Synprion_AZ_10C_Row2","project_path":"K:/1_Capture/","project_subject_id":"--","project_author":"","project_date":"5-3-2017","project_notes":"","project_data_directory":"AZ_5-3-2017_","project_boundary_left":"201.91","project_boundary_right":"213.31","project_boundary_top":"384.53","project_boundary_bottom":"388.33","project_boundary_highfocus":"1.6","project_boundary_lowfocus":"0.8","project_subject_width":"11.4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168"}</t>
  </si>
  <si>
    <t>{"project_name":"Sanders_Synprion_AZ_10C_Row3","project_path":"K:/1_Capture/","project_subject_id":"--","project_author":"","project_date":"5-3-2017","project_notes":"","project_data_directory":"AZ_5-3-2017_","project_boundary_left":"201.91","project_boundary_right":"209.51","project_boundary_top":"388.33","project_boundary_bottom":"392.13","project_boundary_highfocus":"1.6","project_boundary_lowfocus":"0.8","project_subject_width":"7.6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</si>
  <si>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Sanders_Metaloch_AZ_10D_Row1","project_path":"K:/1_Capture/","project_subject_id":"--","project_author":"","project_date":"5-3-2017","project_notes":"","project_data_directory":"AZ_5-3-2017_","project_boundary_left":"288.91","project_boundary_right":"330.71","project_boundary_top":"380.73","project_boundary_bottom":"384.53","project_boundary_highfocus":"1.6","project_boundary_lowfocus":"0.8","project_subject_width":"41.8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</si>
  <si>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Sanders_Nconjanctus_AZ_10E_Row1","project_path":"K:/1_Capture/","project_subject_id":"--","project_author":"","project_date":"5-3-2017","project_notes":"","project_data_directory":"AZ_5-3-2017_","project_boundary_left":"375.31","project_boundary_right":"417.11","project_boundary_top":"380.73","project_boundary_bottom":"384.53","project_boundary_highfocus":"1.6","project_boundary_lowfocus":"0.8","project_subject_width":"41.8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</si>
  <si>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Sanders_Oroundyi_AZ_10F_Row1","project_path":"K:/1_Capture/","project_subject_id":"--","project_author":"","project_date":"5-3-2017","project_notes":"","project_data_directory":"AZ_5-3-2017_","project_boundary_left":"461.91","project_boundary_right":"507.51","project_boundary_top":"380.73","project_boundary_bottom":"384.53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t>
  </si>
  <si>
    <t>{"project_name":"Sanders_Oroundyi_AZ_10F_Row2","project_path":"K:/1_Capture/","project_subject_id":"--","project_author":"","project_date":"5-3-2017","project_notes":"","project_data_directory":"AZ_5-3-2017_","project_boundary_left":"461.91","project_boundary_right":"507.51","project_boundary_top":"384.53","project_boundary_bottom":"388.33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420"}</t>
  </si>
  <si>
    <t>{"project_name":"Sanders_Oroundyi_AZ_10F_Row3","project_path":"K:/1_Capture/","project_subject_id":"--","project_author":"","project_date":"5-3-2017","project_notes":"","project_data_directory":"AZ_5-3-2017_","project_boundary_left":"461.91","project_boundary_right":"492.31","project_boundary_top":"388.33","project_boundary_bottom":"392.13","project_boundary_highfocus":"1.6","project_boundary_lowfocus":"0.8","project_subject_width":"30.4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</si>
  <si>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Sanders_Lonch_b_AZ_10G_Row1","project_path":"K:/1_Capture/","project_subject_id":"--","project_author":"","project_date":"5-3-2017","project_notes":"","project_data_directory":"AZ_5-3-2017_","project_boundary_left":"548.81","project_boundary_right":"594.41","project_boundary_top":"380.73","project_boundary_bottom":"384.53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546"}</t>
  </si>
  <si>
    <t>{"project_name":"Sanders_Lonch_b_AZ_10G_Row2","project_path":"K:/1_Capture/","project_subject_id":"--","project_author":"","project_date":"5-3-2017","project_notes":"","project_data_directory":"AZ_5-3-2017_","project_boundary_left":"548.81","project_boundary_right":"590.61","project_boundary_top":"384.53","project_boundary_bottom":"388.33","project_boundary_highfocus":"1.6","project_boundary_lowfocus":"0.8","project_subject_width":"41.8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336"}</t>
  </si>
  <si>
    <t>{"project_name":"Sanders_Lonch_b_AZ_10G_Row3","project_path":"K:/1_Capture/","project_subject_id":"--","project_author":"","project_date":"5-3-2017","project_notes":"","project_data_directory":"AZ_5-3-2017_","project_boundary_left":"548.81","project_boundary_right":"571.61","project_boundary_top":"388.33","project_boundary_bottom":"392.13","project_boundary_highfocus":"1.6","project_boundary_lowfocus":"0.8","project_subject_width":"22.8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</si>
  <si>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SandersOzark_Slide1of2_AZ_11A_Row1","project_path":"K:/1_Capture/","project_subject_id":"--","project_author":"","project_date":"5-3-2017","project_notes":"","project_data_directory":"AZ_5-3-2017_","project_boundary_left":"27.31","project_boundary_right":"72.91","project_boundary_top":"417.23","project_boundary_bottom":"421.03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</si>
  <si>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{"project_name":"SandersOzark_Slide2of2_AZ_11B_Row1","project_path":"K:/1_Capture/","project_subject_id":"--","project_author":"","project_date":"5-3-2017","project_notes":"","project_data_directory":"AZ_5-3-2017_","project_boundary_left":"115.31","project_boundary_right":"160.91","project_boundary_top":"417.23","project_boundary_bottom":"421.03","project_boundary_highfocus":"1.6","project_boundary_lowfocus":"0.8","project_subject_width":"45.6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462"}</t>
  </si>
  <si>
    <t>{"project_name":"SandersOzark_Slide2of2_AZ_11B_Row2","project_path":"K:/1_Capture/","project_subject_id":"--","project_author":"","project_date":"5-3-2017","project_notes":"","project_data_directory":"AZ_5-3-2017_","project_boundary_left":"115.31","project_boundary_right":"149.51","project_boundary_top":"421.03","project_boundary_bottom":"424.83","project_boundary_highfocus":"1.6","project_boundary_lowfocus":"0.8","project_subject_width":"34.2","project_subject_height":"3.8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t>
  </si>
  <si>
    <t>well</t>
  </si>
  <si>
    <t>box</t>
  </si>
  <si>
    <t>7a,18f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</si>
</sst>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5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5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4"/>
      <color rgb="FF000000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sz val="13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rgb="FF454545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/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94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0" xfId="0" applyNumberFormat="1"/>
    <xf numFmtId="2" fontId="0" fillId="0" borderId="0" xfId="0" applyNumberFormat="1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0" fillId="0" borderId="1" xfId="0" applyFill="1" applyBorder="1" applyAlignment="1">
      <alignment horizontal="center" vertical="center"/>
    </xf>
    <xf numFmtId="49" fontId="0" fillId="0" borderId="0" xfId="0" applyNumberFormat="1" applyFill="1"/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0" xfId="0" applyFont="1" applyAlignment="1">
      <alignment horizontal="center" vertical="center"/>
    </xf>
    <xf numFmtId="0" fontId="5" fillId="0" borderId="10" xfId="0" applyFont="1" applyFill="1" applyBorder="1" applyAlignment="1">
      <alignment vertical="center"/>
    </xf>
    <xf numFmtId="0" fontId="5" fillId="0" borderId="12" xfId="0" applyFont="1" applyFill="1" applyBorder="1" applyAlignment="1">
      <alignment vertical="center"/>
    </xf>
    <xf numFmtId="0" fontId="5" fillId="0" borderId="11" xfId="0" applyFont="1" applyFill="1" applyBorder="1" applyAlignment="1">
      <alignment horizontal="right" vertical="center"/>
    </xf>
    <xf numFmtId="0" fontId="5" fillId="0" borderId="12" xfId="0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left"/>
    </xf>
    <xf numFmtId="14" fontId="7" fillId="0" borderId="6" xfId="0" applyNumberFormat="1" applyFont="1" applyFill="1" applyBorder="1" applyAlignment="1">
      <alignment horizontal="left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6" xfId="0" applyFont="1" applyFill="1" applyBorder="1" applyAlignment="1" applyProtection="1">
      <alignment horizontal="left" vertical="center"/>
      <protection locked="0"/>
    </xf>
    <xf numFmtId="49" fontId="7" fillId="0" borderId="6" xfId="0" applyNumberFormat="1" applyFont="1" applyFill="1" applyBorder="1" applyAlignment="1" applyProtection="1">
      <alignment horizontal="left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/>
    <xf numFmtId="0" fontId="11" fillId="0" borderId="0" xfId="0" applyFont="1"/>
    <xf numFmtId="49" fontId="1" fillId="0" borderId="0" xfId="0" applyNumberFormat="1" applyFont="1"/>
    <xf numFmtId="0" fontId="3" fillId="0" borderId="3" xfId="0" applyFont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49" fontId="12" fillId="0" borderId="0" xfId="0" applyNumberFormat="1" applyFont="1"/>
    <xf numFmtId="0" fontId="12" fillId="0" borderId="0" xfId="0" applyFont="1"/>
    <xf numFmtId="0" fontId="5" fillId="0" borderId="10" xfId="0" applyFont="1" applyFill="1" applyBorder="1" applyAlignment="1">
      <alignment horizontal="right" vertical="center"/>
    </xf>
    <xf numFmtId="0" fontId="0" fillId="0" borderId="0" xfId="0" quotePrefix="1"/>
    <xf numFmtId="0" fontId="0" fillId="0" borderId="0" xfId="0" quotePrefix="1" applyAlignment="1">
      <alignment horizontal="center" vertical="center"/>
    </xf>
    <xf numFmtId="6" fontId="0" fillId="0" borderId="0" xfId="0" applyNumberFormat="1"/>
    <xf numFmtId="0" fontId="13" fillId="0" borderId="0" xfId="0" applyFont="1" applyFill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20" xfId="0" applyFont="1" applyFill="1" applyBorder="1" applyAlignment="1" applyProtection="1">
      <alignment horizontal="center" vertical="center"/>
      <protection locked="0"/>
    </xf>
    <xf numFmtId="0" fontId="6" fillId="0" borderId="21" xfId="0" applyFont="1" applyFill="1" applyBorder="1" applyAlignment="1" applyProtection="1">
      <alignment horizontal="center" vertical="center"/>
      <protection locked="0"/>
    </xf>
    <xf numFmtId="0" fontId="4" fillId="0" borderId="22" xfId="0" applyFont="1" applyFill="1" applyBorder="1" applyAlignment="1" applyProtection="1">
      <alignment horizontal="center" vertical="center"/>
    </xf>
    <xf numFmtId="0" fontId="4" fillId="0" borderId="16" xfId="0" applyFont="1" applyFill="1" applyBorder="1" applyAlignment="1" applyProtection="1">
      <alignment horizontal="center" vertical="center"/>
    </xf>
    <xf numFmtId="0" fontId="4" fillId="0" borderId="24" xfId="0" applyFont="1" applyFill="1" applyBorder="1" applyAlignment="1" applyProtection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5" fillId="0" borderId="20" xfId="0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4" xfId="0" quotePrefix="1" applyBorder="1"/>
    <xf numFmtId="0" fontId="1" fillId="0" borderId="5" xfId="0" applyFont="1" applyBorder="1" applyAlignment="1">
      <alignment horizontal="center" vertical="center"/>
    </xf>
    <xf numFmtId="0" fontId="0" fillId="0" borderId="6" xfId="0" quotePrefix="1" applyBorder="1"/>
    <xf numFmtId="0" fontId="1" fillId="0" borderId="7" xfId="0" applyFont="1" applyBorder="1" applyAlignment="1">
      <alignment horizontal="center" vertical="center"/>
    </xf>
    <xf numFmtId="0" fontId="0" fillId="0" borderId="9" xfId="0" quotePrefix="1" applyBorder="1"/>
    <xf numFmtId="0" fontId="6" fillId="0" borderId="31" xfId="0" applyFont="1" applyFill="1" applyBorder="1" applyAlignment="1" applyProtection="1">
      <alignment horizontal="center" vertical="center"/>
      <protection locked="0"/>
    </xf>
    <xf numFmtId="0" fontId="6" fillId="0" borderId="28" xfId="0" applyFont="1" applyFill="1" applyBorder="1" applyAlignment="1" applyProtection="1">
      <alignment horizontal="center" vertical="center"/>
      <protection locked="0"/>
    </xf>
    <xf numFmtId="0" fontId="6" fillId="0" borderId="29" xfId="0" applyFont="1" applyFill="1" applyBorder="1" applyAlignment="1" applyProtection="1">
      <alignment horizontal="center" vertical="center"/>
      <protection locked="0"/>
    </xf>
    <xf numFmtId="0" fontId="7" fillId="0" borderId="6" xfId="0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right" vertical="center"/>
    </xf>
    <xf numFmtId="0" fontId="5" fillId="0" borderId="7" xfId="0" applyFont="1" applyFill="1" applyBorder="1" applyAlignment="1">
      <alignment horizontal="right" vertical="center"/>
    </xf>
    <xf numFmtId="0" fontId="5" fillId="0" borderId="0" xfId="0" applyFont="1" applyFill="1" applyAlignment="1">
      <alignment horizontal="center" vertical="center"/>
    </xf>
    <xf numFmtId="0" fontId="0" fillId="0" borderId="0" xfId="0" applyFill="1" applyBorder="1"/>
    <xf numFmtId="0" fontId="2" fillId="0" borderId="35" xfId="0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4" fillId="0" borderId="21" xfId="0" applyFont="1" applyFill="1" applyBorder="1" applyAlignment="1" applyProtection="1">
      <alignment horizontal="center" vertical="center"/>
    </xf>
    <xf numFmtId="0" fontId="15" fillId="0" borderId="0" xfId="0" applyFont="1" applyFill="1"/>
    <xf numFmtId="0" fontId="6" fillId="0" borderId="38" xfId="0" applyFont="1" applyFill="1" applyBorder="1" applyAlignment="1" applyProtection="1">
      <alignment horizontal="center" vertical="center"/>
      <protection locked="0"/>
    </xf>
    <xf numFmtId="0" fontId="6" fillId="0" borderId="39" xfId="0" applyFont="1" applyFill="1" applyBorder="1" applyAlignment="1" applyProtection="1">
      <alignment horizontal="center" vertical="center"/>
      <protection locked="0"/>
    </xf>
    <xf numFmtId="0" fontId="7" fillId="0" borderId="9" xfId="0" applyFont="1" applyFill="1" applyBorder="1" applyAlignment="1">
      <alignment horizontal="left"/>
    </xf>
    <xf numFmtId="0" fontId="7" fillId="0" borderId="5" xfId="0" applyFont="1" applyFill="1" applyBorder="1"/>
    <xf numFmtId="0" fontId="7" fillId="0" borderId="6" xfId="0" applyFont="1" applyFill="1" applyBorder="1"/>
    <xf numFmtId="0" fontId="2" fillId="0" borderId="34" xfId="0" applyFont="1" applyFill="1" applyBorder="1" applyAlignment="1">
      <alignment horizontal="center" vertical="center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0" borderId="28" xfId="0" applyFont="1" applyFill="1" applyBorder="1" applyAlignment="1" applyProtection="1">
      <alignment horizontal="center" vertical="center"/>
      <protection locked="0"/>
    </xf>
    <xf numFmtId="0" fontId="5" fillId="0" borderId="29" xfId="0" applyFont="1" applyFill="1" applyBorder="1" applyAlignment="1" applyProtection="1">
      <alignment horizontal="center" vertical="center"/>
      <protection locked="0"/>
    </xf>
    <xf numFmtId="0" fontId="5" fillId="0" borderId="23" xfId="0" applyFont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30" xfId="0" applyFont="1" applyBorder="1" applyAlignment="1" applyProtection="1">
      <alignment horizontal="center" vertical="center"/>
      <protection locked="0"/>
    </xf>
    <xf numFmtId="0" fontId="5" fillId="0" borderId="25" xfId="0" applyFont="1" applyFill="1" applyBorder="1" applyAlignment="1" applyProtection="1">
      <alignment horizontal="center" vertical="center"/>
      <protection locked="0"/>
    </xf>
    <xf numFmtId="0" fontId="5" fillId="0" borderId="26" xfId="0" applyFont="1" applyFill="1" applyBorder="1" applyAlignment="1" applyProtection="1">
      <alignment horizontal="center" vertical="center"/>
      <protection locked="0"/>
    </xf>
    <xf numFmtId="0" fontId="5" fillId="0" borderId="14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5" fillId="0" borderId="20" xfId="0" applyFont="1" applyFill="1" applyBorder="1" applyAlignment="1" applyProtection="1">
      <alignment horizontal="center" vertical="center"/>
      <protection locked="0"/>
    </xf>
    <xf numFmtId="0" fontId="5" fillId="0" borderId="21" xfId="0" applyFont="1" applyFill="1" applyBorder="1" applyAlignment="1" applyProtection="1">
      <alignment horizontal="center" vertical="center"/>
      <protection locked="0"/>
    </xf>
    <xf numFmtId="1" fontId="0" fillId="0" borderId="0" xfId="0" applyNumberFormat="1" applyFill="1"/>
    <xf numFmtId="0" fontId="0" fillId="0" borderId="3" xfId="0" applyFill="1" applyBorder="1"/>
    <xf numFmtId="0" fontId="0" fillId="0" borderId="4" xfId="0" applyFill="1" applyBorder="1"/>
    <xf numFmtId="0" fontId="0" fillId="0" borderId="6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7" xfId="0" applyFill="1" applyBorder="1"/>
    <xf numFmtId="0" fontId="2" fillId="0" borderId="7" xfId="0" applyFont="1" applyFill="1" applyBorder="1" applyAlignment="1">
      <alignment vertical="center"/>
    </xf>
    <xf numFmtId="0" fontId="2" fillId="0" borderId="8" xfId="0" applyFont="1" applyFill="1" applyBorder="1" applyAlignment="1">
      <alignment vertical="center"/>
    </xf>
    <xf numFmtId="0" fontId="2" fillId="0" borderId="9" xfId="0" applyFont="1" applyFill="1" applyBorder="1" applyAlignment="1">
      <alignment vertical="center"/>
    </xf>
    <xf numFmtId="2" fontId="0" fillId="0" borderId="0" xfId="0" applyNumberFormat="1" applyFill="1"/>
    <xf numFmtId="1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4" fillId="0" borderId="9" xfId="0" applyFont="1" applyFill="1" applyBorder="1" applyAlignment="1" applyProtection="1">
      <alignment vertical="center"/>
      <protection locked="0"/>
    </xf>
    <xf numFmtId="0" fontId="4" fillId="0" borderId="5" xfId="0" applyFont="1" applyFill="1" applyBorder="1" applyAlignment="1">
      <alignment horizontal="right" vertical="center"/>
    </xf>
    <xf numFmtId="0" fontId="22" fillId="0" borderId="6" xfId="0" applyFont="1" applyFill="1" applyBorder="1" applyAlignment="1" applyProtection="1">
      <alignment horizontal="left"/>
      <protection locked="0"/>
    </xf>
    <xf numFmtId="0" fontId="0" fillId="5" borderId="1" xfId="0" applyFill="1" applyBorder="1"/>
    <xf numFmtId="0" fontId="1" fillId="5" borderId="1" xfId="0" applyFont="1" applyFill="1" applyBorder="1"/>
    <xf numFmtId="0" fontId="17" fillId="0" borderId="0" xfId="0" applyFont="1" applyFill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6" fillId="4" borderId="37" xfId="0" applyFont="1" applyFill="1" applyBorder="1" applyAlignment="1" applyProtection="1">
      <alignment horizontal="center" vertical="center"/>
    </xf>
    <xf numFmtId="0" fontId="6" fillId="2" borderId="37" xfId="0" applyFont="1" applyFill="1" applyBorder="1" applyAlignment="1" applyProtection="1">
      <alignment horizontal="center" vertical="center"/>
    </xf>
    <xf numFmtId="0" fontId="6" fillId="0" borderId="37" xfId="0" applyFont="1" applyFill="1" applyBorder="1" applyAlignment="1" applyProtection="1">
      <alignment horizontal="center" vertical="center"/>
    </xf>
    <xf numFmtId="0" fontId="6" fillId="3" borderId="40" xfId="0" applyFont="1" applyFill="1" applyBorder="1" applyAlignment="1" applyProtection="1">
      <alignment horizontal="center" vertical="center"/>
    </xf>
    <xf numFmtId="0" fontId="6" fillId="3" borderId="42" xfId="0" applyFont="1" applyFill="1" applyBorder="1" applyAlignment="1" applyProtection="1">
      <alignment horizontal="center" vertical="center"/>
    </xf>
    <xf numFmtId="0" fontId="6" fillId="3" borderId="41" xfId="0" applyFont="1" applyFill="1" applyBorder="1" applyAlignment="1" applyProtection="1">
      <alignment horizontal="center" vertical="center"/>
    </xf>
    <xf numFmtId="0" fontId="6" fillId="4" borderId="38" xfId="0" applyFont="1" applyFill="1" applyBorder="1" applyAlignment="1" applyProtection="1">
      <alignment horizontal="center" vertical="center"/>
    </xf>
    <xf numFmtId="0" fontId="6" fillId="4" borderId="39" xfId="0" applyFont="1" applyFill="1" applyBorder="1" applyAlignment="1" applyProtection="1">
      <alignment horizontal="center" vertical="center"/>
    </xf>
    <xf numFmtId="0" fontId="6" fillId="2" borderId="38" xfId="0" applyFont="1" applyFill="1" applyBorder="1" applyAlignment="1" applyProtection="1">
      <alignment horizontal="center" vertical="center"/>
    </xf>
    <xf numFmtId="0" fontId="6" fillId="2" borderId="39" xfId="0" applyFont="1" applyFill="1" applyBorder="1" applyAlignment="1" applyProtection="1">
      <alignment horizontal="center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Fill="1" applyBorder="1" applyAlignment="1">
      <alignment horizontal="right" vertical="center"/>
    </xf>
    <xf numFmtId="0" fontId="1" fillId="0" borderId="43" xfId="0" applyFont="1" applyFill="1" applyBorder="1" applyAlignment="1">
      <alignment horizontal="center" vertical="center"/>
    </xf>
    <xf numFmtId="0" fontId="1" fillId="0" borderId="36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right"/>
    </xf>
    <xf numFmtId="0" fontId="3" fillId="0" borderId="12" xfId="0" applyFont="1" applyFill="1" applyBorder="1" applyAlignment="1">
      <alignment horizontal="right"/>
    </xf>
    <xf numFmtId="0" fontId="0" fillId="0" borderId="5" xfId="0" applyFill="1" applyBorder="1"/>
    <xf numFmtId="0" fontId="1" fillId="0" borderId="5" xfId="0" applyFont="1" applyFill="1" applyBorder="1"/>
    <xf numFmtId="0" fontId="1" fillId="0" borderId="0" xfId="0" applyFont="1" applyFill="1" applyBorder="1"/>
    <xf numFmtId="0" fontId="1" fillId="0" borderId="6" xfId="0" applyFont="1" applyFill="1" applyBorder="1"/>
    <xf numFmtId="0" fontId="1" fillId="0" borderId="0" xfId="0" applyNumberFormat="1" applyFont="1" applyAlignment="1">
      <alignment horizontal="center" vertical="center"/>
    </xf>
    <xf numFmtId="0" fontId="0" fillId="5" borderId="1" xfId="0" applyFon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Fill="1" applyBorder="1" applyAlignment="1">
      <alignment horizontal="left" vertical="top"/>
    </xf>
    <xf numFmtId="0" fontId="17" fillId="0" borderId="0" xfId="0" applyFont="1" applyFill="1" applyBorder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0" fontId="21" fillId="0" borderId="0" xfId="0" applyFont="1" applyFill="1" applyBorder="1"/>
    <xf numFmtId="0" fontId="2" fillId="0" borderId="3" xfId="0" applyFont="1" applyFill="1" applyBorder="1" applyAlignment="1">
      <alignment horizontal="left" vertical="center"/>
    </xf>
    <xf numFmtId="0" fontId="1" fillId="0" borderId="7" xfId="0" applyFont="1" applyFill="1" applyBorder="1"/>
    <xf numFmtId="0" fontId="1" fillId="0" borderId="8" xfId="0" applyFont="1" applyFill="1" applyBorder="1"/>
    <xf numFmtId="0" fontId="1" fillId="0" borderId="9" xfId="0" applyFont="1" applyFill="1" applyBorder="1"/>
    <xf numFmtId="0" fontId="17" fillId="0" borderId="0" xfId="0" applyFont="1" applyFill="1" applyBorder="1" applyAlignment="1">
      <alignment horizontal="right" vertical="center"/>
    </xf>
    <xf numFmtId="0" fontId="5" fillId="0" borderId="1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4" fillId="0" borderId="0" xfId="0" applyFont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45" xfId="0" applyFont="1" applyFill="1" applyBorder="1" applyAlignment="1">
      <alignment horizontal="center" vertical="center"/>
    </xf>
    <xf numFmtId="0" fontId="0" fillId="0" borderId="0" xfId="0" applyFont="1"/>
    <xf numFmtId="49" fontId="1" fillId="0" borderId="41" xfId="0" applyNumberFormat="1" applyFont="1" applyFill="1" applyBorder="1" applyAlignment="1" applyProtection="1">
      <alignment horizontal="center" vertical="center"/>
      <protection locked="0"/>
    </xf>
    <xf numFmtId="49" fontId="1" fillId="0" borderId="4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0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right" vertical="center"/>
    </xf>
    <xf numFmtId="0" fontId="17" fillId="0" borderId="6" xfId="0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16" fillId="0" borderId="32" xfId="0" applyFont="1" applyFill="1" applyBorder="1" applyAlignment="1">
      <alignment horizontal="center" vertical="center"/>
    </xf>
    <xf numFmtId="0" fontId="16" fillId="0" borderId="33" xfId="0" applyFont="1" applyFill="1" applyBorder="1" applyAlignment="1">
      <alignment horizontal="center" vertical="center"/>
    </xf>
    <xf numFmtId="0" fontId="17" fillId="0" borderId="32" xfId="0" applyFont="1" applyFill="1" applyBorder="1" applyAlignment="1">
      <alignment horizontal="center" vertical="center"/>
    </xf>
    <xf numFmtId="0" fontId="17" fillId="0" borderId="33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44" xfId="0" applyFont="1" applyFill="1" applyBorder="1" applyAlignment="1">
      <alignment horizontal="center" vertical="center"/>
    </xf>
    <xf numFmtId="0" fontId="2" fillId="5" borderId="33" xfId="0" applyFont="1" applyFill="1" applyBorder="1" applyAlignment="1">
      <alignment horizontal="center" vertical="center"/>
    </xf>
  </cellXfs>
  <cellStyles count="1">
    <cellStyle name="Normal" xfId="0" builtinId="0"/>
  </cellStyles>
  <dxfs count="65">
    <dxf>
      <font>
        <color theme="1"/>
      </font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8" tint="0.59996337778862885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</dxf>
    <dxf>
      <font>
        <color theme="0"/>
      </font>
    </dxf>
    <dxf>
      <font>
        <color theme="9" tint="-0.24994659260841701"/>
      </font>
    </dxf>
    <dxf>
      <font>
        <color theme="8" tint="-0.24994659260841701"/>
      </font>
    </dxf>
    <dxf>
      <font>
        <color theme="5" tint="-0.24994659260841701"/>
      </font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8" tint="0.59996337778862885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theme="8" tint="0.59996337778862885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b val="0"/>
        <i/>
        <color theme="0" tint="-0.499984740745262"/>
      </font>
    </dxf>
    <dxf>
      <fill>
        <patternFill>
          <bgColor rgb="FFFFFF00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theme="5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247650</xdr:colOff>
          <xdr:row>20</xdr:row>
          <xdr:rowOff>47625</xdr:rowOff>
        </xdr:from>
        <xdr:to>
          <xdr:col>18</xdr:col>
          <xdr:colOff>381000</xdr:colOff>
          <xdr:row>21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Queue File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161925</xdr:colOff>
          <xdr:row>13</xdr:row>
          <xdr:rowOff>38100</xdr:rowOff>
        </xdr:from>
        <xdr:to>
          <xdr:col>17</xdr:col>
          <xdr:colOff>819150</xdr:colOff>
          <xdr:row>16</xdr:row>
          <xdr:rowOff>57150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3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Custom Foci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123825</xdr:colOff>
          <xdr:row>8</xdr:row>
          <xdr:rowOff>66675</xdr:rowOff>
        </xdr:from>
        <xdr:to>
          <xdr:col>18</xdr:col>
          <xdr:colOff>733425</xdr:colOff>
          <xdr:row>12</xdr:row>
          <xdr:rowOff>200025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3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Column Counts for Box Slides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5</xdr:row>
          <xdr:rowOff>133350</xdr:rowOff>
        </xdr:from>
        <xdr:to>
          <xdr:col>13</xdr:col>
          <xdr:colOff>523875</xdr:colOff>
          <xdr:row>6</xdr:row>
          <xdr:rowOff>133350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Box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4</xdr:row>
          <xdr:rowOff>57150</xdr:rowOff>
        </xdr:from>
        <xdr:to>
          <xdr:col>13</xdr:col>
          <xdr:colOff>523875</xdr:colOff>
          <xdr:row>5</xdr:row>
          <xdr:rowOff>57150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</xdr:row>
          <xdr:rowOff>57150</xdr:rowOff>
        </xdr:from>
        <xdr:to>
          <xdr:col>15</xdr:col>
          <xdr:colOff>0</xdr:colOff>
          <xdr:row>5</xdr:row>
          <xdr:rowOff>57150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</xdr:row>
          <xdr:rowOff>133350</xdr:rowOff>
        </xdr:from>
        <xdr:to>
          <xdr:col>15</xdr:col>
          <xdr:colOff>0</xdr:colOff>
          <xdr:row>6</xdr:row>
          <xdr:rowOff>133350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8</xdr:row>
          <xdr:rowOff>161925</xdr:rowOff>
        </xdr:from>
        <xdr:to>
          <xdr:col>13</xdr:col>
          <xdr:colOff>523875</xdr:colOff>
          <xdr:row>9</xdr:row>
          <xdr:rowOff>161925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Box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76200</xdr:rowOff>
        </xdr:from>
        <xdr:to>
          <xdr:col>13</xdr:col>
          <xdr:colOff>523875</xdr:colOff>
          <xdr:row>8</xdr:row>
          <xdr:rowOff>76200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7</xdr:row>
          <xdr:rowOff>76200</xdr:rowOff>
        </xdr:from>
        <xdr:to>
          <xdr:col>15</xdr:col>
          <xdr:colOff>0</xdr:colOff>
          <xdr:row>8</xdr:row>
          <xdr:rowOff>76200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8</xdr:row>
          <xdr:rowOff>161925</xdr:rowOff>
        </xdr:from>
        <xdr:to>
          <xdr:col>15</xdr:col>
          <xdr:colOff>0</xdr:colOff>
          <xdr:row>9</xdr:row>
          <xdr:rowOff>161925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11</xdr:row>
          <xdr:rowOff>180975</xdr:rowOff>
        </xdr:from>
        <xdr:to>
          <xdr:col>13</xdr:col>
          <xdr:colOff>523875</xdr:colOff>
          <xdr:row>12</xdr:row>
          <xdr:rowOff>180975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Box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66675</xdr:rowOff>
        </xdr:from>
        <xdr:to>
          <xdr:col>13</xdr:col>
          <xdr:colOff>523875</xdr:colOff>
          <xdr:row>11</xdr:row>
          <xdr:rowOff>66675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10</xdr:row>
          <xdr:rowOff>66675</xdr:rowOff>
        </xdr:from>
        <xdr:to>
          <xdr:col>15</xdr:col>
          <xdr:colOff>0</xdr:colOff>
          <xdr:row>11</xdr:row>
          <xdr:rowOff>66675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11</xdr:row>
          <xdr:rowOff>180975</xdr:rowOff>
        </xdr:from>
        <xdr:to>
          <xdr:col>15</xdr:col>
          <xdr:colOff>0</xdr:colOff>
          <xdr:row>12</xdr:row>
          <xdr:rowOff>180975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14</xdr:row>
          <xdr:rowOff>171450</xdr:rowOff>
        </xdr:from>
        <xdr:to>
          <xdr:col>13</xdr:col>
          <xdr:colOff>523875</xdr:colOff>
          <xdr:row>15</xdr:row>
          <xdr:rowOff>171450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Box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13</xdr:row>
          <xdr:rowOff>66675</xdr:rowOff>
        </xdr:from>
        <xdr:to>
          <xdr:col>13</xdr:col>
          <xdr:colOff>523875</xdr:colOff>
          <xdr:row>14</xdr:row>
          <xdr:rowOff>66675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13</xdr:row>
          <xdr:rowOff>66675</xdr:rowOff>
        </xdr:from>
        <xdr:to>
          <xdr:col>15</xdr:col>
          <xdr:colOff>0</xdr:colOff>
          <xdr:row>14</xdr:row>
          <xdr:rowOff>66675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14</xdr:row>
          <xdr:rowOff>171450</xdr:rowOff>
        </xdr:from>
        <xdr:to>
          <xdr:col>15</xdr:col>
          <xdr:colOff>0</xdr:colOff>
          <xdr:row>15</xdr:row>
          <xdr:rowOff>171450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28575</xdr:rowOff>
        </xdr:from>
        <xdr:to>
          <xdr:col>8</xdr:col>
          <xdr:colOff>152400</xdr:colOff>
          <xdr:row>2</xdr:row>
          <xdr:rowOff>266700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Box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</xdr:row>
          <xdr:rowOff>28575</xdr:rowOff>
        </xdr:from>
        <xdr:to>
          <xdr:col>6</xdr:col>
          <xdr:colOff>447675</xdr:colOff>
          <xdr:row>2</xdr:row>
          <xdr:rowOff>266700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2</xdr:row>
          <xdr:rowOff>28575</xdr:rowOff>
        </xdr:from>
        <xdr:to>
          <xdr:col>9</xdr:col>
          <xdr:colOff>352425</xdr:colOff>
          <xdr:row>2</xdr:row>
          <xdr:rowOff>266700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2</xdr:row>
          <xdr:rowOff>28575</xdr:rowOff>
        </xdr:from>
        <xdr:to>
          <xdr:col>11</xdr:col>
          <xdr:colOff>0</xdr:colOff>
          <xdr:row>2</xdr:row>
          <xdr:rowOff>266700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16</xdr:row>
          <xdr:rowOff>190500</xdr:rowOff>
        </xdr:from>
        <xdr:to>
          <xdr:col>8</xdr:col>
          <xdr:colOff>219075</xdr:colOff>
          <xdr:row>17</xdr:row>
          <xdr:rowOff>209550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Box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190500</xdr:rowOff>
        </xdr:from>
        <xdr:to>
          <xdr:col>7</xdr:col>
          <xdr:colOff>47625</xdr:colOff>
          <xdr:row>17</xdr:row>
          <xdr:rowOff>209550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16</xdr:row>
          <xdr:rowOff>190500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16</xdr:row>
          <xdr:rowOff>190500</xdr:rowOff>
        </xdr:from>
        <xdr:to>
          <xdr:col>11</xdr:col>
          <xdr:colOff>66675</xdr:colOff>
          <xdr:row>17</xdr:row>
          <xdr:rowOff>209550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24</xdr:row>
          <xdr:rowOff>38100</xdr:rowOff>
        </xdr:from>
        <xdr:to>
          <xdr:col>17</xdr:col>
          <xdr:colOff>809625</xdr:colOff>
          <xdr:row>26</xdr:row>
          <xdr:rowOff>57150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for PowerShell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704850</xdr:colOff>
          <xdr:row>17</xdr:row>
          <xdr:rowOff>28575</xdr:rowOff>
        </xdr:from>
        <xdr:to>
          <xdr:col>18</xdr:col>
          <xdr:colOff>1362075</xdr:colOff>
          <xdr:row>18</xdr:row>
          <xdr:rowOff>57150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3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IUPC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1</xdr:row>
          <xdr:rowOff>38100</xdr:rowOff>
        </xdr:from>
        <xdr:to>
          <xdr:col>18</xdr:col>
          <xdr:colOff>1209675</xdr:colOff>
          <xdr:row>2</xdr:row>
          <xdr:rowOff>95250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Freeze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800100</xdr:colOff>
          <xdr:row>2</xdr:row>
          <xdr:rowOff>180975</xdr:rowOff>
        </xdr:from>
        <xdr:to>
          <xdr:col>18</xdr:col>
          <xdr:colOff>1333500</xdr:colOff>
          <xdr:row>3</xdr:row>
          <xdr:rowOff>180975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Unfreeze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885825</xdr:colOff>
          <xdr:row>19</xdr:row>
          <xdr:rowOff>171450</xdr:rowOff>
        </xdr:from>
        <xdr:to>
          <xdr:col>22</xdr:col>
          <xdr:colOff>85725</xdr:colOff>
          <xdr:row>22</xdr:row>
          <xdr:rowOff>38100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Excel Sheet with IUPC #s and Project Filenames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29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8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Y45"/>
  <sheetViews>
    <sheetView tabSelected="1" workbookViewId="0">
      <selection activeCell="C16" sqref="C16"/>
    </sheetView>
  </sheetViews>
  <sheetFormatPr defaultRowHeight="15" x14ac:dyDescent="0.25"/>
  <cols>
    <col min="1" max="1" width="1.5703125" style="7" customWidth="1"/>
    <col min="2" max="2" width="34.5703125" style="7" bestFit="1" customWidth="1"/>
    <col min="3" max="3" width="31.85546875" style="7" bestFit="1" customWidth="1"/>
    <col min="4" max="4" width="11.42578125" style="7" bestFit="1" customWidth="1"/>
    <col min="5" max="5" width="5.85546875" style="7" bestFit="1" customWidth="1"/>
    <col min="6" max="12" width="7" style="7" customWidth="1"/>
    <col min="13" max="16" width="8.28515625" style="7" customWidth="1"/>
    <col min="17" max="17" width="2.85546875" style="7" customWidth="1"/>
    <col min="18" max="18" width="12.7109375" style="7" customWidth="1"/>
    <col min="19" max="19" width="20.7109375" style="7" bestFit="1" customWidth="1"/>
    <col min="20" max="20" width="11.7109375" style="7" bestFit="1" customWidth="1"/>
    <col min="21" max="45" width="8.28515625" style="7" customWidth="1"/>
    <col min="46" max="46" width="9.85546875" style="7" bestFit="1" customWidth="1"/>
    <col min="47" max="47" width="9.5703125" style="7" bestFit="1" customWidth="1"/>
    <col min="48" max="48" width="9.85546875" style="7" bestFit="1" customWidth="1"/>
    <col min="49" max="49" width="8.5703125" style="7" bestFit="1" customWidth="1"/>
    <col min="50" max="103" width="8.28515625" style="7" customWidth="1"/>
    <col min="104" max="16384" width="9.140625" style="7"/>
  </cols>
  <sheetData>
    <row r="1" spans="1:103" ht="4.5" customHeight="1" x14ac:dyDescent="0.25"/>
    <row r="2" spans="1:103" ht="18.75" x14ac:dyDescent="0.25">
      <c r="B2" s="136" t="s">
        <v>315</v>
      </c>
      <c r="D2" s="175" t="s">
        <v>321</v>
      </c>
      <c r="E2" s="176"/>
      <c r="F2" s="172" t="s">
        <v>318</v>
      </c>
      <c r="G2" s="173"/>
      <c r="H2" s="173"/>
      <c r="I2" s="173"/>
      <c r="J2" s="173"/>
      <c r="K2" s="173"/>
      <c r="L2" s="174"/>
      <c r="R2" s="124" t="s">
        <v>316</v>
      </c>
    </row>
    <row r="3" spans="1:103" ht="22.5" customHeight="1" x14ac:dyDescent="0.25">
      <c r="B3" s="185" t="s">
        <v>313</v>
      </c>
      <c r="C3" s="186"/>
      <c r="F3" s="113"/>
      <c r="G3" s="114"/>
      <c r="H3" s="114"/>
      <c r="I3" s="114"/>
      <c r="J3" s="114"/>
      <c r="K3" s="114"/>
      <c r="L3" s="115"/>
      <c r="N3" s="191" t="s">
        <v>343</v>
      </c>
      <c r="O3" s="192"/>
      <c r="P3" s="192"/>
      <c r="Q3" s="193"/>
    </row>
    <row r="4" spans="1:103" ht="20.25" customHeight="1" x14ac:dyDescent="0.25">
      <c r="B4" s="76" t="s">
        <v>422</v>
      </c>
      <c r="C4" s="27" t="s">
        <v>39</v>
      </c>
      <c r="D4" s="7" t="s">
        <v>178</v>
      </c>
      <c r="E4" s="9"/>
      <c r="F4" s="46" t="s">
        <v>39</v>
      </c>
      <c r="G4" s="46" t="s">
        <v>40</v>
      </c>
      <c r="H4" s="46" t="s">
        <v>41</v>
      </c>
      <c r="I4" s="46" t="s">
        <v>42</v>
      </c>
      <c r="J4" s="46" t="s">
        <v>43</v>
      </c>
      <c r="K4" s="46" t="s">
        <v>44</v>
      </c>
      <c r="L4" s="47" t="s">
        <v>45</v>
      </c>
      <c r="N4" s="150" t="s">
        <v>342</v>
      </c>
      <c r="O4" s="80"/>
      <c r="P4" s="80"/>
      <c r="Q4" s="80"/>
      <c r="T4" s="43" t="str">
        <f>IF(AND(OR(T15&lt;&gt;"",T14&lt;&gt;""),OR(T7='DropDown Lists'!$E$4,T7='DropDown Lists'!$E$5,T7='DropDown Lists'!$E$7)),'DropDown Lists'!$A$4,"")</f>
        <v/>
      </c>
      <c r="U4" s="43" t="str">
        <f>IF(AND(OR(U15&lt;&gt;"",U14&lt;&gt;""),OR(U7='DropDown Lists'!$E$4,U7='DropDown Lists'!$E$5,U7='DropDown Lists'!$E$7)),'DropDown Lists'!$A$4,"")</f>
        <v/>
      </c>
      <c r="V4" s="43" t="str">
        <f>IF(AND(OR(V15&lt;&gt;"",V14&lt;&gt;""),OR(V7='DropDown Lists'!$E$4,V7='DropDown Lists'!$E$5,V7='DropDown Lists'!$E$7)),'DropDown Lists'!$A$4,"")</f>
        <v/>
      </c>
      <c r="W4" s="43" t="str">
        <f>IF(AND(OR(W15&lt;&gt;"",W14&lt;&gt;""),OR(W7='DropDown Lists'!$E$4,W7='DropDown Lists'!$E$5,W7='DropDown Lists'!$E$7)),'DropDown Lists'!$A$4,"")</f>
        <v/>
      </c>
      <c r="X4" s="43" t="str">
        <f>IF(AND(OR(X15&lt;&gt;"",X14&lt;&gt;""),OR(X7='DropDown Lists'!$E$4,X7='DropDown Lists'!$E$5,X7='DropDown Lists'!$E$7)),'DropDown Lists'!$A$4,"")</f>
        <v/>
      </c>
      <c r="Y4" s="43" t="str">
        <f>IF(AND(OR(Y15&lt;&gt;"",Y14&lt;&gt;""),OR(Y7='DropDown Lists'!$E$4,Y7='DropDown Lists'!$E$5,Y7='DropDown Lists'!$E$7)),'DropDown Lists'!$A$4,"")</f>
        <v/>
      </c>
      <c r="Z4" s="43" t="str">
        <f>IF(AND(OR(Z15&lt;&gt;"",Z14&lt;&gt;""),OR(Z7='DropDown Lists'!$E$4,Z7='DropDown Lists'!$E$5,Z7='DropDown Lists'!$E$7)),'DropDown Lists'!$A$4,"")</f>
        <v/>
      </c>
      <c r="AA4" s="43" t="str">
        <f>IF(AND(OR(AA15&lt;&gt;"",AA14&lt;&gt;""),OR(AA7='DropDown Lists'!$E$4,AA7='DropDown Lists'!$E$5,AA7='DropDown Lists'!$E$7)),'DropDown Lists'!$A$4,"")</f>
        <v/>
      </c>
      <c r="AB4" s="43" t="str">
        <f>IF(AND(OR(AB15&lt;&gt;"",AB14&lt;&gt;""),OR(AB7='DropDown Lists'!$E$4,AB7='DropDown Lists'!$E$5,AB7='DropDown Lists'!$E$7)),'DropDown Lists'!$A$4,"")</f>
        <v/>
      </c>
      <c r="AC4" s="43" t="str">
        <f>IF(AND(OR(AC15&lt;&gt;"",AC14&lt;&gt;""),OR(AC7='DropDown Lists'!$E$4,AC7='DropDown Lists'!$E$5,AC7='DropDown Lists'!$E$7)),'DropDown Lists'!$A$4,"")</f>
        <v/>
      </c>
      <c r="AD4" s="43" t="str">
        <f>IF(AND(OR(AD15&lt;&gt;"",AD14&lt;&gt;""),OR(AD7='DropDown Lists'!$E$4,AD7='DropDown Lists'!$E$5,AD7='DropDown Lists'!$E$7)),'DropDown Lists'!$A$4,"")</f>
        <v/>
      </c>
      <c r="AE4" s="43" t="str">
        <f>IF(AND(OR(AE15&lt;&gt;"",AE14&lt;&gt;""),OR(AE7='DropDown Lists'!$E$4,AE7='DropDown Lists'!$E$5,AE7='DropDown Lists'!$E$7)),'DropDown Lists'!$A$4,"")</f>
        <v/>
      </c>
      <c r="AF4" s="43" t="str">
        <f>IF(AND(OR(AF15&lt;&gt;"",AF14&lt;&gt;""),OR(AF7='DropDown Lists'!$E$4,AF7='DropDown Lists'!$E$5,AF7='DropDown Lists'!$E$7)),'DropDown Lists'!$A$4,"")</f>
        <v/>
      </c>
      <c r="AG4" s="43" t="str">
        <f>IF(AND(OR(AG15&lt;&gt;"",AG14&lt;&gt;""),OR(AG7='DropDown Lists'!$E$4,AG7='DropDown Lists'!$E$5,AG7='DropDown Lists'!$E$7)),'DropDown Lists'!$A$4,"")</f>
        <v/>
      </c>
      <c r="AH4" s="43" t="str">
        <f>IF(AND(OR(AH15&lt;&gt;"",AH14&lt;&gt;""),OR(AH7='DropDown Lists'!$E$4,AH7='DropDown Lists'!$E$5,AH7='DropDown Lists'!$E$7)),'DropDown Lists'!$A$4,"")</f>
        <v/>
      </c>
      <c r="AI4" s="43" t="str">
        <f>IF(AND(OR(AI15&lt;&gt;"",AI14&lt;&gt;""),OR(AI7='DropDown Lists'!$E$4,AI7='DropDown Lists'!$E$5,AI7='DropDown Lists'!$E$7)),'DropDown Lists'!$A$4,"")</f>
        <v/>
      </c>
      <c r="AJ4" s="43" t="str">
        <f>IF(AND(OR(AJ15&lt;&gt;"",AJ14&lt;&gt;""),OR(AJ7='DropDown Lists'!$E$4,AJ7='DropDown Lists'!$E$5,AJ7='DropDown Lists'!$E$7)),'DropDown Lists'!$A$4,"")</f>
        <v/>
      </c>
      <c r="AK4" s="43" t="str">
        <f>IF(AND(OR(AK15&lt;&gt;"",AK14&lt;&gt;""),OR(AK7='DropDown Lists'!$E$4,AK7='DropDown Lists'!$E$5,AK7='DropDown Lists'!$E$7)),'DropDown Lists'!$A$4,"")</f>
        <v/>
      </c>
      <c r="AL4" s="43" t="str">
        <f>IF(AND(OR(AL15&lt;&gt;"",AL14&lt;&gt;""),OR(AL7='DropDown Lists'!$E$4,AL7='DropDown Lists'!$E$5,AL7='DropDown Lists'!$E$7)),'DropDown Lists'!$A$4,"")</f>
        <v/>
      </c>
      <c r="AM4" s="43" t="str">
        <f>IF(AND(OR(AM15&lt;&gt;"",AM14&lt;&gt;""),OR(AM7='DropDown Lists'!$E$4,AM7='DropDown Lists'!$E$5,AM7='DropDown Lists'!$E$7)),'DropDown Lists'!$A$4,"")</f>
        <v/>
      </c>
      <c r="AN4" s="43" t="str">
        <f>IF(AND(OR(AN15&lt;&gt;"",AN14&lt;&gt;""),OR(AN7='DropDown Lists'!$E$4,AN7='DropDown Lists'!$E$5,AN7='DropDown Lists'!$E$7)),'DropDown Lists'!$A$4,"")</f>
        <v/>
      </c>
      <c r="AO4" s="43" t="str">
        <f>IF(AND(OR(AO15&lt;&gt;"",AO14&lt;&gt;""),OR(AO7='DropDown Lists'!$E$4,AO7='DropDown Lists'!$E$5,AO7='DropDown Lists'!$E$7)),'DropDown Lists'!$A$4,"")</f>
        <v/>
      </c>
      <c r="AP4" s="43" t="str">
        <f>IF(AND(OR(AP15&lt;&gt;"",AP14&lt;&gt;""),OR(AP7='DropDown Lists'!$E$4,AP7='DropDown Lists'!$E$5,AP7='DropDown Lists'!$E$7)),'DropDown Lists'!$A$4,"")</f>
        <v/>
      </c>
      <c r="AQ4" s="43" t="str">
        <f>IF(AND(OR(AQ15&lt;&gt;"",AQ14&lt;&gt;""),OR(AQ7='DropDown Lists'!$E$4,AQ7='DropDown Lists'!$E$5,AQ7='DropDown Lists'!$E$7)),'DropDown Lists'!$A$4,"")</f>
        <v/>
      </c>
      <c r="AR4" s="43" t="str">
        <f>IF(AND(OR(AR15&lt;&gt;"",AR14&lt;&gt;""),OR(AR7='DropDown Lists'!$E$4,AR7='DropDown Lists'!$E$5,AR7='DropDown Lists'!$E$7)),'DropDown Lists'!$A$4,"")</f>
        <v/>
      </c>
      <c r="AS4" s="43" t="str">
        <f>IF(AND(OR(AS15&lt;&gt;"",AS14&lt;&gt;""),OR(AS7='DropDown Lists'!$E$4,AS7='DropDown Lists'!$E$5,AS7='DropDown Lists'!$E$7)),'DropDown Lists'!$A$4,"")</f>
        <v/>
      </c>
      <c r="AT4" s="43" t="str">
        <f>IF(AND(OR(AT15&lt;&gt;"",AT14&lt;&gt;""),OR(AT7='DropDown Lists'!$E$4,AT7='DropDown Lists'!$E$5,AT7='DropDown Lists'!$E$7)),'DropDown Lists'!$A$4,"")</f>
        <v/>
      </c>
      <c r="AU4" s="43" t="str">
        <f>IF(AND(OR(AU15&lt;&gt;"",AU14&lt;&gt;""),OR(AU7='DropDown Lists'!$E$4,AU7='DropDown Lists'!$E$5,AU7='DropDown Lists'!$E$7)),'DropDown Lists'!$A$4,"")</f>
        <v/>
      </c>
      <c r="AV4" s="43" t="str">
        <f>IF(AND(OR(AV15&lt;&gt;"",AV14&lt;&gt;""),OR(AV7='DropDown Lists'!$E$4,AV7='DropDown Lists'!$E$5,AV7='DropDown Lists'!$E$7)),'DropDown Lists'!$A$4,"")</f>
        <v/>
      </c>
      <c r="AW4" s="43" t="str">
        <f>IF(AND(OR(AW15&lt;&gt;"",AW14&lt;&gt;""),OR(AW7='DropDown Lists'!$E$4,AW7='DropDown Lists'!$E$5,AW7='DropDown Lists'!$E$7)),'DropDown Lists'!$A$4,"")</f>
        <v/>
      </c>
      <c r="AX4" s="43" t="str">
        <f>IF(AND(OR(AX15&lt;&gt;"",AX14&lt;&gt;""),OR(AX7='DropDown Lists'!$E$4,AX7='DropDown Lists'!$E$5,AX7='DropDown Lists'!$E$7)),'DropDown Lists'!$A$4,"")</f>
        <v/>
      </c>
      <c r="AY4" s="43" t="str">
        <f>IF(AND(OR(AY15&lt;&gt;"",AY14&lt;&gt;""),OR(AY7='DropDown Lists'!$E$4,AY7='DropDown Lists'!$E$5,AY7='DropDown Lists'!$E$7)),'DropDown Lists'!$A$4,"")</f>
        <v/>
      </c>
      <c r="AZ4" s="43" t="str">
        <f>IF(AND(OR(AZ15&lt;&gt;"",AZ14&lt;&gt;""),OR(AZ7='DropDown Lists'!$E$4,AZ7='DropDown Lists'!$E$5,AZ7='DropDown Lists'!$E$7)),'DropDown Lists'!$A$4,"")</f>
        <v/>
      </c>
      <c r="BA4" s="43" t="str">
        <f>IF(AND(OR(BA15&lt;&gt;"",BA14&lt;&gt;""),OR(BA7='DropDown Lists'!$E$4,BA7='DropDown Lists'!$E$5,BA7='DropDown Lists'!$E$7)),'DropDown Lists'!$A$4,"")</f>
        <v/>
      </c>
      <c r="BB4" s="43" t="str">
        <f>IF(AND(OR(BB15&lt;&gt;"",BB14&lt;&gt;""),OR(BB7='DropDown Lists'!$E$4,BB7='DropDown Lists'!$E$5,BB7='DropDown Lists'!$E$7)),'DropDown Lists'!$A$4,"")</f>
        <v/>
      </c>
      <c r="BC4" s="43" t="str">
        <f>IF(AND(OR(BC15&lt;&gt;"",BC14&lt;&gt;""),OR(BC7='DropDown Lists'!$E$4,BC7='DropDown Lists'!$E$5,BC7='DropDown Lists'!$E$7)),'DropDown Lists'!$A$4,"")</f>
        <v/>
      </c>
      <c r="BD4" s="43" t="str">
        <f>IF(AND(OR(BD15&lt;&gt;"",BD14&lt;&gt;""),OR(BD7='DropDown Lists'!$E$4,BD7='DropDown Lists'!$E$5,BD7='DropDown Lists'!$E$7)),'DropDown Lists'!$A$4,"")</f>
        <v/>
      </c>
      <c r="BE4" s="43" t="str">
        <f>IF(AND(OR(BE15&lt;&gt;"",BE14&lt;&gt;""),OR(BE7='DropDown Lists'!$E$4,BE7='DropDown Lists'!$E$5,BE7='DropDown Lists'!$E$7)),'DropDown Lists'!$A$4,"")</f>
        <v/>
      </c>
      <c r="BF4" s="43" t="str">
        <f>IF(AND(OR(BF15&lt;&gt;"",BF14&lt;&gt;""),OR(BF7='DropDown Lists'!$E$4,BF7='DropDown Lists'!$E$5,BF7='DropDown Lists'!$E$7)),'DropDown Lists'!$A$4,"")</f>
        <v/>
      </c>
      <c r="BG4" s="43" t="str">
        <f>IF(AND(OR(BG15&lt;&gt;"",BG14&lt;&gt;""),OR(BG7='DropDown Lists'!$E$4,BG7='DropDown Lists'!$E$5,BG7='DropDown Lists'!$E$7)),'DropDown Lists'!$A$4,"")</f>
        <v/>
      </c>
      <c r="BH4" s="43" t="str">
        <f>IF(AND(OR(BH15&lt;&gt;"",BH14&lt;&gt;""),OR(BH7='DropDown Lists'!$E$4,BH7='DropDown Lists'!$E$5,BH7='DropDown Lists'!$E$7)),'DropDown Lists'!$A$4,"")</f>
        <v/>
      </c>
      <c r="BI4" s="43" t="str">
        <f>IF(AND(OR(BI15&lt;&gt;"",BI14&lt;&gt;""),OR(BI7='DropDown Lists'!$E$4,BI7='DropDown Lists'!$E$5,BI7='DropDown Lists'!$E$7)),'DropDown Lists'!$A$4,"")</f>
        <v/>
      </c>
      <c r="BJ4" s="43" t="str">
        <f>IF(AND(OR(BJ15&lt;&gt;"",BJ14&lt;&gt;""),OR(BJ7='DropDown Lists'!$E$4,BJ7='DropDown Lists'!$E$5,BJ7='DropDown Lists'!$E$7)),'DropDown Lists'!$A$4,"")</f>
        <v/>
      </c>
      <c r="BK4" s="43" t="str">
        <f>IF(AND(OR(BK15&lt;&gt;"",BK14&lt;&gt;""),OR(BK7='DropDown Lists'!$E$4,BK7='DropDown Lists'!$E$5,BK7='DropDown Lists'!$E$7)),'DropDown Lists'!$A$4,"")</f>
        <v/>
      </c>
      <c r="BL4" s="43" t="str">
        <f>IF(AND(OR(BL15&lt;&gt;"",BL14&lt;&gt;""),OR(BL7='DropDown Lists'!$E$4,BL7='DropDown Lists'!$E$5,BL7='DropDown Lists'!$E$7)),'DropDown Lists'!$A$4,"")</f>
        <v/>
      </c>
      <c r="BM4" s="43" t="str">
        <f>IF(AND(OR(BM15&lt;&gt;"",BM14&lt;&gt;""),OR(BM7='DropDown Lists'!$E$4,BM7='DropDown Lists'!$E$5,BM7='DropDown Lists'!$E$7)),'DropDown Lists'!$A$4,"")</f>
        <v/>
      </c>
      <c r="BN4" s="43" t="str">
        <f>IF(AND(OR(BN15&lt;&gt;"",BN14&lt;&gt;""),OR(BN7='DropDown Lists'!$E$4,BN7='DropDown Lists'!$E$5,BN7='DropDown Lists'!$E$7)),'DropDown Lists'!$A$4,"")</f>
        <v/>
      </c>
      <c r="BO4" s="43" t="str">
        <f>IF(AND(OR(BO15&lt;&gt;"",BO14&lt;&gt;""),OR(BO7='DropDown Lists'!$E$4,BO7='DropDown Lists'!$E$5,BO7='DropDown Lists'!$E$7)),'DropDown Lists'!$A$4,"")</f>
        <v/>
      </c>
      <c r="BP4" s="43" t="str">
        <f>IF(AND(OR(BP15&lt;&gt;"",BP14&lt;&gt;""),OR(BP7='DropDown Lists'!$E$4,BP7='DropDown Lists'!$E$5,BP7='DropDown Lists'!$E$7)),'DropDown Lists'!$A$4,"")</f>
        <v/>
      </c>
      <c r="BQ4" s="43" t="str">
        <f>IF(AND(OR(BQ15&lt;&gt;"",BQ14&lt;&gt;""),OR(BQ7='DropDown Lists'!$E$4,BQ7='DropDown Lists'!$E$5,BQ7='DropDown Lists'!$E$7)),'DropDown Lists'!$A$4,"")</f>
        <v/>
      </c>
      <c r="BR4" s="43" t="str">
        <f>IF(AND(OR(BR15&lt;&gt;"",BR14&lt;&gt;""),OR(BR7='DropDown Lists'!$E$4,BR7='DropDown Lists'!$E$5,BR7='DropDown Lists'!$E$7)),'DropDown Lists'!$A$4,"")</f>
        <v/>
      </c>
      <c r="BS4" s="43" t="str">
        <f>IF(AND(OR(BS15&lt;&gt;"",BS14&lt;&gt;""),OR(BS7='DropDown Lists'!$E$4,BS7='DropDown Lists'!$E$5,BS7='DropDown Lists'!$E$7)),'DropDown Lists'!$A$4,"")</f>
        <v/>
      </c>
      <c r="BT4" s="43" t="str">
        <f>IF(AND(OR(BT15&lt;&gt;"",BT14&lt;&gt;""),OR(BT7='DropDown Lists'!$E$4,BT7='DropDown Lists'!$E$5,BT7='DropDown Lists'!$E$7)),'DropDown Lists'!$A$4,"")</f>
        <v/>
      </c>
      <c r="BU4" s="43" t="str">
        <f>IF(AND(OR(BU15&lt;&gt;"",BU14&lt;&gt;""),OR(BU7='DropDown Lists'!$E$4,BU7='DropDown Lists'!$E$5,BU7='DropDown Lists'!$E$7)),'DropDown Lists'!$A$4,"")</f>
        <v/>
      </c>
      <c r="BV4" s="43" t="str">
        <f>IF(AND(OR(BV15&lt;&gt;"",BV14&lt;&gt;""),OR(BV7='DropDown Lists'!$E$4,BV7='DropDown Lists'!$E$5,BV7='DropDown Lists'!$E$7)),'DropDown Lists'!$A$4,"")</f>
        <v/>
      </c>
      <c r="BW4" s="43" t="str">
        <f>IF(AND(OR(BW15&lt;&gt;"",BW14&lt;&gt;""),OR(BW7='DropDown Lists'!$E$4,BW7='DropDown Lists'!$E$5,BW7='DropDown Lists'!$E$7)),'DropDown Lists'!$A$4,"")</f>
        <v/>
      </c>
      <c r="BX4" s="43" t="str">
        <f>IF(AND(OR(BX15&lt;&gt;"",BX14&lt;&gt;""),OR(BX7='DropDown Lists'!$E$4,BX7='DropDown Lists'!$E$5,BX7='DropDown Lists'!$E$7)),'DropDown Lists'!$A$4,"")</f>
        <v/>
      </c>
      <c r="BY4" s="43" t="str">
        <f>IF(AND(OR(BY15&lt;&gt;"",BY14&lt;&gt;""),OR(BY7='DropDown Lists'!$E$4,BY7='DropDown Lists'!$E$5,BY7='DropDown Lists'!$E$7)),'DropDown Lists'!$A$4,"")</f>
        <v/>
      </c>
      <c r="BZ4" s="43" t="str">
        <f>IF(AND(OR(BZ15&lt;&gt;"",BZ14&lt;&gt;""),OR(BZ7='DropDown Lists'!$E$4,BZ7='DropDown Lists'!$E$5,BZ7='DropDown Lists'!$E$7)),'DropDown Lists'!$A$4,"")</f>
        <v/>
      </c>
      <c r="CA4" s="43" t="str">
        <f>IF(AND(OR(CA15&lt;&gt;"",CA14&lt;&gt;""),OR(CA7='DropDown Lists'!$E$4,CA7='DropDown Lists'!$E$5,CA7='DropDown Lists'!$E$7)),'DropDown Lists'!$A$4,"")</f>
        <v/>
      </c>
      <c r="CB4" s="43" t="str">
        <f>IF(AND(OR(CB15&lt;&gt;"",CB14&lt;&gt;""),OR(CB7='DropDown Lists'!$E$4,CB7='DropDown Lists'!$E$5,CB7='DropDown Lists'!$E$7)),'DropDown Lists'!$A$4,"")</f>
        <v/>
      </c>
      <c r="CC4" s="43" t="str">
        <f>IF(AND(OR(CC15&lt;&gt;"",CC14&lt;&gt;""),OR(CC7='DropDown Lists'!$E$4,CC7='DropDown Lists'!$E$5,CC7='DropDown Lists'!$E$7)),'DropDown Lists'!$A$4,"")</f>
        <v/>
      </c>
      <c r="CD4" s="43" t="str">
        <f>IF(AND(OR(CD15&lt;&gt;"",CD14&lt;&gt;""),OR(CD7='DropDown Lists'!$E$4,CD7='DropDown Lists'!$E$5,CD7='DropDown Lists'!$E$7)),'DropDown Lists'!$A$4,"")</f>
        <v/>
      </c>
      <c r="CE4" s="43" t="str">
        <f>IF(AND(OR(CE15&lt;&gt;"",CE14&lt;&gt;""),OR(CE7='DropDown Lists'!$E$4,CE7='DropDown Lists'!$E$5,CE7='DropDown Lists'!$E$7)),'DropDown Lists'!$A$4,"")</f>
        <v/>
      </c>
      <c r="CF4" s="43" t="str">
        <f>IF(AND(OR(CF15&lt;&gt;"",CF14&lt;&gt;""),OR(CF7='DropDown Lists'!$E$4,CF7='DropDown Lists'!$E$5,CF7='DropDown Lists'!$E$7)),'DropDown Lists'!$A$4,"")</f>
        <v/>
      </c>
      <c r="CG4" s="43" t="str">
        <f>IF(AND(OR(CG15&lt;&gt;"",CG14&lt;&gt;""),OR(CG7='DropDown Lists'!$E$4,CG7='DropDown Lists'!$E$5,CG7='DropDown Lists'!$E$7)),'DropDown Lists'!$A$4,"")</f>
        <v/>
      </c>
      <c r="CH4" s="43" t="str">
        <f>IF(AND(OR(CH15&lt;&gt;"",CH14&lt;&gt;""),OR(CH7='DropDown Lists'!$E$4,CH7='DropDown Lists'!$E$5,CH7='DropDown Lists'!$E$7)),'DropDown Lists'!$A$4,"")</f>
        <v/>
      </c>
      <c r="CI4" s="43" t="str">
        <f>IF(AND(OR(CI15&lt;&gt;"",CI14&lt;&gt;""),OR(CI7='DropDown Lists'!$E$4,CI7='DropDown Lists'!$E$5,CI7='DropDown Lists'!$E$7)),'DropDown Lists'!$A$4,"")</f>
        <v/>
      </c>
      <c r="CJ4" s="43" t="str">
        <f>IF(AND(OR(CJ15&lt;&gt;"",CJ14&lt;&gt;""),OR(CJ7='DropDown Lists'!$E$4,CJ7='DropDown Lists'!$E$5,CJ7='DropDown Lists'!$E$7)),'DropDown Lists'!$A$4,"")</f>
        <v/>
      </c>
      <c r="CK4" s="43" t="str">
        <f>IF(AND(OR(CK15&lt;&gt;"",CK14&lt;&gt;""),OR(CK7='DropDown Lists'!$E$4,CK7='DropDown Lists'!$E$5,CK7='DropDown Lists'!$E$7)),'DropDown Lists'!$A$4,"")</f>
        <v/>
      </c>
      <c r="CL4" s="43" t="str">
        <f>IF(AND(OR(CL15&lt;&gt;"",CL14&lt;&gt;""),OR(CL7='DropDown Lists'!$E$4,CL7='DropDown Lists'!$E$5,CL7='DropDown Lists'!$E$7)),'DropDown Lists'!$A$4,"")</f>
        <v/>
      </c>
      <c r="CM4" s="43" t="str">
        <f>IF(AND(OR(CM15&lt;&gt;"",CM14&lt;&gt;""),OR(CM7='DropDown Lists'!$E$4,CM7='DropDown Lists'!$E$5,CM7='DropDown Lists'!$E$7)),'DropDown Lists'!$A$4,"")</f>
        <v/>
      </c>
      <c r="CN4" s="43" t="str">
        <f>IF(AND(OR(CN15&lt;&gt;"",CN14&lt;&gt;""),OR(CN7='DropDown Lists'!$E$4,CN7='DropDown Lists'!$E$5,CN7='DropDown Lists'!$E$7)),'DropDown Lists'!$A$4,"")</f>
        <v/>
      </c>
      <c r="CO4" s="43" t="str">
        <f>IF(AND(OR(CO15&lt;&gt;"",CO14&lt;&gt;""),OR(CO7='DropDown Lists'!$E$4,CO7='DropDown Lists'!$E$5,CO7='DropDown Lists'!$E$7)),'DropDown Lists'!$A$4,"")</f>
        <v/>
      </c>
      <c r="CP4" s="43" t="str">
        <f>IF(AND(OR(CP15&lt;&gt;"",CP14&lt;&gt;""),OR(CP7='DropDown Lists'!$E$4,CP7='DropDown Lists'!$E$5,CP7='DropDown Lists'!$E$7)),'DropDown Lists'!$A$4,"")</f>
        <v/>
      </c>
      <c r="CQ4" s="43" t="str">
        <f>IF(AND(OR(CQ15&lt;&gt;"",CQ14&lt;&gt;""),OR(CQ7='DropDown Lists'!$E$4,CQ7='DropDown Lists'!$E$5,CQ7='DropDown Lists'!$E$7)),'DropDown Lists'!$A$4,"")</f>
        <v/>
      </c>
      <c r="CR4" s="43" t="str">
        <f>IF(AND(OR(CR15&lt;&gt;"",CR14&lt;&gt;""),OR(CR7='DropDown Lists'!$E$4,CR7='DropDown Lists'!$E$5,CR7='DropDown Lists'!$E$7)),'DropDown Lists'!$A$4,"")</f>
        <v/>
      </c>
      <c r="CS4" s="43" t="str">
        <f>IF(AND(OR(CS15&lt;&gt;"",CS14&lt;&gt;""),OR(CS7='DropDown Lists'!$E$4,CS7='DropDown Lists'!$E$5,CS7='DropDown Lists'!$E$7)),'DropDown Lists'!$A$4,"")</f>
        <v/>
      </c>
      <c r="CT4" s="43" t="str">
        <f>IF(AND(OR(CT15&lt;&gt;"",CT14&lt;&gt;""),OR(CT7='DropDown Lists'!$E$4,CT7='DropDown Lists'!$E$5,CT7='DropDown Lists'!$E$7)),'DropDown Lists'!$A$4,"")</f>
        <v/>
      </c>
      <c r="CU4" s="43" t="str">
        <f>IF(AND(OR(CU15&lt;&gt;"",CU14&lt;&gt;""),OR(CU7='DropDown Lists'!$E$4,CU7='DropDown Lists'!$E$5,CU7='DropDown Lists'!$E$7)),'DropDown Lists'!$A$4,"")</f>
        <v/>
      </c>
      <c r="CV4" s="43" t="str">
        <f>IF(AND(OR(CV15&lt;&gt;"",CV14&lt;&gt;""),OR(CV7='DropDown Lists'!$E$4,CV7='DropDown Lists'!$E$5,CV7='DropDown Lists'!$E$7)),'DropDown Lists'!$A$4,"")</f>
        <v/>
      </c>
      <c r="CW4" s="43" t="str">
        <f>IF(AND(OR(CW15&lt;&gt;"",CW14&lt;&gt;""),OR(CW7='DropDown Lists'!$E$4,CW7='DropDown Lists'!$E$5,CW7='DropDown Lists'!$E$7)),'DropDown Lists'!$A$4,"")</f>
        <v/>
      </c>
      <c r="CX4" s="43" t="str">
        <f>IF(AND(OR(CX15&lt;&gt;"",CX14&lt;&gt;""),OR(CX7='DropDown Lists'!$E$4,CX7='DropDown Lists'!$E$5,CX7='DropDown Lists'!$E$7)),'DropDown Lists'!$A$4,"")</f>
        <v/>
      </c>
      <c r="CY4" s="43" t="str">
        <f>IF(AND(OR(CY15&lt;&gt;"",CY14&lt;&gt;""),OR(CY7='DropDown Lists'!$E$4,CY7='DropDown Lists'!$E$5,CY7='DropDown Lists'!$E$7)),'DropDown Lists'!$A$4,"")</f>
        <v/>
      </c>
    </row>
    <row r="5" spans="1:103" ht="18.75" x14ac:dyDescent="0.3">
      <c r="B5" s="77" t="s">
        <v>423</v>
      </c>
      <c r="C5" s="28" t="s">
        <v>300</v>
      </c>
      <c r="D5" s="7" t="s">
        <v>178</v>
      </c>
      <c r="E5" s="44">
        <v>1</v>
      </c>
      <c r="F5" s="49" t="s">
        <v>735</v>
      </c>
      <c r="G5" s="50" t="s">
        <v>5</v>
      </c>
      <c r="H5" s="50" t="s">
        <v>736</v>
      </c>
      <c r="I5" s="50" t="s">
        <v>736</v>
      </c>
      <c r="J5" s="50" t="s">
        <v>736</v>
      </c>
      <c r="K5" s="50"/>
      <c r="L5" s="51"/>
      <c r="M5" s="179" t="s">
        <v>208</v>
      </c>
      <c r="N5" s="107"/>
      <c r="O5" s="108"/>
      <c r="P5" s="80"/>
      <c r="Q5" s="80"/>
      <c r="S5" s="140" t="s">
        <v>167</v>
      </c>
      <c r="T5" s="57">
        <f t="shared" ref="T5:AY5" si="0">IF(T14&lt;&gt;"",T14,IF(T7=$B$24,$C$24,IF(T7=$B$25,$C$25,IF(T7=$B$27,$C$27,IF(T7=$B$26,"","NA")))))</f>
        <v>1.5</v>
      </c>
      <c r="U5" s="57">
        <f t="shared" si="0"/>
        <v>1.5</v>
      </c>
      <c r="V5" s="57">
        <f t="shared" si="0"/>
        <v>1.5</v>
      </c>
      <c r="W5" s="57">
        <f t="shared" si="0"/>
        <v>1.5</v>
      </c>
      <c r="X5" s="57">
        <f t="shared" si="0"/>
        <v>1.5</v>
      </c>
      <c r="Y5" s="57" t="str">
        <f t="shared" si="0"/>
        <v/>
      </c>
      <c r="Z5" s="57" t="str">
        <f t="shared" si="0"/>
        <v/>
      </c>
      <c r="AA5" s="57" t="str">
        <f t="shared" si="0"/>
        <v/>
      </c>
      <c r="AB5" s="57" t="str">
        <f t="shared" si="0"/>
        <v/>
      </c>
      <c r="AC5" s="57" t="str">
        <f t="shared" si="0"/>
        <v/>
      </c>
      <c r="AD5" s="57" t="str">
        <f t="shared" si="0"/>
        <v/>
      </c>
      <c r="AE5" s="57" t="str">
        <f t="shared" si="0"/>
        <v/>
      </c>
      <c r="AF5" s="57" t="str">
        <f t="shared" si="0"/>
        <v/>
      </c>
      <c r="AG5" s="57" t="str">
        <f t="shared" si="0"/>
        <v/>
      </c>
      <c r="AH5" s="57" t="str">
        <f t="shared" si="0"/>
        <v/>
      </c>
      <c r="AI5" s="57" t="str">
        <f t="shared" si="0"/>
        <v/>
      </c>
      <c r="AJ5" s="57" t="str">
        <f t="shared" si="0"/>
        <v/>
      </c>
      <c r="AK5" s="57" t="str">
        <f t="shared" si="0"/>
        <v/>
      </c>
      <c r="AL5" s="57" t="str">
        <f t="shared" si="0"/>
        <v/>
      </c>
      <c r="AM5" s="57" t="str">
        <f t="shared" si="0"/>
        <v/>
      </c>
      <c r="AN5" s="57" t="str">
        <f t="shared" si="0"/>
        <v/>
      </c>
      <c r="AO5" s="57" t="str">
        <f t="shared" si="0"/>
        <v/>
      </c>
      <c r="AP5" s="57" t="str">
        <f t="shared" si="0"/>
        <v/>
      </c>
      <c r="AQ5" s="57" t="str">
        <f t="shared" si="0"/>
        <v/>
      </c>
      <c r="AR5" s="57" t="str">
        <f t="shared" si="0"/>
        <v/>
      </c>
      <c r="AS5" s="57" t="str">
        <f t="shared" si="0"/>
        <v/>
      </c>
      <c r="AT5" s="57" t="str">
        <f t="shared" si="0"/>
        <v/>
      </c>
      <c r="AU5" s="57" t="str">
        <f t="shared" si="0"/>
        <v/>
      </c>
      <c r="AV5" s="57" t="str">
        <f t="shared" si="0"/>
        <v/>
      </c>
      <c r="AW5" s="57" t="str">
        <f t="shared" si="0"/>
        <v/>
      </c>
      <c r="AX5" s="57" t="str">
        <f t="shared" si="0"/>
        <v/>
      </c>
      <c r="AY5" s="57" t="str">
        <f t="shared" si="0"/>
        <v/>
      </c>
      <c r="AZ5" s="57" t="str">
        <f t="shared" ref="AZ5:CE5" si="1">IF(AZ14&lt;&gt;"",AZ14,IF(AZ7=$B$24,$C$24,IF(AZ7=$B$25,$C$25,IF(AZ7=$B$27,$C$27,IF(AZ7=$B$26,"","NA")))))</f>
        <v/>
      </c>
      <c r="BA5" s="57" t="str">
        <f t="shared" si="1"/>
        <v/>
      </c>
      <c r="BB5" s="57" t="str">
        <f t="shared" si="1"/>
        <v/>
      </c>
      <c r="BC5" s="57" t="str">
        <f t="shared" si="1"/>
        <v/>
      </c>
      <c r="BD5" s="57" t="str">
        <f t="shared" si="1"/>
        <v/>
      </c>
      <c r="BE5" s="57" t="str">
        <f t="shared" si="1"/>
        <v/>
      </c>
      <c r="BF5" s="57" t="str">
        <f t="shared" si="1"/>
        <v/>
      </c>
      <c r="BG5" s="57" t="str">
        <f t="shared" si="1"/>
        <v/>
      </c>
      <c r="BH5" s="57" t="str">
        <f t="shared" si="1"/>
        <v/>
      </c>
      <c r="BI5" s="57" t="str">
        <f t="shared" si="1"/>
        <v/>
      </c>
      <c r="BJ5" s="57" t="str">
        <f t="shared" si="1"/>
        <v/>
      </c>
      <c r="BK5" s="57" t="str">
        <f t="shared" si="1"/>
        <v/>
      </c>
      <c r="BL5" s="57" t="str">
        <f t="shared" si="1"/>
        <v/>
      </c>
      <c r="BM5" s="57" t="str">
        <f t="shared" si="1"/>
        <v/>
      </c>
      <c r="BN5" s="57" t="str">
        <f t="shared" si="1"/>
        <v/>
      </c>
      <c r="BO5" s="57" t="str">
        <f t="shared" si="1"/>
        <v/>
      </c>
      <c r="BP5" s="57" t="str">
        <f t="shared" si="1"/>
        <v/>
      </c>
      <c r="BQ5" s="57" t="str">
        <f t="shared" si="1"/>
        <v/>
      </c>
      <c r="BR5" s="57" t="str">
        <f t="shared" si="1"/>
        <v/>
      </c>
      <c r="BS5" s="57" t="str">
        <f t="shared" si="1"/>
        <v/>
      </c>
      <c r="BT5" s="57" t="str">
        <f t="shared" si="1"/>
        <v/>
      </c>
      <c r="BU5" s="57" t="str">
        <f t="shared" si="1"/>
        <v/>
      </c>
      <c r="BV5" s="57" t="str">
        <f t="shared" si="1"/>
        <v/>
      </c>
      <c r="BW5" s="57" t="str">
        <f t="shared" si="1"/>
        <v/>
      </c>
      <c r="BX5" s="57" t="str">
        <f t="shared" si="1"/>
        <v/>
      </c>
      <c r="BY5" s="57" t="str">
        <f t="shared" si="1"/>
        <v/>
      </c>
      <c r="BZ5" s="57" t="str">
        <f t="shared" si="1"/>
        <v/>
      </c>
      <c r="CA5" s="57" t="str">
        <f t="shared" si="1"/>
        <v/>
      </c>
      <c r="CB5" s="57" t="str">
        <f t="shared" si="1"/>
        <v/>
      </c>
      <c r="CC5" s="57" t="str">
        <f t="shared" si="1"/>
        <v/>
      </c>
      <c r="CD5" s="57" t="str">
        <f t="shared" si="1"/>
        <v/>
      </c>
      <c r="CE5" s="57" t="str">
        <f t="shared" si="1"/>
        <v/>
      </c>
      <c r="CF5" s="57" t="str">
        <f t="shared" ref="CF5:CY5" si="2">IF(CF14&lt;&gt;"",CF14,IF(CF7=$B$24,$C$24,IF(CF7=$B$25,$C$25,IF(CF7=$B$27,$C$27,IF(CF7=$B$26,"","NA")))))</f>
        <v/>
      </c>
      <c r="CG5" s="57" t="str">
        <f t="shared" si="2"/>
        <v/>
      </c>
      <c r="CH5" s="57" t="str">
        <f t="shared" si="2"/>
        <v/>
      </c>
      <c r="CI5" s="57" t="str">
        <f t="shared" si="2"/>
        <v/>
      </c>
      <c r="CJ5" s="57" t="str">
        <f t="shared" si="2"/>
        <v/>
      </c>
      <c r="CK5" s="57" t="str">
        <f t="shared" si="2"/>
        <v/>
      </c>
      <c r="CL5" s="57" t="str">
        <f t="shared" si="2"/>
        <v/>
      </c>
      <c r="CM5" s="57" t="str">
        <f t="shared" si="2"/>
        <v/>
      </c>
      <c r="CN5" s="57" t="str">
        <f t="shared" si="2"/>
        <v/>
      </c>
      <c r="CO5" s="57" t="str">
        <f t="shared" si="2"/>
        <v/>
      </c>
      <c r="CP5" s="57" t="str">
        <f t="shared" si="2"/>
        <v/>
      </c>
      <c r="CQ5" s="57" t="str">
        <f t="shared" si="2"/>
        <v/>
      </c>
      <c r="CR5" s="57" t="str">
        <f t="shared" si="2"/>
        <v/>
      </c>
      <c r="CS5" s="57" t="str">
        <f t="shared" si="2"/>
        <v/>
      </c>
      <c r="CT5" s="57" t="str">
        <f t="shared" si="2"/>
        <v/>
      </c>
      <c r="CU5" s="57" t="str">
        <f t="shared" si="2"/>
        <v/>
      </c>
      <c r="CV5" s="57" t="str">
        <f t="shared" si="2"/>
        <v/>
      </c>
      <c r="CW5" s="57" t="str">
        <f t="shared" si="2"/>
        <v/>
      </c>
      <c r="CX5" s="57" t="str">
        <f t="shared" si="2"/>
        <v/>
      </c>
      <c r="CY5" s="58" t="str">
        <f t="shared" si="2"/>
        <v/>
      </c>
    </row>
    <row r="6" spans="1:103" ht="18.75" x14ac:dyDescent="0.3">
      <c r="B6" s="77"/>
      <c r="C6" s="29"/>
      <c r="E6" s="44">
        <v>2</v>
      </c>
      <c r="F6" s="52"/>
      <c r="G6" s="48"/>
      <c r="H6" s="48"/>
      <c r="I6" s="48"/>
      <c r="J6" s="48"/>
      <c r="K6" s="48"/>
      <c r="L6" s="53"/>
      <c r="M6" s="180"/>
      <c r="N6" s="80"/>
      <c r="O6" s="109"/>
      <c r="P6" s="80"/>
      <c r="Q6" s="80"/>
      <c r="R6" s="8"/>
      <c r="S6" s="141" t="s">
        <v>277</v>
      </c>
      <c r="T6" s="59">
        <f>IF(T15&lt;&gt;"",ROUND(T15,2),IF(T7=$B$24,$D$24,IF(T7=$B$25,$D$25,IF(T7=$B$27,$D$27,IF(T7=$B$26,"","NA")))))</f>
        <v>0.7</v>
      </c>
      <c r="U6" s="59">
        <f t="shared" ref="U6:AZ6" si="3">IF(U15&lt;&gt;"",U15,IF(U7=$B$24,$D$24,IF(U7=$B$25,$D$25,IF(U7=$B$27,$D$27,IF(U7=$B$26,"","NA")))))</f>
        <v>0.7</v>
      </c>
      <c r="V6" s="59">
        <f t="shared" si="3"/>
        <v>0.7</v>
      </c>
      <c r="W6" s="59">
        <f t="shared" si="3"/>
        <v>0.7</v>
      </c>
      <c r="X6" s="59">
        <f t="shared" si="3"/>
        <v>0.7</v>
      </c>
      <c r="Y6" s="59" t="str">
        <f t="shared" si="3"/>
        <v/>
      </c>
      <c r="Z6" s="59" t="str">
        <f t="shared" si="3"/>
        <v/>
      </c>
      <c r="AA6" s="59" t="str">
        <f t="shared" si="3"/>
        <v/>
      </c>
      <c r="AB6" s="59" t="str">
        <f t="shared" si="3"/>
        <v/>
      </c>
      <c r="AC6" s="59" t="str">
        <f t="shared" si="3"/>
        <v/>
      </c>
      <c r="AD6" s="59" t="str">
        <f t="shared" si="3"/>
        <v/>
      </c>
      <c r="AE6" s="59" t="str">
        <f t="shared" si="3"/>
        <v/>
      </c>
      <c r="AF6" s="59" t="str">
        <f t="shared" si="3"/>
        <v/>
      </c>
      <c r="AG6" s="59" t="str">
        <f t="shared" si="3"/>
        <v/>
      </c>
      <c r="AH6" s="59" t="str">
        <f t="shared" si="3"/>
        <v/>
      </c>
      <c r="AI6" s="59" t="str">
        <f t="shared" si="3"/>
        <v/>
      </c>
      <c r="AJ6" s="59" t="str">
        <f t="shared" si="3"/>
        <v/>
      </c>
      <c r="AK6" s="59" t="str">
        <f t="shared" si="3"/>
        <v/>
      </c>
      <c r="AL6" s="59" t="str">
        <f t="shared" si="3"/>
        <v/>
      </c>
      <c r="AM6" s="59" t="str">
        <f t="shared" si="3"/>
        <v/>
      </c>
      <c r="AN6" s="59" t="str">
        <f t="shared" si="3"/>
        <v/>
      </c>
      <c r="AO6" s="59" t="str">
        <f t="shared" si="3"/>
        <v/>
      </c>
      <c r="AP6" s="59" t="str">
        <f t="shared" si="3"/>
        <v/>
      </c>
      <c r="AQ6" s="59" t="str">
        <f t="shared" si="3"/>
        <v/>
      </c>
      <c r="AR6" s="59" t="str">
        <f t="shared" si="3"/>
        <v/>
      </c>
      <c r="AS6" s="59" t="str">
        <f t="shared" si="3"/>
        <v/>
      </c>
      <c r="AT6" s="59" t="str">
        <f t="shared" si="3"/>
        <v/>
      </c>
      <c r="AU6" s="59" t="str">
        <f t="shared" si="3"/>
        <v/>
      </c>
      <c r="AV6" s="59" t="str">
        <f t="shared" si="3"/>
        <v/>
      </c>
      <c r="AW6" s="59" t="str">
        <f t="shared" si="3"/>
        <v/>
      </c>
      <c r="AX6" s="59" t="str">
        <f t="shared" si="3"/>
        <v/>
      </c>
      <c r="AY6" s="59" t="str">
        <f t="shared" si="3"/>
        <v/>
      </c>
      <c r="AZ6" s="59" t="str">
        <f t="shared" si="3"/>
        <v/>
      </c>
      <c r="BA6" s="59" t="str">
        <f t="shared" ref="BA6:CF6" si="4">IF(BA15&lt;&gt;"",BA15,IF(BA7=$B$24,$D$24,IF(BA7=$B$25,$D$25,IF(BA7=$B$27,$D$27,IF(BA7=$B$26,"","NA")))))</f>
        <v/>
      </c>
      <c r="BB6" s="59" t="str">
        <f t="shared" si="4"/>
        <v/>
      </c>
      <c r="BC6" s="59" t="str">
        <f t="shared" si="4"/>
        <v/>
      </c>
      <c r="BD6" s="59" t="str">
        <f t="shared" si="4"/>
        <v/>
      </c>
      <c r="BE6" s="59" t="str">
        <f t="shared" si="4"/>
        <v/>
      </c>
      <c r="BF6" s="59" t="str">
        <f t="shared" si="4"/>
        <v/>
      </c>
      <c r="BG6" s="59" t="str">
        <f t="shared" si="4"/>
        <v/>
      </c>
      <c r="BH6" s="59" t="str">
        <f t="shared" si="4"/>
        <v/>
      </c>
      <c r="BI6" s="59" t="str">
        <f t="shared" si="4"/>
        <v/>
      </c>
      <c r="BJ6" s="59" t="str">
        <f t="shared" si="4"/>
        <v/>
      </c>
      <c r="BK6" s="59" t="str">
        <f t="shared" si="4"/>
        <v/>
      </c>
      <c r="BL6" s="59" t="str">
        <f t="shared" si="4"/>
        <v/>
      </c>
      <c r="BM6" s="59" t="str">
        <f t="shared" si="4"/>
        <v/>
      </c>
      <c r="BN6" s="59" t="str">
        <f t="shared" si="4"/>
        <v/>
      </c>
      <c r="BO6" s="59" t="str">
        <f t="shared" si="4"/>
        <v/>
      </c>
      <c r="BP6" s="59" t="str">
        <f t="shared" si="4"/>
        <v/>
      </c>
      <c r="BQ6" s="59" t="str">
        <f t="shared" si="4"/>
        <v/>
      </c>
      <c r="BR6" s="59" t="str">
        <f t="shared" si="4"/>
        <v/>
      </c>
      <c r="BS6" s="59" t="str">
        <f t="shared" si="4"/>
        <v/>
      </c>
      <c r="BT6" s="59" t="str">
        <f t="shared" si="4"/>
        <v/>
      </c>
      <c r="BU6" s="59" t="str">
        <f t="shared" si="4"/>
        <v/>
      </c>
      <c r="BV6" s="59" t="str">
        <f t="shared" si="4"/>
        <v/>
      </c>
      <c r="BW6" s="59" t="str">
        <f t="shared" si="4"/>
        <v/>
      </c>
      <c r="BX6" s="59" t="str">
        <f t="shared" si="4"/>
        <v/>
      </c>
      <c r="BY6" s="59" t="str">
        <f t="shared" si="4"/>
        <v/>
      </c>
      <c r="BZ6" s="59" t="str">
        <f t="shared" si="4"/>
        <v/>
      </c>
      <c r="CA6" s="59" t="str">
        <f t="shared" si="4"/>
        <v/>
      </c>
      <c r="CB6" s="59" t="str">
        <f t="shared" si="4"/>
        <v/>
      </c>
      <c r="CC6" s="59" t="str">
        <f t="shared" si="4"/>
        <v/>
      </c>
      <c r="CD6" s="59" t="str">
        <f t="shared" si="4"/>
        <v/>
      </c>
      <c r="CE6" s="59" t="str">
        <f t="shared" si="4"/>
        <v/>
      </c>
      <c r="CF6" s="59" t="str">
        <f t="shared" si="4"/>
        <v/>
      </c>
      <c r="CG6" s="59" t="str">
        <f t="shared" ref="CG6:CY6" si="5">IF(CG15&lt;&gt;"",CG15,IF(CG7=$B$24,$D$24,IF(CG7=$B$25,$D$25,IF(CG7=$B$27,$D$27,IF(CG7=$B$26,"","NA")))))</f>
        <v/>
      </c>
      <c r="CH6" s="59" t="str">
        <f t="shared" si="5"/>
        <v/>
      </c>
      <c r="CI6" s="59" t="str">
        <f t="shared" si="5"/>
        <v/>
      </c>
      <c r="CJ6" s="59" t="str">
        <f t="shared" si="5"/>
        <v/>
      </c>
      <c r="CK6" s="59" t="str">
        <f t="shared" si="5"/>
        <v/>
      </c>
      <c r="CL6" s="59" t="str">
        <f t="shared" si="5"/>
        <v/>
      </c>
      <c r="CM6" s="59" t="str">
        <f t="shared" si="5"/>
        <v/>
      </c>
      <c r="CN6" s="59" t="str">
        <f t="shared" si="5"/>
        <v/>
      </c>
      <c r="CO6" s="59" t="str">
        <f t="shared" si="5"/>
        <v/>
      </c>
      <c r="CP6" s="59" t="str">
        <f t="shared" si="5"/>
        <v/>
      </c>
      <c r="CQ6" s="59" t="str">
        <f t="shared" si="5"/>
        <v/>
      </c>
      <c r="CR6" s="59" t="str">
        <f t="shared" si="5"/>
        <v/>
      </c>
      <c r="CS6" s="59" t="str">
        <f t="shared" si="5"/>
        <v/>
      </c>
      <c r="CT6" s="59" t="str">
        <f t="shared" si="5"/>
        <v/>
      </c>
      <c r="CU6" s="59" t="str">
        <f t="shared" si="5"/>
        <v/>
      </c>
      <c r="CV6" s="59" t="str">
        <f t="shared" si="5"/>
        <v/>
      </c>
      <c r="CW6" s="59" t="str">
        <f t="shared" si="5"/>
        <v/>
      </c>
      <c r="CX6" s="59" t="str">
        <f t="shared" si="5"/>
        <v/>
      </c>
      <c r="CY6" s="83" t="str">
        <f t="shared" si="5"/>
        <v/>
      </c>
    </row>
    <row r="7" spans="1:103" ht="18.75" x14ac:dyDescent="0.3">
      <c r="A7" s="10"/>
      <c r="B7" s="78" t="s">
        <v>166</v>
      </c>
      <c r="C7" s="87"/>
      <c r="E7" s="125">
        <v>3</v>
      </c>
      <c r="F7" s="54"/>
      <c r="G7" s="55"/>
      <c r="H7" s="55"/>
      <c r="I7" s="55"/>
      <c r="J7" s="55"/>
      <c r="K7" s="55"/>
      <c r="L7" s="56"/>
      <c r="M7" s="181"/>
      <c r="N7" s="110"/>
      <c r="O7" s="111"/>
      <c r="P7" s="80"/>
      <c r="Q7" s="80"/>
      <c r="R7" s="8"/>
      <c r="S7" s="21"/>
      <c r="T7" s="60" t="str">
        <f>IF(F5=(0),'DropDown Lists'!$L$6,F5)</f>
        <v>well</v>
      </c>
      <c r="U7" s="61" t="str">
        <f>IF(G5=(0),'DropDown Lists'!$L$6,G5)</f>
        <v>Box</v>
      </c>
      <c r="V7" s="61" t="str">
        <f>IF(H5=(0),'DropDown Lists'!$L$6,H5)</f>
        <v>box</v>
      </c>
      <c r="W7" s="61" t="str">
        <f>IF(I5=(0),'DropDown Lists'!$L$6,I5)</f>
        <v>box</v>
      </c>
      <c r="X7" s="61" t="str">
        <f>IF(J5=(0),'DropDown Lists'!$L$6,J5)</f>
        <v>box</v>
      </c>
      <c r="Y7" s="61" t="str">
        <f>IF(K5=(0),'DropDown Lists'!$L$6,K5)</f>
        <v>Empty</v>
      </c>
      <c r="Z7" s="61" t="str">
        <f>IF(L5=(0),'DropDown Lists'!$L$6,L5)</f>
        <v>Empty</v>
      </c>
      <c r="AA7" s="61" t="str">
        <f>IF(F6=(0),'DropDown Lists'!$L$6,F6)</f>
        <v>Empty</v>
      </c>
      <c r="AB7" s="61" t="str">
        <f>IF(G6=(0),'DropDown Lists'!$L$6,G6)</f>
        <v>Empty</v>
      </c>
      <c r="AC7" s="61" t="str">
        <f>IF(H6=(0),'DropDown Lists'!$L$6,H6)</f>
        <v>Empty</v>
      </c>
      <c r="AD7" s="61" t="str">
        <f>IF(I6=(0),'DropDown Lists'!$L$6,I6)</f>
        <v>Empty</v>
      </c>
      <c r="AE7" s="61" t="str">
        <f>IF(J6=(0),'DropDown Lists'!$L$6,J6)</f>
        <v>Empty</v>
      </c>
      <c r="AF7" s="61" t="str">
        <f>IF(K6=(0),'DropDown Lists'!$L$6,K6)</f>
        <v>Empty</v>
      </c>
      <c r="AG7" s="61" t="str">
        <f>IF(L6=(0),'DropDown Lists'!$L$6,L6)</f>
        <v>Empty</v>
      </c>
      <c r="AH7" s="61" t="str">
        <f>IF(F7=(0),'DropDown Lists'!$L$6,F7)</f>
        <v>Empty</v>
      </c>
      <c r="AI7" s="61" t="str">
        <f>IF(G7=(0),'DropDown Lists'!$L$6,G7)</f>
        <v>Empty</v>
      </c>
      <c r="AJ7" s="61" t="str">
        <f>IF(H7=(0),'DropDown Lists'!$L$6,H7)</f>
        <v>Empty</v>
      </c>
      <c r="AK7" s="61" t="str">
        <f>IF(I7=(0),'DropDown Lists'!$L$6,I7)</f>
        <v>Empty</v>
      </c>
      <c r="AL7" s="61" t="str">
        <f>IF(J7=(0),'DropDown Lists'!$L$6,J7)</f>
        <v>Empty</v>
      </c>
      <c r="AM7" s="61" t="str">
        <f>IF(K7=(0),'DropDown Lists'!$L$6,K7)</f>
        <v>Empty</v>
      </c>
      <c r="AN7" s="61" t="str">
        <f>IF(L7=(0),'DropDown Lists'!$L$6,L7)</f>
        <v>Empty</v>
      </c>
      <c r="AO7" s="61" t="str">
        <f>IF(F8=(0),'DropDown Lists'!$L$6,F8)</f>
        <v>Empty</v>
      </c>
      <c r="AP7" s="61" t="str">
        <f>IF(G8=(0),'DropDown Lists'!$L$6,G8)</f>
        <v>Empty</v>
      </c>
      <c r="AQ7" s="61" t="str">
        <f>IF(H8=(0),'DropDown Lists'!$L$6,H8)</f>
        <v>Empty</v>
      </c>
      <c r="AR7" s="61" t="str">
        <f>IF(I8=(0),'DropDown Lists'!$L$6,I8)</f>
        <v>Empty</v>
      </c>
      <c r="AS7" s="61" t="str">
        <f>IF(J8=(0),'DropDown Lists'!$L$6,J8)</f>
        <v>Empty</v>
      </c>
      <c r="AT7" s="61" t="str">
        <f>IF(K8=(0),'DropDown Lists'!$L$6,K8)</f>
        <v>Empty</v>
      </c>
      <c r="AU7" s="61" t="str">
        <f>IF(L8=(0),'DropDown Lists'!$L$6,L8)</f>
        <v>Empty</v>
      </c>
      <c r="AV7" s="61" t="str">
        <f>IF(F9=(0),'DropDown Lists'!$L$6,F9)</f>
        <v>Empty</v>
      </c>
      <c r="AW7" s="61" t="str">
        <f>IF(G9=(0),'DropDown Lists'!$L$6,G9)</f>
        <v>Empty</v>
      </c>
      <c r="AX7" s="61" t="str">
        <f>IF(H9=(0),'DropDown Lists'!$L$6,H9)</f>
        <v>Empty</v>
      </c>
      <c r="AY7" s="61" t="str">
        <f>IF(I9=(0),'DropDown Lists'!$L$6,I9)</f>
        <v>Empty</v>
      </c>
      <c r="AZ7" s="61" t="str">
        <f>IF(J9=(0),'DropDown Lists'!$L$6,J9)</f>
        <v>Empty</v>
      </c>
      <c r="BA7" s="61" t="str">
        <f>IF(K9=(0),'DropDown Lists'!$L$6,K9)</f>
        <v>Empty</v>
      </c>
      <c r="BB7" s="61" t="str">
        <f>IF(L9=(0),'DropDown Lists'!$L$6,L9)</f>
        <v>Empty</v>
      </c>
      <c r="BC7" s="61" t="str">
        <f>IF(F10=(0),'DropDown Lists'!$L$6,F10)</f>
        <v>Empty</v>
      </c>
      <c r="BD7" s="61" t="str">
        <f>IF(G10=(0),'DropDown Lists'!$L$6,G10)</f>
        <v>Empty</v>
      </c>
      <c r="BE7" s="61" t="str">
        <f>IF(H10=(0),'DropDown Lists'!$L$6,H10)</f>
        <v>Empty</v>
      </c>
      <c r="BF7" s="61" t="str">
        <f>IF(I10=(0),'DropDown Lists'!$L$6,I10)</f>
        <v>Empty</v>
      </c>
      <c r="BG7" s="61" t="str">
        <f>IF(J10=(0),'DropDown Lists'!$L$6,J10)</f>
        <v>Empty</v>
      </c>
      <c r="BH7" s="61" t="str">
        <f>IF(K10=(0),'DropDown Lists'!$L$6,K10)</f>
        <v>Empty</v>
      </c>
      <c r="BI7" s="61" t="str">
        <f>IF(L10=(0),'DropDown Lists'!$L$6,L10)</f>
        <v>Empty</v>
      </c>
      <c r="BJ7" s="61" t="str">
        <f>IF(F11=(0),'DropDown Lists'!$L$6,F11)</f>
        <v>Empty</v>
      </c>
      <c r="BK7" s="61" t="str">
        <f>IF(G11=(0),'DropDown Lists'!$L$6,G11)</f>
        <v>Empty</v>
      </c>
      <c r="BL7" s="61" t="str">
        <f>IF(H11=(0),'DropDown Lists'!$L$6,H11)</f>
        <v>Empty</v>
      </c>
      <c r="BM7" s="61" t="str">
        <f>IF(I11=(0),'DropDown Lists'!$L$6,I11)</f>
        <v>Empty</v>
      </c>
      <c r="BN7" s="61" t="str">
        <f>IF(J11=(0),'DropDown Lists'!$L$6,J11)</f>
        <v>Empty</v>
      </c>
      <c r="BO7" s="61" t="str">
        <f>IF(K11=(0),'DropDown Lists'!$L$6,K11)</f>
        <v>Empty</v>
      </c>
      <c r="BP7" s="61" t="str">
        <f>IF(L11=(0),'DropDown Lists'!$L$6,L11)</f>
        <v>Empty</v>
      </c>
      <c r="BQ7" s="61" t="str">
        <f>IF(F12=(0),'DropDown Lists'!$L$6,F12)</f>
        <v>Empty</v>
      </c>
      <c r="BR7" s="61" t="str">
        <f>IF(G12=(0),'DropDown Lists'!$L$6,G12)</f>
        <v>Empty</v>
      </c>
      <c r="BS7" s="61" t="str">
        <f>IF(H12=(0),'DropDown Lists'!$L$6,H12)</f>
        <v>Empty</v>
      </c>
      <c r="BT7" s="61" t="str">
        <f>IF(I12=(0),'DropDown Lists'!$L$6,I12)</f>
        <v>Empty</v>
      </c>
      <c r="BU7" s="61" t="str">
        <f>IF(J12=(0),'DropDown Lists'!$L$6,J12)</f>
        <v>Empty</v>
      </c>
      <c r="BV7" s="61" t="str">
        <f>IF(K12=(0),'DropDown Lists'!$L$6,K12)</f>
        <v>Empty</v>
      </c>
      <c r="BW7" s="61" t="str">
        <f>IF(L12=(0),'DropDown Lists'!$L$6,L12)</f>
        <v>Empty</v>
      </c>
      <c r="BX7" s="61" t="str">
        <f>IF(F13=(0),'DropDown Lists'!$L$6,F13)</f>
        <v>Empty</v>
      </c>
      <c r="BY7" s="61" t="str">
        <f>IF(G13=(0),'DropDown Lists'!$L$6,G13)</f>
        <v>Empty</v>
      </c>
      <c r="BZ7" s="61" t="str">
        <f>IF(H13=(0),'DropDown Lists'!$L$6,H13)</f>
        <v>Empty</v>
      </c>
      <c r="CA7" s="61" t="str">
        <f>IF(I13=(0),'DropDown Lists'!$L$6,I13)</f>
        <v>Empty</v>
      </c>
      <c r="CB7" s="61" t="str">
        <f>IF(J13=(0),'DropDown Lists'!$L$6,J13)</f>
        <v>Empty</v>
      </c>
      <c r="CC7" s="61" t="str">
        <f>IF(K13=(0),'DropDown Lists'!$L$6,K13)</f>
        <v>Empty</v>
      </c>
      <c r="CD7" s="61" t="str">
        <f>IF(L13=(0),'DropDown Lists'!$L$6,L13)</f>
        <v>Empty</v>
      </c>
      <c r="CE7" s="61" t="str">
        <f>IF(F14=(0),'DropDown Lists'!$L$6,F14)</f>
        <v>Empty</v>
      </c>
      <c r="CF7" s="61" t="str">
        <f>IF(G14=(0),'DropDown Lists'!$L$6,G14)</f>
        <v>Empty</v>
      </c>
      <c r="CG7" s="61" t="str">
        <f>IF(H14=(0),'DropDown Lists'!$L$6,H14)</f>
        <v>Empty</v>
      </c>
      <c r="CH7" s="61" t="str">
        <f>IF(I14=(0),'DropDown Lists'!$L$6,I14)</f>
        <v>Empty</v>
      </c>
      <c r="CI7" s="61" t="str">
        <f>IF(J14=(0),'DropDown Lists'!$L$6,J14)</f>
        <v>Empty</v>
      </c>
      <c r="CJ7" s="61" t="str">
        <f>IF(K14=(0),'DropDown Lists'!$L$6,K14)</f>
        <v>Empty</v>
      </c>
      <c r="CK7" s="61" t="str">
        <f>IF(L14=(0),'DropDown Lists'!$L$6,L14)</f>
        <v>Empty</v>
      </c>
      <c r="CL7" s="61" t="str">
        <f>IF(F15=(0),'DropDown Lists'!$L$6,F15)</f>
        <v>Empty</v>
      </c>
      <c r="CM7" s="61" t="str">
        <f>IF(G15=(0),'DropDown Lists'!$L$6,G15)</f>
        <v>Empty</v>
      </c>
      <c r="CN7" s="61" t="str">
        <f>IF(H15=(0),'DropDown Lists'!$L$6,H15)</f>
        <v>Empty</v>
      </c>
      <c r="CO7" s="61" t="str">
        <f>IF(I15=(0),'DropDown Lists'!$L$6,I15)</f>
        <v>Empty</v>
      </c>
      <c r="CP7" s="61" t="str">
        <f>IF(J15=(0),'DropDown Lists'!$L$6,J15)</f>
        <v>Empty</v>
      </c>
      <c r="CQ7" s="61" t="str">
        <f>IF(K15=(0),'DropDown Lists'!$L$6,K15)</f>
        <v>Empty</v>
      </c>
      <c r="CR7" s="61" t="str">
        <f>IF(L15=(0),'DropDown Lists'!$L$6,L15)</f>
        <v>Empty</v>
      </c>
      <c r="CS7" s="61" t="str">
        <f>IF(F16=(0),'DropDown Lists'!$L$6,F16)</f>
        <v>Empty</v>
      </c>
      <c r="CT7" s="61" t="str">
        <f>IF(G16=(0),'DropDown Lists'!$L$6,G16)</f>
        <v>Empty</v>
      </c>
      <c r="CU7" s="61" t="str">
        <f>IF(H16=(0),'DropDown Lists'!$L$6,H16)</f>
        <v>Empty</v>
      </c>
      <c r="CV7" s="61" t="str">
        <f>IF(I16=(0),'DropDown Lists'!$L$6,I16)</f>
        <v>Empty</v>
      </c>
      <c r="CW7" s="61" t="str">
        <f>IF(J16=(0),'DropDown Lists'!$L$6,J16)</f>
        <v>Empty</v>
      </c>
      <c r="CX7" s="61" t="str">
        <f>IF(K16=(0),'DropDown Lists'!$L$6,K16)</f>
        <v>Empty</v>
      </c>
      <c r="CY7" s="62" t="str">
        <f>IF(L16=(0),'DropDown Lists'!$L$6,L16)</f>
        <v>Empty</v>
      </c>
    </row>
    <row r="8" spans="1:103" ht="18.75" x14ac:dyDescent="0.25">
      <c r="A8" s="10"/>
      <c r="E8" s="44">
        <v>4</v>
      </c>
      <c r="F8" s="72"/>
      <c r="G8" s="73"/>
      <c r="H8" s="73"/>
      <c r="I8" s="73"/>
      <c r="J8" s="73"/>
      <c r="K8" s="73"/>
      <c r="L8" s="74"/>
      <c r="M8" s="179" t="s">
        <v>209</v>
      </c>
      <c r="N8" s="107"/>
      <c r="O8" s="108"/>
      <c r="P8" s="80"/>
      <c r="Q8" s="80"/>
      <c r="R8" s="8"/>
      <c r="S8" s="22"/>
      <c r="T8" s="63" t="s">
        <v>46</v>
      </c>
      <c r="U8" s="64" t="s">
        <v>53</v>
      </c>
      <c r="V8" s="64" t="s">
        <v>54</v>
      </c>
      <c r="W8" s="64" t="s">
        <v>55</v>
      </c>
      <c r="X8" s="64" t="s">
        <v>56</v>
      </c>
      <c r="Y8" s="64" t="s">
        <v>57</v>
      </c>
      <c r="Z8" s="64" t="s">
        <v>58</v>
      </c>
      <c r="AA8" s="64" t="s">
        <v>47</v>
      </c>
      <c r="AB8" s="64" t="s">
        <v>52</v>
      </c>
      <c r="AC8" s="64" t="s">
        <v>63</v>
      </c>
      <c r="AD8" s="64" t="s">
        <v>64</v>
      </c>
      <c r="AE8" s="64" t="s">
        <v>65</v>
      </c>
      <c r="AF8" s="64" t="s">
        <v>66</v>
      </c>
      <c r="AG8" s="64" t="s">
        <v>67</v>
      </c>
      <c r="AH8" s="64" t="s">
        <v>48</v>
      </c>
      <c r="AI8" s="64" t="s">
        <v>68</v>
      </c>
      <c r="AJ8" s="64" t="s">
        <v>69</v>
      </c>
      <c r="AK8" s="64" t="s">
        <v>70</v>
      </c>
      <c r="AL8" s="64" t="s">
        <v>71</v>
      </c>
      <c r="AM8" s="64" t="s">
        <v>72</v>
      </c>
      <c r="AN8" s="64" t="s">
        <v>73</v>
      </c>
      <c r="AO8" s="64" t="s">
        <v>49</v>
      </c>
      <c r="AP8" s="64" t="s">
        <v>74</v>
      </c>
      <c r="AQ8" s="64" t="s">
        <v>75</v>
      </c>
      <c r="AR8" s="64" t="s">
        <v>76</v>
      </c>
      <c r="AS8" s="64" t="s">
        <v>77</v>
      </c>
      <c r="AT8" s="64" t="s">
        <v>78</v>
      </c>
      <c r="AU8" s="64" t="s">
        <v>79</v>
      </c>
      <c r="AV8" s="64" t="s">
        <v>50</v>
      </c>
      <c r="AW8" s="64" t="s">
        <v>80</v>
      </c>
      <c r="AX8" s="64" t="s">
        <v>81</v>
      </c>
      <c r="AY8" s="64" t="s">
        <v>82</v>
      </c>
      <c r="AZ8" s="64" t="s">
        <v>83</v>
      </c>
      <c r="BA8" s="64" t="s">
        <v>84</v>
      </c>
      <c r="BB8" s="64" t="s">
        <v>85</v>
      </c>
      <c r="BC8" s="64" t="s">
        <v>86</v>
      </c>
      <c r="BD8" s="64" t="s">
        <v>87</v>
      </c>
      <c r="BE8" s="64" t="s">
        <v>88</v>
      </c>
      <c r="BF8" s="64" t="s">
        <v>89</v>
      </c>
      <c r="BG8" s="64" t="s">
        <v>90</v>
      </c>
      <c r="BH8" s="64" t="s">
        <v>91</v>
      </c>
      <c r="BI8" s="64" t="s">
        <v>92</v>
      </c>
      <c r="BJ8" s="64" t="s">
        <v>51</v>
      </c>
      <c r="BK8" s="64" t="s">
        <v>93</v>
      </c>
      <c r="BL8" s="64" t="s">
        <v>94</v>
      </c>
      <c r="BM8" s="64" t="s">
        <v>95</v>
      </c>
      <c r="BN8" s="64" t="s">
        <v>96</v>
      </c>
      <c r="BO8" s="64" t="s">
        <v>97</v>
      </c>
      <c r="BP8" s="64" t="s">
        <v>98</v>
      </c>
      <c r="BQ8" s="64" t="s">
        <v>99</v>
      </c>
      <c r="BR8" s="64" t="s">
        <v>100</v>
      </c>
      <c r="BS8" s="64" t="s">
        <v>101</v>
      </c>
      <c r="BT8" s="64" t="s">
        <v>102</v>
      </c>
      <c r="BU8" s="64" t="s">
        <v>103</v>
      </c>
      <c r="BV8" s="64" t="s">
        <v>104</v>
      </c>
      <c r="BW8" s="64" t="s">
        <v>105</v>
      </c>
      <c r="BX8" s="64" t="s">
        <v>106</v>
      </c>
      <c r="BY8" s="64" t="s">
        <v>107</v>
      </c>
      <c r="BZ8" s="64" t="s">
        <v>108</v>
      </c>
      <c r="CA8" s="64" t="s">
        <v>109</v>
      </c>
      <c r="CB8" s="64" t="s">
        <v>110</v>
      </c>
      <c r="CC8" s="64" t="s">
        <v>111</v>
      </c>
      <c r="CD8" s="64" t="s">
        <v>112</v>
      </c>
      <c r="CE8" s="64" t="s">
        <v>113</v>
      </c>
      <c r="CF8" s="64" t="s">
        <v>114</v>
      </c>
      <c r="CG8" s="64" t="s">
        <v>115</v>
      </c>
      <c r="CH8" s="64" t="s">
        <v>116</v>
      </c>
      <c r="CI8" s="64" t="s">
        <v>117</v>
      </c>
      <c r="CJ8" s="64" t="s">
        <v>118</v>
      </c>
      <c r="CK8" s="64" t="s">
        <v>119</v>
      </c>
      <c r="CL8" s="64" t="s">
        <v>120</v>
      </c>
      <c r="CM8" s="64" t="s">
        <v>121</v>
      </c>
      <c r="CN8" s="64" t="s">
        <v>122</v>
      </c>
      <c r="CO8" s="64" t="s">
        <v>123</v>
      </c>
      <c r="CP8" s="64" t="s">
        <v>124</v>
      </c>
      <c r="CQ8" s="64" t="s">
        <v>125</v>
      </c>
      <c r="CR8" s="64" t="s">
        <v>126</v>
      </c>
      <c r="CS8" s="64" t="s">
        <v>127</v>
      </c>
      <c r="CT8" s="64" t="s">
        <v>128</v>
      </c>
      <c r="CU8" s="64" t="s">
        <v>129</v>
      </c>
      <c r="CV8" s="64" t="s">
        <v>130</v>
      </c>
      <c r="CW8" s="64" t="s">
        <v>131</v>
      </c>
      <c r="CX8" s="64" t="s">
        <v>132</v>
      </c>
      <c r="CY8" s="65" t="s">
        <v>133</v>
      </c>
    </row>
    <row r="9" spans="1:103" ht="18.75" x14ac:dyDescent="0.25">
      <c r="B9" s="187" t="s">
        <v>314</v>
      </c>
      <c r="C9" s="188"/>
      <c r="E9" s="44">
        <v>5</v>
      </c>
      <c r="F9" s="52"/>
      <c r="G9" s="48"/>
      <c r="H9" s="48"/>
      <c r="I9" s="48"/>
      <c r="J9" s="48"/>
      <c r="K9" s="48"/>
      <c r="L9" s="53"/>
      <c r="M9" s="180"/>
      <c r="N9" s="80"/>
      <c r="O9" s="109"/>
      <c r="P9" s="80"/>
      <c r="Q9" s="80"/>
      <c r="R9" s="182" t="s">
        <v>205</v>
      </c>
      <c r="S9" s="23" t="s">
        <v>170</v>
      </c>
      <c r="T9" s="91">
        <v>12</v>
      </c>
      <c r="U9" s="92">
        <v>12</v>
      </c>
      <c r="V9" s="92">
        <v>12</v>
      </c>
      <c r="W9" s="92">
        <v>12</v>
      </c>
      <c r="X9" s="92">
        <v>12</v>
      </c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2"/>
      <c r="BF9" s="92"/>
      <c r="BG9" s="92"/>
      <c r="BH9" s="92"/>
      <c r="BI9" s="92"/>
      <c r="BJ9" s="92"/>
      <c r="BK9" s="92"/>
      <c r="BL9" s="92"/>
      <c r="BM9" s="92"/>
      <c r="BN9" s="92"/>
      <c r="BO9" s="92"/>
      <c r="BP9" s="92"/>
      <c r="BQ9" s="92"/>
      <c r="BR9" s="92"/>
      <c r="BS9" s="92"/>
      <c r="BT9" s="92"/>
      <c r="BU9" s="92"/>
      <c r="BV9" s="92"/>
      <c r="BW9" s="92"/>
      <c r="BX9" s="92"/>
      <c r="BY9" s="92"/>
      <c r="BZ9" s="92"/>
      <c r="CA9" s="92"/>
      <c r="CB9" s="92"/>
      <c r="CC9" s="92"/>
      <c r="CD9" s="92"/>
      <c r="CE9" s="92"/>
      <c r="CF9" s="92"/>
      <c r="CG9" s="92"/>
      <c r="CH9" s="92"/>
      <c r="CI9" s="92"/>
      <c r="CJ9" s="92"/>
      <c r="CK9" s="92"/>
      <c r="CL9" s="92"/>
      <c r="CM9" s="92"/>
      <c r="CN9" s="92"/>
      <c r="CO9" s="92"/>
      <c r="CP9" s="92"/>
      <c r="CQ9" s="92"/>
      <c r="CR9" s="92"/>
      <c r="CS9" s="92"/>
      <c r="CT9" s="92"/>
      <c r="CU9" s="92"/>
      <c r="CV9" s="92"/>
      <c r="CW9" s="92"/>
      <c r="CX9" s="92"/>
      <c r="CY9" s="93"/>
    </row>
    <row r="10" spans="1:103" ht="18.75" customHeight="1" x14ac:dyDescent="0.3">
      <c r="B10" s="77" t="s">
        <v>35</v>
      </c>
      <c r="C10" s="26" t="str">
        <f ca="1">CONCATENATE(MONTH(TODAY()),"-",DAY(TODAY()),"-",YEAR(TODAY()))</f>
        <v>6-16-2017</v>
      </c>
      <c r="E10" s="125">
        <v>6</v>
      </c>
      <c r="F10" s="54"/>
      <c r="G10" s="55"/>
      <c r="H10" s="55"/>
      <c r="I10" s="55"/>
      <c r="J10" s="55"/>
      <c r="K10" s="55"/>
      <c r="L10" s="56"/>
      <c r="M10" s="181"/>
      <c r="N10" s="110"/>
      <c r="O10" s="111"/>
      <c r="P10" s="80"/>
      <c r="Q10" s="80"/>
      <c r="R10" s="183"/>
      <c r="S10" s="23" t="s">
        <v>59</v>
      </c>
      <c r="T10" s="94"/>
      <c r="U10" s="92"/>
      <c r="V10" s="92">
        <v>12</v>
      </c>
      <c r="W10" s="92">
        <v>12</v>
      </c>
      <c r="X10" s="92">
        <v>12</v>
      </c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92"/>
      <c r="BE10" s="92"/>
      <c r="BF10" s="92"/>
      <c r="BG10" s="92"/>
      <c r="BH10" s="95"/>
      <c r="BI10" s="95"/>
      <c r="BJ10" s="95"/>
      <c r="BK10" s="95"/>
      <c r="BL10" s="95"/>
      <c r="BM10" s="95"/>
      <c r="BN10" s="95"/>
      <c r="BO10" s="95"/>
      <c r="BP10" s="95"/>
      <c r="BQ10" s="95"/>
      <c r="BR10" s="95"/>
      <c r="BS10" s="95"/>
      <c r="BT10" s="95"/>
      <c r="BU10" s="95"/>
      <c r="BV10" s="95"/>
      <c r="BW10" s="95"/>
      <c r="BX10" s="95"/>
      <c r="BY10" s="95"/>
      <c r="BZ10" s="95"/>
      <c r="CA10" s="95"/>
      <c r="CB10" s="95"/>
      <c r="CC10" s="95"/>
      <c r="CD10" s="95"/>
      <c r="CE10" s="95"/>
      <c r="CF10" s="95"/>
      <c r="CG10" s="95"/>
      <c r="CH10" s="95"/>
      <c r="CI10" s="95"/>
      <c r="CJ10" s="95"/>
      <c r="CK10" s="95"/>
      <c r="CL10" s="95"/>
      <c r="CM10" s="95"/>
      <c r="CN10" s="95"/>
      <c r="CO10" s="95"/>
      <c r="CP10" s="95"/>
      <c r="CQ10" s="95"/>
      <c r="CR10" s="95"/>
      <c r="CS10" s="95"/>
      <c r="CT10" s="95"/>
      <c r="CU10" s="95"/>
      <c r="CV10" s="95"/>
      <c r="CW10" s="95"/>
      <c r="CX10" s="95"/>
      <c r="CY10" s="96"/>
    </row>
    <row r="11" spans="1:103" ht="18.75" x14ac:dyDescent="0.3">
      <c r="B11" s="77" t="s">
        <v>36</v>
      </c>
      <c r="C11" s="25" t="str">
        <f ca="1">CONCATENATE(HOUR(NOW()),MINUTE(NOW()),SECOND(NOW()))</f>
        <v>12735</v>
      </c>
      <c r="E11" s="44">
        <v>7</v>
      </c>
      <c r="F11" s="72"/>
      <c r="G11" s="73"/>
      <c r="H11" s="73"/>
      <c r="I11" s="73"/>
      <c r="J11" s="73"/>
      <c r="K11" s="73"/>
      <c r="L11" s="74"/>
      <c r="M11" s="179" t="s">
        <v>210</v>
      </c>
      <c r="N11" s="107"/>
      <c r="O11" s="108"/>
      <c r="P11" s="80"/>
      <c r="Q11" s="80"/>
      <c r="R11" s="183"/>
      <c r="S11" s="23" t="s">
        <v>60</v>
      </c>
      <c r="T11" s="94"/>
      <c r="U11" s="92"/>
      <c r="V11" s="92"/>
      <c r="W11" s="92">
        <v>12</v>
      </c>
      <c r="X11" s="92">
        <v>12</v>
      </c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BC11" s="92"/>
      <c r="BD11" s="92"/>
      <c r="BE11" s="92"/>
      <c r="BF11" s="92"/>
      <c r="BG11" s="92"/>
      <c r="BH11" s="95"/>
      <c r="BI11" s="95"/>
      <c r="BJ11" s="95"/>
      <c r="BK11" s="95"/>
      <c r="BL11" s="95"/>
      <c r="BM11" s="95"/>
      <c r="BN11" s="95"/>
      <c r="BO11" s="95"/>
      <c r="BP11" s="95"/>
      <c r="BQ11" s="95"/>
      <c r="BR11" s="95"/>
      <c r="BS11" s="95"/>
      <c r="BT11" s="95"/>
      <c r="BU11" s="95"/>
      <c r="BV11" s="95"/>
      <c r="BW11" s="95"/>
      <c r="BX11" s="95"/>
      <c r="BY11" s="95"/>
      <c r="BZ11" s="95"/>
      <c r="CA11" s="95"/>
      <c r="CB11" s="95"/>
      <c r="CC11" s="95"/>
      <c r="CD11" s="95"/>
      <c r="CE11" s="95"/>
      <c r="CF11" s="95"/>
      <c r="CG11" s="95"/>
      <c r="CH11" s="95"/>
      <c r="CI11" s="95"/>
      <c r="CJ11" s="95"/>
      <c r="CK11" s="95"/>
      <c r="CL11" s="95"/>
      <c r="CM11" s="95"/>
      <c r="CN11" s="95"/>
      <c r="CO11" s="95"/>
      <c r="CP11" s="95"/>
      <c r="CQ11" s="95"/>
      <c r="CR11" s="95"/>
      <c r="CS11" s="95"/>
      <c r="CT11" s="95"/>
      <c r="CU11" s="95"/>
      <c r="CV11" s="95"/>
      <c r="CW11" s="95"/>
      <c r="CX11" s="95"/>
      <c r="CY11" s="96"/>
    </row>
    <row r="12" spans="1:103" ht="18.75" x14ac:dyDescent="0.3">
      <c r="B12" s="88"/>
      <c r="C12" s="89"/>
      <c r="E12" s="44">
        <v>8</v>
      </c>
      <c r="F12" s="52"/>
      <c r="G12" s="48"/>
      <c r="H12" s="48"/>
      <c r="I12" s="48"/>
      <c r="J12" s="48"/>
      <c r="K12" s="48"/>
      <c r="L12" s="53"/>
      <c r="M12" s="180"/>
      <c r="N12" s="80"/>
      <c r="O12" s="109"/>
      <c r="P12" s="80"/>
      <c r="Q12" s="80"/>
      <c r="R12" s="183"/>
      <c r="S12" s="23" t="s">
        <v>171</v>
      </c>
      <c r="T12" s="94"/>
      <c r="U12" s="92"/>
      <c r="V12" s="92"/>
      <c r="W12" s="92"/>
      <c r="X12" s="92">
        <v>12</v>
      </c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5"/>
      <c r="BI12" s="95"/>
      <c r="BJ12" s="95"/>
      <c r="BK12" s="95"/>
      <c r="BL12" s="95"/>
      <c r="BM12" s="95"/>
      <c r="BN12" s="95"/>
      <c r="BO12" s="95"/>
      <c r="BP12" s="95"/>
      <c r="BQ12" s="95"/>
      <c r="BR12" s="95"/>
      <c r="BS12" s="95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5"/>
      <c r="CG12" s="95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95"/>
      <c r="CW12" s="95"/>
      <c r="CX12" s="95"/>
      <c r="CY12" s="96"/>
    </row>
    <row r="13" spans="1:103" ht="18.75" x14ac:dyDescent="0.25">
      <c r="B13" s="77" t="s">
        <v>168</v>
      </c>
      <c r="C13" s="75" t="str">
        <f ca="1">CONCATENATE(C4,C5,"_",C10)</f>
        <v>AZ_6-16-2017</v>
      </c>
      <c r="E13" s="125">
        <v>9</v>
      </c>
      <c r="F13" s="54"/>
      <c r="G13" s="55"/>
      <c r="H13" s="55"/>
      <c r="I13" s="55"/>
      <c r="J13" s="55"/>
      <c r="K13" s="55"/>
      <c r="L13" s="56"/>
      <c r="M13" s="181"/>
      <c r="N13" s="110"/>
      <c r="O13" s="111"/>
      <c r="P13" s="80"/>
      <c r="Q13" s="80"/>
      <c r="R13" s="184"/>
      <c r="S13" s="24" t="s">
        <v>61</v>
      </c>
      <c r="T13" s="97"/>
      <c r="U13" s="92"/>
      <c r="V13" s="92"/>
      <c r="W13" s="92"/>
      <c r="X13" s="92">
        <v>12</v>
      </c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92"/>
      <c r="BE13" s="92"/>
      <c r="BF13" s="92"/>
      <c r="BG13" s="92"/>
      <c r="BH13" s="98"/>
      <c r="BI13" s="98"/>
      <c r="BJ13" s="98"/>
      <c r="BK13" s="98"/>
      <c r="BL13" s="98"/>
      <c r="BM13" s="98"/>
      <c r="BN13" s="98"/>
      <c r="BO13" s="98"/>
      <c r="BP13" s="98"/>
      <c r="BQ13" s="98"/>
      <c r="BR13" s="98"/>
      <c r="BS13" s="98"/>
      <c r="BT13" s="98"/>
      <c r="BU13" s="98"/>
      <c r="BV13" s="98"/>
      <c r="BW13" s="98"/>
      <c r="BX13" s="98"/>
      <c r="BY13" s="98"/>
      <c r="BZ13" s="98"/>
      <c r="CA13" s="98"/>
      <c r="CB13" s="98"/>
      <c r="CC13" s="98"/>
      <c r="CD13" s="98"/>
      <c r="CE13" s="98"/>
      <c r="CF13" s="98"/>
      <c r="CG13" s="98"/>
      <c r="CH13" s="98"/>
      <c r="CI13" s="98"/>
      <c r="CJ13" s="98"/>
      <c r="CK13" s="98"/>
      <c r="CL13" s="98"/>
      <c r="CM13" s="98"/>
      <c r="CN13" s="98"/>
      <c r="CO13" s="98"/>
      <c r="CP13" s="98"/>
      <c r="CQ13" s="98"/>
      <c r="CR13" s="98"/>
      <c r="CS13" s="98"/>
      <c r="CT13" s="98"/>
      <c r="CU13" s="98"/>
      <c r="CV13" s="98"/>
      <c r="CW13" s="98"/>
      <c r="CX13" s="98"/>
      <c r="CY13" s="99"/>
    </row>
    <row r="14" spans="1:103" ht="18.75" x14ac:dyDescent="0.25">
      <c r="B14" s="78" t="s">
        <v>305</v>
      </c>
      <c r="C14" s="119" t="s">
        <v>306</v>
      </c>
      <c r="D14" s="7" t="s">
        <v>178</v>
      </c>
      <c r="E14" s="44">
        <v>10</v>
      </c>
      <c r="F14" s="72"/>
      <c r="G14" s="73"/>
      <c r="H14" s="73"/>
      <c r="I14" s="73"/>
      <c r="J14" s="73"/>
      <c r="K14" s="73"/>
      <c r="L14" s="74"/>
      <c r="M14" s="179" t="s">
        <v>211</v>
      </c>
      <c r="N14" s="107"/>
      <c r="O14" s="108"/>
      <c r="P14" s="80"/>
      <c r="Q14" s="80"/>
      <c r="S14" s="39" t="s">
        <v>279</v>
      </c>
      <c r="T14" s="100"/>
      <c r="U14" s="101"/>
      <c r="V14" s="101"/>
      <c r="W14" s="101"/>
      <c r="X14" s="101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1"/>
      <c r="AL14" s="101"/>
      <c r="AM14" s="101"/>
      <c r="AN14" s="101"/>
      <c r="AO14" s="101"/>
      <c r="AP14" s="101"/>
      <c r="AQ14" s="101"/>
      <c r="AR14" s="101"/>
      <c r="AS14" s="101"/>
      <c r="AT14" s="101"/>
      <c r="AU14" s="101"/>
      <c r="AV14" s="101"/>
      <c r="AW14" s="101"/>
      <c r="AX14" s="101"/>
      <c r="AY14" s="101"/>
      <c r="AZ14" s="101"/>
      <c r="BA14" s="101"/>
      <c r="BB14" s="101"/>
      <c r="BC14" s="101"/>
      <c r="BD14" s="101"/>
      <c r="BE14" s="101"/>
      <c r="BF14" s="101"/>
      <c r="BG14" s="101"/>
      <c r="BH14" s="101"/>
      <c r="BI14" s="101"/>
      <c r="BJ14" s="101"/>
      <c r="BK14" s="101"/>
      <c r="BL14" s="101"/>
      <c r="BM14" s="101"/>
      <c r="BN14" s="101"/>
      <c r="BO14" s="101"/>
      <c r="BP14" s="101"/>
      <c r="BQ14" s="101"/>
      <c r="BR14" s="101"/>
      <c r="BS14" s="101"/>
      <c r="BT14" s="101"/>
      <c r="BU14" s="101"/>
      <c r="BV14" s="101"/>
      <c r="BW14" s="101"/>
      <c r="BX14" s="101"/>
      <c r="BY14" s="101"/>
      <c r="BZ14" s="101"/>
      <c r="CA14" s="101"/>
      <c r="CB14" s="101"/>
      <c r="CC14" s="101"/>
      <c r="CD14" s="101"/>
      <c r="CE14" s="101"/>
      <c r="CF14" s="101"/>
      <c r="CG14" s="101"/>
      <c r="CH14" s="101"/>
      <c r="CI14" s="101"/>
      <c r="CJ14" s="101"/>
      <c r="CK14" s="101"/>
      <c r="CL14" s="101"/>
      <c r="CM14" s="101"/>
      <c r="CN14" s="101"/>
      <c r="CO14" s="101"/>
      <c r="CP14" s="101"/>
      <c r="CQ14" s="101"/>
      <c r="CR14" s="101"/>
      <c r="CS14" s="101"/>
      <c r="CT14" s="101"/>
      <c r="CU14" s="101"/>
      <c r="CV14" s="101"/>
      <c r="CW14" s="101"/>
      <c r="CX14" s="101"/>
      <c r="CY14" s="102"/>
    </row>
    <row r="15" spans="1:103" ht="18.75" x14ac:dyDescent="0.25">
      <c r="E15" s="44">
        <v>11</v>
      </c>
      <c r="F15" s="52"/>
      <c r="G15" s="48"/>
      <c r="H15" s="48"/>
      <c r="I15" s="48"/>
      <c r="J15" s="48"/>
      <c r="K15" s="48"/>
      <c r="L15" s="53"/>
      <c r="M15" s="180"/>
      <c r="N15" s="80"/>
      <c r="O15" s="109"/>
      <c r="P15" s="80"/>
      <c r="Q15" s="80"/>
      <c r="R15" s="106"/>
      <c r="S15" s="24" t="s">
        <v>280</v>
      </c>
      <c r="T15" s="103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4"/>
      <c r="BL15" s="104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4"/>
      <c r="BX15" s="104"/>
      <c r="BY15" s="104"/>
      <c r="BZ15" s="104"/>
      <c r="CA15" s="104"/>
      <c r="CB15" s="104"/>
      <c r="CC15" s="104"/>
      <c r="CD15" s="104"/>
      <c r="CE15" s="104"/>
      <c r="CF15" s="104"/>
      <c r="CG15" s="104"/>
      <c r="CH15" s="104"/>
      <c r="CI15" s="104"/>
      <c r="CJ15" s="104"/>
      <c r="CK15" s="104"/>
      <c r="CL15" s="104"/>
      <c r="CM15" s="104"/>
      <c r="CN15" s="104"/>
      <c r="CO15" s="104"/>
      <c r="CP15" s="104"/>
      <c r="CQ15" s="104"/>
      <c r="CR15" s="104"/>
      <c r="CS15" s="104"/>
      <c r="CT15" s="104"/>
      <c r="CU15" s="104"/>
      <c r="CV15" s="104"/>
      <c r="CW15" s="104"/>
      <c r="CX15" s="104"/>
      <c r="CY15" s="105"/>
    </row>
    <row r="16" spans="1:103" ht="18.75" x14ac:dyDescent="0.25">
      <c r="E16" s="45">
        <v>12</v>
      </c>
      <c r="F16" s="54"/>
      <c r="G16" s="55"/>
      <c r="H16" s="55"/>
      <c r="I16" s="55"/>
      <c r="J16" s="55"/>
      <c r="K16" s="55"/>
      <c r="L16" s="56"/>
      <c r="M16" s="181"/>
      <c r="N16" s="110"/>
      <c r="O16" s="111"/>
      <c r="P16" s="80"/>
      <c r="Q16" s="80"/>
      <c r="R16" s="106"/>
      <c r="S16" s="159"/>
      <c r="T16" s="164" t="s">
        <v>737</v>
      </c>
      <c r="U16" s="164"/>
      <c r="V16" s="165"/>
      <c r="W16" s="164"/>
      <c r="X16" s="164"/>
      <c r="Y16" s="164"/>
      <c r="Z16" s="164"/>
      <c r="AA16" s="164"/>
      <c r="AB16" s="164"/>
      <c r="AC16" s="164"/>
      <c r="AD16" s="164"/>
      <c r="AE16" s="164"/>
      <c r="AF16" s="164"/>
      <c r="AG16" s="164"/>
      <c r="AH16" s="164"/>
      <c r="AI16" s="164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164"/>
      <c r="AW16" s="164"/>
      <c r="AX16" s="164"/>
      <c r="AY16" s="164"/>
      <c r="AZ16" s="164"/>
      <c r="BA16" s="164"/>
      <c r="BB16" s="164"/>
      <c r="BC16" s="164"/>
      <c r="BD16" s="164"/>
      <c r="BE16" s="164"/>
      <c r="BF16" s="164"/>
      <c r="BG16" s="164"/>
      <c r="BH16" s="164"/>
      <c r="BI16" s="164"/>
      <c r="BJ16" s="164"/>
      <c r="BK16" s="164"/>
      <c r="BL16" s="164"/>
      <c r="BM16" s="164"/>
      <c r="BN16" s="164"/>
      <c r="BO16" s="164"/>
      <c r="BP16" s="164"/>
      <c r="BQ16" s="164"/>
      <c r="BR16" s="164"/>
      <c r="BS16" s="164"/>
      <c r="BT16" s="164"/>
      <c r="BU16" s="164"/>
      <c r="BV16" s="164"/>
      <c r="BW16" s="164"/>
      <c r="BX16" s="164"/>
      <c r="BY16" s="164"/>
      <c r="BZ16" s="164"/>
      <c r="CA16" s="164"/>
      <c r="CB16" s="164"/>
      <c r="CC16" s="164"/>
      <c r="CD16" s="164"/>
      <c r="CE16" s="164"/>
      <c r="CF16" s="164"/>
      <c r="CG16" s="164"/>
      <c r="CH16" s="164"/>
      <c r="CI16" s="164"/>
      <c r="CJ16" s="164"/>
      <c r="CK16" s="164"/>
      <c r="CL16" s="164"/>
      <c r="CM16" s="164"/>
      <c r="CN16" s="164"/>
      <c r="CO16" s="164"/>
      <c r="CP16" s="164"/>
      <c r="CQ16" s="164"/>
      <c r="CR16" s="164"/>
      <c r="CS16" s="164"/>
      <c r="CT16" s="164"/>
      <c r="CU16" s="164"/>
      <c r="CV16" s="164"/>
      <c r="CW16" s="164"/>
      <c r="CX16" s="164"/>
      <c r="CY16" s="166"/>
    </row>
    <row r="17" spans="2:103" ht="17.25" x14ac:dyDescent="0.25">
      <c r="B17" s="11"/>
      <c r="F17" s="172" t="s">
        <v>320</v>
      </c>
      <c r="G17" s="173"/>
      <c r="H17" s="173"/>
      <c r="I17" s="173"/>
      <c r="J17" s="173"/>
      <c r="K17" s="173"/>
      <c r="L17" s="174"/>
      <c r="O17" s="80"/>
      <c r="P17" s="80"/>
      <c r="Q17" s="80"/>
      <c r="R17" s="106"/>
      <c r="S17" s="24" t="s">
        <v>327</v>
      </c>
      <c r="T17" s="2" t="s">
        <v>334</v>
      </c>
      <c r="U17" s="2">
        <v>1</v>
      </c>
      <c r="V17" s="2">
        <v>2</v>
      </c>
      <c r="W17" s="2">
        <v>3</v>
      </c>
      <c r="X17" s="2">
        <v>4</v>
      </c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/>
      <c r="CV17" s="168"/>
      <c r="CW17" s="168"/>
      <c r="CX17" s="168"/>
      <c r="CY17" s="169"/>
    </row>
    <row r="18" spans="2:103" ht="18.75" customHeight="1" x14ac:dyDescent="0.25">
      <c r="F18" s="112"/>
      <c r="G18" s="114"/>
      <c r="H18" s="114"/>
      <c r="I18" s="114"/>
      <c r="J18" s="114"/>
      <c r="K18" s="114"/>
      <c r="L18" s="115"/>
      <c r="S18" s="80"/>
      <c r="T18" s="138" t="str">
        <f>IF(AND(T7&lt;&gt;'DropDown Lists'!$L$6,T17=""),'DropDown Lists'!$O$5,"")</f>
        <v/>
      </c>
      <c r="U18" s="138" t="str">
        <f>IF(AND(U7&lt;&gt;'DropDown Lists'!$L$6,U17=""),'DropDown Lists'!$O$5,"")</f>
        <v/>
      </c>
      <c r="V18" s="138" t="str">
        <f>IF(AND(V7&lt;&gt;'DropDown Lists'!$L$6,V17=""),'DropDown Lists'!$O$5,"")</f>
        <v/>
      </c>
      <c r="W18" s="138" t="str">
        <f>IF(AND(W7&lt;&gt;'DropDown Lists'!$L$6,W17=""),'DropDown Lists'!$O$5,"")</f>
        <v/>
      </c>
      <c r="X18" s="138" t="str">
        <f>IF(AND(X7&lt;&gt;'DropDown Lists'!$L$6,X17=""),'DropDown Lists'!$O$5,"")</f>
        <v/>
      </c>
      <c r="Y18" s="138" t="str">
        <f>IF(AND(Y7&lt;&gt;'DropDown Lists'!$L$6,Y17=""),'DropDown Lists'!$O$5,"")</f>
        <v/>
      </c>
      <c r="Z18" s="138" t="str">
        <f>IF(AND(Z7&lt;&gt;'DropDown Lists'!$L$6,Z17=""),'DropDown Lists'!$O$5,"")</f>
        <v/>
      </c>
      <c r="AA18" s="138" t="str">
        <f>IF(AND(AA7&lt;&gt;'DropDown Lists'!$L$6,AA17=""),'DropDown Lists'!$O$5,"")</f>
        <v/>
      </c>
      <c r="AB18" s="138" t="str">
        <f>IF(AND(AB7&lt;&gt;'DropDown Lists'!$L$6,AB17=""),'DropDown Lists'!$O$5,"")</f>
        <v/>
      </c>
      <c r="AC18" s="138" t="str">
        <f>IF(AND(AC7&lt;&gt;'DropDown Lists'!$L$6,AC17=""),'DropDown Lists'!$O$5,"")</f>
        <v/>
      </c>
      <c r="AD18" s="138" t="str">
        <f>IF(AND(AD7&lt;&gt;'DropDown Lists'!$L$6,AD17=""),'DropDown Lists'!$O$5,"")</f>
        <v/>
      </c>
      <c r="AE18" s="138" t="str">
        <f>IF(AND(AE7&lt;&gt;'DropDown Lists'!$L$6,AE17=""),'DropDown Lists'!$O$5,"")</f>
        <v/>
      </c>
      <c r="AF18" s="138" t="str">
        <f>IF(AND(AF7&lt;&gt;'DropDown Lists'!$L$6,AF17=""),'DropDown Lists'!$O$5,"")</f>
        <v/>
      </c>
      <c r="AG18" s="138" t="str">
        <f>IF(AND(AG7&lt;&gt;'DropDown Lists'!$L$6,AG17=""),'DropDown Lists'!$O$5,"")</f>
        <v/>
      </c>
      <c r="AH18" s="138" t="str">
        <f>IF(AND(AH7&lt;&gt;'DropDown Lists'!$L$6,AH17=""),'DropDown Lists'!$O$5,"")</f>
        <v/>
      </c>
      <c r="AI18" s="138" t="str">
        <f>IF(AND(AI7&lt;&gt;'DropDown Lists'!$L$6,AI17=""),'DropDown Lists'!$O$5,"")</f>
        <v/>
      </c>
      <c r="AJ18" s="138" t="str">
        <f>IF(AND(AJ7&lt;&gt;'DropDown Lists'!$L$6,AJ17=""),'DropDown Lists'!$O$5,"")</f>
        <v/>
      </c>
      <c r="AK18" s="138" t="str">
        <f>IF(AND(AK7&lt;&gt;'DropDown Lists'!$L$6,AK17=""),'DropDown Lists'!$O$5,"")</f>
        <v/>
      </c>
      <c r="AL18" s="138" t="str">
        <f>IF(AND(AL7&lt;&gt;'DropDown Lists'!$L$6,AL17=""),'DropDown Lists'!$O$5,"")</f>
        <v/>
      </c>
      <c r="AM18" s="138" t="str">
        <f>IF(AND(AM7&lt;&gt;'DropDown Lists'!$L$6,AM17=""),'DropDown Lists'!$O$5,"")</f>
        <v/>
      </c>
      <c r="AN18" s="138" t="str">
        <f>IF(AND(AN7&lt;&gt;'DropDown Lists'!$L$6,AN17=""),'DropDown Lists'!$O$5,"")</f>
        <v/>
      </c>
      <c r="AO18" s="138" t="str">
        <f>IF(AND(AO7&lt;&gt;'DropDown Lists'!$L$6,AO17=""),'DropDown Lists'!$O$5,"")</f>
        <v/>
      </c>
      <c r="AP18" s="138" t="str">
        <f>IF(AND(AP7&lt;&gt;'DropDown Lists'!$L$6,AP17=""),'DropDown Lists'!$O$5,"")</f>
        <v/>
      </c>
      <c r="AQ18" s="138" t="str">
        <f>IF(AND(AQ7&lt;&gt;'DropDown Lists'!$L$6,AQ17=""),'DropDown Lists'!$O$5,"")</f>
        <v/>
      </c>
      <c r="AR18" s="138" t="str">
        <f>IF(AND(AR7&lt;&gt;'DropDown Lists'!$L$6,AR17=""),'DropDown Lists'!$O$5,"")</f>
        <v/>
      </c>
      <c r="AS18" s="138" t="str">
        <f>IF(AND(AS7&lt;&gt;'DropDown Lists'!$L$6,AS17=""),'DropDown Lists'!$O$5,"")</f>
        <v/>
      </c>
      <c r="AT18" s="138" t="str">
        <f>IF(AND(AT7&lt;&gt;'DropDown Lists'!$L$6,AT17=""),'DropDown Lists'!$O$5,"")</f>
        <v/>
      </c>
      <c r="AU18" s="138" t="str">
        <f>IF(AND(AU7&lt;&gt;'DropDown Lists'!$L$6,AU17=""),'DropDown Lists'!$O$5,"")</f>
        <v/>
      </c>
      <c r="AV18" s="138" t="str">
        <f>IF(AND(AV7&lt;&gt;'DropDown Lists'!$L$6,AV17=""),'DropDown Lists'!$O$5,"")</f>
        <v/>
      </c>
      <c r="AW18" s="138" t="str">
        <f>IF(AND(AW7&lt;&gt;'DropDown Lists'!$L$6,AW17=""),'DropDown Lists'!$O$5,"")</f>
        <v/>
      </c>
      <c r="AX18" s="138" t="str">
        <f>IF(AND(AX7&lt;&gt;'DropDown Lists'!$L$6,AX17=""),'DropDown Lists'!$O$5,"")</f>
        <v/>
      </c>
      <c r="AY18" s="138" t="str">
        <f>IF(AND(AY7&lt;&gt;'DropDown Lists'!$L$6,AY17=""),'DropDown Lists'!$O$5,"")</f>
        <v/>
      </c>
      <c r="AZ18" s="138" t="str">
        <f>IF(AND(AZ7&lt;&gt;'DropDown Lists'!$L$6,AZ17=""),'DropDown Lists'!$O$5,"")</f>
        <v/>
      </c>
      <c r="BA18" s="138" t="str">
        <f>IF(AND(BA7&lt;&gt;'DropDown Lists'!$L$6,BA17=""),'DropDown Lists'!$O$5,"")</f>
        <v/>
      </c>
      <c r="BB18" s="138" t="str">
        <f>IF(AND(BB7&lt;&gt;'DropDown Lists'!$L$6,BB17=""),'DropDown Lists'!$O$5,"")</f>
        <v/>
      </c>
      <c r="BC18" s="138" t="str">
        <f>IF(AND(BC7&lt;&gt;'DropDown Lists'!$L$6,BC17=""),'DropDown Lists'!$O$5,"")</f>
        <v/>
      </c>
      <c r="BD18" s="138" t="str">
        <f>IF(AND(BD7&lt;&gt;'DropDown Lists'!$L$6,BD17=""),'DropDown Lists'!$O$5,"")</f>
        <v/>
      </c>
      <c r="BE18" s="138" t="str">
        <f>IF(AND(BE7&lt;&gt;'DropDown Lists'!$L$6,BE17=""),'DropDown Lists'!$O$5,"")</f>
        <v/>
      </c>
      <c r="BF18" s="138" t="str">
        <f>IF(AND(BF7&lt;&gt;'DropDown Lists'!$L$6,BF17=""),'DropDown Lists'!$O$5,"")</f>
        <v/>
      </c>
      <c r="BG18" s="138" t="str">
        <f>IF(AND(BG7&lt;&gt;'DropDown Lists'!$L$6,BG17=""),'DropDown Lists'!$O$5,"")</f>
        <v/>
      </c>
      <c r="BH18" s="138" t="str">
        <f>IF(AND(BH7&lt;&gt;'DropDown Lists'!$L$6,BH17=""),'DropDown Lists'!$O$5,"")</f>
        <v/>
      </c>
      <c r="BI18" s="138" t="str">
        <f>IF(AND(BI7&lt;&gt;'DropDown Lists'!$L$6,BI17=""),'DropDown Lists'!$O$5,"")</f>
        <v/>
      </c>
      <c r="BJ18" s="138" t="str">
        <f>IF(AND(BJ7&lt;&gt;'DropDown Lists'!$L$6,BJ17=""),'DropDown Lists'!$O$5,"")</f>
        <v/>
      </c>
      <c r="BK18" s="138" t="str">
        <f>IF(AND(BK7&lt;&gt;'DropDown Lists'!$L$6,BK17=""),'DropDown Lists'!$O$5,"")</f>
        <v/>
      </c>
      <c r="BL18" s="138" t="str">
        <f>IF(AND(BL7&lt;&gt;'DropDown Lists'!$L$6,BL17=""),'DropDown Lists'!$O$5,"")</f>
        <v/>
      </c>
      <c r="BM18" s="138" t="str">
        <f>IF(AND(BM7&lt;&gt;'DropDown Lists'!$L$6,BM17=""),'DropDown Lists'!$O$5,"")</f>
        <v/>
      </c>
      <c r="BN18" s="138" t="str">
        <f>IF(AND(BN7&lt;&gt;'DropDown Lists'!$L$6,BN17=""),'DropDown Lists'!$O$5,"")</f>
        <v/>
      </c>
      <c r="BO18" s="138" t="str">
        <f>IF(AND(BO7&lt;&gt;'DropDown Lists'!$L$6,BO17=""),'DropDown Lists'!$O$5,"")</f>
        <v/>
      </c>
      <c r="BP18" s="138" t="str">
        <f>IF(AND(BP7&lt;&gt;'DropDown Lists'!$L$6,BP17=""),'DropDown Lists'!$O$5,"")</f>
        <v/>
      </c>
      <c r="BQ18" s="138" t="str">
        <f>IF(AND(BQ7&lt;&gt;'DropDown Lists'!$L$6,BQ17=""),'DropDown Lists'!$O$5,"")</f>
        <v/>
      </c>
      <c r="BR18" s="138" t="str">
        <f>IF(AND(BR7&lt;&gt;'DropDown Lists'!$L$6,BR17=""),'DropDown Lists'!$O$5,"")</f>
        <v/>
      </c>
      <c r="BS18" s="138" t="str">
        <f>IF(AND(BS7&lt;&gt;'DropDown Lists'!$L$6,BS17=""),'DropDown Lists'!$O$5,"")</f>
        <v/>
      </c>
      <c r="BT18" s="138" t="str">
        <f>IF(AND(BT7&lt;&gt;'DropDown Lists'!$L$6,BT17=""),'DropDown Lists'!$O$5,"")</f>
        <v/>
      </c>
      <c r="BU18" s="138" t="str">
        <f>IF(AND(BU7&lt;&gt;'DropDown Lists'!$L$6,BU17=""),'DropDown Lists'!$O$5,"")</f>
        <v/>
      </c>
      <c r="BV18" s="138" t="str">
        <f>IF(AND(BV7&lt;&gt;'DropDown Lists'!$L$6,BV17=""),'DropDown Lists'!$O$5,"")</f>
        <v/>
      </c>
      <c r="BW18" s="138" t="str">
        <f>IF(AND(BW7&lt;&gt;'DropDown Lists'!$L$6,BW17=""),'DropDown Lists'!$O$5,"")</f>
        <v/>
      </c>
      <c r="BX18" s="138" t="str">
        <f>IF(AND(BX7&lt;&gt;'DropDown Lists'!$L$6,BX17=""),'DropDown Lists'!$O$5,"")</f>
        <v/>
      </c>
      <c r="BY18" s="138" t="str">
        <f>IF(AND(BY7&lt;&gt;'DropDown Lists'!$L$6,BY17=""),'DropDown Lists'!$O$5,"")</f>
        <v/>
      </c>
      <c r="BZ18" s="138" t="str">
        <f>IF(AND(BZ7&lt;&gt;'DropDown Lists'!$L$6,BZ17=""),'DropDown Lists'!$O$5,"")</f>
        <v/>
      </c>
      <c r="CA18" s="138" t="str">
        <f>IF(AND(CA7&lt;&gt;'DropDown Lists'!$L$6,CA17=""),'DropDown Lists'!$O$5,"")</f>
        <v/>
      </c>
      <c r="CB18" s="138" t="str">
        <f>IF(AND(CB7&lt;&gt;'DropDown Lists'!$L$6,CB17=""),'DropDown Lists'!$O$5,"")</f>
        <v/>
      </c>
      <c r="CC18" s="138" t="str">
        <f>IF(AND(CC7&lt;&gt;'DropDown Lists'!$L$6,CC17=""),'DropDown Lists'!$O$5,"")</f>
        <v/>
      </c>
      <c r="CD18" s="138" t="str">
        <f>IF(AND(CD7&lt;&gt;'DropDown Lists'!$L$6,CD17=""),'DropDown Lists'!$O$5,"")</f>
        <v/>
      </c>
      <c r="CE18" s="138" t="str">
        <f>IF(AND(CE7&lt;&gt;'DropDown Lists'!$L$6,CE17=""),'DropDown Lists'!$O$5,"")</f>
        <v/>
      </c>
      <c r="CF18" s="138" t="str">
        <f>IF(AND(CF7&lt;&gt;'DropDown Lists'!$L$6,CF17=""),'DropDown Lists'!$O$5,"")</f>
        <v/>
      </c>
      <c r="CG18" s="138" t="str">
        <f>IF(AND(CG7&lt;&gt;'DropDown Lists'!$L$6,CG17=""),'DropDown Lists'!$O$5,"")</f>
        <v/>
      </c>
      <c r="CH18" s="138" t="str">
        <f>IF(AND(CH7&lt;&gt;'DropDown Lists'!$L$6,CH17=""),'DropDown Lists'!$O$5,"")</f>
        <v/>
      </c>
      <c r="CI18" s="138" t="str">
        <f>IF(AND(CI7&lt;&gt;'DropDown Lists'!$L$6,CI17=""),'DropDown Lists'!$O$5,"")</f>
        <v/>
      </c>
      <c r="CJ18" s="138" t="str">
        <f>IF(AND(CJ7&lt;&gt;'DropDown Lists'!$L$6,CJ17=""),'DropDown Lists'!$O$5,"")</f>
        <v/>
      </c>
      <c r="CK18" s="138" t="str">
        <f>IF(AND(CK7&lt;&gt;'DropDown Lists'!$L$6,CK17=""),'DropDown Lists'!$O$5,"")</f>
        <v/>
      </c>
      <c r="CL18" s="138" t="str">
        <f>IF(AND(CL7&lt;&gt;'DropDown Lists'!$L$6,CL17=""),'DropDown Lists'!$O$5,"")</f>
        <v/>
      </c>
      <c r="CM18" s="138" t="str">
        <f>IF(AND(CM7&lt;&gt;'DropDown Lists'!$L$6,CM17=""),'DropDown Lists'!$O$5,"")</f>
        <v/>
      </c>
      <c r="CN18" s="138" t="str">
        <f>IF(AND(CN7&lt;&gt;'DropDown Lists'!$L$6,CN17=""),'DropDown Lists'!$O$5,"")</f>
        <v/>
      </c>
      <c r="CO18" s="138" t="str">
        <f>IF(AND(CO7&lt;&gt;'DropDown Lists'!$L$6,CO17=""),'DropDown Lists'!$O$5,"")</f>
        <v/>
      </c>
      <c r="CP18" s="138" t="str">
        <f>IF(AND(CP7&lt;&gt;'DropDown Lists'!$L$6,CP17=""),'DropDown Lists'!$O$5,"")</f>
        <v/>
      </c>
      <c r="CQ18" s="138" t="str">
        <f>IF(AND(CQ7&lt;&gt;'DropDown Lists'!$L$6,CQ17=""),'DropDown Lists'!$O$5,"")</f>
        <v/>
      </c>
      <c r="CR18" s="138" t="str">
        <f>IF(AND(CR7&lt;&gt;'DropDown Lists'!$L$6,CR17=""),'DropDown Lists'!$O$5,"")</f>
        <v/>
      </c>
      <c r="CS18" s="138" t="str">
        <f>IF(AND(CS7&lt;&gt;'DropDown Lists'!$L$6,CS17=""),'DropDown Lists'!$O$5,"")</f>
        <v/>
      </c>
      <c r="CT18" s="138" t="str">
        <f>IF(AND(CT7&lt;&gt;'DropDown Lists'!$L$6,CT17=""),'DropDown Lists'!$O$5,"")</f>
        <v/>
      </c>
      <c r="CU18" s="138" t="str">
        <f>IF(AND(CU7&lt;&gt;'DropDown Lists'!$L$6,CU17=""),'DropDown Lists'!$O$5,"")</f>
        <v/>
      </c>
      <c r="CV18" s="138" t="str">
        <f>IF(AND(CV7&lt;&gt;'DropDown Lists'!$L$6,CV17=""),'DropDown Lists'!$O$5,"")</f>
        <v/>
      </c>
      <c r="CW18" s="138" t="str">
        <f>IF(AND(CW7&lt;&gt;'DropDown Lists'!$L$6,CW17=""),'DropDown Lists'!$O$5,"")</f>
        <v/>
      </c>
      <c r="CX18" s="138" t="str">
        <f>IF(AND(CX7&lt;&gt;'DropDown Lists'!$L$6,CX17=""),'DropDown Lists'!$O$5,"")</f>
        <v/>
      </c>
      <c r="CY18" s="139" t="str">
        <f>IF(AND(CY7&lt;&gt;'DropDown Lists'!$L$6,CY17=""),'DropDown Lists'!$O$5,"")</f>
        <v/>
      </c>
    </row>
    <row r="19" spans="2:103" ht="18" customHeight="1" x14ac:dyDescent="0.25">
      <c r="E19" s="79"/>
      <c r="F19" s="173" t="s">
        <v>324</v>
      </c>
      <c r="G19" s="173"/>
      <c r="H19" s="173"/>
      <c r="I19" s="173"/>
      <c r="J19" s="173"/>
      <c r="K19" s="173"/>
      <c r="L19" s="173"/>
      <c r="M19" s="79"/>
      <c r="N19" s="79"/>
      <c r="O19" s="79"/>
      <c r="P19" s="79"/>
      <c r="Q19" s="79"/>
      <c r="R19" s="79"/>
      <c r="S19" s="79"/>
    </row>
    <row r="20" spans="2:103" ht="17.25" x14ac:dyDescent="0.25">
      <c r="F20" s="189" t="s">
        <v>332</v>
      </c>
      <c r="G20" s="189"/>
      <c r="H20" s="189"/>
      <c r="I20" s="189"/>
      <c r="J20" s="189"/>
      <c r="K20" s="189"/>
      <c r="L20" s="189"/>
      <c r="N20" s="179" t="s">
        <v>627</v>
      </c>
      <c r="O20" s="190"/>
      <c r="P20" s="190"/>
      <c r="Q20" s="190"/>
      <c r="R20" s="190"/>
      <c r="S20" s="154">
        <f>COUNTIF(T18:CY18,'DropDown Lists'!O5)</f>
        <v>0</v>
      </c>
      <c r="T20" s="107"/>
      <c r="U20" s="107"/>
      <c r="V20" s="107"/>
      <c r="W20" s="108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</row>
    <row r="21" spans="2:103" ht="18.75" x14ac:dyDescent="0.25">
      <c r="N21" s="142"/>
      <c r="O21" s="151" t="s">
        <v>319</v>
      </c>
      <c r="P21" s="158"/>
      <c r="Q21" s="80"/>
      <c r="R21" s="80"/>
      <c r="S21" s="80"/>
      <c r="T21" s="80"/>
      <c r="U21" s="80"/>
      <c r="V21" s="80"/>
      <c r="W21" s="109"/>
    </row>
    <row r="22" spans="2:103" s="8" customFormat="1" ht="15.75" x14ac:dyDescent="0.25">
      <c r="B22" s="7"/>
      <c r="C22" s="177" t="s">
        <v>311</v>
      </c>
      <c r="D22" s="178"/>
      <c r="N22" s="143"/>
      <c r="O22" s="144"/>
      <c r="P22" s="144"/>
      <c r="Q22" s="144"/>
      <c r="R22" s="144"/>
      <c r="S22" s="144"/>
      <c r="T22" s="144"/>
      <c r="U22" s="144"/>
      <c r="V22" s="144"/>
      <c r="W22" s="145"/>
    </row>
    <row r="23" spans="2:103" s="8" customFormat="1" ht="15.75" x14ac:dyDescent="0.25">
      <c r="B23" s="90" t="s">
        <v>303</v>
      </c>
      <c r="C23" s="81" t="s">
        <v>167</v>
      </c>
      <c r="D23" s="82" t="s">
        <v>277</v>
      </c>
      <c r="N23" s="155"/>
      <c r="O23" s="156"/>
      <c r="P23" s="156"/>
      <c r="Q23" s="156"/>
      <c r="R23" s="156"/>
      <c r="S23" s="156"/>
      <c r="T23" s="156"/>
      <c r="U23" s="156"/>
      <c r="V23" s="156"/>
      <c r="W23" s="157"/>
    </row>
    <row r="24" spans="2:103" s="8" customFormat="1" ht="15.75" x14ac:dyDescent="0.25">
      <c r="B24" s="126" t="str">
        <f>'DropDown Lists'!E4</f>
        <v>Box</v>
      </c>
      <c r="C24" s="132">
        <v>1.5</v>
      </c>
      <c r="D24" s="133">
        <v>0.7</v>
      </c>
      <c r="N24" s="143"/>
      <c r="O24" s="144"/>
      <c r="P24" s="144"/>
      <c r="Q24" s="153" t="s">
        <v>326</v>
      </c>
      <c r="R24" s="144"/>
      <c r="S24" s="145"/>
    </row>
    <row r="25" spans="2:103" s="8" customFormat="1" ht="18.75" x14ac:dyDescent="0.25">
      <c r="B25" s="127" t="str">
        <f>'DropDown Lists'!E5</f>
        <v>Well</v>
      </c>
      <c r="C25" s="134">
        <v>1.5</v>
      </c>
      <c r="D25" s="135">
        <v>0.7</v>
      </c>
      <c r="N25" s="143"/>
      <c r="O25" s="137" t="s">
        <v>331</v>
      </c>
      <c r="P25" s="158"/>
      <c r="Q25" s="144"/>
      <c r="R25" s="144"/>
      <c r="S25" s="145"/>
    </row>
    <row r="26" spans="2:103" ht="15.75" x14ac:dyDescent="0.25">
      <c r="B26" s="128" t="s">
        <v>173</v>
      </c>
      <c r="C26" s="85"/>
      <c r="D26" s="86"/>
      <c r="N26" s="142"/>
      <c r="O26" s="80"/>
      <c r="P26" s="80"/>
      <c r="Q26" s="80"/>
      <c r="R26" s="80"/>
      <c r="S26" s="109"/>
    </row>
    <row r="27" spans="2:103" ht="15.75" x14ac:dyDescent="0.25">
      <c r="B27" s="129" t="str">
        <f>'DropDown Lists'!E7</f>
        <v>Full</v>
      </c>
      <c r="C27" s="131">
        <v>1.7</v>
      </c>
      <c r="D27" s="130">
        <v>1.7</v>
      </c>
      <c r="N27" s="112"/>
      <c r="O27" s="110"/>
      <c r="P27" s="110"/>
      <c r="Q27" s="110"/>
      <c r="R27" s="110"/>
      <c r="S27" s="111"/>
    </row>
    <row r="33" spans="2:89" ht="5.25" customHeight="1" x14ac:dyDescent="0.25"/>
    <row r="34" spans="2:89" x14ac:dyDescent="0.25">
      <c r="B34" s="116"/>
    </row>
    <row r="35" spans="2:89" x14ac:dyDescent="0.25">
      <c r="C35" s="106"/>
    </row>
    <row r="36" spans="2:89" x14ac:dyDescent="0.25">
      <c r="C36" s="106"/>
    </row>
    <row r="37" spans="2:89" x14ac:dyDescent="0.25">
      <c r="C37" s="106"/>
    </row>
    <row r="38" spans="2:89" x14ac:dyDescent="0.25">
      <c r="C38" s="106"/>
    </row>
    <row r="39" spans="2:89" x14ac:dyDescent="0.25">
      <c r="C39" s="106"/>
    </row>
    <row r="40" spans="2:89" x14ac:dyDescent="0.25">
      <c r="C40" s="106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 t="str">
        <f>IF(N19='DropDown Lists'!$O$3,1,"")</f>
        <v/>
      </c>
      <c r="U40" s="84" t="str">
        <f>IF(O19='DropDown Lists'!$O$3,1,"")</f>
        <v/>
      </c>
      <c r="V40" s="84" t="str">
        <f>IF(Q19='DropDown Lists'!$O$3,1,"")</f>
        <v/>
      </c>
      <c r="W40" s="84" t="str">
        <f>IF(R19='DropDown Lists'!$O$3,1,"")</f>
        <v/>
      </c>
      <c r="X40" s="84" t="str">
        <f>IF(S19='DropDown Lists'!$O$3,1,"")</f>
        <v/>
      </c>
      <c r="Y40" s="84" t="str">
        <f>IF(Y20='DropDown Lists'!$O$3,1,"")</f>
        <v/>
      </c>
      <c r="Z40" s="84" t="str">
        <f>IF(Z20='DropDown Lists'!$O$3,1,"")</f>
        <v/>
      </c>
      <c r="AA40" s="84" t="str">
        <f>IF(AA20='DropDown Lists'!$O$3,1,"")</f>
        <v/>
      </c>
      <c r="AB40" s="84" t="str">
        <f>IF(AB20='DropDown Lists'!$O$3,1,"")</f>
        <v/>
      </c>
      <c r="AC40" s="84" t="str">
        <f>IF(AC20='DropDown Lists'!$O$3,1,"")</f>
        <v/>
      </c>
      <c r="AD40" s="84" t="str">
        <f>IF(AD20='DropDown Lists'!$O$3,1,"")</f>
        <v/>
      </c>
      <c r="AE40" s="84" t="str">
        <f>IF(AE20='DropDown Lists'!$O$3,1,"")</f>
        <v/>
      </c>
      <c r="AF40" s="84" t="str">
        <f>IF(AF20='DropDown Lists'!$O$3,1,"")</f>
        <v/>
      </c>
      <c r="AG40" s="84" t="str">
        <f>IF(AG20='DropDown Lists'!$O$3,1,"")</f>
        <v/>
      </c>
      <c r="AH40" s="84" t="str">
        <f>IF(AH20='DropDown Lists'!$O$3,1,"")</f>
        <v/>
      </c>
      <c r="AI40" s="84" t="str">
        <f>IF(AI20='DropDown Lists'!$O$3,1,"")</f>
        <v/>
      </c>
      <c r="AJ40" s="84" t="str">
        <f>IF(AJ20='DropDown Lists'!$O$3,1,"")</f>
        <v/>
      </c>
      <c r="AK40" s="84" t="str">
        <f>IF(AK20='DropDown Lists'!$O$3,1,"")</f>
        <v/>
      </c>
      <c r="AL40" s="84" t="str">
        <f>IF(AL20='DropDown Lists'!$O$3,1,"")</f>
        <v/>
      </c>
      <c r="AM40" s="84" t="str">
        <f>IF(AM20='DropDown Lists'!$O$3,1,"")</f>
        <v/>
      </c>
      <c r="AN40" s="84" t="str">
        <f>IF(AN20='DropDown Lists'!$O$3,1,"")</f>
        <v/>
      </c>
      <c r="AO40" s="84" t="str">
        <f>IF(AO20='DropDown Lists'!$O$3,1,"")</f>
        <v/>
      </c>
      <c r="AP40" s="84" t="str">
        <f>IF(AP20='DropDown Lists'!$O$3,1,"")</f>
        <v/>
      </c>
      <c r="AQ40" s="84" t="str">
        <f>IF(AQ20='DropDown Lists'!$O$3,1,"")</f>
        <v/>
      </c>
      <c r="AR40" s="84" t="str">
        <f>IF(AR20='DropDown Lists'!$O$3,1,"")</f>
        <v/>
      </c>
      <c r="AS40" s="84" t="str">
        <f>IF(AS20='DropDown Lists'!$O$3,1,"")</f>
        <v/>
      </c>
      <c r="AT40" s="84" t="str">
        <f>IF(AT20='DropDown Lists'!$O$3,1,"")</f>
        <v/>
      </c>
      <c r="AU40" s="84" t="str">
        <f>IF(AU20='DropDown Lists'!$O$3,1,"")</f>
        <v/>
      </c>
      <c r="AV40" s="84" t="str">
        <f>IF(AV20='DropDown Lists'!$O$3,1,"")</f>
        <v/>
      </c>
      <c r="AW40" s="84" t="str">
        <f>IF(AW20='DropDown Lists'!$O$3,1,"")</f>
        <v/>
      </c>
      <c r="AX40" s="84" t="str">
        <f>IF(AX20='DropDown Lists'!$O$3,1,"")</f>
        <v/>
      </c>
      <c r="AY40" s="84" t="str">
        <f>IF(AY20='DropDown Lists'!$O$3,1,"")</f>
        <v/>
      </c>
      <c r="AZ40" s="84" t="str">
        <f>IF(AZ20='DropDown Lists'!$O$3,1,"")</f>
        <v/>
      </c>
      <c r="BA40" s="84" t="str">
        <f>IF(BA20='DropDown Lists'!$O$3,1,"")</f>
        <v/>
      </c>
      <c r="BB40" s="84" t="str">
        <f>IF(BB20='DropDown Lists'!$O$3,1,"")</f>
        <v/>
      </c>
      <c r="BC40" s="84" t="str">
        <f>IF(BC20='DropDown Lists'!$O$3,1,"")</f>
        <v/>
      </c>
      <c r="BD40" s="84" t="str">
        <f>IF(BD20='DropDown Lists'!$O$3,1,"")</f>
        <v/>
      </c>
      <c r="BE40" s="84" t="str">
        <f>IF(BE20='DropDown Lists'!$O$3,1,"")</f>
        <v/>
      </c>
      <c r="BF40" s="84" t="str">
        <f>IF(BF20='DropDown Lists'!$O$3,1,"")</f>
        <v/>
      </c>
      <c r="BG40" s="84" t="str">
        <f>IF(BG20='DropDown Lists'!$O$3,1,"")</f>
        <v/>
      </c>
      <c r="BH40" s="84" t="str">
        <f>IF(BH20='DropDown Lists'!$O$3,1,"")</f>
        <v/>
      </c>
      <c r="BI40" s="84" t="str">
        <f>IF(BI20='DropDown Lists'!$O$3,1,"")</f>
        <v/>
      </c>
      <c r="BJ40" s="84" t="str">
        <f>IF(BJ20='DropDown Lists'!$O$3,1,"")</f>
        <v/>
      </c>
      <c r="BK40" s="84" t="str">
        <f>IF(BK20='DropDown Lists'!$O$3,1,"")</f>
        <v/>
      </c>
      <c r="BL40" s="84" t="str">
        <f>IF(BL20='DropDown Lists'!$O$3,1,"")</f>
        <v/>
      </c>
      <c r="BM40" s="84" t="str">
        <f>IF(BM20='DropDown Lists'!$O$3,1,"")</f>
        <v/>
      </c>
      <c r="BN40" s="84" t="str">
        <f>IF(BN20='DropDown Lists'!$O$3,1,"")</f>
        <v/>
      </c>
      <c r="BO40" s="84" t="str">
        <f>IF(BO20='DropDown Lists'!$O$3,1,"")</f>
        <v/>
      </c>
      <c r="BP40" s="84" t="str">
        <f>IF(BP20='DropDown Lists'!$O$3,1,"")</f>
        <v/>
      </c>
      <c r="BQ40" s="84" t="str">
        <f>IF(BQ20='DropDown Lists'!$O$3,1,"")</f>
        <v/>
      </c>
      <c r="BR40" s="84" t="str">
        <f>IF(BR20='DropDown Lists'!$O$3,1,"")</f>
        <v/>
      </c>
      <c r="BS40" s="84" t="str">
        <f>IF(BS20='DropDown Lists'!$O$3,1,"")</f>
        <v/>
      </c>
      <c r="BT40" s="84" t="str">
        <f>IF(BT20='DropDown Lists'!$O$3,1,"")</f>
        <v/>
      </c>
      <c r="BU40" s="84" t="str">
        <f>IF(BU20='DropDown Lists'!$O$3,1,"")</f>
        <v/>
      </c>
      <c r="BV40" s="84" t="str">
        <f>IF(BV20='DropDown Lists'!$O$3,1,"")</f>
        <v/>
      </c>
      <c r="BW40" s="84" t="str">
        <f>IF(BW20='DropDown Lists'!$O$3,1,"")</f>
        <v/>
      </c>
      <c r="BX40" s="84" t="str">
        <f>IF(BX20='DropDown Lists'!$O$3,1,"")</f>
        <v/>
      </c>
      <c r="BY40" s="84" t="str">
        <f>IF(BY20='DropDown Lists'!$O$3,1,"")</f>
        <v/>
      </c>
      <c r="BZ40" s="84" t="str">
        <f>IF(BZ20='DropDown Lists'!$O$3,1,"")</f>
        <v/>
      </c>
      <c r="CA40" s="84" t="str">
        <f>IF(CA20='DropDown Lists'!$O$3,1,"")</f>
        <v/>
      </c>
      <c r="CB40" s="84" t="str">
        <f>IF(CB20='DropDown Lists'!$O$3,1,"")</f>
        <v/>
      </c>
      <c r="CC40" s="84" t="str">
        <f>IF(CC20='DropDown Lists'!$O$3,1,"")</f>
        <v/>
      </c>
      <c r="CD40" s="84" t="str">
        <f>IF(CD20='DropDown Lists'!$O$3,1,"")</f>
        <v/>
      </c>
      <c r="CE40" s="84" t="str">
        <f>IF(CE20='DropDown Lists'!$O$3,1,"")</f>
        <v/>
      </c>
      <c r="CF40" s="84" t="str">
        <f>IF(CF20='DropDown Lists'!$O$3,1,"")</f>
        <v/>
      </c>
      <c r="CG40" s="84" t="str">
        <f>IF(CG20='DropDown Lists'!$O$3,1,"")</f>
        <v/>
      </c>
      <c r="CH40" s="84" t="str">
        <f>IF(CH20='DropDown Lists'!$O$3,1,"")</f>
        <v/>
      </c>
      <c r="CI40" s="84" t="str">
        <f>IF(CI20='DropDown Lists'!$O$3,1,"")</f>
        <v/>
      </c>
      <c r="CJ40" s="84" t="str">
        <f>IF(CJ20='DropDown Lists'!$O$3,1,"")</f>
        <v/>
      </c>
      <c r="CK40" s="84" t="str">
        <f>IF(CK20='DropDown Lists'!$O$3,1,"")</f>
        <v/>
      </c>
    </row>
    <row r="41" spans="2:89" x14ac:dyDescent="0.25">
      <c r="C41" s="106"/>
    </row>
    <row r="42" spans="2:89" x14ac:dyDescent="0.25">
      <c r="C42" s="106"/>
    </row>
    <row r="43" spans="2:89" x14ac:dyDescent="0.25">
      <c r="C43" s="106"/>
    </row>
    <row r="44" spans="2:89" x14ac:dyDescent="0.25">
      <c r="C44" s="106"/>
    </row>
    <row r="45" spans="2:89" ht="17.25" x14ac:dyDescent="0.3">
      <c r="C45" s="120"/>
      <c r="D45" s="121"/>
    </row>
  </sheetData>
  <customSheetViews>
    <customSheetView guid="{84F0FDFB-72A1-4214-8B2B-A048953E297B}" topLeftCell="G1">
      <selection activeCell="J2" sqref="J2:W19"/>
      <pageMargins left="0.7" right="0.7" top="0.75" bottom="0.75" header="0.3" footer="0.3"/>
      <pageSetup orientation="portrait" horizontalDpi="4294967293" verticalDpi="0" r:id="rId1"/>
    </customSheetView>
  </customSheetViews>
  <mergeCells count="15">
    <mergeCell ref="R9:R13"/>
    <mergeCell ref="B3:C3"/>
    <mergeCell ref="B9:C9"/>
    <mergeCell ref="F20:L20"/>
    <mergeCell ref="F19:L19"/>
    <mergeCell ref="N20:R20"/>
    <mergeCell ref="N3:Q3"/>
    <mergeCell ref="F17:L17"/>
    <mergeCell ref="F2:L2"/>
    <mergeCell ref="D2:E2"/>
    <mergeCell ref="C22:D22"/>
    <mergeCell ref="M5:M7"/>
    <mergeCell ref="M8:M10"/>
    <mergeCell ref="M11:M13"/>
    <mergeCell ref="M14:M16"/>
  </mergeCells>
  <conditionalFormatting sqref="S20">
    <cfRule type="cellIs" dxfId="64" priority="5" operator="greaterThan">
      <formula>0</formula>
    </cfRule>
  </conditionalFormatting>
  <dataValidations count="13">
    <dataValidation type="textLength" operator="lessThan" allowBlank="1" showInputMessage="1" showErrorMessage="1" prompt="Type the first letter of your first name here." sqref="C4">
      <formula1>25</formula1>
    </dataValidation>
    <dataValidation type="textLength" operator="greaterThanOrEqual" allowBlank="1" showInputMessage="1" showErrorMessage="1" prompt="Type the first letter of your last name here." sqref="C5">
      <formula1>1</formula1>
    </dataValidation>
    <dataValidation showInputMessage="1" showErrorMessage="1" sqref="F17 O25:P25 M18 O21:P21 E35:CK37 R18 E17:E18 N17:Q18 Y20:CK20 M19:S19 E19:F19 T17:CY18"/>
    <dataValidation allowBlank="1" showInputMessage="1" showErrorMessage="1" prompt="This is automatically generated." sqref="C13 C10:C11"/>
    <dataValidation type="textLength" operator="lessThan" allowBlank="1" showInputMessage="1" showErrorMessage="1" prompt="Type your name here. First Letter of First Name_Last Name. Example: A_Zimmerman" sqref="D45">
      <formula1>120</formula1>
    </dataValidation>
    <dataValidation showInputMessage="1" showErrorMessage="1" prompt="An * means there is a custom focus set for this cell. " sqref="T4:CY4"/>
    <dataValidation allowBlank="1" showInputMessage="1" showErrorMessage="1" prompt="Type the file path for the queue file here. Example: C:\Users\me\ You will likely not have to change this." sqref="C14"/>
    <dataValidation type="textLength" operator="lessThan" allowBlank="1" showInputMessage="1" showErrorMessage="1" prompt="Type any short notes here. Not usually needed." sqref="C7">
      <formula1>20</formula1>
    </dataValidation>
    <dataValidation showInputMessage="1" showErrorMessage="1" prompt="These values are automatically generated and should not be changed." sqref="T5:CY6"/>
    <dataValidation type="decimal" operator="greaterThanOrEqual" allowBlank="1" showInputMessage="1" showErrorMessage="1" error="High focus cannot be this low." prompt="The high focus point for a box slide." sqref="C24">
      <formula1>D24</formula1>
    </dataValidation>
    <dataValidation type="decimal" operator="greaterThanOrEqual" allowBlank="1" showInputMessage="1" showErrorMessage="1" error="High focus cannot be this low." prompt="The high focus point for a well slide." sqref="C25">
      <formula1>D25</formula1>
    </dataValidation>
    <dataValidation type="decimal" operator="greaterThanOrEqual" allowBlank="1" showInputMessage="1" showErrorMessage="1" error="High focus cannot be this low." prompt="The high focus point for a full slide." sqref="C27">
      <formula1>D27</formula1>
    </dataValidation>
    <dataValidation type="decimal" operator="greaterThanOrEqual" showInputMessage="1" showErrorMessage="1" error="High focus is either too high or too low." sqref="T14:CY14">
      <formula1>T$6</formula1>
    </dataValidation>
  </dataValidations>
  <pageMargins left="0.7" right="0.7" top="0.75" bottom="0.75" header="0.3" footer="0.3"/>
  <pageSetup orientation="portrait" horizontalDpi="4294967293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5" name="Button 4">
              <controlPr locked="0" defaultSize="0" print="0" autoFill="0" autoPict="0" macro="[0]!CompileCreateOverwrite_QueueFile">
                <anchor>
                  <from>
                    <xdr:col>15</xdr:col>
                    <xdr:colOff>247650</xdr:colOff>
                    <xdr:row>20</xdr:row>
                    <xdr:rowOff>47625</xdr:rowOff>
                  </from>
                  <to>
                    <xdr:col>18</xdr:col>
                    <xdr:colOff>381000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locked="0" defaultSize="0" print="0" autoFill="0" autoPict="0" macro="[0]!CustomFoci">
                <anchor moveWithCells="1">
                  <from>
                    <xdr:col>16</xdr:col>
                    <xdr:colOff>161925</xdr:colOff>
                    <xdr:row>13</xdr:row>
                    <xdr:rowOff>38100</xdr:rowOff>
                  </from>
                  <to>
                    <xdr:col>17</xdr:col>
                    <xdr:colOff>819150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locked="0" defaultSize="0" print="0" autoFill="0" autoPict="0" macro="[0]!ClearColumnCounts">
                <anchor moveWithCells="1" sizeWithCells="1">
                  <from>
                    <xdr:col>18</xdr:col>
                    <xdr:colOff>123825</xdr:colOff>
                    <xdr:row>8</xdr:row>
                    <xdr:rowOff>66675</xdr:rowOff>
                  </from>
                  <to>
                    <xdr:col>18</xdr:col>
                    <xdr:colOff>733425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8" name="Button 16">
              <controlPr locked="0" defaultSize="0" print="0" autoFill="0" autoPict="0" macro="[0]!Tray1Box">
                <anchor moveWithCells="1">
                  <from>
                    <xdr:col>13</xdr:col>
                    <xdr:colOff>9525</xdr:colOff>
                    <xdr:row>5</xdr:row>
                    <xdr:rowOff>133350</xdr:rowOff>
                  </from>
                  <to>
                    <xdr:col>13</xdr:col>
                    <xdr:colOff>523875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9" name="Button 26">
              <controlPr locked="0" defaultSize="0" print="0" autoFill="0" autoPict="0" macro="[0]!Tray1Clear">
                <anchor moveWithCells="1">
                  <from>
                    <xdr:col>13</xdr:col>
                    <xdr:colOff>9525</xdr:colOff>
                    <xdr:row>4</xdr:row>
                    <xdr:rowOff>57150</xdr:rowOff>
                  </from>
                  <to>
                    <xdr:col>13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0" name="Button 27">
              <controlPr locked="0" defaultSize="0" print="0" autoFill="0" autoPict="0" macro="[0]!Tray1Well">
                <anchor moveWithCells="1">
                  <from>
                    <xdr:col>14</xdr:col>
                    <xdr:colOff>38100</xdr:colOff>
                    <xdr:row>4</xdr:row>
                    <xdr:rowOff>57150</xdr:rowOff>
                  </from>
                  <to>
                    <xdr:col>15</xdr:col>
                    <xdr:colOff>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1" name="Button 28">
              <controlPr locked="0" defaultSize="0" print="0" autoFill="0" autoPict="0" macro="[0]!Tray1Full">
                <anchor moveWithCells="1">
                  <from>
                    <xdr:col>14</xdr:col>
                    <xdr:colOff>38100</xdr:colOff>
                    <xdr:row>5</xdr:row>
                    <xdr:rowOff>133350</xdr:rowOff>
                  </from>
                  <to>
                    <xdr:col>15</xdr:col>
                    <xdr:colOff>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2" name="Button 29">
              <controlPr locked="0" defaultSize="0" print="0" autoFill="0" autoPict="0" macro="[0]!Tray2Box">
                <anchor moveWithCells="1">
                  <from>
                    <xdr:col>13</xdr:col>
                    <xdr:colOff>9525</xdr:colOff>
                    <xdr:row>8</xdr:row>
                    <xdr:rowOff>161925</xdr:rowOff>
                  </from>
                  <to>
                    <xdr:col>13</xdr:col>
                    <xdr:colOff>523875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3" name="Button 30">
              <controlPr locked="0" defaultSize="0" print="0" autoFill="0" autoPict="0" macro="[0]!Tray2Clear">
                <anchor moveWithCells="1">
                  <from>
                    <xdr:col>13</xdr:col>
                    <xdr:colOff>9525</xdr:colOff>
                    <xdr:row>7</xdr:row>
                    <xdr:rowOff>76200</xdr:rowOff>
                  </from>
                  <to>
                    <xdr:col>13</xdr:col>
                    <xdr:colOff>523875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4" name="Button 31">
              <controlPr locked="0" defaultSize="0" print="0" autoFill="0" autoPict="0" macro="[0]!Tray2Well">
                <anchor moveWithCells="1">
                  <from>
                    <xdr:col>14</xdr:col>
                    <xdr:colOff>38100</xdr:colOff>
                    <xdr:row>7</xdr:row>
                    <xdr:rowOff>76200</xdr:rowOff>
                  </from>
                  <to>
                    <xdr:col>15</xdr:col>
                    <xdr:colOff>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5" name="Button 32">
              <controlPr locked="0" defaultSize="0" print="0" autoFill="0" autoPict="0" macro="[0]!Tray2Full">
                <anchor moveWithCells="1">
                  <from>
                    <xdr:col>14</xdr:col>
                    <xdr:colOff>38100</xdr:colOff>
                    <xdr:row>8</xdr:row>
                    <xdr:rowOff>161925</xdr:rowOff>
                  </from>
                  <to>
                    <xdr:col>15</xdr:col>
                    <xdr:colOff>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6" name="Button 33">
              <controlPr locked="0" defaultSize="0" print="0" autoFill="0" autoPict="0" macro="[0]!Tray3Box">
                <anchor moveWithCells="1">
                  <from>
                    <xdr:col>13</xdr:col>
                    <xdr:colOff>9525</xdr:colOff>
                    <xdr:row>11</xdr:row>
                    <xdr:rowOff>180975</xdr:rowOff>
                  </from>
                  <to>
                    <xdr:col>13</xdr:col>
                    <xdr:colOff>523875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7" name="Button 34">
              <controlPr locked="0" defaultSize="0" print="0" autoFill="0" autoPict="0" macro="[0]!Tray3Clear">
                <anchor moveWithCells="1">
                  <from>
                    <xdr:col>13</xdr:col>
                    <xdr:colOff>9525</xdr:colOff>
                    <xdr:row>10</xdr:row>
                    <xdr:rowOff>66675</xdr:rowOff>
                  </from>
                  <to>
                    <xdr:col>13</xdr:col>
                    <xdr:colOff>523875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8" name="Button 35">
              <controlPr locked="0" defaultSize="0" print="0" autoFill="0" autoPict="0" macro="[0]!Tray3Well">
                <anchor moveWithCells="1">
                  <from>
                    <xdr:col>14</xdr:col>
                    <xdr:colOff>38100</xdr:colOff>
                    <xdr:row>10</xdr:row>
                    <xdr:rowOff>66675</xdr:rowOff>
                  </from>
                  <to>
                    <xdr:col>15</xdr:col>
                    <xdr:colOff>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19" name="Button 36">
              <controlPr locked="0" defaultSize="0" print="0" autoFill="0" autoPict="0" macro="[0]!Tray3Full">
                <anchor moveWithCells="1">
                  <from>
                    <xdr:col>14</xdr:col>
                    <xdr:colOff>38100</xdr:colOff>
                    <xdr:row>11</xdr:row>
                    <xdr:rowOff>180975</xdr:rowOff>
                  </from>
                  <to>
                    <xdr:col>15</xdr:col>
                    <xdr:colOff>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0" name="Button 38">
              <controlPr locked="0" defaultSize="0" print="0" autoFill="0" autoPict="0" macro="[0]!Tray4Box">
                <anchor moveWithCells="1">
                  <from>
                    <xdr:col>13</xdr:col>
                    <xdr:colOff>9525</xdr:colOff>
                    <xdr:row>14</xdr:row>
                    <xdr:rowOff>171450</xdr:rowOff>
                  </from>
                  <to>
                    <xdr:col>13</xdr:col>
                    <xdr:colOff>523875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1" name="Button 39">
              <controlPr locked="0" defaultSize="0" print="0" autoFill="0" autoPict="0" macro="[0]!Tray4Clear">
                <anchor moveWithCells="1">
                  <from>
                    <xdr:col>13</xdr:col>
                    <xdr:colOff>9525</xdr:colOff>
                    <xdr:row>13</xdr:row>
                    <xdr:rowOff>66675</xdr:rowOff>
                  </from>
                  <to>
                    <xdr:col>13</xdr:col>
                    <xdr:colOff>523875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2" name="Button 40">
              <controlPr locked="0" defaultSize="0" print="0" autoFill="0" autoPict="0" macro="[0]!Tray4Well">
                <anchor moveWithCells="1">
                  <from>
                    <xdr:col>14</xdr:col>
                    <xdr:colOff>38100</xdr:colOff>
                    <xdr:row>13</xdr:row>
                    <xdr:rowOff>66675</xdr:rowOff>
                  </from>
                  <to>
                    <xdr:col>15</xdr:col>
                    <xdr:colOff>0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3" name="Button 41">
              <controlPr locked="0" defaultSize="0" print="0" autoFill="0" autoPict="0" macro="[0]!Tray4Full">
                <anchor moveWithCells="1">
                  <from>
                    <xdr:col>14</xdr:col>
                    <xdr:colOff>38100</xdr:colOff>
                    <xdr:row>14</xdr:row>
                    <xdr:rowOff>171450</xdr:rowOff>
                  </from>
                  <to>
                    <xdr:col>15</xdr:col>
                    <xdr:colOff>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4" name="Button 42">
              <controlPr locked="0" defaultSize="0" print="0" autoFill="0" autoPict="0" macro="[0]!AllTraysBox">
                <anchor mov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8</xdr:col>
                    <xdr:colOff>152400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5" name="Button 43">
              <controlPr locked="0" defaultSize="0" print="0" autoFill="0" autoPict="0" macro="[0]!AllTraysClear">
                <anchor moveWithCells="1">
                  <from>
                    <xdr:col>5</xdr:col>
                    <xdr:colOff>400050</xdr:colOff>
                    <xdr:row>2</xdr:row>
                    <xdr:rowOff>28575</xdr:rowOff>
                  </from>
                  <to>
                    <xdr:col>6</xdr:col>
                    <xdr:colOff>447675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26" name="Button 44">
              <controlPr locked="0" defaultSize="0" print="0" autoFill="0" autoPict="0" macro="[0]!AllTraysWell">
                <anchor moveWithCells="1">
                  <from>
                    <xdr:col>8</xdr:col>
                    <xdr:colOff>304800</xdr:colOff>
                    <xdr:row>2</xdr:row>
                    <xdr:rowOff>28575</xdr:rowOff>
                  </from>
                  <to>
                    <xdr:col>9</xdr:col>
                    <xdr:colOff>352425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27" name="Button 45">
              <controlPr locked="0" defaultSize="0" print="0" autoFill="0" autoPict="0" macro="[0]!AllTraysFull">
                <anchor moveWithCells="1">
                  <from>
                    <xdr:col>9</xdr:col>
                    <xdr:colOff>419100</xdr:colOff>
                    <xdr:row>2</xdr:row>
                    <xdr:rowOff>28575</xdr:rowOff>
                  </from>
                  <to>
                    <xdr:col>11</xdr:col>
                    <xdr:colOff>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28" name="Button 50">
              <controlPr locked="0" defaultSize="0" print="0" autoFill="0" autoPict="0" macro="[0]!SelectedTraysBox">
                <anchor moveWithCells="1">
                  <from>
                    <xdr:col>7</xdr:col>
                    <xdr:colOff>171450</xdr:colOff>
                    <xdr:row>16</xdr:row>
                    <xdr:rowOff>190500</xdr:rowOff>
                  </from>
                  <to>
                    <xdr:col>8</xdr:col>
                    <xdr:colOff>219075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29" name="Button 51">
              <controlPr locked="0" defaultSize="0" print="0" autoFill="0" autoPict="0" macro="[0]!SelectedTraysClear">
                <anchor moveWithCells="1">
                  <from>
                    <xdr:col>6</xdr:col>
                    <xdr:colOff>0</xdr:colOff>
                    <xdr:row>16</xdr:row>
                    <xdr:rowOff>190500</xdr:rowOff>
                  </from>
                  <to>
                    <xdr:col>7</xdr:col>
                    <xdr:colOff>47625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0" name="Button 52">
              <controlPr locked="0" defaultSize="0" print="0" autoFill="0" autoPict="0" macro="[0]!SelectedTraysWell">
                <anchor moveWithCells="1">
                  <from>
                    <xdr:col>8</xdr:col>
                    <xdr:colOff>371475</xdr:colOff>
                    <xdr:row>16</xdr:row>
                    <xdr:rowOff>190500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31" name="Button 53">
              <controlPr locked="0" defaultSize="0" print="0" autoFill="0" autoPict="0" macro="[0]!SelectedTraysFull">
                <anchor moveWithCells="1">
                  <from>
                    <xdr:col>10</xdr:col>
                    <xdr:colOff>19050</xdr:colOff>
                    <xdr:row>16</xdr:row>
                    <xdr:rowOff>190500</xdr:rowOff>
                  </from>
                  <to>
                    <xdr:col>11</xdr:col>
                    <xdr:colOff>66675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32" name="Button 55">
              <controlPr defaultSize="0" print="0" autoFill="0" autoPict="0" macro="[0]!PowershellScriptGeneration">
                <anchor moveWithCells="1" sizeWithCells="1">
                  <from>
                    <xdr:col>16</xdr:col>
                    <xdr:colOff>19050</xdr:colOff>
                    <xdr:row>24</xdr:row>
                    <xdr:rowOff>38100</xdr:rowOff>
                  </from>
                  <to>
                    <xdr:col>17</xdr:col>
                    <xdr:colOff>809625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33" name="Button 65">
              <controlPr defaultSize="0" print="0" autoFill="0" autoPict="0" macro="[0]!ClearIUPCNumbers">
                <anchor moveWithCells="1" sizeWithCells="1">
                  <from>
                    <xdr:col>17</xdr:col>
                    <xdr:colOff>704850</xdr:colOff>
                    <xdr:row>17</xdr:row>
                    <xdr:rowOff>28575</xdr:rowOff>
                  </from>
                  <to>
                    <xdr:col>18</xdr:col>
                    <xdr:colOff>1362075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Button 70">
              <controlPr defaultSize="0" print="0" autoFill="0" autoPict="0" macro="[0]!FreezePanes">
                <anchor moveWithCells="1" sizeWithCells="1">
                  <from>
                    <xdr:col>18</xdr:col>
                    <xdr:colOff>76200</xdr:colOff>
                    <xdr:row>1</xdr:row>
                    <xdr:rowOff>38100</xdr:rowOff>
                  </from>
                  <to>
                    <xdr:col>18</xdr:col>
                    <xdr:colOff>1209675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Button 71">
              <controlPr defaultSize="0" print="0" autoFill="0" autoPict="0" macro="[0]!UnfreezePanes">
                <anchor moveWithCells="1" sizeWithCells="1">
                  <from>
                    <xdr:col>17</xdr:col>
                    <xdr:colOff>800100</xdr:colOff>
                    <xdr:row>2</xdr:row>
                    <xdr:rowOff>180975</xdr:rowOff>
                  </from>
                  <to>
                    <xdr:col>18</xdr:col>
                    <xdr:colOff>1333500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Button 72">
              <controlPr defaultSize="0" print="0" autoFill="0" autoPict="0" macro="[0]!GenerateProjectListFile">
                <anchor moveWithCells="1" sizeWithCells="1">
                  <from>
                    <xdr:col>18</xdr:col>
                    <xdr:colOff>885825</xdr:colOff>
                    <xdr:row>19</xdr:row>
                    <xdr:rowOff>171450</xdr:rowOff>
                  </from>
                  <to>
                    <xdr:col>22</xdr:col>
                    <xdr:colOff>85725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1" operator="equal" id="{39DAFCCE-6990-40BF-ABC8-81287415A251}">
            <xm:f>'DropDown Lists'!$E$4</xm:f>
            <x14:dxf>
              <font>
                <color theme="1"/>
              </font>
              <fill>
                <patternFill>
                  <bgColor theme="5" tint="0.39994506668294322"/>
                </patternFill>
              </fill>
            </x14:dxf>
          </x14:cfRule>
          <xm:sqref>T5:CY8 U9:CY13</xm:sqref>
        </x14:conditionalFormatting>
        <x14:conditionalFormatting xmlns:xm="http://schemas.microsoft.com/office/excel/2006/main">
          <x14:cfRule type="cellIs" priority="41" operator="equal" id="{8494A4D1-9F52-4888-8D18-B186E8C71E24}">
            <xm:f>'DropDown Lists'!$E$7</xm:f>
            <x14:dxf>
              <font>
                <color theme="1"/>
              </font>
              <fill>
                <patternFill>
                  <bgColor theme="9" tint="0.59996337778862885"/>
                </patternFill>
              </fill>
            </x14:dxf>
          </x14:cfRule>
          <x14:cfRule type="cellIs" priority="43" operator="equal" id="{6AB688E3-6EBF-4FE9-80CC-45AFDAF6029D}">
            <xm:f>'DropDown Lists'!$E$5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14:cfRule type="cellIs" priority="46" operator="equal" id="{8FCD96D2-573C-4933-864F-F2E802940B7F}">
            <xm:f>'DropDown Lists'!$E$4</xm:f>
            <x14:dxf>
              <font>
                <color theme="1"/>
              </font>
              <fill>
                <patternFill>
                  <bgColor theme="5" tint="0.39994506668294322"/>
                </patternFill>
              </fill>
            </x14:dxf>
          </x14:cfRule>
          <xm:sqref>F5:L16</xm:sqref>
        </x14:conditionalFormatting>
        <x14:conditionalFormatting xmlns:xm="http://schemas.microsoft.com/office/excel/2006/main">
          <x14:cfRule type="cellIs" priority="16" operator="equal" id="{351997B0-6AD9-41B1-BE6A-61826B77D4EC}">
            <xm:f>'DropDown Lists'!$O$3</xm:f>
            <x14:dxf>
              <fill>
                <patternFill>
                  <bgColor rgb="FFFFFF00"/>
                </patternFill>
              </fill>
            </x14:dxf>
          </x14:cfRule>
          <xm:sqref>Y20:CK20 M19:S19 E19:F19</xm:sqref>
        </x14:conditionalFormatting>
        <x14:conditionalFormatting xmlns:xm="http://schemas.microsoft.com/office/excel/2006/main">
          <x14:cfRule type="expression" priority="131" id="{7B3DE891-676D-4E9A-B313-8B4DB3E12633}">
            <xm:f>CO$21:CY$21='DropDown Lists'!$A$4</xm:f>
            <x14:dxf>
              <font>
                <b val="0"/>
                <i/>
                <color theme="0" tint="-0.499984740745262"/>
              </font>
            </x14:dxf>
          </x14:cfRule>
          <xm:sqref>I16:L16</xm:sqref>
        </x14:conditionalFormatting>
        <x14:conditionalFormatting xmlns:xm="http://schemas.microsoft.com/office/excel/2006/main">
          <x14:cfRule type="expression" priority="222" id="{00000000-000E-0000-0000-000022000000}">
            <xm:f>T$7='DropDown Lists'!$E$4</xm:f>
            <x14:dxf>
              <font>
                <color theme="1"/>
              </font>
              <fill>
                <patternFill>
                  <bgColor theme="5" tint="0.39994506668294322"/>
                </patternFill>
              </fill>
            </x14:dxf>
          </x14:cfRule>
          <xm:sqref>T5:CY13</xm:sqref>
        </x14:conditionalFormatting>
        <x14:conditionalFormatting xmlns:xm="http://schemas.microsoft.com/office/excel/2006/main">
          <x14:cfRule type="expression" priority="224" id="{00000000-000E-0000-0000-000002000000}">
            <xm:f>T$7='DropDown Lists'!$E$7</xm:f>
            <x14:dxf>
              <font>
                <color theme="1"/>
              </font>
              <fill>
                <patternFill>
                  <bgColor theme="9" tint="0.59996337778862885"/>
                </patternFill>
              </fill>
            </x14:dxf>
          </x14:cfRule>
          <x14:cfRule type="expression" priority="225" id="{CA4C5A21-E0D2-496C-A71E-820DADA9602C}">
            <xm:f>T$7='DropDown Lists'!$E$5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T5:CY8</xm:sqref>
        </x14:conditionalFormatting>
        <x14:conditionalFormatting xmlns:xm="http://schemas.microsoft.com/office/excel/2006/main">
          <x14:cfRule type="expression" priority="228" id="{260D75DA-B29E-46A6-9B3B-3CCB6DDBD407}">
            <xm:f>AND(T$7='DropDown Lists'!$E$4,T$14&lt;&gt;"")</xm:f>
            <x14:dxf>
              <font>
                <color theme="1"/>
              </font>
              <fill>
                <patternFill>
                  <bgColor theme="5" tint="0.39994506668294322"/>
                </patternFill>
              </fill>
            </x14:dxf>
          </x14:cfRule>
          <x14:cfRule type="expression" priority="229" id="{9087994E-C2FF-4215-AD76-B5800336CCB7}">
            <xm:f>AND(T$7='DropDown Lists'!$E$5,T$14&lt;&gt;"")</xm:f>
            <x14:dxf>
              <font>
                <color theme="1"/>
              </font>
              <fill>
                <patternFill>
                  <bgColor theme="8" tint="0.59996337778862885"/>
                </patternFill>
              </fill>
            </x14:dxf>
          </x14:cfRule>
          <x14:cfRule type="expression" priority="230" id="{572A455C-7F47-4982-8047-4499F3B51BBA}">
            <xm:f>AND(T$7='DropDown Lists'!$E$7,T$14&lt;&gt;"")</xm:f>
            <x14:dxf>
              <font>
                <color theme="1"/>
              </font>
              <fill>
                <patternFill>
                  <bgColor theme="9" tint="0.59996337778862885"/>
                </patternFill>
              </fill>
            </x14:dxf>
          </x14:cfRule>
          <xm:sqref>T14:CY14</xm:sqref>
        </x14:conditionalFormatting>
        <x14:conditionalFormatting xmlns:xm="http://schemas.microsoft.com/office/excel/2006/main">
          <x14:cfRule type="expression" priority="234" id="{6F04AFCC-97F6-4967-AE43-6B500DC002C7}">
            <xm:f>AND(T$7='DropDown Lists'!$E$5,T$15&lt;&gt;"")</xm:f>
            <x14:dxf>
              <font>
                <color theme="1"/>
              </font>
              <fill>
                <patternFill>
                  <bgColor theme="8" tint="0.59996337778862885"/>
                </patternFill>
              </fill>
            </x14:dxf>
          </x14:cfRule>
          <x14:cfRule type="expression" priority="235" id="{93D1AD0C-FE6F-4D4D-B8AB-9D63D19A1764}">
            <xm:f>AND(T$7='DropDown Lists'!$E$4,T$15&lt;&gt;"")</xm:f>
            <x14:dxf>
              <font>
                <color theme="1"/>
              </font>
              <fill>
                <patternFill>
                  <bgColor theme="5" tint="0.39994506668294322"/>
                </patternFill>
              </fill>
            </x14:dxf>
          </x14:cfRule>
          <x14:cfRule type="expression" priority="236" id="{692A3103-113F-40D9-80DE-829BB2878A0E}">
            <xm:f>AND(T$7='DropDown Lists'!$E$7,T$15&lt;&gt;"")</xm:f>
            <x14:dxf>
              <font>
                <color theme="1"/>
              </font>
              <fill>
                <patternFill>
                  <bgColor theme="9" tint="0.59996337778862885"/>
                </patternFill>
              </fill>
            </x14:dxf>
          </x14:cfRule>
          <xm:sqref>T15:CY15</xm:sqref>
        </x14:conditionalFormatting>
        <x14:conditionalFormatting xmlns:xm="http://schemas.microsoft.com/office/excel/2006/main">
          <x14:cfRule type="expression" priority="240" id="{C6CEBAB7-3257-4069-9783-42D58C64ADE5}">
            <xm:f>AND(OR(T$14&lt;&gt;"",T$15&lt;&gt;""),T$7='DropDown Lists'!$E$4)</xm:f>
            <x14:dxf>
              <font>
                <color theme="5" tint="-0.24994659260841701"/>
              </font>
            </x14:dxf>
          </x14:cfRule>
          <x14:cfRule type="expression" priority="241" id="{5878E8B5-66F4-4B5F-A9F4-B6B011BA5915}">
            <xm:f>AND(OR(T$14&lt;&gt;"",T$15&lt;&gt;""),T$7='DropDown Lists'!$E$5)</xm:f>
            <x14:dxf>
              <font>
                <color theme="8" tint="-0.24994659260841701"/>
              </font>
            </x14:dxf>
          </x14:cfRule>
          <x14:cfRule type="expression" priority="242" id="{39CE0935-15C0-48C1-AACB-D7E752EE83C7}">
            <xm:f>AND(OR(T$14&lt;&gt;"",T$15&lt;&gt;""),T$7='DropDown Lists'!$E$7)</xm:f>
            <x14:dxf>
              <font>
                <color theme="9" tint="-0.24994659260841701"/>
              </font>
            </x14:dxf>
          </x14:cfRule>
          <xm:sqref>T4:CY4</xm:sqref>
        </x14:conditionalFormatting>
        <x14:conditionalFormatting xmlns:xm="http://schemas.microsoft.com/office/excel/2006/main">
          <x14:cfRule type="expression" priority="246" id="{9123C5E5-18DC-424E-8777-316DF61F20AA}">
            <xm:f>T$7='DropDown Lists'!$L$6</xm:f>
            <x14:dxf>
              <font>
                <color theme="0"/>
              </font>
            </x14:dxf>
          </x14:cfRule>
          <xm:sqref>T9:CY15</xm:sqref>
        </x14:conditionalFormatting>
        <x14:conditionalFormatting xmlns:xm="http://schemas.microsoft.com/office/excel/2006/main">
          <x14:cfRule type="expression" priority="248" id="{7A519BC7-6C40-4576-9993-70D48E32955E}">
            <xm:f>T$7&lt;&gt;'DropDown Lists'!$L$6</xm:f>
            <x14:dxf>
              <font>
                <color theme="1"/>
              </font>
            </x14:dxf>
          </x14:cfRule>
          <xm:sqref>T14:CY15</xm:sqref>
        </x14:conditionalFormatting>
        <x14:conditionalFormatting xmlns:xm="http://schemas.microsoft.com/office/excel/2006/main">
          <x14:cfRule type="expression" priority="250" id="{85869BBF-5C00-4AA2-8E8F-62DCD716F078}">
            <xm:f>T$7&lt;&gt;'DropDown Lists'!$E$4</xm:f>
            <x14:dxf>
              <font>
                <color theme="0"/>
              </font>
            </x14:dxf>
          </x14:cfRule>
          <xm:sqref>T9:CY13</xm:sqref>
        </x14:conditionalFormatting>
        <x14:conditionalFormatting xmlns:xm="http://schemas.microsoft.com/office/excel/2006/main">
          <x14:cfRule type="expression" priority="1" id="{D7DA49DC-485D-4933-A54B-C358C989A2D8}">
            <xm:f>T$7='DropDown Lists'!$L$6</xm:f>
            <x14:dxf>
              <font>
                <color theme="0"/>
              </font>
            </x14:dxf>
          </x14:cfRule>
          <x14:cfRule type="expression" priority="3" id="{9AD69A0A-C663-4CE9-B0AD-430A2505434D}">
            <xm:f>T$7='DropDown Lists'!$E$6</xm:f>
            <x14:dxf>
              <font>
                <color theme="0"/>
              </font>
            </x14:dxf>
          </x14:cfRule>
          <x14:cfRule type="expression" priority="252" id="{3D4DB164-D7CA-46F0-B706-C9C17FCDFAE8}">
            <xm:f>T$7='DropDown Lists'!$E$5</xm:f>
            <x14:dxf>
              <fill>
                <patternFill>
                  <bgColor theme="8" tint="0.59996337778862885"/>
                </patternFill>
              </fill>
            </x14:dxf>
          </x14:cfRule>
          <x14:cfRule type="expression" priority="253" id="{67AC3C66-BDBC-4774-9A01-CA255B0DAA55}">
            <xm:f>T$7='DropDown Lists'!$E$7</xm:f>
            <x14:dxf>
              <fill>
                <patternFill>
                  <bgColor theme="9" tint="0.59996337778862885"/>
                </patternFill>
              </fill>
            </x14:dxf>
          </x14:cfRule>
          <x14:cfRule type="expression" priority="254" id="{58CB9ACF-7557-4C6E-8E1E-063F891E2F47}">
            <xm:f>T$7='DropDown Lists'!$E$4</xm:f>
            <x14:dxf>
              <fill>
                <patternFill>
                  <bgColor theme="5" tint="0.39994506668294322"/>
                </patternFill>
              </fill>
            </x14:dxf>
          </x14:cfRule>
          <xm:sqref>T17:CY17</xm:sqref>
        </x14:conditionalFormatting>
        <x14:conditionalFormatting xmlns:xm="http://schemas.microsoft.com/office/excel/2006/main">
          <x14:cfRule type="expression" priority="255" id="{B22CEA92-8C5A-4789-84DD-1D82C74D6626}">
            <xm:f>T$4:Z$4='DropDown Lists'!$A$4</xm:f>
            <x14:dxf>
              <font>
                <b val="0"/>
                <i/>
                <color theme="0" tint="-0.499984740745262"/>
              </font>
            </x14:dxf>
          </x14:cfRule>
          <xm:sqref>F5:L5</xm:sqref>
        </x14:conditionalFormatting>
        <x14:conditionalFormatting xmlns:xm="http://schemas.microsoft.com/office/excel/2006/main">
          <x14:cfRule type="expression" priority="256" id="{51809140-A235-409C-B6A9-35C73AF93FD3}">
            <xm:f>AA$4:AG$4='DropDown Lists'!$A$4</xm:f>
            <x14:dxf>
              <font>
                <b val="0"/>
                <i/>
                <color theme="0" tint="-0.499984740745262"/>
              </font>
            </x14:dxf>
          </x14:cfRule>
          <xm:sqref>F6:L6</xm:sqref>
        </x14:conditionalFormatting>
        <x14:conditionalFormatting xmlns:xm="http://schemas.microsoft.com/office/excel/2006/main">
          <x14:cfRule type="expression" priority="257" id="{946EFBFD-107C-4B65-9D37-5515ED9D27AB}">
            <xm:f>AH$4:AN$4='DropDown Lists'!$A$4</xm:f>
            <x14:dxf>
              <font>
                <b val="0"/>
                <i/>
                <color theme="0" tint="-0.499984740745262"/>
              </font>
            </x14:dxf>
          </x14:cfRule>
          <xm:sqref>F7:L7</xm:sqref>
        </x14:conditionalFormatting>
        <x14:conditionalFormatting xmlns:xm="http://schemas.microsoft.com/office/excel/2006/main">
          <x14:cfRule type="expression" priority="258" id="{094FED99-DAB6-4C1D-86A3-3DD0052DF8CE}">
            <xm:f>AO$4:AU$4='DropDown Lists'!$A$4</xm:f>
            <x14:dxf>
              <font>
                <b val="0"/>
                <i/>
                <color theme="0" tint="-0.499984740745262"/>
              </font>
            </x14:dxf>
          </x14:cfRule>
          <xm:sqref>F8:L8</xm:sqref>
        </x14:conditionalFormatting>
        <x14:conditionalFormatting xmlns:xm="http://schemas.microsoft.com/office/excel/2006/main">
          <x14:cfRule type="expression" priority="259" id="{4E85D039-18F0-47A1-8072-BFBCA0E4147A}">
            <xm:f>AV$4:BB$4='DropDown Lists'!$A$4</xm:f>
            <x14:dxf>
              <font>
                <b val="0"/>
                <i/>
                <color theme="0" tint="-0.499984740745262"/>
              </font>
            </x14:dxf>
          </x14:cfRule>
          <xm:sqref>F9:L9</xm:sqref>
        </x14:conditionalFormatting>
        <x14:conditionalFormatting xmlns:xm="http://schemas.microsoft.com/office/excel/2006/main">
          <x14:cfRule type="expression" priority="260" id="{7141CFD7-5BB4-4CE0-BCE5-9E49E6D9E296}">
            <xm:f>BC$4:BI$4='DropDown Lists'!$A$4</xm:f>
            <x14:dxf>
              <font>
                <b val="0"/>
                <i/>
                <color theme="0" tint="-0.499984740745262"/>
              </font>
            </x14:dxf>
          </x14:cfRule>
          <xm:sqref>F10:L10</xm:sqref>
        </x14:conditionalFormatting>
        <x14:conditionalFormatting xmlns:xm="http://schemas.microsoft.com/office/excel/2006/main">
          <x14:cfRule type="expression" priority="261" id="{E6BB6583-382E-4DA3-946F-8F2D444538BE}">
            <xm:f>BJ$4:BP$4='DropDown Lists'!$A$4</xm:f>
            <x14:dxf>
              <font>
                <b val="0"/>
                <i/>
                <color theme="0" tint="-0.499984740745262"/>
              </font>
            </x14:dxf>
          </x14:cfRule>
          <xm:sqref>F11:L11</xm:sqref>
        </x14:conditionalFormatting>
        <x14:conditionalFormatting xmlns:xm="http://schemas.microsoft.com/office/excel/2006/main">
          <x14:cfRule type="expression" priority="262" id="{9085C1A7-1F15-4843-BAE6-4E8766EA9D89}">
            <xm:f>BQ$4:BW$4='DropDown Lists'!$A$4</xm:f>
            <x14:dxf>
              <font>
                <b val="0"/>
                <i/>
                <color theme="0" tint="-0.499984740745262"/>
              </font>
            </x14:dxf>
          </x14:cfRule>
          <xm:sqref>F12:L12</xm:sqref>
        </x14:conditionalFormatting>
        <x14:conditionalFormatting xmlns:xm="http://schemas.microsoft.com/office/excel/2006/main">
          <x14:cfRule type="expression" priority="263" id="{5AB2DFBD-B928-4BB0-B800-1CD03B76B696}">
            <xm:f>BX$4:CD$4='DropDown Lists'!$A$4</xm:f>
            <x14:dxf>
              <font>
                <b val="0"/>
                <i/>
                <color theme="0" tint="-0.499984740745262"/>
              </font>
            </x14:dxf>
          </x14:cfRule>
          <xm:sqref>F13:L13</xm:sqref>
        </x14:conditionalFormatting>
        <x14:conditionalFormatting xmlns:xm="http://schemas.microsoft.com/office/excel/2006/main">
          <x14:cfRule type="expression" priority="264" id="{BDFF30F3-C11C-44F4-B944-2FEDE553C672}">
            <xm:f>CE$4:CK$4='DropDown Lists'!$A$4</xm:f>
            <x14:dxf>
              <font>
                <b val="0"/>
                <i/>
                <color theme="0" tint="-0.499984740745262"/>
              </font>
            </x14:dxf>
          </x14:cfRule>
          <xm:sqref>F14:L14</xm:sqref>
        </x14:conditionalFormatting>
        <x14:conditionalFormatting xmlns:xm="http://schemas.microsoft.com/office/excel/2006/main">
          <x14:cfRule type="expression" priority="265" id="{BC93E743-8911-4B96-B69F-1674A4B62C55}">
            <xm:f>CL$4:CR$4='DropDown Lists'!$A$4</xm:f>
            <x14:dxf>
              <font>
                <b val="0"/>
                <i/>
                <color theme="0" tint="-0.499984740745262"/>
              </font>
            </x14:dxf>
          </x14:cfRule>
          <xm:sqref>F15:L15</xm:sqref>
        </x14:conditionalFormatting>
        <x14:conditionalFormatting xmlns:xm="http://schemas.microsoft.com/office/excel/2006/main">
          <x14:cfRule type="expression" priority="266" id="{7B3DE891-676D-4E9A-B313-8B4DB3E12633}">
            <xm:f>CO$4:CY$4='DropDown Lists'!$A$4</xm:f>
            <x14:dxf>
              <font>
                <b val="0"/>
                <i/>
                <color theme="0" tint="-0.499984740745262"/>
              </font>
            </x14:dxf>
          </x14:cfRule>
          <xm:sqref>H16</xm:sqref>
        </x14:conditionalFormatting>
        <x14:conditionalFormatting xmlns:xm="http://schemas.microsoft.com/office/excel/2006/main">
          <x14:cfRule type="expression" priority="267" id="{7B3DE891-676D-4E9A-B313-8B4DB3E12633}">
            <xm:f>CN$4:CY$4='DropDown Lists'!$A$4</xm:f>
            <x14:dxf>
              <font>
                <b val="0"/>
                <i/>
                <color theme="0" tint="-0.499984740745262"/>
              </font>
            </x14:dxf>
          </x14:cfRule>
          <xm:sqref>G16</xm:sqref>
        </x14:conditionalFormatting>
        <x14:conditionalFormatting xmlns:xm="http://schemas.microsoft.com/office/excel/2006/main">
          <x14:cfRule type="expression" priority="268" id="{7B3DE891-676D-4E9A-B313-8B4DB3E12633}">
            <xm:f>CS$4:CY$4='DropDown Lists'!$A$4</xm:f>
            <x14:dxf>
              <font>
                <b val="0"/>
                <i/>
                <color theme="0" tint="-0.499984740745262"/>
              </font>
            </x14:dxf>
          </x14:cfRule>
          <xm:sqref>F16</xm:sqref>
        </x14:conditionalFormatting>
        <x14:conditionalFormatting xmlns:xm="http://schemas.microsoft.com/office/excel/2006/main">
          <x14:cfRule type="cellIs" priority="6" operator="equal" id="{63258106-AA24-4167-A4EC-C0D21631D003}">
            <xm:f>'DropDown Lists'!$O$5</xm:f>
            <x14:dxf>
              <fill>
                <patternFill>
                  <bgColor rgb="FFFFFF00"/>
                </patternFill>
              </fill>
            </x14:dxf>
          </x14:cfRule>
          <xm:sqref>T18:CY18</xm:sqref>
        </x14:conditionalFormatting>
        <x14:conditionalFormatting xmlns:xm="http://schemas.microsoft.com/office/excel/2006/main">
          <x14:cfRule type="expression" priority="2" id="{7821F1C3-01FA-4DD6-8551-E22C7C671758}">
            <xm:f>OR(T$7='DropDown Lists'!$L$6,T$7='DropDown Lists'!$E$7,T$7='DropDown Lists'!$E$4)</xm:f>
            <x14:dxf>
              <font>
                <color theme="0"/>
              </font>
            </x14:dxf>
          </x14:cfRule>
          <x14:cfRule type="expression" priority="4" id="{698674DA-EE65-470A-9A75-8D25F799219F}">
            <xm:f>AND(T$7='DropDown Lists'!$E$5,T$16&lt;&gt;"")</xm:f>
            <x14:dxf>
              <font>
                <color theme="1"/>
              </font>
              <fill>
                <patternFill>
                  <bgColor theme="8" tint="0.59996337778862885"/>
                </patternFill>
              </fill>
            </x14:dxf>
          </x14:cfRule>
          <xm:sqref>T16:CY16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showInputMessage="1" showErrorMessage="1">
          <x14:formula1>
            <xm:f>'DropDown Lists'!$E$4:$E$7</xm:f>
          </x14:formula1>
          <xm:sqref>F5:L16</xm:sqref>
        </x14:dataValidation>
        <x14:dataValidation type="list" showInputMessage="1" showErrorMessage="1">
          <x14:formula1>
            <xm:f>'DropDown Lists'!$G$5:$G$17</xm:f>
          </x14:formula1>
          <xm:sqref>K38:P39 K41:P102</xm:sqref>
        </x14:dataValidation>
        <x14:dataValidation type="list" allowBlank="1" showInputMessage="1" showErrorMessage="1">
          <x14:formula1>
            <xm:f>'DropDown Lists'!$G$4:$G$17</xm:f>
          </x14:formula1>
          <xm:sqref>T9:CY13</xm:sqref>
        </x14:dataValidation>
        <x14:dataValidation type="decimal" allowBlank="1" showInputMessage="1" showErrorMessage="1" error="Low focus is either too high or too low.">
          <x14:formula1>
            <xm:f>'DropDown Lists'!$Q$4</xm:f>
          </x14:formula1>
          <x14:formula2>
            <xm:f>T$5</xm:f>
          </x14:formula2>
          <xm:sqref>T15:CY15</xm:sqref>
        </x14:dataValidation>
        <x14:dataValidation type="decimal" allowBlank="1" showInputMessage="1" showErrorMessage="1" error="Low focus cannot be this low." prompt="The low focus point for a box slide.">
          <x14:formula1>
            <xm:f>'DropDown Lists'!M23</xm:f>
          </x14:formula1>
          <x14:formula2>
            <xm:f>C24</xm:f>
          </x14:formula2>
          <xm:sqref>D24</xm:sqref>
        </x14:dataValidation>
        <x14:dataValidation type="decimal" allowBlank="1" showInputMessage="1" showErrorMessage="1" error="Low focus cannot be this low." prompt="The low focus point for a well slide.">
          <x14:formula1>
            <xm:f>'DropDown Lists'!M23</xm:f>
          </x14:formula1>
          <x14:formula2>
            <xm:f>C25</xm:f>
          </x14:formula2>
          <xm:sqref>D25</xm:sqref>
        </x14:dataValidation>
        <x14:dataValidation type="decimal" allowBlank="1" showInputMessage="1" showErrorMessage="1" error="Low focus cannot be this low." prompt="The low focus point for a full slide.">
          <x14:formula1>
            <xm:f>'DropDown Lists'!M23</xm:f>
          </x14:formula1>
          <x14:formula2>
            <xm:f>C27</xm:f>
          </x14:formula2>
          <xm:sqref>D27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2:G130"/>
  <sheetViews>
    <sheetView workbookViewId="0">
      <selection activeCell="B2" sqref="B2:B41"/>
    </sheetView>
  </sheetViews>
  <sheetFormatPr defaultRowHeight="15" x14ac:dyDescent="0.25"/>
  <cols>
    <col min="1" max="1" width="9.140625" style="2"/>
  </cols>
  <sheetData>
    <row r="2" spans="2:7" x14ac:dyDescent="0.25">
      <c r="B2" s="2" t="s">
        <v>587</v>
      </c>
      <c r="D2" s="2" t="s">
        <v>519</v>
      </c>
      <c r="G2" s="2">
        <v>6100</v>
      </c>
    </row>
    <row r="3" spans="2:7" x14ac:dyDescent="0.25">
      <c r="B3" s="2" t="s">
        <v>588</v>
      </c>
      <c r="D3" s="2" t="s">
        <v>520</v>
      </c>
      <c r="G3" s="2">
        <v>6101</v>
      </c>
    </row>
    <row r="4" spans="2:7" x14ac:dyDescent="0.25">
      <c r="B4" s="2" t="s">
        <v>589</v>
      </c>
      <c r="D4" s="2" t="s">
        <v>521</v>
      </c>
      <c r="G4" s="2" t="s">
        <v>427</v>
      </c>
    </row>
    <row r="5" spans="2:7" x14ac:dyDescent="0.25">
      <c r="B5" s="2" t="s">
        <v>590</v>
      </c>
      <c r="D5" s="2" t="s">
        <v>522</v>
      </c>
      <c r="G5" s="2" t="s">
        <v>428</v>
      </c>
    </row>
    <row r="6" spans="2:7" x14ac:dyDescent="0.25">
      <c r="B6" s="2" t="s">
        <v>591</v>
      </c>
      <c r="D6" s="2" t="s">
        <v>523</v>
      </c>
      <c r="G6" s="2" t="s">
        <v>429</v>
      </c>
    </row>
    <row r="7" spans="2:7" x14ac:dyDescent="0.25">
      <c r="B7" s="2" t="s">
        <v>592</v>
      </c>
      <c r="D7" s="2" t="s">
        <v>524</v>
      </c>
      <c r="G7" s="2"/>
    </row>
    <row r="8" spans="2:7" x14ac:dyDescent="0.25">
      <c r="B8" s="2" t="s">
        <v>593</v>
      </c>
      <c r="D8" s="2" t="s">
        <v>525</v>
      </c>
      <c r="G8" s="2" t="s">
        <v>430</v>
      </c>
    </row>
    <row r="9" spans="2:7" x14ac:dyDescent="0.25">
      <c r="B9" s="2" t="s">
        <v>594</v>
      </c>
      <c r="D9" s="2" t="s">
        <v>526</v>
      </c>
      <c r="G9" s="2" t="s">
        <v>431</v>
      </c>
    </row>
    <row r="10" spans="2:7" x14ac:dyDescent="0.25">
      <c r="B10" s="2" t="s">
        <v>595</v>
      </c>
      <c r="D10" s="2" t="s">
        <v>527</v>
      </c>
      <c r="G10" s="2" t="s">
        <v>432</v>
      </c>
    </row>
    <row r="11" spans="2:7" x14ac:dyDescent="0.25">
      <c r="B11" s="2" t="s">
        <v>596</v>
      </c>
      <c r="D11" s="2" t="s">
        <v>528</v>
      </c>
      <c r="G11" s="2" t="s">
        <v>433</v>
      </c>
    </row>
    <row r="12" spans="2:7" x14ac:dyDescent="0.25">
      <c r="B12" s="2" t="s">
        <v>597</v>
      </c>
      <c r="D12" s="2" t="s">
        <v>529</v>
      </c>
      <c r="G12" s="2" t="s">
        <v>434</v>
      </c>
    </row>
    <row r="13" spans="2:7" x14ac:dyDescent="0.25">
      <c r="B13" s="2" t="s">
        <v>598</v>
      </c>
      <c r="D13" s="2" t="s">
        <v>530</v>
      </c>
      <c r="G13" s="2" t="s">
        <v>435</v>
      </c>
    </row>
    <row r="14" spans="2:7" x14ac:dyDescent="0.25">
      <c r="B14" s="2" t="s">
        <v>599</v>
      </c>
      <c r="D14" s="2" t="s">
        <v>531</v>
      </c>
      <c r="G14" s="2" t="s">
        <v>436</v>
      </c>
    </row>
    <row r="15" spans="2:7" x14ac:dyDescent="0.25">
      <c r="B15" s="2" t="s">
        <v>600</v>
      </c>
      <c r="D15" s="2" t="s">
        <v>532</v>
      </c>
      <c r="G15" s="2" t="s">
        <v>437</v>
      </c>
    </row>
    <row r="16" spans="2:7" x14ac:dyDescent="0.25">
      <c r="B16" s="2" t="s">
        <v>601</v>
      </c>
      <c r="D16" s="2" t="s">
        <v>533</v>
      </c>
      <c r="G16" s="2" t="s">
        <v>438</v>
      </c>
    </row>
    <row r="17" spans="2:7" x14ac:dyDescent="0.25">
      <c r="B17" s="2" t="s">
        <v>602</v>
      </c>
      <c r="D17" s="2" t="s">
        <v>534</v>
      </c>
      <c r="G17" s="2" t="s">
        <v>439</v>
      </c>
    </row>
    <row r="18" spans="2:7" x14ac:dyDescent="0.25">
      <c r="B18" s="2" t="s">
        <v>603</v>
      </c>
      <c r="D18" s="2" t="s">
        <v>535</v>
      </c>
      <c r="G18" s="2" t="s">
        <v>440</v>
      </c>
    </row>
    <row r="19" spans="2:7" x14ac:dyDescent="0.25">
      <c r="B19" s="2" t="s">
        <v>604</v>
      </c>
      <c r="D19" s="2" t="s">
        <v>536</v>
      </c>
      <c r="G19" s="2" t="s">
        <v>441</v>
      </c>
    </row>
    <row r="20" spans="2:7" x14ac:dyDescent="0.25">
      <c r="B20" s="2" t="s">
        <v>605</v>
      </c>
      <c r="D20" s="2" t="s">
        <v>537</v>
      </c>
      <c r="G20" s="2" t="s">
        <v>442</v>
      </c>
    </row>
    <row r="21" spans="2:7" x14ac:dyDescent="0.25">
      <c r="B21" s="2" t="s">
        <v>606</v>
      </c>
      <c r="D21" s="2" t="s">
        <v>538</v>
      </c>
      <c r="G21" s="2" t="s">
        <v>443</v>
      </c>
    </row>
    <row r="22" spans="2:7" x14ac:dyDescent="0.25">
      <c r="B22" s="2" t="s">
        <v>607</v>
      </c>
      <c r="D22" s="2" t="s">
        <v>529</v>
      </c>
      <c r="G22" s="2" t="s">
        <v>444</v>
      </c>
    </row>
    <row r="23" spans="2:7" x14ac:dyDescent="0.25">
      <c r="B23" s="2" t="s">
        <v>608</v>
      </c>
      <c r="D23" s="2" t="s">
        <v>539</v>
      </c>
      <c r="G23" s="2" t="s">
        <v>445</v>
      </c>
    </row>
    <row r="24" spans="2:7" x14ac:dyDescent="0.25">
      <c r="B24" s="2" t="s">
        <v>609</v>
      </c>
      <c r="D24" s="2" t="s">
        <v>529</v>
      </c>
      <c r="G24" s="2" t="s">
        <v>446</v>
      </c>
    </row>
    <row r="25" spans="2:7" x14ac:dyDescent="0.25">
      <c r="B25" s="2" t="s">
        <v>610</v>
      </c>
      <c r="D25" s="2" t="s">
        <v>530</v>
      </c>
      <c r="G25" s="2" t="s">
        <v>447</v>
      </c>
    </row>
    <row r="26" spans="2:7" x14ac:dyDescent="0.25">
      <c r="B26" s="2" t="s">
        <v>611</v>
      </c>
      <c r="D26" s="2" t="s">
        <v>540</v>
      </c>
      <c r="G26" s="2" t="s">
        <v>448</v>
      </c>
    </row>
    <row r="27" spans="2:7" x14ac:dyDescent="0.25">
      <c r="B27" s="2" t="s">
        <v>612</v>
      </c>
      <c r="D27" s="2" t="s">
        <v>541</v>
      </c>
      <c r="G27" s="2" t="s">
        <v>449</v>
      </c>
    </row>
    <row r="28" spans="2:7" x14ac:dyDescent="0.25">
      <c r="B28" s="2" t="s">
        <v>613</v>
      </c>
      <c r="D28" s="2"/>
      <c r="G28" s="2" t="s">
        <v>451</v>
      </c>
    </row>
    <row r="29" spans="2:7" x14ac:dyDescent="0.25">
      <c r="B29" s="2" t="s">
        <v>614</v>
      </c>
      <c r="D29" s="2" t="s">
        <v>542</v>
      </c>
      <c r="G29" s="2" t="s">
        <v>450</v>
      </c>
    </row>
    <row r="30" spans="2:7" x14ac:dyDescent="0.25">
      <c r="B30" s="2" t="s">
        <v>615</v>
      </c>
      <c r="D30" s="2" t="s">
        <v>543</v>
      </c>
      <c r="G30" s="2" t="s">
        <v>452</v>
      </c>
    </row>
    <row r="31" spans="2:7" x14ac:dyDescent="0.25">
      <c r="B31" s="2" t="s">
        <v>616</v>
      </c>
      <c r="D31" s="2" t="s">
        <v>544</v>
      </c>
      <c r="G31" s="2" t="s">
        <v>453</v>
      </c>
    </row>
    <row r="32" spans="2:7" x14ac:dyDescent="0.25">
      <c r="B32" s="2" t="s">
        <v>617</v>
      </c>
      <c r="D32" s="2" t="s">
        <v>545</v>
      </c>
      <c r="G32" s="2" t="s">
        <v>454</v>
      </c>
    </row>
    <row r="33" spans="2:7" x14ac:dyDescent="0.25">
      <c r="B33" s="2" t="s">
        <v>618</v>
      </c>
      <c r="D33" s="2"/>
      <c r="G33" s="2" t="s">
        <v>455</v>
      </c>
    </row>
    <row r="34" spans="2:7" x14ac:dyDescent="0.25">
      <c r="B34" s="2" t="s">
        <v>619</v>
      </c>
      <c r="D34" s="2" t="s">
        <v>546</v>
      </c>
      <c r="G34" s="2" t="s">
        <v>456</v>
      </c>
    </row>
    <row r="35" spans="2:7" x14ac:dyDescent="0.25">
      <c r="B35" s="2" t="s">
        <v>620</v>
      </c>
      <c r="D35" s="2" t="s">
        <v>547</v>
      </c>
      <c r="G35" s="2" t="s">
        <v>457</v>
      </c>
    </row>
    <row r="36" spans="2:7" x14ac:dyDescent="0.25">
      <c r="B36" s="2" t="s">
        <v>621</v>
      </c>
      <c r="D36" s="2" t="s">
        <v>548</v>
      </c>
      <c r="G36" s="2" t="s">
        <v>458</v>
      </c>
    </row>
    <row r="37" spans="2:7" x14ac:dyDescent="0.25">
      <c r="B37" s="2" t="s">
        <v>622</v>
      </c>
      <c r="D37" s="2"/>
      <c r="G37" s="2" t="s">
        <v>459</v>
      </c>
    </row>
    <row r="38" spans="2:7" x14ac:dyDescent="0.25">
      <c r="B38" s="2" t="s">
        <v>623</v>
      </c>
      <c r="D38" s="2" t="s">
        <v>549</v>
      </c>
      <c r="G38" s="2" t="s">
        <v>460</v>
      </c>
    </row>
    <row r="39" spans="2:7" x14ac:dyDescent="0.25">
      <c r="B39" s="2" t="s">
        <v>624</v>
      </c>
      <c r="D39" s="2" t="s">
        <v>550</v>
      </c>
      <c r="G39" s="2" t="s">
        <v>461</v>
      </c>
    </row>
    <row r="40" spans="2:7" x14ac:dyDescent="0.25">
      <c r="B40" s="2" t="s">
        <v>625</v>
      </c>
      <c r="D40" s="2" t="s">
        <v>551</v>
      </c>
      <c r="G40" s="2" t="s">
        <v>462</v>
      </c>
    </row>
    <row r="41" spans="2:7" x14ac:dyDescent="0.25">
      <c r="B41" s="2" t="s">
        <v>626</v>
      </c>
      <c r="D41" s="2" t="s">
        <v>552</v>
      </c>
      <c r="G41" s="2" t="s">
        <v>463</v>
      </c>
    </row>
    <row r="42" spans="2:7" x14ac:dyDescent="0.25">
      <c r="D42" s="2" t="s">
        <v>553</v>
      </c>
      <c r="G42" s="2" t="s">
        <v>464</v>
      </c>
    </row>
    <row r="43" spans="2:7" x14ac:dyDescent="0.25">
      <c r="D43" s="2" t="s">
        <v>554</v>
      </c>
      <c r="G43" s="2" t="s">
        <v>465</v>
      </c>
    </row>
    <row r="44" spans="2:7" x14ac:dyDescent="0.25">
      <c r="D44" s="2" t="s">
        <v>555</v>
      </c>
      <c r="G44" s="2" t="s">
        <v>456</v>
      </c>
    </row>
    <row r="45" spans="2:7" x14ac:dyDescent="0.25">
      <c r="D45" s="2" t="s">
        <v>556</v>
      </c>
      <c r="G45" s="2" t="s">
        <v>466</v>
      </c>
    </row>
    <row r="46" spans="2:7" x14ac:dyDescent="0.25">
      <c r="D46" s="2" t="s">
        <v>557</v>
      </c>
      <c r="G46" s="2" t="s">
        <v>467</v>
      </c>
    </row>
    <row r="47" spans="2:7" x14ac:dyDescent="0.25">
      <c r="D47" s="2" t="s">
        <v>558</v>
      </c>
      <c r="G47" s="2" t="s">
        <v>468</v>
      </c>
    </row>
    <row r="48" spans="2:7" x14ac:dyDescent="0.25">
      <c r="D48" s="2" t="s">
        <v>559</v>
      </c>
      <c r="G48" s="2" t="s">
        <v>469</v>
      </c>
    </row>
    <row r="49" spans="4:7" x14ac:dyDescent="0.25">
      <c r="D49" s="2" t="s">
        <v>560</v>
      </c>
      <c r="G49" s="2" t="s">
        <v>470</v>
      </c>
    </row>
    <row r="50" spans="4:7" x14ac:dyDescent="0.25">
      <c r="D50" s="2" t="s">
        <v>561</v>
      </c>
      <c r="G50" s="2" t="s">
        <v>471</v>
      </c>
    </row>
    <row r="51" spans="4:7" x14ac:dyDescent="0.25">
      <c r="D51" s="2" t="s">
        <v>562</v>
      </c>
      <c r="G51" s="2" t="s">
        <v>472</v>
      </c>
    </row>
    <row r="52" spans="4:7" x14ac:dyDescent="0.25">
      <c r="D52" s="2" t="s">
        <v>563</v>
      </c>
      <c r="G52" s="2" t="s">
        <v>473</v>
      </c>
    </row>
    <row r="53" spans="4:7" x14ac:dyDescent="0.25">
      <c r="D53" s="2" t="s">
        <v>564</v>
      </c>
      <c r="G53" s="2" t="s">
        <v>474</v>
      </c>
    </row>
    <row r="54" spans="4:7" x14ac:dyDescent="0.25">
      <c r="D54" s="2" t="s">
        <v>565</v>
      </c>
      <c r="G54" s="2" t="s">
        <v>475</v>
      </c>
    </row>
    <row r="55" spans="4:7" x14ac:dyDescent="0.25">
      <c r="D55" s="2"/>
      <c r="G55" s="2" t="s">
        <v>476</v>
      </c>
    </row>
    <row r="56" spans="4:7" x14ac:dyDescent="0.25">
      <c r="D56" s="2" t="s">
        <v>566</v>
      </c>
      <c r="G56" s="2" t="s">
        <v>477</v>
      </c>
    </row>
    <row r="57" spans="4:7" x14ac:dyDescent="0.25">
      <c r="D57" s="2" t="s">
        <v>567</v>
      </c>
      <c r="G57" s="2" t="s">
        <v>478</v>
      </c>
    </row>
    <row r="58" spans="4:7" x14ac:dyDescent="0.25">
      <c r="D58" s="2" t="s">
        <v>568</v>
      </c>
      <c r="G58" s="2" t="s">
        <v>479</v>
      </c>
    </row>
    <row r="59" spans="4:7" x14ac:dyDescent="0.25">
      <c r="D59" s="2" t="s">
        <v>569</v>
      </c>
      <c r="G59" s="2" t="s">
        <v>480</v>
      </c>
    </row>
    <row r="60" spans="4:7" x14ac:dyDescent="0.25">
      <c r="D60" s="2" t="s">
        <v>570</v>
      </c>
      <c r="G60" s="2" t="s">
        <v>481</v>
      </c>
    </row>
    <row r="61" spans="4:7" x14ac:dyDescent="0.25">
      <c r="D61" s="2" t="s">
        <v>571</v>
      </c>
    </row>
    <row r="62" spans="4:7" x14ac:dyDescent="0.25">
      <c r="D62" s="2" t="s">
        <v>572</v>
      </c>
      <c r="G62" s="2" t="s">
        <v>482</v>
      </c>
    </row>
    <row r="63" spans="4:7" x14ac:dyDescent="0.25">
      <c r="D63" s="2" t="s">
        <v>573</v>
      </c>
      <c r="G63" s="2" t="s">
        <v>483</v>
      </c>
    </row>
    <row r="64" spans="4:7" x14ac:dyDescent="0.25">
      <c r="D64" s="2" t="s">
        <v>574</v>
      </c>
      <c r="G64" s="2" t="s">
        <v>484</v>
      </c>
    </row>
    <row r="65" spans="4:7" x14ac:dyDescent="0.25">
      <c r="D65" s="2" t="s">
        <v>575</v>
      </c>
      <c r="G65" s="2" t="s">
        <v>485</v>
      </c>
    </row>
    <row r="66" spans="4:7" x14ac:dyDescent="0.25">
      <c r="D66" s="2" t="s">
        <v>576</v>
      </c>
      <c r="G66" s="2" t="s">
        <v>486</v>
      </c>
    </row>
    <row r="67" spans="4:7" x14ac:dyDescent="0.25">
      <c r="D67" s="2" t="s">
        <v>577</v>
      </c>
      <c r="G67" s="2" t="s">
        <v>487</v>
      </c>
    </row>
    <row r="68" spans="4:7" x14ac:dyDescent="0.25">
      <c r="D68" s="2" t="s">
        <v>578</v>
      </c>
      <c r="G68" s="2" t="s">
        <v>488</v>
      </c>
    </row>
    <row r="69" spans="4:7" x14ac:dyDescent="0.25">
      <c r="D69" s="2" t="s">
        <v>579</v>
      </c>
      <c r="G69" s="2" t="s">
        <v>489</v>
      </c>
    </row>
    <row r="70" spans="4:7" x14ac:dyDescent="0.25">
      <c r="D70" s="2" t="s">
        <v>580</v>
      </c>
      <c r="G70" s="2" t="s">
        <v>490</v>
      </c>
    </row>
    <row r="71" spans="4:7" x14ac:dyDescent="0.25">
      <c r="D71" s="2"/>
      <c r="G71" s="2" t="s">
        <v>491</v>
      </c>
    </row>
    <row r="72" spans="4:7" x14ac:dyDescent="0.25">
      <c r="D72" s="2" t="s">
        <v>581</v>
      </c>
      <c r="G72" s="2" t="s">
        <v>492</v>
      </c>
    </row>
    <row r="73" spans="4:7" x14ac:dyDescent="0.25">
      <c r="D73" s="2" t="s">
        <v>582</v>
      </c>
      <c r="G73" s="2" t="s">
        <v>493</v>
      </c>
    </row>
    <row r="74" spans="4:7" x14ac:dyDescent="0.25">
      <c r="D74" s="2" t="s">
        <v>583</v>
      </c>
      <c r="G74" s="2" t="s">
        <v>494</v>
      </c>
    </row>
    <row r="75" spans="4:7" x14ac:dyDescent="0.25">
      <c r="D75" s="2" t="s">
        <v>584</v>
      </c>
      <c r="G75" s="2" t="s">
        <v>495</v>
      </c>
    </row>
    <row r="76" spans="4:7" x14ac:dyDescent="0.25">
      <c r="D76" s="2" t="s">
        <v>585</v>
      </c>
      <c r="G76" s="2" t="s">
        <v>496</v>
      </c>
    </row>
    <row r="77" spans="4:7" x14ac:dyDescent="0.25">
      <c r="D77" s="2" t="s">
        <v>586</v>
      </c>
      <c r="G77" s="2" t="s">
        <v>497</v>
      </c>
    </row>
    <row r="78" spans="4:7" x14ac:dyDescent="0.25">
      <c r="G78" s="2" t="s">
        <v>498</v>
      </c>
    </row>
    <row r="79" spans="4:7" x14ac:dyDescent="0.25">
      <c r="G79" s="2" t="s">
        <v>499</v>
      </c>
    </row>
    <row r="80" spans="4:7" x14ac:dyDescent="0.25">
      <c r="G80" s="2" t="s">
        <v>500</v>
      </c>
    </row>
    <row r="81" spans="7:7" x14ac:dyDescent="0.25">
      <c r="G81">
        <v>6105</v>
      </c>
    </row>
    <row r="82" spans="7:7" x14ac:dyDescent="0.25">
      <c r="G82" s="168" t="s">
        <v>501</v>
      </c>
    </row>
    <row r="83" spans="7:7" x14ac:dyDescent="0.25">
      <c r="G83" s="168" t="s">
        <v>502</v>
      </c>
    </row>
    <row r="84" spans="7:7" x14ac:dyDescent="0.25">
      <c r="G84" s="168" t="s">
        <v>503</v>
      </c>
    </row>
    <row r="85" spans="7:7" x14ac:dyDescent="0.25">
      <c r="G85" s="169" t="s">
        <v>504</v>
      </c>
    </row>
    <row r="87" spans="7:7" x14ac:dyDescent="0.25">
      <c r="G87" s="2"/>
    </row>
    <row r="88" spans="7:7" x14ac:dyDescent="0.25">
      <c r="G88" s="2" t="s">
        <v>508</v>
      </c>
    </row>
    <row r="89" spans="7:7" x14ac:dyDescent="0.25">
      <c r="G89" s="2" t="s">
        <v>509</v>
      </c>
    </row>
    <row r="90" spans="7:7" x14ac:dyDescent="0.25">
      <c r="G90" s="2" t="s">
        <v>510</v>
      </c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 t="s">
        <v>511</v>
      </c>
    </row>
    <row r="95" spans="7:7" x14ac:dyDescent="0.25">
      <c r="G95" s="2" t="s">
        <v>512</v>
      </c>
    </row>
    <row r="96" spans="7:7" x14ac:dyDescent="0.25">
      <c r="G96" s="2" t="s">
        <v>513</v>
      </c>
    </row>
    <row r="97" spans="7:7" x14ac:dyDescent="0.25">
      <c r="G97" s="2" t="s">
        <v>514</v>
      </c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 t="s">
        <v>515</v>
      </c>
    </row>
    <row r="102" spans="7:7" x14ac:dyDescent="0.25">
      <c r="G102" s="2" t="s">
        <v>516</v>
      </c>
    </row>
    <row r="103" spans="7:7" x14ac:dyDescent="0.25">
      <c r="G103" s="2" t="s">
        <v>517</v>
      </c>
    </row>
    <row r="104" spans="7:7" x14ac:dyDescent="0.25">
      <c r="G104" s="2" t="s">
        <v>518</v>
      </c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>
        <v>6106</v>
      </c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</sheetData>
  <dataValidations count="1">
    <dataValidation showInputMessage="1" showErrorMessage="1" sqref="G2:G85 G87:G130 D2:D77 B2:B41"/>
  </dataValidations>
  <pageMargins left="0.7" right="0.7" top="0.75" bottom="0.75" header="0.3" footer="0.3"/>
  <pageSetup paperSize="0" orientation="portrait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id="{4DC9939C-EF32-4B9A-8298-001E76F978CF}">
            <xm:f>G$8='DropDown Lists'!$L$6</xm:f>
            <x14:dxf>
              <font>
                <color theme="0"/>
              </font>
            </x14:dxf>
          </x14:cfRule>
          <x14:cfRule type="expression" priority="17" id="{C4548020-4C94-4966-9DD0-5870887BB903}">
            <xm:f>G$8='DropDown Lists'!$E$6</xm:f>
            <x14:dxf>
              <font>
                <color theme="0"/>
              </font>
            </x14:dxf>
          </x14:cfRule>
          <x14:cfRule type="expression" priority="18" id="{B54A6D71-2BF6-484B-8559-7CA855C7F57A}">
            <xm:f>G$8='DropDown Lists'!$E$5</xm:f>
            <x14:dxf>
              <fill>
                <patternFill>
                  <bgColor theme="8" tint="0.59996337778862885"/>
                </patternFill>
              </fill>
            </x14:dxf>
          </x14:cfRule>
          <x14:cfRule type="expression" priority="19" id="{3548928C-B3B7-4AD6-9816-21B448979418}">
            <xm:f>G$8='DropDown Lists'!$E$7</xm:f>
            <x14:dxf>
              <fill>
                <patternFill>
                  <bgColor theme="9" tint="0.59996337778862885"/>
                </patternFill>
              </fill>
            </x14:dxf>
          </x14:cfRule>
          <x14:cfRule type="expression" priority="20" id="{EBAB0539-B112-4A91-B07D-6322B5E50B2B}">
            <xm:f>G$8='DropDown Lists'!$E$4</xm:f>
            <x14:dxf>
              <fill>
                <patternFill>
                  <bgColor theme="5" tint="0.39994506668294322"/>
                </patternFill>
              </fill>
            </x14:dxf>
          </x14:cfRule>
          <xm:sqref>G2:G85</xm:sqref>
        </x14:conditionalFormatting>
        <x14:conditionalFormatting xmlns:xm="http://schemas.microsoft.com/office/excel/2006/main">
          <x14:cfRule type="expression" priority="11" id="{A7AFDCA0-8652-48D2-B560-C18269622639}">
            <xm:f>G$8='DropDown Lists'!$L$6</xm:f>
            <x14:dxf>
              <font>
                <color theme="0"/>
              </font>
            </x14:dxf>
          </x14:cfRule>
          <x14:cfRule type="expression" priority="12" id="{BBBD4ED7-C1ED-4377-92A1-93DDA25E68EF}">
            <xm:f>G$8='DropDown Lists'!$E$6</xm:f>
            <x14:dxf>
              <font>
                <color theme="0"/>
              </font>
            </x14:dxf>
          </x14:cfRule>
          <x14:cfRule type="expression" priority="13" id="{E50BE10C-379E-4F7E-AF22-FD52F624721F}">
            <xm:f>G$8='DropDown Lists'!$E$5</xm:f>
            <x14:dxf>
              <fill>
                <patternFill>
                  <bgColor theme="8" tint="0.59996337778862885"/>
                </patternFill>
              </fill>
            </x14:dxf>
          </x14:cfRule>
          <x14:cfRule type="expression" priority="14" id="{6E907917-1029-4FEC-8DB7-540914B0CA02}">
            <xm:f>G$8='DropDown Lists'!$E$7</xm:f>
            <x14:dxf>
              <fill>
                <patternFill>
                  <bgColor theme="9" tint="0.59996337778862885"/>
                </patternFill>
              </fill>
            </x14:dxf>
          </x14:cfRule>
          <x14:cfRule type="expression" priority="15" id="{49C9C7AA-480C-4CE7-9AE5-BC34957E1667}">
            <xm:f>G$8='DropDown Lists'!$E$4</xm:f>
            <x14:dxf>
              <fill>
                <patternFill>
                  <bgColor theme="5" tint="0.39994506668294322"/>
                </patternFill>
              </fill>
            </x14:dxf>
          </x14:cfRule>
          <xm:sqref>G87:G130</xm:sqref>
        </x14:conditionalFormatting>
        <x14:conditionalFormatting xmlns:xm="http://schemas.microsoft.com/office/excel/2006/main">
          <x14:cfRule type="expression" priority="6" id="{FE237867-6B1F-49EC-9B55-D47A8F8A95A9}">
            <xm:f>D$7='DropDown Lists'!$L$6</xm:f>
            <x14:dxf>
              <font>
                <color theme="0"/>
              </font>
            </x14:dxf>
          </x14:cfRule>
          <x14:cfRule type="expression" priority="7" id="{DEE851C5-DCC6-40BD-B166-3783B737E5FD}">
            <xm:f>D$7='DropDown Lists'!$E$6</xm:f>
            <x14:dxf>
              <font>
                <color theme="0"/>
              </font>
            </x14:dxf>
          </x14:cfRule>
          <x14:cfRule type="expression" priority="8" id="{E61BEEB9-A679-4590-8F10-B056A95E12B8}">
            <xm:f>D$7='DropDown Lists'!$E$5</xm:f>
            <x14:dxf>
              <fill>
                <patternFill>
                  <bgColor theme="8" tint="0.59996337778862885"/>
                </patternFill>
              </fill>
            </x14:dxf>
          </x14:cfRule>
          <x14:cfRule type="expression" priority="9" id="{EACD78CD-B554-48DA-AC15-FEBCC1CE064E}">
            <xm:f>D$7='DropDown Lists'!$E$7</xm:f>
            <x14:dxf>
              <fill>
                <patternFill>
                  <bgColor theme="9" tint="0.59996337778862885"/>
                </patternFill>
              </fill>
            </x14:dxf>
          </x14:cfRule>
          <x14:cfRule type="expression" priority="10" id="{AC9BBBC6-9BFA-47C8-93E3-9BC4A6449A20}">
            <xm:f>D$7='DropDown Lists'!$E$4</xm:f>
            <x14:dxf>
              <fill>
                <patternFill>
                  <bgColor theme="5" tint="0.39994506668294322"/>
                </patternFill>
              </fill>
            </x14:dxf>
          </x14:cfRule>
          <xm:sqref>D2:D77</xm:sqref>
        </x14:conditionalFormatting>
        <x14:conditionalFormatting xmlns:xm="http://schemas.microsoft.com/office/excel/2006/main">
          <x14:cfRule type="expression" priority="1" id="{022F3D06-3F37-41A3-9F83-F13CDDD5C918}">
            <xm:f>B$7='DropDown Lists'!$L$6</xm:f>
            <x14:dxf>
              <font>
                <color theme="0"/>
              </font>
            </x14:dxf>
          </x14:cfRule>
          <x14:cfRule type="expression" priority="2" id="{D22E2728-B4DF-4788-B360-09BB9A60DC0D}">
            <xm:f>B$7='DropDown Lists'!$E$6</xm:f>
            <x14:dxf>
              <font>
                <color theme="0"/>
              </font>
            </x14:dxf>
          </x14:cfRule>
          <x14:cfRule type="expression" priority="3" id="{8A016B11-93A4-4F0B-891F-68ABF6109559}">
            <xm:f>B$7='DropDown Lists'!$E$5</xm:f>
            <x14:dxf>
              <fill>
                <patternFill>
                  <bgColor theme="8" tint="0.59996337778862885"/>
                </patternFill>
              </fill>
            </x14:dxf>
          </x14:cfRule>
          <x14:cfRule type="expression" priority="4" id="{6BE33FEF-378C-4317-8A8B-0A6D8E90B2D2}">
            <xm:f>B$7='DropDown Lists'!$E$7</xm:f>
            <x14:dxf>
              <fill>
                <patternFill>
                  <bgColor theme="9" tint="0.59996337778862885"/>
                </patternFill>
              </fill>
            </x14:dxf>
          </x14:cfRule>
          <x14:cfRule type="expression" priority="5" id="{825FE122-4209-448B-851A-C0DCCC2CBF03}">
            <xm:f>B$7='DropDown Lists'!$E$4</xm:f>
            <x14:dxf>
              <fill>
                <patternFill>
                  <bgColor theme="5" tint="0.39994506668294322"/>
                </patternFill>
              </fill>
            </x14:dxf>
          </x14:cfRule>
          <xm:sqref>B2:B41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I28"/>
  <sheetViews>
    <sheetView workbookViewId="0">
      <selection activeCell="L15" sqref="L15"/>
    </sheetView>
  </sheetViews>
  <sheetFormatPr defaultRowHeight="15" x14ac:dyDescent="0.25"/>
  <cols>
    <col min="2" max="2" width="17.28515625" bestFit="1" customWidth="1"/>
    <col min="3" max="3" width="4" bestFit="1" customWidth="1"/>
    <col min="4" max="4" width="8.42578125" bestFit="1" customWidth="1"/>
  </cols>
  <sheetData>
    <row r="1" spans="2:87" x14ac:dyDescent="0.25">
      <c r="B1" t="s">
        <v>351</v>
      </c>
      <c r="C1">
        <v>4</v>
      </c>
      <c r="D1" t="s">
        <v>352</v>
      </c>
    </row>
    <row r="2" spans="2:87" x14ac:dyDescent="0.25">
      <c r="B2" t="s">
        <v>353</v>
      </c>
      <c r="C2">
        <v>4</v>
      </c>
      <c r="D2" t="s">
        <v>352</v>
      </c>
    </row>
    <row r="5" spans="2:87" x14ac:dyDescent="0.25">
      <c r="B5" t="s">
        <v>358</v>
      </c>
      <c r="D5" t="str">
        <f>'Program Page'!T8</f>
        <v>1A</v>
      </c>
      <c r="E5" t="str">
        <f>'Program Page'!U8</f>
        <v>1B</v>
      </c>
      <c r="F5" t="str">
        <f>'Program Page'!V8</f>
        <v>1C</v>
      </c>
      <c r="G5" t="str">
        <f>'Program Page'!W8</f>
        <v>1D</v>
      </c>
      <c r="H5" t="str">
        <f>'Program Page'!X8</f>
        <v>1E</v>
      </c>
      <c r="I5" t="str">
        <f>'Program Page'!Y8</f>
        <v>1F</v>
      </c>
      <c r="J5" t="str">
        <f>'Program Page'!Z8</f>
        <v>1G</v>
      </c>
      <c r="K5" t="str">
        <f>'Program Page'!AA8</f>
        <v>2A</v>
      </c>
      <c r="L5" t="str">
        <f>'Program Page'!AB8</f>
        <v>2B</v>
      </c>
      <c r="M5" t="str">
        <f>'Program Page'!AC8</f>
        <v>2C</v>
      </c>
      <c r="N5" t="str">
        <f>'Program Page'!AD8</f>
        <v>2D</v>
      </c>
      <c r="O5" t="str">
        <f>'Program Page'!AE8</f>
        <v>2E</v>
      </c>
      <c r="P5" t="str">
        <f>'Program Page'!AF8</f>
        <v>2F</v>
      </c>
      <c r="Q5" t="str">
        <f>'Program Page'!AG8</f>
        <v>2G</v>
      </c>
      <c r="R5" t="str">
        <f>'Program Page'!AH8</f>
        <v>3A</v>
      </c>
      <c r="S5" t="str">
        <f>'Program Page'!AI8</f>
        <v>3B</v>
      </c>
      <c r="T5" t="str">
        <f>'Program Page'!AJ8</f>
        <v>3C</v>
      </c>
      <c r="U5" t="str">
        <f>'Program Page'!AK8</f>
        <v>3D</v>
      </c>
      <c r="V5" t="str">
        <f>'Program Page'!AL8</f>
        <v>3E</v>
      </c>
      <c r="W5" t="str">
        <f>'Program Page'!AM8</f>
        <v>3F</v>
      </c>
      <c r="X5" t="str">
        <f>'Program Page'!AN8</f>
        <v>3G</v>
      </c>
      <c r="Y5" t="str">
        <f>'Program Page'!AO8</f>
        <v>4A</v>
      </c>
      <c r="Z5" t="str">
        <f>'Program Page'!AP8</f>
        <v>4B</v>
      </c>
      <c r="AA5" t="str">
        <f>'Program Page'!AQ8</f>
        <v>4C</v>
      </c>
      <c r="AB5" t="str">
        <f>'Program Page'!AR8</f>
        <v>4D</v>
      </c>
      <c r="AC5" t="str">
        <f>'Program Page'!AS8</f>
        <v>4E</v>
      </c>
      <c r="AD5" t="str">
        <f>'Program Page'!AT8</f>
        <v>4F</v>
      </c>
      <c r="AE5" t="str">
        <f>'Program Page'!AU8</f>
        <v>4G</v>
      </c>
      <c r="AF5" t="str">
        <f>'Program Page'!AV8</f>
        <v>5A</v>
      </c>
      <c r="AG5" t="str">
        <f>'Program Page'!AW8</f>
        <v>5B</v>
      </c>
      <c r="AH5" t="str">
        <f>'Program Page'!AX8</f>
        <v>5C</v>
      </c>
      <c r="AI5" t="str">
        <f>'Program Page'!AY8</f>
        <v>5D</v>
      </c>
      <c r="AJ5" t="str">
        <f>'Program Page'!AZ8</f>
        <v>5E</v>
      </c>
      <c r="AK5" t="str">
        <f>'Program Page'!BA8</f>
        <v>5F</v>
      </c>
      <c r="AL5" t="str">
        <f>'Program Page'!BB8</f>
        <v>5G</v>
      </c>
      <c r="AM5" t="str">
        <f>'Program Page'!BC8</f>
        <v>6A</v>
      </c>
      <c r="AN5" t="str">
        <f>'Program Page'!BD8</f>
        <v>6B</v>
      </c>
      <c r="AO5" t="str">
        <f>'Program Page'!BE8</f>
        <v>6C</v>
      </c>
      <c r="AP5" t="str">
        <f>'Program Page'!BF8</f>
        <v>6D</v>
      </c>
      <c r="AQ5" t="str">
        <f>'Program Page'!BG8</f>
        <v>6E</v>
      </c>
      <c r="AR5" t="str">
        <f>'Program Page'!BH8</f>
        <v>6F</v>
      </c>
      <c r="AS5" t="str">
        <f>'Program Page'!BI8</f>
        <v>6G</v>
      </c>
      <c r="AT5" t="str">
        <f>'Program Page'!BJ8</f>
        <v>7A</v>
      </c>
      <c r="AU5" t="str">
        <f>'Program Page'!BK8</f>
        <v>7B</v>
      </c>
      <c r="AV5" t="str">
        <f>'Program Page'!BL8</f>
        <v>7C</v>
      </c>
      <c r="AW5" t="str">
        <f>'Program Page'!BM8</f>
        <v>7D</v>
      </c>
      <c r="AX5" t="str">
        <f>'Program Page'!BN8</f>
        <v>7E</v>
      </c>
      <c r="AY5" t="str">
        <f>'Program Page'!BO8</f>
        <v>7F</v>
      </c>
      <c r="AZ5" t="str">
        <f>'Program Page'!BP8</f>
        <v>7G</v>
      </c>
      <c r="BA5" t="str">
        <f>'Program Page'!BQ8</f>
        <v>8A</v>
      </c>
      <c r="BB5" t="str">
        <f>'Program Page'!BR8</f>
        <v>8B</v>
      </c>
      <c r="BC5" t="str">
        <f>'Program Page'!BS8</f>
        <v>8C</v>
      </c>
      <c r="BD5" t="str">
        <f>'Program Page'!BT8</f>
        <v>8D</v>
      </c>
      <c r="BE5" t="str">
        <f>'Program Page'!BU8</f>
        <v>8E</v>
      </c>
      <c r="BF5" t="str">
        <f>'Program Page'!BV8</f>
        <v>8F</v>
      </c>
      <c r="BG5" t="str">
        <f>'Program Page'!BW8</f>
        <v>8G</v>
      </c>
      <c r="BH5" t="str">
        <f>'Program Page'!BX8</f>
        <v>9A</v>
      </c>
      <c r="BI5" t="str">
        <f>'Program Page'!BY8</f>
        <v>9B</v>
      </c>
      <c r="BJ5" t="str">
        <f>'Program Page'!BZ8</f>
        <v>9C</v>
      </c>
      <c r="BK5" t="str">
        <f>'Program Page'!CA8</f>
        <v>9D</v>
      </c>
      <c r="BL5" t="str">
        <f>'Program Page'!CB8</f>
        <v>9E</v>
      </c>
      <c r="BM5" t="str">
        <f>'Program Page'!CC8</f>
        <v>9F</v>
      </c>
      <c r="BN5" t="str">
        <f>'Program Page'!CD8</f>
        <v>9G</v>
      </c>
      <c r="BO5" t="str">
        <f>'Program Page'!CE8</f>
        <v>10A</v>
      </c>
      <c r="BP5" t="str">
        <f>'Program Page'!CF8</f>
        <v>10B</v>
      </c>
      <c r="BQ5" t="str">
        <f>'Program Page'!CG8</f>
        <v>10C</v>
      </c>
      <c r="BR5" t="str">
        <f>'Program Page'!CH8</f>
        <v>10D</v>
      </c>
      <c r="BS5" t="str">
        <f>'Program Page'!CI8</f>
        <v>10E</v>
      </c>
      <c r="BT5" t="str">
        <f>'Program Page'!CJ8</f>
        <v>10F</v>
      </c>
      <c r="BU5" t="str">
        <f>'Program Page'!CK8</f>
        <v>10G</v>
      </c>
      <c r="BV5" t="str">
        <f>'Program Page'!CL8</f>
        <v>11A</v>
      </c>
      <c r="BW5" t="str">
        <f>'Program Page'!CM8</f>
        <v>11B</v>
      </c>
      <c r="BX5" t="str">
        <f>'Program Page'!CN8</f>
        <v>11C</v>
      </c>
      <c r="BY5" t="str">
        <f>'Program Page'!CO8</f>
        <v>11D</v>
      </c>
      <c r="BZ5" t="str">
        <f>'Program Page'!CP8</f>
        <v>11E</v>
      </c>
      <c r="CA5" t="str">
        <f>'Program Page'!CQ8</f>
        <v>11F</v>
      </c>
      <c r="CB5" t="str">
        <f>'Program Page'!CR8</f>
        <v>11G</v>
      </c>
      <c r="CC5" t="str">
        <f>'Program Page'!CS8</f>
        <v>12A</v>
      </c>
      <c r="CD5" t="str">
        <f>'Program Page'!CT8</f>
        <v>12B</v>
      </c>
      <c r="CE5" t="str">
        <f>'Program Page'!CU8</f>
        <v>12C</v>
      </c>
      <c r="CF5" t="str">
        <f>'Program Page'!CV8</f>
        <v>12D</v>
      </c>
      <c r="CG5" t="str">
        <f>'Program Page'!CW8</f>
        <v>12E</v>
      </c>
      <c r="CH5" t="str">
        <f>'Program Page'!CX8</f>
        <v>12F</v>
      </c>
      <c r="CI5" t="str">
        <f>'Program Page'!CY8</f>
        <v>12G</v>
      </c>
    </row>
    <row r="6" spans="2:87" x14ac:dyDescent="0.25">
      <c r="B6" t="s">
        <v>359</v>
      </c>
      <c r="D6" t="str">
        <f>IF('Program Page'!T16&lt;&gt;"",'Program Page'!T16,"")</f>
        <v>7a,18f</v>
      </c>
      <c r="E6" t="str">
        <f>IF('Program Page'!U16&lt;&gt;"",'Program Page'!U16,"")</f>
        <v/>
      </c>
      <c r="F6" t="str">
        <f>IF('Program Page'!V16&lt;&gt;"",'Program Page'!V16,"")</f>
        <v/>
      </c>
      <c r="G6" t="str">
        <f>IF('Program Page'!W16&lt;&gt;"",'Program Page'!W16,"")</f>
        <v/>
      </c>
      <c r="H6" t="str">
        <f>IF('Program Page'!X16&lt;&gt;"",'Program Page'!X16,"")</f>
        <v/>
      </c>
      <c r="I6" t="str">
        <f>IF('Program Page'!Y16&lt;&gt;"",'Program Page'!Y16,"")</f>
        <v/>
      </c>
      <c r="J6" t="str">
        <f>IF('Program Page'!Z16&lt;&gt;"",'Program Page'!Z16,"")</f>
        <v/>
      </c>
      <c r="K6" t="str">
        <f>IF('Program Page'!AA16&lt;&gt;"",'Program Page'!AA16,"")</f>
        <v/>
      </c>
      <c r="L6" t="str">
        <f>IF('Program Page'!AB16&lt;&gt;"",'Program Page'!AB16,"")</f>
        <v/>
      </c>
      <c r="M6" t="str">
        <f>IF('Program Page'!AC16&lt;&gt;"",'Program Page'!AC16,"")</f>
        <v/>
      </c>
      <c r="N6" t="str">
        <f>IF('Program Page'!AD16&lt;&gt;"",'Program Page'!AD16,"")</f>
        <v/>
      </c>
      <c r="O6" t="str">
        <f>IF('Program Page'!AE16&lt;&gt;"",'Program Page'!AE16,"")</f>
        <v/>
      </c>
      <c r="P6" t="str">
        <f>IF('Program Page'!AF16&lt;&gt;"",'Program Page'!AF16,"")</f>
        <v/>
      </c>
      <c r="Q6" t="str">
        <f>IF('Program Page'!AG16&lt;&gt;"",'Program Page'!AG16,"")</f>
        <v/>
      </c>
      <c r="R6" t="str">
        <f>IF('Program Page'!AH16&lt;&gt;"",'Program Page'!AH16,"")</f>
        <v/>
      </c>
      <c r="S6" t="str">
        <f>IF('Program Page'!AI16&lt;&gt;"",'Program Page'!AI16,"")</f>
        <v/>
      </c>
      <c r="T6" t="str">
        <f>IF('Program Page'!AJ16&lt;&gt;"",'Program Page'!AJ16,"")</f>
        <v/>
      </c>
      <c r="U6" t="str">
        <f>IF('Program Page'!AK16&lt;&gt;"",'Program Page'!AK16,"")</f>
        <v/>
      </c>
      <c r="V6" t="str">
        <f>IF('Program Page'!AL16&lt;&gt;"",'Program Page'!AL16,"")</f>
        <v/>
      </c>
      <c r="W6" t="str">
        <f>IF('Program Page'!AM16&lt;&gt;"",'Program Page'!AM16,"")</f>
        <v/>
      </c>
      <c r="X6" t="str">
        <f>IF('Program Page'!AN16&lt;&gt;"",'Program Page'!AN16,"")</f>
        <v/>
      </c>
      <c r="Y6" t="str">
        <f>IF('Program Page'!AO16&lt;&gt;"",'Program Page'!AO16,"")</f>
        <v/>
      </c>
      <c r="Z6" t="str">
        <f>IF('Program Page'!AP16&lt;&gt;"",'Program Page'!AP16,"")</f>
        <v/>
      </c>
      <c r="AA6" t="str">
        <f>IF('Program Page'!AQ16&lt;&gt;"",'Program Page'!AQ16,"")</f>
        <v/>
      </c>
      <c r="AB6" t="str">
        <f>IF('Program Page'!AR16&lt;&gt;"",'Program Page'!AR16,"")</f>
        <v/>
      </c>
      <c r="AC6" t="str">
        <f>IF('Program Page'!AS16&lt;&gt;"",'Program Page'!AS16,"")</f>
        <v/>
      </c>
      <c r="AD6" t="str">
        <f>IF('Program Page'!AT16&lt;&gt;"",'Program Page'!AT16,"")</f>
        <v/>
      </c>
      <c r="AE6" t="str">
        <f>IF('Program Page'!AU16&lt;&gt;"",'Program Page'!AU16,"")</f>
        <v/>
      </c>
      <c r="AF6" t="str">
        <f>IF('Program Page'!AV16&lt;&gt;"",'Program Page'!AV16,"")</f>
        <v/>
      </c>
      <c r="AG6" t="str">
        <f>IF('Program Page'!AW16&lt;&gt;"",'Program Page'!AW16,"")</f>
        <v/>
      </c>
      <c r="AH6" t="str">
        <f>IF('Program Page'!AX16&lt;&gt;"",'Program Page'!AX16,"")</f>
        <v/>
      </c>
      <c r="AI6" t="str">
        <f>IF('Program Page'!AY16&lt;&gt;"",'Program Page'!AY16,"")</f>
        <v/>
      </c>
      <c r="AJ6" t="str">
        <f>IF('Program Page'!AZ16&lt;&gt;"",'Program Page'!AZ16,"")</f>
        <v/>
      </c>
      <c r="AK6" t="str">
        <f>IF('Program Page'!BA16&lt;&gt;"",'Program Page'!BA16,"")</f>
        <v/>
      </c>
      <c r="AL6" t="str">
        <f>IF('Program Page'!BB16&lt;&gt;"",'Program Page'!BB16,"")</f>
        <v/>
      </c>
      <c r="AM6" t="str">
        <f>IF('Program Page'!BC16&lt;&gt;"",'Program Page'!BC16,"")</f>
        <v/>
      </c>
      <c r="AN6" t="str">
        <f>IF('Program Page'!BD16&lt;&gt;"",'Program Page'!BD16,"")</f>
        <v/>
      </c>
      <c r="AO6" t="str">
        <f>IF('Program Page'!BE16&lt;&gt;"",'Program Page'!BE16,"")</f>
        <v/>
      </c>
      <c r="AP6" t="str">
        <f>IF('Program Page'!BF16&lt;&gt;"",'Program Page'!BF16,"")</f>
        <v/>
      </c>
      <c r="AQ6" t="str">
        <f>IF('Program Page'!BG16&lt;&gt;"",'Program Page'!BG16,"")</f>
        <v/>
      </c>
      <c r="AR6" t="str">
        <f>IF('Program Page'!BH16&lt;&gt;"",'Program Page'!BH16,"")</f>
        <v/>
      </c>
      <c r="AS6" t="str">
        <f>IF('Program Page'!BI16&lt;&gt;"",'Program Page'!BI16,"")</f>
        <v/>
      </c>
      <c r="AT6" t="str">
        <f>IF('Program Page'!BJ16&lt;&gt;"",'Program Page'!BJ16,"")</f>
        <v/>
      </c>
      <c r="AU6" t="str">
        <f>IF('Program Page'!BK16&lt;&gt;"",'Program Page'!BK16,"")</f>
        <v/>
      </c>
      <c r="AV6" t="str">
        <f>IF('Program Page'!BL16&lt;&gt;"",'Program Page'!BL16,"")</f>
        <v/>
      </c>
      <c r="AW6" t="str">
        <f>IF('Program Page'!BM16&lt;&gt;"",'Program Page'!BM16,"")</f>
        <v/>
      </c>
      <c r="AX6" t="str">
        <f>IF('Program Page'!BN16&lt;&gt;"",'Program Page'!BN16,"")</f>
        <v/>
      </c>
      <c r="AY6" t="str">
        <f>IF('Program Page'!BO16&lt;&gt;"",'Program Page'!BO16,"")</f>
        <v/>
      </c>
      <c r="AZ6" t="str">
        <f>IF('Program Page'!BP16&lt;&gt;"",'Program Page'!BP16,"")</f>
        <v/>
      </c>
      <c r="BA6" t="str">
        <f>IF('Program Page'!BQ16&lt;&gt;"",'Program Page'!BQ16,"")</f>
        <v/>
      </c>
      <c r="BB6" t="str">
        <f>IF('Program Page'!BR16&lt;&gt;"",'Program Page'!BR16,"")</f>
        <v/>
      </c>
      <c r="BC6" t="str">
        <f>IF('Program Page'!BS16&lt;&gt;"",'Program Page'!BS16,"")</f>
        <v/>
      </c>
      <c r="BD6" t="str">
        <f>IF('Program Page'!BT16&lt;&gt;"",'Program Page'!BT16,"")</f>
        <v/>
      </c>
      <c r="BE6" t="str">
        <f>IF('Program Page'!BU16&lt;&gt;"",'Program Page'!BU16,"")</f>
        <v/>
      </c>
      <c r="BF6" t="str">
        <f>IF('Program Page'!BV16&lt;&gt;"",'Program Page'!BV16,"")</f>
        <v/>
      </c>
      <c r="BG6" t="str">
        <f>IF('Program Page'!BW16&lt;&gt;"",'Program Page'!BW16,"")</f>
        <v/>
      </c>
      <c r="BH6" t="str">
        <f>IF('Program Page'!BX16&lt;&gt;"",'Program Page'!BX16,"")</f>
        <v/>
      </c>
      <c r="BI6" t="str">
        <f>IF('Program Page'!BY16&lt;&gt;"",'Program Page'!BY16,"")</f>
        <v/>
      </c>
      <c r="BJ6" t="str">
        <f>IF('Program Page'!BZ16&lt;&gt;"",'Program Page'!BZ16,"")</f>
        <v/>
      </c>
      <c r="BK6" t="str">
        <f>IF('Program Page'!CA16&lt;&gt;"",'Program Page'!CA16,"")</f>
        <v/>
      </c>
      <c r="BL6" t="str">
        <f>IF('Program Page'!CB16&lt;&gt;"",'Program Page'!CB16,"")</f>
        <v/>
      </c>
      <c r="BM6" t="str">
        <f>IF('Program Page'!CC16&lt;&gt;"",'Program Page'!CC16,"")</f>
        <v/>
      </c>
      <c r="BN6" t="str">
        <f>IF('Program Page'!CD16&lt;&gt;"",'Program Page'!CD16,"")</f>
        <v/>
      </c>
      <c r="BO6" t="str">
        <f>IF('Program Page'!CE16&lt;&gt;"",'Program Page'!CE16,"")</f>
        <v/>
      </c>
      <c r="BP6" t="str">
        <f>IF('Program Page'!CF16&lt;&gt;"",'Program Page'!CF16,"")</f>
        <v/>
      </c>
      <c r="BQ6" t="str">
        <f>IF('Program Page'!CG16&lt;&gt;"",'Program Page'!CG16,"")</f>
        <v/>
      </c>
      <c r="BR6" t="str">
        <f>IF('Program Page'!CH16&lt;&gt;"",'Program Page'!CH16,"")</f>
        <v/>
      </c>
      <c r="BS6" t="str">
        <f>IF('Program Page'!CI16&lt;&gt;"",'Program Page'!CI16,"")</f>
        <v/>
      </c>
      <c r="BT6" t="str">
        <f>IF('Program Page'!CJ16&lt;&gt;"",'Program Page'!CJ16,"")</f>
        <v/>
      </c>
      <c r="BU6" t="str">
        <f>IF('Program Page'!CK16&lt;&gt;"",'Program Page'!CK16,"")</f>
        <v/>
      </c>
      <c r="BV6" t="str">
        <f>IF('Program Page'!CL16&lt;&gt;"",'Program Page'!CL16,"")</f>
        <v/>
      </c>
      <c r="BW6" t="str">
        <f>IF('Program Page'!CM16&lt;&gt;"",'Program Page'!CM16,"")</f>
        <v/>
      </c>
      <c r="BX6" t="str">
        <f>IF('Program Page'!CN16&lt;&gt;"",'Program Page'!CN16,"")</f>
        <v/>
      </c>
      <c r="BY6" t="str">
        <f>IF('Program Page'!CO16&lt;&gt;"",'Program Page'!CO16,"")</f>
        <v/>
      </c>
      <c r="BZ6" t="str">
        <f>IF('Program Page'!CP16&lt;&gt;"",'Program Page'!CP16,"")</f>
        <v/>
      </c>
      <c r="CA6" t="str">
        <f>IF('Program Page'!CQ16&lt;&gt;"",'Program Page'!CQ16,"")</f>
        <v/>
      </c>
      <c r="CB6" t="str">
        <f>IF('Program Page'!CR16&lt;&gt;"",'Program Page'!CR16,"")</f>
        <v/>
      </c>
      <c r="CC6" t="str">
        <f>IF('Program Page'!CS16&lt;&gt;"",'Program Page'!CS16,"")</f>
        <v/>
      </c>
      <c r="CD6" t="str">
        <f>IF('Program Page'!CT16&lt;&gt;"",'Program Page'!CT16,"")</f>
        <v/>
      </c>
      <c r="CE6" t="str">
        <f>IF('Program Page'!CU16&lt;&gt;"",'Program Page'!CU16,"")</f>
        <v/>
      </c>
      <c r="CF6" t="str">
        <f>IF('Program Page'!CV16&lt;&gt;"",'Program Page'!CV16,"")</f>
        <v/>
      </c>
      <c r="CG6" t="str">
        <f>IF('Program Page'!CW16&lt;&gt;"",'Program Page'!CW16,"")</f>
        <v/>
      </c>
      <c r="CH6" t="str">
        <f>IF('Program Page'!CX16&lt;&gt;"",'Program Page'!CX16,"")</f>
        <v/>
      </c>
      <c r="CI6" t="str">
        <f>IF('Program Page'!CY16&lt;&gt;"",'Program Page'!CY16,"")</f>
        <v/>
      </c>
    </row>
    <row r="7" spans="2:87" x14ac:dyDescent="0.25">
      <c r="B7" t="s">
        <v>360</v>
      </c>
      <c r="D7" t="str">
        <f>IF(D6&lt;&gt;"",LEFT(D6, SEARCH(",",D6,1)-1),"")</f>
        <v>7a</v>
      </c>
      <c r="E7" t="str">
        <f t="shared" ref="E7:BP7" si="0">IF(E6&lt;&gt;"",LEFT(E6, SEARCH(",",E6,1)-1),"")</f>
        <v/>
      </c>
      <c r="F7" t="str">
        <f t="shared" si="0"/>
        <v/>
      </c>
      <c r="G7" t="str">
        <f t="shared" si="0"/>
        <v/>
      </c>
      <c r="H7" t="str">
        <f t="shared" si="0"/>
        <v/>
      </c>
      <c r="I7" t="str">
        <f t="shared" si="0"/>
        <v/>
      </c>
      <c r="J7" t="str">
        <f t="shared" si="0"/>
        <v/>
      </c>
      <c r="K7" t="str">
        <f t="shared" si="0"/>
        <v/>
      </c>
      <c r="L7" t="str">
        <f t="shared" si="0"/>
        <v/>
      </c>
      <c r="M7" t="str">
        <f t="shared" si="0"/>
        <v/>
      </c>
      <c r="N7" t="str">
        <f t="shared" si="0"/>
        <v/>
      </c>
      <c r="O7" t="str">
        <f t="shared" si="0"/>
        <v/>
      </c>
      <c r="P7" t="str">
        <f t="shared" si="0"/>
        <v/>
      </c>
      <c r="Q7" t="str">
        <f t="shared" si="0"/>
        <v/>
      </c>
      <c r="R7" t="str">
        <f t="shared" si="0"/>
        <v/>
      </c>
      <c r="S7" t="str">
        <f t="shared" si="0"/>
        <v/>
      </c>
      <c r="T7" t="str">
        <f t="shared" si="0"/>
        <v/>
      </c>
      <c r="U7" t="str">
        <f t="shared" si="0"/>
        <v/>
      </c>
      <c r="V7" t="str">
        <f t="shared" si="0"/>
        <v/>
      </c>
      <c r="W7" t="str">
        <f t="shared" si="0"/>
        <v/>
      </c>
      <c r="X7" t="str">
        <f t="shared" si="0"/>
        <v/>
      </c>
      <c r="Y7" t="str">
        <f t="shared" si="0"/>
        <v/>
      </c>
      <c r="Z7" t="str">
        <f t="shared" si="0"/>
        <v/>
      </c>
      <c r="AA7" t="str">
        <f t="shared" si="0"/>
        <v/>
      </c>
      <c r="AB7" t="str">
        <f t="shared" si="0"/>
        <v/>
      </c>
      <c r="AC7" t="str">
        <f t="shared" si="0"/>
        <v/>
      </c>
      <c r="AD7" t="str">
        <f t="shared" si="0"/>
        <v/>
      </c>
      <c r="AE7" t="str">
        <f t="shared" si="0"/>
        <v/>
      </c>
      <c r="AF7" t="str">
        <f t="shared" si="0"/>
        <v/>
      </c>
      <c r="AG7" t="str">
        <f t="shared" si="0"/>
        <v/>
      </c>
      <c r="AH7" t="str">
        <f t="shared" si="0"/>
        <v/>
      </c>
      <c r="AI7" t="str">
        <f t="shared" si="0"/>
        <v/>
      </c>
      <c r="AJ7" t="str">
        <f t="shared" si="0"/>
        <v/>
      </c>
      <c r="AK7" t="str">
        <f t="shared" si="0"/>
        <v/>
      </c>
      <c r="AL7" t="str">
        <f t="shared" si="0"/>
        <v/>
      </c>
      <c r="AM7" t="str">
        <f t="shared" si="0"/>
        <v/>
      </c>
      <c r="AN7" t="str">
        <f t="shared" si="0"/>
        <v/>
      </c>
      <c r="AO7" t="str">
        <f t="shared" si="0"/>
        <v/>
      </c>
      <c r="AP7" t="str">
        <f t="shared" si="0"/>
        <v/>
      </c>
      <c r="AQ7" t="str">
        <f t="shared" si="0"/>
        <v/>
      </c>
      <c r="AR7" t="str">
        <f t="shared" si="0"/>
        <v/>
      </c>
      <c r="AS7" t="str">
        <f t="shared" si="0"/>
        <v/>
      </c>
      <c r="AT7" t="str">
        <f t="shared" si="0"/>
        <v/>
      </c>
      <c r="AU7" t="str">
        <f t="shared" si="0"/>
        <v/>
      </c>
      <c r="AV7" t="str">
        <f t="shared" si="0"/>
        <v/>
      </c>
      <c r="AW7" t="str">
        <f t="shared" si="0"/>
        <v/>
      </c>
      <c r="AX7" t="str">
        <f t="shared" si="0"/>
        <v/>
      </c>
      <c r="AY7" t="str">
        <f t="shared" si="0"/>
        <v/>
      </c>
      <c r="AZ7" t="str">
        <f t="shared" si="0"/>
        <v/>
      </c>
      <c r="BA7" t="str">
        <f t="shared" si="0"/>
        <v/>
      </c>
      <c r="BB7" t="str">
        <f t="shared" si="0"/>
        <v/>
      </c>
      <c r="BC7" t="str">
        <f t="shared" si="0"/>
        <v/>
      </c>
      <c r="BD7" t="str">
        <f t="shared" si="0"/>
        <v/>
      </c>
      <c r="BE7" t="str">
        <f t="shared" si="0"/>
        <v/>
      </c>
      <c r="BF7" t="str">
        <f t="shared" si="0"/>
        <v/>
      </c>
      <c r="BG7" t="str">
        <f t="shared" si="0"/>
        <v/>
      </c>
      <c r="BH7" t="str">
        <f t="shared" si="0"/>
        <v/>
      </c>
      <c r="BI7" t="str">
        <f t="shared" si="0"/>
        <v/>
      </c>
      <c r="BJ7" t="str">
        <f t="shared" si="0"/>
        <v/>
      </c>
      <c r="BK7" t="str">
        <f t="shared" si="0"/>
        <v/>
      </c>
      <c r="BL7" t="str">
        <f t="shared" si="0"/>
        <v/>
      </c>
      <c r="BM7" t="str">
        <f t="shared" si="0"/>
        <v/>
      </c>
      <c r="BN7" t="str">
        <f t="shared" si="0"/>
        <v/>
      </c>
      <c r="BO7" t="str">
        <f t="shared" si="0"/>
        <v/>
      </c>
      <c r="BP7" t="str">
        <f t="shared" si="0"/>
        <v/>
      </c>
      <c r="BQ7" t="str">
        <f t="shared" ref="BQ7:CI7" si="1">IF(BQ6&lt;&gt;"",LEFT(BQ6, SEARCH(",",BQ6,1)-1),"")</f>
        <v/>
      </c>
      <c r="BR7" t="str">
        <f t="shared" si="1"/>
        <v/>
      </c>
      <c r="BS7" t="str">
        <f t="shared" si="1"/>
        <v/>
      </c>
      <c r="BT7" t="str">
        <f t="shared" si="1"/>
        <v/>
      </c>
      <c r="BU7" t="str">
        <f t="shared" si="1"/>
        <v/>
      </c>
      <c r="BV7" t="str">
        <f t="shared" si="1"/>
        <v/>
      </c>
      <c r="BW7" t="str">
        <f t="shared" si="1"/>
        <v/>
      </c>
      <c r="BX7" t="str">
        <f t="shared" si="1"/>
        <v/>
      </c>
      <c r="BY7" t="str">
        <f t="shared" si="1"/>
        <v/>
      </c>
      <c r="BZ7" t="str">
        <f t="shared" si="1"/>
        <v/>
      </c>
      <c r="CA7" t="str">
        <f t="shared" si="1"/>
        <v/>
      </c>
      <c r="CB7" t="str">
        <f t="shared" si="1"/>
        <v/>
      </c>
      <c r="CC7" t="str">
        <f t="shared" si="1"/>
        <v/>
      </c>
      <c r="CD7" t="str">
        <f t="shared" si="1"/>
        <v/>
      </c>
      <c r="CE7" t="str">
        <f t="shared" si="1"/>
        <v/>
      </c>
      <c r="CF7" t="str">
        <f t="shared" si="1"/>
        <v/>
      </c>
      <c r="CG7" t="str">
        <f t="shared" si="1"/>
        <v/>
      </c>
      <c r="CH7" t="str">
        <f t="shared" si="1"/>
        <v/>
      </c>
      <c r="CI7" t="str">
        <f t="shared" si="1"/>
        <v/>
      </c>
    </row>
    <row r="8" spans="2:87" x14ac:dyDescent="0.25">
      <c r="B8" t="s">
        <v>361</v>
      </c>
      <c r="D8" t="str">
        <f>IF(D6&lt;&gt;"",(RIGHT(D6,LEN(D6) - SEARCH(",", D6, SEARCH(",", D6)))),"")</f>
        <v>18f</v>
      </c>
      <c r="E8" t="str">
        <f t="shared" ref="E8:BP8" si="2">IF(E6&lt;&gt;"",(RIGHT(E6,LEN(E6) - SEARCH(",", E6, SEARCH(",", E6)))),"")</f>
        <v/>
      </c>
      <c r="F8" t="str">
        <f t="shared" si="2"/>
        <v/>
      </c>
      <c r="G8" t="str">
        <f t="shared" si="2"/>
        <v/>
      </c>
      <c r="H8" t="str">
        <f t="shared" si="2"/>
        <v/>
      </c>
      <c r="I8" t="str">
        <f t="shared" si="2"/>
        <v/>
      </c>
      <c r="J8" t="str">
        <f t="shared" si="2"/>
        <v/>
      </c>
      <c r="K8" t="str">
        <f t="shared" si="2"/>
        <v/>
      </c>
      <c r="L8" t="str">
        <f t="shared" si="2"/>
        <v/>
      </c>
      <c r="M8" t="str">
        <f t="shared" si="2"/>
        <v/>
      </c>
      <c r="N8" t="str">
        <f t="shared" si="2"/>
        <v/>
      </c>
      <c r="O8" t="str">
        <f t="shared" si="2"/>
        <v/>
      </c>
      <c r="P8" t="str">
        <f t="shared" si="2"/>
        <v/>
      </c>
      <c r="Q8" t="str">
        <f t="shared" si="2"/>
        <v/>
      </c>
      <c r="R8" t="str">
        <f t="shared" si="2"/>
        <v/>
      </c>
      <c r="S8" t="str">
        <f t="shared" si="2"/>
        <v/>
      </c>
      <c r="T8" t="str">
        <f t="shared" si="2"/>
        <v/>
      </c>
      <c r="U8" t="str">
        <f t="shared" si="2"/>
        <v/>
      </c>
      <c r="V8" t="str">
        <f t="shared" si="2"/>
        <v/>
      </c>
      <c r="W8" t="str">
        <f t="shared" si="2"/>
        <v/>
      </c>
      <c r="X8" t="str">
        <f t="shared" si="2"/>
        <v/>
      </c>
      <c r="Y8" t="str">
        <f t="shared" si="2"/>
        <v/>
      </c>
      <c r="Z8" t="str">
        <f t="shared" si="2"/>
        <v/>
      </c>
      <c r="AA8" t="str">
        <f t="shared" si="2"/>
        <v/>
      </c>
      <c r="AB8" t="str">
        <f t="shared" si="2"/>
        <v/>
      </c>
      <c r="AC8" t="str">
        <f t="shared" si="2"/>
        <v/>
      </c>
      <c r="AD8" t="str">
        <f t="shared" si="2"/>
        <v/>
      </c>
      <c r="AE8" t="str">
        <f t="shared" si="2"/>
        <v/>
      </c>
      <c r="AF8" t="str">
        <f t="shared" si="2"/>
        <v/>
      </c>
      <c r="AG8" t="str">
        <f t="shared" si="2"/>
        <v/>
      </c>
      <c r="AH8" t="str">
        <f t="shared" si="2"/>
        <v/>
      </c>
      <c r="AI8" t="str">
        <f t="shared" si="2"/>
        <v/>
      </c>
      <c r="AJ8" t="str">
        <f t="shared" si="2"/>
        <v/>
      </c>
      <c r="AK8" t="str">
        <f t="shared" si="2"/>
        <v/>
      </c>
      <c r="AL8" t="str">
        <f t="shared" si="2"/>
        <v/>
      </c>
      <c r="AM8" t="str">
        <f t="shared" si="2"/>
        <v/>
      </c>
      <c r="AN8" t="str">
        <f t="shared" si="2"/>
        <v/>
      </c>
      <c r="AO8" t="str">
        <f t="shared" si="2"/>
        <v/>
      </c>
      <c r="AP8" t="str">
        <f t="shared" si="2"/>
        <v/>
      </c>
      <c r="AQ8" t="str">
        <f t="shared" si="2"/>
        <v/>
      </c>
      <c r="AR8" t="str">
        <f t="shared" si="2"/>
        <v/>
      </c>
      <c r="AS8" t="str">
        <f t="shared" si="2"/>
        <v/>
      </c>
      <c r="AT8" t="str">
        <f t="shared" si="2"/>
        <v/>
      </c>
      <c r="AU8" t="str">
        <f t="shared" si="2"/>
        <v/>
      </c>
      <c r="AV8" t="str">
        <f t="shared" si="2"/>
        <v/>
      </c>
      <c r="AW8" t="str">
        <f t="shared" si="2"/>
        <v/>
      </c>
      <c r="AX8" t="str">
        <f t="shared" si="2"/>
        <v/>
      </c>
      <c r="AY8" t="str">
        <f t="shared" si="2"/>
        <v/>
      </c>
      <c r="AZ8" t="str">
        <f t="shared" si="2"/>
        <v/>
      </c>
      <c r="BA8" t="str">
        <f t="shared" si="2"/>
        <v/>
      </c>
      <c r="BB8" t="str">
        <f t="shared" si="2"/>
        <v/>
      </c>
      <c r="BC8" t="str">
        <f t="shared" si="2"/>
        <v/>
      </c>
      <c r="BD8" t="str">
        <f t="shared" si="2"/>
        <v/>
      </c>
      <c r="BE8" t="str">
        <f t="shared" si="2"/>
        <v/>
      </c>
      <c r="BF8" t="str">
        <f t="shared" si="2"/>
        <v/>
      </c>
      <c r="BG8" t="str">
        <f t="shared" si="2"/>
        <v/>
      </c>
      <c r="BH8" t="str">
        <f t="shared" si="2"/>
        <v/>
      </c>
      <c r="BI8" t="str">
        <f t="shared" si="2"/>
        <v/>
      </c>
      <c r="BJ8" t="str">
        <f t="shared" si="2"/>
        <v/>
      </c>
      <c r="BK8" t="str">
        <f t="shared" si="2"/>
        <v/>
      </c>
      <c r="BL8" t="str">
        <f t="shared" si="2"/>
        <v/>
      </c>
      <c r="BM8" t="str">
        <f t="shared" si="2"/>
        <v/>
      </c>
      <c r="BN8" t="str">
        <f t="shared" si="2"/>
        <v/>
      </c>
      <c r="BO8" t="str">
        <f t="shared" si="2"/>
        <v/>
      </c>
      <c r="BP8" t="str">
        <f t="shared" si="2"/>
        <v/>
      </c>
      <c r="BQ8" t="str">
        <f t="shared" ref="BQ8:CI8" si="3">IF(BQ6&lt;&gt;"",(RIGHT(BQ6,LEN(BQ6) - SEARCH(",", BQ6, SEARCH(",", BQ6)))),"")</f>
        <v/>
      </c>
      <c r="BR8" t="str">
        <f t="shared" si="3"/>
        <v/>
      </c>
      <c r="BS8" t="str">
        <f t="shared" si="3"/>
        <v/>
      </c>
      <c r="BT8" t="str">
        <f t="shared" si="3"/>
        <v/>
      </c>
      <c r="BU8" t="str">
        <f t="shared" si="3"/>
        <v/>
      </c>
      <c r="BV8" t="str">
        <f t="shared" si="3"/>
        <v/>
      </c>
      <c r="BW8" t="str">
        <f t="shared" si="3"/>
        <v/>
      </c>
      <c r="BX8" t="str">
        <f t="shared" si="3"/>
        <v/>
      </c>
      <c r="BY8" t="str">
        <f t="shared" si="3"/>
        <v/>
      </c>
      <c r="BZ8" t="str">
        <f t="shared" si="3"/>
        <v/>
      </c>
      <c r="CA8" t="str">
        <f t="shared" si="3"/>
        <v/>
      </c>
      <c r="CB8" t="str">
        <f t="shared" si="3"/>
        <v/>
      </c>
      <c r="CC8" t="str">
        <f t="shared" si="3"/>
        <v/>
      </c>
      <c r="CD8" t="str">
        <f t="shared" si="3"/>
        <v/>
      </c>
      <c r="CE8" t="str">
        <f t="shared" si="3"/>
        <v/>
      </c>
      <c r="CF8" t="str">
        <f t="shared" si="3"/>
        <v/>
      </c>
      <c r="CG8" t="str">
        <f t="shared" si="3"/>
        <v/>
      </c>
      <c r="CH8" t="str">
        <f t="shared" si="3"/>
        <v/>
      </c>
      <c r="CI8" t="str">
        <f t="shared" si="3"/>
        <v/>
      </c>
    </row>
    <row r="9" spans="2:87" x14ac:dyDescent="0.25">
      <c r="B9" t="s">
        <v>362</v>
      </c>
      <c r="D9" t="str">
        <f>LEFT(D7,SUM(LEN(D7) - LEN(SUBSTITUTE(D7, {"0","1","2","3","4","5","6","7","8","9"},""))))</f>
        <v>7</v>
      </c>
      <c r="E9" t="str">
        <f>LEFT(E7,SUM(LEN(E7) - LEN(SUBSTITUTE(E7, {"0","1","2","3","4","5","6","7","8","9"},""))))</f>
        <v/>
      </c>
      <c r="F9" t="str">
        <f>LEFT(F7,SUM(LEN(F7) - LEN(SUBSTITUTE(F7, {"0","1","2","3","4","5","6","7","8","9"},""))))</f>
        <v/>
      </c>
      <c r="G9" t="str">
        <f>LEFT(G7,SUM(LEN(G7) - LEN(SUBSTITUTE(G7, {"0","1","2","3","4","5","6","7","8","9"},""))))</f>
        <v/>
      </c>
      <c r="H9" t="str">
        <f>LEFT(H7,SUM(LEN(H7) - LEN(SUBSTITUTE(H7, {"0","1","2","3","4","5","6","7","8","9"},""))))</f>
        <v/>
      </c>
      <c r="I9" t="str">
        <f>LEFT(I7,SUM(LEN(I7) - LEN(SUBSTITUTE(I7, {"0","1","2","3","4","5","6","7","8","9"},""))))</f>
        <v/>
      </c>
      <c r="J9" t="str">
        <f>LEFT(J7,SUM(LEN(J7) - LEN(SUBSTITUTE(J7, {"0","1","2","3","4","5","6","7","8","9"},""))))</f>
        <v/>
      </c>
      <c r="K9" t="str">
        <f>LEFT(K7,SUM(LEN(K7) - LEN(SUBSTITUTE(K7, {"0","1","2","3","4","5","6","7","8","9"},""))))</f>
        <v/>
      </c>
      <c r="L9" t="str">
        <f>LEFT(L7,SUM(LEN(L7) - LEN(SUBSTITUTE(L7, {"0","1","2","3","4","5","6","7","8","9"},""))))</f>
        <v/>
      </c>
      <c r="M9" t="str">
        <f>LEFT(M7,SUM(LEN(M7) - LEN(SUBSTITUTE(M7, {"0","1","2","3","4","5","6","7","8","9"},""))))</f>
        <v/>
      </c>
      <c r="N9" t="str">
        <f>LEFT(N7,SUM(LEN(N7) - LEN(SUBSTITUTE(N7, {"0","1","2","3","4","5","6","7","8","9"},""))))</f>
        <v/>
      </c>
      <c r="O9" t="str">
        <f>LEFT(O7,SUM(LEN(O7) - LEN(SUBSTITUTE(O7, {"0","1","2","3","4","5","6","7","8","9"},""))))</f>
        <v/>
      </c>
      <c r="P9" t="str">
        <f>LEFT(P7,SUM(LEN(P7) - LEN(SUBSTITUTE(P7, {"0","1","2","3","4","5","6","7","8","9"},""))))</f>
        <v/>
      </c>
      <c r="Q9" t="str">
        <f>LEFT(Q7,SUM(LEN(Q7) - LEN(SUBSTITUTE(Q7, {"0","1","2","3","4","5","6","7","8","9"},""))))</f>
        <v/>
      </c>
      <c r="R9" t="str">
        <f>LEFT(R7,SUM(LEN(R7) - LEN(SUBSTITUTE(R7, {"0","1","2","3","4","5","6","7","8","9"},""))))</f>
        <v/>
      </c>
      <c r="S9" t="str">
        <f>LEFT(S7,SUM(LEN(S7) - LEN(SUBSTITUTE(S7, {"0","1","2","3","4","5","6","7","8","9"},""))))</f>
        <v/>
      </c>
      <c r="T9" t="str">
        <f>LEFT(T7,SUM(LEN(T7) - LEN(SUBSTITUTE(T7, {"0","1","2","3","4","5","6","7","8","9"},""))))</f>
        <v/>
      </c>
      <c r="U9" t="str">
        <f>LEFT(U7,SUM(LEN(U7) - LEN(SUBSTITUTE(U7, {"0","1","2","3","4","5","6","7","8","9"},""))))</f>
        <v/>
      </c>
      <c r="V9" t="str">
        <f>LEFT(V7,SUM(LEN(V7) - LEN(SUBSTITUTE(V7, {"0","1","2","3","4","5","6","7","8","9"},""))))</f>
        <v/>
      </c>
      <c r="W9" t="str">
        <f>LEFT(W7,SUM(LEN(W7) - LEN(SUBSTITUTE(W7, {"0","1","2","3","4","5","6","7","8","9"},""))))</f>
        <v/>
      </c>
      <c r="X9" t="str">
        <f>LEFT(X7,SUM(LEN(X7) - LEN(SUBSTITUTE(X7, {"0","1","2","3","4","5","6","7","8","9"},""))))</f>
        <v/>
      </c>
      <c r="Y9" t="str">
        <f>LEFT(Y7,SUM(LEN(Y7) - LEN(SUBSTITUTE(Y7, {"0","1","2","3","4","5","6","7","8","9"},""))))</f>
        <v/>
      </c>
      <c r="Z9" t="str">
        <f>LEFT(Z7,SUM(LEN(Z7) - LEN(SUBSTITUTE(Z7, {"0","1","2","3","4","5","6","7","8","9"},""))))</f>
        <v/>
      </c>
      <c r="AA9" t="str">
        <f>LEFT(AA7,SUM(LEN(AA7) - LEN(SUBSTITUTE(AA7, {"0","1","2","3","4","5","6","7","8","9"},""))))</f>
        <v/>
      </c>
      <c r="AB9" t="str">
        <f>LEFT(AB7,SUM(LEN(AB7) - LEN(SUBSTITUTE(AB7, {"0","1","2","3","4","5","6","7","8","9"},""))))</f>
        <v/>
      </c>
      <c r="AC9" t="str">
        <f>LEFT(AC7,SUM(LEN(AC7) - LEN(SUBSTITUTE(AC7, {"0","1","2","3","4","5","6","7","8","9"},""))))</f>
        <v/>
      </c>
      <c r="AD9" t="str">
        <f>LEFT(AD7,SUM(LEN(AD7) - LEN(SUBSTITUTE(AD7, {"0","1","2","3","4","5","6","7","8","9"},""))))</f>
        <v/>
      </c>
      <c r="AE9" t="str">
        <f>LEFT(AE7,SUM(LEN(AE7) - LEN(SUBSTITUTE(AE7, {"0","1","2","3","4","5","6","7","8","9"},""))))</f>
        <v/>
      </c>
      <c r="AF9" t="str">
        <f>LEFT(AF7,SUM(LEN(AF7) - LEN(SUBSTITUTE(AF7, {"0","1","2","3","4","5","6","7","8","9"},""))))</f>
        <v/>
      </c>
      <c r="AG9" t="str">
        <f>LEFT(AG7,SUM(LEN(AG7) - LEN(SUBSTITUTE(AG7, {"0","1","2","3","4","5","6","7","8","9"},""))))</f>
        <v/>
      </c>
      <c r="AH9" t="str">
        <f>LEFT(AH7,SUM(LEN(AH7) - LEN(SUBSTITUTE(AH7, {"0","1","2","3","4","5","6","7","8","9"},""))))</f>
        <v/>
      </c>
      <c r="AI9" t="str">
        <f>LEFT(AI7,SUM(LEN(AI7) - LEN(SUBSTITUTE(AI7, {"0","1","2","3","4","5","6","7","8","9"},""))))</f>
        <v/>
      </c>
      <c r="AJ9" t="str">
        <f>LEFT(AJ7,SUM(LEN(AJ7) - LEN(SUBSTITUTE(AJ7, {"0","1","2","3","4","5","6","7","8","9"},""))))</f>
        <v/>
      </c>
      <c r="AK9" t="str">
        <f>LEFT(AK7,SUM(LEN(AK7) - LEN(SUBSTITUTE(AK7, {"0","1","2","3","4","5","6","7","8","9"},""))))</f>
        <v/>
      </c>
      <c r="AL9" t="str">
        <f>LEFT(AL7,SUM(LEN(AL7) - LEN(SUBSTITUTE(AL7, {"0","1","2","3","4","5","6","7","8","9"},""))))</f>
        <v/>
      </c>
      <c r="AM9" t="str">
        <f>LEFT(AM7,SUM(LEN(AM7) - LEN(SUBSTITUTE(AM7, {"0","1","2","3","4","5","6","7","8","9"},""))))</f>
        <v/>
      </c>
      <c r="AN9" t="str">
        <f>LEFT(AN7,SUM(LEN(AN7) - LEN(SUBSTITUTE(AN7, {"0","1","2","3","4","5","6","7","8","9"},""))))</f>
        <v/>
      </c>
      <c r="AO9" t="str">
        <f>LEFT(AO7,SUM(LEN(AO7) - LEN(SUBSTITUTE(AO7, {"0","1","2","3","4","5","6","7","8","9"},""))))</f>
        <v/>
      </c>
      <c r="AP9" t="str">
        <f>LEFT(AP7,SUM(LEN(AP7) - LEN(SUBSTITUTE(AP7, {"0","1","2","3","4","5","6","7","8","9"},""))))</f>
        <v/>
      </c>
      <c r="AQ9" t="str">
        <f>LEFT(AQ7,SUM(LEN(AQ7) - LEN(SUBSTITUTE(AQ7, {"0","1","2","3","4","5","6","7","8","9"},""))))</f>
        <v/>
      </c>
      <c r="AR9" t="str">
        <f>LEFT(AR7,SUM(LEN(AR7) - LEN(SUBSTITUTE(AR7, {"0","1","2","3","4","5","6","7","8","9"},""))))</f>
        <v/>
      </c>
      <c r="AS9" t="str">
        <f>LEFT(AS7,SUM(LEN(AS7) - LEN(SUBSTITUTE(AS7, {"0","1","2","3","4","5","6","7","8","9"},""))))</f>
        <v/>
      </c>
      <c r="AT9" t="str">
        <f>LEFT(AT7,SUM(LEN(AT7) - LEN(SUBSTITUTE(AT7, {"0","1","2","3","4","5","6","7","8","9"},""))))</f>
        <v/>
      </c>
      <c r="AU9" t="str">
        <f>LEFT(AU7,SUM(LEN(AU7) - LEN(SUBSTITUTE(AU7, {"0","1","2","3","4","5","6","7","8","9"},""))))</f>
        <v/>
      </c>
      <c r="AV9" t="str">
        <f>LEFT(AV7,SUM(LEN(AV7) - LEN(SUBSTITUTE(AV7, {"0","1","2","3","4","5","6","7","8","9"},""))))</f>
        <v/>
      </c>
      <c r="AW9" t="str">
        <f>LEFT(AW7,SUM(LEN(AW7) - LEN(SUBSTITUTE(AW7, {"0","1","2","3","4","5","6","7","8","9"},""))))</f>
        <v/>
      </c>
      <c r="AX9" t="str">
        <f>LEFT(AX7,SUM(LEN(AX7) - LEN(SUBSTITUTE(AX7, {"0","1","2","3","4","5","6","7","8","9"},""))))</f>
        <v/>
      </c>
      <c r="AY9" t="str">
        <f>LEFT(AY7,SUM(LEN(AY7) - LEN(SUBSTITUTE(AY7, {"0","1","2","3","4","5","6","7","8","9"},""))))</f>
        <v/>
      </c>
      <c r="AZ9" t="str">
        <f>LEFT(AZ7,SUM(LEN(AZ7) - LEN(SUBSTITUTE(AZ7, {"0","1","2","3","4","5","6","7","8","9"},""))))</f>
        <v/>
      </c>
      <c r="BA9" t="str">
        <f>LEFT(BA7,SUM(LEN(BA7) - LEN(SUBSTITUTE(BA7, {"0","1","2","3","4","5","6","7","8","9"},""))))</f>
        <v/>
      </c>
      <c r="BB9" t="str">
        <f>LEFT(BB7,SUM(LEN(BB7) - LEN(SUBSTITUTE(BB7, {"0","1","2","3","4","5","6","7","8","9"},""))))</f>
        <v/>
      </c>
      <c r="BC9" t="str">
        <f>LEFT(BC7,SUM(LEN(BC7) - LEN(SUBSTITUTE(BC7, {"0","1","2","3","4","5","6","7","8","9"},""))))</f>
        <v/>
      </c>
      <c r="BD9" t="str">
        <f>LEFT(BD7,SUM(LEN(BD7) - LEN(SUBSTITUTE(BD7, {"0","1","2","3","4","5","6","7","8","9"},""))))</f>
        <v/>
      </c>
      <c r="BE9" t="str">
        <f>LEFT(BE7,SUM(LEN(BE7) - LEN(SUBSTITUTE(BE7, {"0","1","2","3","4","5","6","7","8","9"},""))))</f>
        <v/>
      </c>
      <c r="BF9" t="str">
        <f>LEFT(BF7,SUM(LEN(BF7) - LEN(SUBSTITUTE(BF7, {"0","1","2","3","4","5","6","7","8","9"},""))))</f>
        <v/>
      </c>
      <c r="BG9" t="str">
        <f>LEFT(BG7,SUM(LEN(BG7) - LEN(SUBSTITUTE(BG7, {"0","1","2","3","4","5","6","7","8","9"},""))))</f>
        <v/>
      </c>
      <c r="BH9" t="str">
        <f>LEFT(BH7,SUM(LEN(BH7) - LEN(SUBSTITUTE(BH7, {"0","1","2","3","4","5","6","7","8","9"},""))))</f>
        <v/>
      </c>
      <c r="BI9" t="str">
        <f>LEFT(BI7,SUM(LEN(BI7) - LEN(SUBSTITUTE(BI7, {"0","1","2","3","4","5","6","7","8","9"},""))))</f>
        <v/>
      </c>
      <c r="BJ9" t="str">
        <f>LEFT(BJ7,SUM(LEN(BJ7) - LEN(SUBSTITUTE(BJ7, {"0","1","2","3","4","5","6","7","8","9"},""))))</f>
        <v/>
      </c>
      <c r="BK9" t="str">
        <f>LEFT(BK7,SUM(LEN(BK7) - LEN(SUBSTITUTE(BK7, {"0","1","2","3","4","5","6","7","8","9"},""))))</f>
        <v/>
      </c>
      <c r="BL9" t="str">
        <f>LEFT(BL7,SUM(LEN(BL7) - LEN(SUBSTITUTE(BL7, {"0","1","2","3","4","5","6","7","8","9"},""))))</f>
        <v/>
      </c>
      <c r="BM9" t="str">
        <f>LEFT(BM7,SUM(LEN(BM7) - LEN(SUBSTITUTE(BM7, {"0","1","2","3","4","5","6","7","8","9"},""))))</f>
        <v/>
      </c>
      <c r="BN9" t="str">
        <f>LEFT(BN7,SUM(LEN(BN7) - LEN(SUBSTITUTE(BN7, {"0","1","2","3","4","5","6","7","8","9"},""))))</f>
        <v/>
      </c>
      <c r="BO9" t="str">
        <f>LEFT(BO7,SUM(LEN(BO7) - LEN(SUBSTITUTE(BO7, {"0","1","2","3","4","5","6","7","8","9"},""))))</f>
        <v/>
      </c>
      <c r="BP9" t="str">
        <f>LEFT(BP7,SUM(LEN(BP7) - LEN(SUBSTITUTE(BP7, {"0","1","2","3","4","5","6","7","8","9"},""))))</f>
        <v/>
      </c>
      <c r="BQ9" t="str">
        <f>LEFT(BQ7,SUM(LEN(BQ7) - LEN(SUBSTITUTE(BQ7, {"0","1","2","3","4","5","6","7","8","9"},""))))</f>
        <v/>
      </c>
      <c r="BR9" t="str">
        <f>LEFT(BR7,SUM(LEN(BR7) - LEN(SUBSTITUTE(BR7, {"0","1","2","3","4","5","6","7","8","9"},""))))</f>
        <v/>
      </c>
      <c r="BS9" t="str">
        <f>LEFT(BS7,SUM(LEN(BS7) - LEN(SUBSTITUTE(BS7, {"0","1","2","3","4","5","6","7","8","9"},""))))</f>
        <v/>
      </c>
      <c r="BT9" t="str">
        <f>LEFT(BT7,SUM(LEN(BT7) - LEN(SUBSTITUTE(BT7, {"0","1","2","3","4","5","6","7","8","9"},""))))</f>
        <v/>
      </c>
      <c r="BU9" t="str">
        <f>LEFT(BU7,SUM(LEN(BU7) - LEN(SUBSTITUTE(BU7, {"0","1","2","3","4","5","6","7","8","9"},""))))</f>
        <v/>
      </c>
      <c r="BV9" t="str">
        <f>LEFT(BV7,SUM(LEN(BV7) - LEN(SUBSTITUTE(BV7, {"0","1","2","3","4","5","6","7","8","9"},""))))</f>
        <v/>
      </c>
      <c r="BW9" t="str">
        <f>LEFT(BW7,SUM(LEN(BW7) - LEN(SUBSTITUTE(BW7, {"0","1","2","3","4","5","6","7","8","9"},""))))</f>
        <v/>
      </c>
      <c r="BX9" t="str">
        <f>LEFT(BX7,SUM(LEN(BX7) - LEN(SUBSTITUTE(BX7, {"0","1","2","3","4","5","6","7","8","9"},""))))</f>
        <v/>
      </c>
      <c r="BY9" t="str">
        <f>LEFT(BY7,SUM(LEN(BY7) - LEN(SUBSTITUTE(BY7, {"0","1","2","3","4","5","6","7","8","9"},""))))</f>
        <v/>
      </c>
      <c r="BZ9" t="str">
        <f>LEFT(BZ7,SUM(LEN(BZ7) - LEN(SUBSTITUTE(BZ7, {"0","1","2","3","4","5","6","7","8","9"},""))))</f>
        <v/>
      </c>
      <c r="CA9" t="str">
        <f>LEFT(CA7,SUM(LEN(CA7) - LEN(SUBSTITUTE(CA7, {"0","1","2","3","4","5","6","7","8","9"},""))))</f>
        <v/>
      </c>
      <c r="CB9" t="str">
        <f>LEFT(CB7,SUM(LEN(CB7) - LEN(SUBSTITUTE(CB7, {"0","1","2","3","4","5","6","7","8","9"},""))))</f>
        <v/>
      </c>
      <c r="CC9" t="str">
        <f>LEFT(CC7,SUM(LEN(CC7) - LEN(SUBSTITUTE(CC7, {"0","1","2","3","4","5","6","7","8","9"},""))))</f>
        <v/>
      </c>
      <c r="CD9" t="str">
        <f>LEFT(CD7,SUM(LEN(CD7) - LEN(SUBSTITUTE(CD7, {"0","1","2","3","4","5","6","7","8","9"},""))))</f>
        <v/>
      </c>
      <c r="CE9" t="str">
        <f>LEFT(CE7,SUM(LEN(CE7) - LEN(SUBSTITUTE(CE7, {"0","1","2","3","4","5","6","7","8","9"},""))))</f>
        <v/>
      </c>
      <c r="CF9" t="str">
        <f>LEFT(CF7,SUM(LEN(CF7) - LEN(SUBSTITUTE(CF7, {"0","1","2","3","4","5","6","7","8","9"},""))))</f>
        <v/>
      </c>
      <c r="CG9" t="str">
        <f>LEFT(CG7,SUM(LEN(CG7) - LEN(SUBSTITUTE(CG7, {"0","1","2","3","4","5","6","7","8","9"},""))))</f>
        <v/>
      </c>
      <c r="CH9" t="str">
        <f>LEFT(CH7,SUM(LEN(CH7) - LEN(SUBSTITUTE(CH7, {"0","1","2","3","4","5","6","7","8","9"},""))))</f>
        <v/>
      </c>
      <c r="CI9" t="str">
        <f>LEFT(CI7,SUM(LEN(CI7) - LEN(SUBSTITUTE(CI7, {"0","1","2","3","4","5","6","7","8","9"},""))))</f>
        <v/>
      </c>
    </row>
    <row r="10" spans="2:87" x14ac:dyDescent="0.25">
      <c r="B10" t="s">
        <v>363</v>
      </c>
      <c r="D10" t="str">
        <f>LEFT(D8,SUM(LEN(D8) - LEN(SUBSTITUTE(D8, {"0","1","2","3","4","5","6","7","8","9"},""))))</f>
        <v>18</v>
      </c>
      <c r="E10" t="str">
        <f>LEFT(E8,SUM(LEN(E8) - LEN(SUBSTITUTE(E8, {"0","1","2","3","4","5","6","7","8","9"},""))))</f>
        <v/>
      </c>
      <c r="F10" t="str">
        <f>LEFT(F8,SUM(LEN(F8) - LEN(SUBSTITUTE(F8, {"0","1","2","3","4","5","6","7","8","9"},""))))</f>
        <v/>
      </c>
      <c r="G10" t="str">
        <f>LEFT(G8,SUM(LEN(G8) - LEN(SUBSTITUTE(G8, {"0","1","2","3","4","5","6","7","8","9"},""))))</f>
        <v/>
      </c>
      <c r="H10" t="str">
        <f>LEFT(H8,SUM(LEN(H8) - LEN(SUBSTITUTE(H8, {"0","1","2","3","4","5","6","7","8","9"},""))))</f>
        <v/>
      </c>
      <c r="I10" t="str">
        <f>LEFT(I8,SUM(LEN(I8) - LEN(SUBSTITUTE(I8, {"0","1","2","3","4","5","6","7","8","9"},""))))</f>
        <v/>
      </c>
      <c r="J10" t="str">
        <f>LEFT(J8,SUM(LEN(J8) - LEN(SUBSTITUTE(J8, {"0","1","2","3","4","5","6","7","8","9"},""))))</f>
        <v/>
      </c>
      <c r="K10" t="str">
        <f>LEFT(K8,SUM(LEN(K8) - LEN(SUBSTITUTE(K8, {"0","1","2","3","4","5","6","7","8","9"},""))))</f>
        <v/>
      </c>
      <c r="L10" t="str">
        <f>LEFT(L8,SUM(LEN(L8) - LEN(SUBSTITUTE(L8, {"0","1","2","3","4","5","6","7","8","9"},""))))</f>
        <v/>
      </c>
      <c r="M10" t="str">
        <f>LEFT(M8,SUM(LEN(M8) - LEN(SUBSTITUTE(M8, {"0","1","2","3","4","5","6","7","8","9"},""))))</f>
        <v/>
      </c>
      <c r="N10" t="str">
        <f>LEFT(N8,SUM(LEN(N8) - LEN(SUBSTITUTE(N8, {"0","1","2","3","4","5","6","7","8","9"},""))))</f>
        <v/>
      </c>
      <c r="O10" t="str">
        <f>LEFT(O8,SUM(LEN(O8) - LEN(SUBSTITUTE(O8, {"0","1","2","3","4","5","6","7","8","9"},""))))</f>
        <v/>
      </c>
      <c r="P10" t="str">
        <f>LEFT(P8,SUM(LEN(P8) - LEN(SUBSTITUTE(P8, {"0","1","2","3","4","5","6","7","8","9"},""))))</f>
        <v/>
      </c>
      <c r="Q10" t="str">
        <f>LEFT(Q8,SUM(LEN(Q8) - LEN(SUBSTITUTE(Q8, {"0","1","2","3","4","5","6","7","8","9"},""))))</f>
        <v/>
      </c>
      <c r="R10" t="str">
        <f>LEFT(R8,SUM(LEN(R8) - LEN(SUBSTITUTE(R8, {"0","1","2","3","4","5","6","7","8","9"},""))))</f>
        <v/>
      </c>
      <c r="S10" t="str">
        <f>LEFT(S8,SUM(LEN(S8) - LEN(SUBSTITUTE(S8, {"0","1","2","3","4","5","6","7","8","9"},""))))</f>
        <v/>
      </c>
      <c r="T10" t="str">
        <f>LEFT(T8,SUM(LEN(T8) - LEN(SUBSTITUTE(T8, {"0","1","2","3","4","5","6","7","8","9"},""))))</f>
        <v/>
      </c>
      <c r="U10" t="str">
        <f>LEFT(U8,SUM(LEN(U8) - LEN(SUBSTITUTE(U8, {"0","1","2","3","4","5","6","7","8","9"},""))))</f>
        <v/>
      </c>
      <c r="V10" t="str">
        <f>LEFT(V8,SUM(LEN(V8) - LEN(SUBSTITUTE(V8, {"0","1","2","3","4","5","6","7","8","9"},""))))</f>
        <v/>
      </c>
      <c r="W10" t="str">
        <f>LEFT(W8,SUM(LEN(W8) - LEN(SUBSTITUTE(W8, {"0","1","2","3","4","5","6","7","8","9"},""))))</f>
        <v/>
      </c>
      <c r="X10" t="str">
        <f>LEFT(X8,SUM(LEN(X8) - LEN(SUBSTITUTE(X8, {"0","1","2","3","4","5","6","7","8","9"},""))))</f>
        <v/>
      </c>
      <c r="Y10" t="str">
        <f>LEFT(Y8,SUM(LEN(Y8) - LEN(SUBSTITUTE(Y8, {"0","1","2","3","4","5","6","7","8","9"},""))))</f>
        <v/>
      </c>
      <c r="Z10" t="str">
        <f>LEFT(Z8,SUM(LEN(Z8) - LEN(SUBSTITUTE(Z8, {"0","1","2","3","4","5","6","7","8","9"},""))))</f>
        <v/>
      </c>
      <c r="AA10" t="str">
        <f>LEFT(AA8,SUM(LEN(AA8) - LEN(SUBSTITUTE(AA8, {"0","1","2","3","4","5","6","7","8","9"},""))))</f>
        <v/>
      </c>
      <c r="AB10" t="str">
        <f>LEFT(AB8,SUM(LEN(AB8) - LEN(SUBSTITUTE(AB8, {"0","1","2","3","4","5","6","7","8","9"},""))))</f>
        <v/>
      </c>
      <c r="AC10" t="str">
        <f>LEFT(AC8,SUM(LEN(AC8) - LEN(SUBSTITUTE(AC8, {"0","1","2","3","4","5","6","7","8","9"},""))))</f>
        <v/>
      </c>
      <c r="AD10" t="str">
        <f>LEFT(AD8,SUM(LEN(AD8) - LEN(SUBSTITUTE(AD8, {"0","1","2","3","4","5","6","7","8","9"},""))))</f>
        <v/>
      </c>
      <c r="AE10" t="str">
        <f>LEFT(AE8,SUM(LEN(AE8) - LEN(SUBSTITUTE(AE8, {"0","1","2","3","4","5","6","7","8","9"},""))))</f>
        <v/>
      </c>
      <c r="AF10" t="str">
        <f>LEFT(AF8,SUM(LEN(AF8) - LEN(SUBSTITUTE(AF8, {"0","1","2","3","4","5","6","7","8","9"},""))))</f>
        <v/>
      </c>
      <c r="AG10" t="str">
        <f>LEFT(AG8,SUM(LEN(AG8) - LEN(SUBSTITUTE(AG8, {"0","1","2","3","4","5","6","7","8","9"},""))))</f>
        <v/>
      </c>
      <c r="AH10" t="str">
        <f>LEFT(AH8,SUM(LEN(AH8) - LEN(SUBSTITUTE(AH8, {"0","1","2","3","4","5","6","7","8","9"},""))))</f>
        <v/>
      </c>
      <c r="AI10" t="str">
        <f>LEFT(AI8,SUM(LEN(AI8) - LEN(SUBSTITUTE(AI8, {"0","1","2","3","4","5","6","7","8","9"},""))))</f>
        <v/>
      </c>
      <c r="AJ10" t="str">
        <f>LEFT(AJ8,SUM(LEN(AJ8) - LEN(SUBSTITUTE(AJ8, {"0","1","2","3","4","5","6","7","8","9"},""))))</f>
        <v/>
      </c>
      <c r="AK10" t="str">
        <f>LEFT(AK8,SUM(LEN(AK8) - LEN(SUBSTITUTE(AK8, {"0","1","2","3","4","5","6","7","8","9"},""))))</f>
        <v/>
      </c>
      <c r="AL10" t="str">
        <f>LEFT(AL8,SUM(LEN(AL8) - LEN(SUBSTITUTE(AL8, {"0","1","2","3","4","5","6","7","8","9"},""))))</f>
        <v/>
      </c>
      <c r="AM10" t="str">
        <f>LEFT(AM8,SUM(LEN(AM8) - LEN(SUBSTITUTE(AM8, {"0","1","2","3","4","5","6","7","8","9"},""))))</f>
        <v/>
      </c>
      <c r="AN10" t="str">
        <f>LEFT(AN8,SUM(LEN(AN8) - LEN(SUBSTITUTE(AN8, {"0","1","2","3","4","5","6","7","8","9"},""))))</f>
        <v/>
      </c>
      <c r="AO10" t="str">
        <f>LEFT(AO8,SUM(LEN(AO8) - LEN(SUBSTITUTE(AO8, {"0","1","2","3","4","5","6","7","8","9"},""))))</f>
        <v/>
      </c>
      <c r="AP10" t="str">
        <f>LEFT(AP8,SUM(LEN(AP8) - LEN(SUBSTITUTE(AP8, {"0","1","2","3","4","5","6","7","8","9"},""))))</f>
        <v/>
      </c>
      <c r="AQ10" t="str">
        <f>LEFT(AQ8,SUM(LEN(AQ8) - LEN(SUBSTITUTE(AQ8, {"0","1","2","3","4","5","6","7","8","9"},""))))</f>
        <v/>
      </c>
      <c r="AR10" t="str">
        <f>LEFT(AR8,SUM(LEN(AR8) - LEN(SUBSTITUTE(AR8, {"0","1","2","3","4","5","6","7","8","9"},""))))</f>
        <v/>
      </c>
      <c r="AS10" t="str">
        <f>LEFT(AS8,SUM(LEN(AS8) - LEN(SUBSTITUTE(AS8, {"0","1","2","3","4","5","6","7","8","9"},""))))</f>
        <v/>
      </c>
      <c r="AT10" t="str">
        <f>LEFT(AT8,SUM(LEN(AT8) - LEN(SUBSTITUTE(AT8, {"0","1","2","3","4","5","6","7","8","9"},""))))</f>
        <v/>
      </c>
      <c r="AU10" t="str">
        <f>LEFT(AU8,SUM(LEN(AU8) - LEN(SUBSTITUTE(AU8, {"0","1","2","3","4","5","6","7","8","9"},""))))</f>
        <v/>
      </c>
      <c r="AV10" t="str">
        <f>LEFT(AV8,SUM(LEN(AV8) - LEN(SUBSTITUTE(AV8, {"0","1","2","3","4","5","6","7","8","9"},""))))</f>
        <v/>
      </c>
      <c r="AW10" t="str">
        <f>LEFT(AW8,SUM(LEN(AW8) - LEN(SUBSTITUTE(AW8, {"0","1","2","3","4","5","6","7","8","9"},""))))</f>
        <v/>
      </c>
      <c r="AX10" t="str">
        <f>LEFT(AX8,SUM(LEN(AX8) - LEN(SUBSTITUTE(AX8, {"0","1","2","3","4","5","6","7","8","9"},""))))</f>
        <v/>
      </c>
      <c r="AY10" t="str">
        <f>LEFT(AY8,SUM(LEN(AY8) - LEN(SUBSTITUTE(AY8, {"0","1","2","3","4","5","6","7","8","9"},""))))</f>
        <v/>
      </c>
      <c r="AZ10" t="str">
        <f>LEFT(AZ8,SUM(LEN(AZ8) - LEN(SUBSTITUTE(AZ8, {"0","1","2","3","4","5","6","7","8","9"},""))))</f>
        <v/>
      </c>
      <c r="BA10" t="str">
        <f>LEFT(BA8,SUM(LEN(BA8) - LEN(SUBSTITUTE(BA8, {"0","1","2","3","4","5","6","7","8","9"},""))))</f>
        <v/>
      </c>
      <c r="BB10" t="str">
        <f>LEFT(BB8,SUM(LEN(BB8) - LEN(SUBSTITUTE(BB8, {"0","1","2","3","4","5","6","7","8","9"},""))))</f>
        <v/>
      </c>
      <c r="BC10" t="str">
        <f>LEFT(BC8,SUM(LEN(BC8) - LEN(SUBSTITUTE(BC8, {"0","1","2","3","4","5","6","7","8","9"},""))))</f>
        <v/>
      </c>
      <c r="BD10" t="str">
        <f>LEFT(BD8,SUM(LEN(BD8) - LEN(SUBSTITUTE(BD8, {"0","1","2","3","4","5","6","7","8","9"},""))))</f>
        <v/>
      </c>
      <c r="BE10" t="str">
        <f>LEFT(BE8,SUM(LEN(BE8) - LEN(SUBSTITUTE(BE8, {"0","1","2","3","4","5","6","7","8","9"},""))))</f>
        <v/>
      </c>
      <c r="BF10" t="str">
        <f>LEFT(BF8,SUM(LEN(BF8) - LEN(SUBSTITUTE(BF8, {"0","1","2","3","4","5","6","7","8","9"},""))))</f>
        <v/>
      </c>
      <c r="BG10" t="str">
        <f>LEFT(BG8,SUM(LEN(BG8) - LEN(SUBSTITUTE(BG8, {"0","1","2","3","4","5","6","7","8","9"},""))))</f>
        <v/>
      </c>
      <c r="BH10" t="str">
        <f>LEFT(BH8,SUM(LEN(BH8) - LEN(SUBSTITUTE(BH8, {"0","1","2","3","4","5","6","7","8","9"},""))))</f>
        <v/>
      </c>
      <c r="BI10" t="str">
        <f>LEFT(BI8,SUM(LEN(BI8) - LEN(SUBSTITUTE(BI8, {"0","1","2","3","4","5","6","7","8","9"},""))))</f>
        <v/>
      </c>
      <c r="BJ10" t="str">
        <f>LEFT(BJ8,SUM(LEN(BJ8) - LEN(SUBSTITUTE(BJ8, {"0","1","2","3","4","5","6","7","8","9"},""))))</f>
        <v/>
      </c>
      <c r="BK10" t="str">
        <f>LEFT(BK8,SUM(LEN(BK8) - LEN(SUBSTITUTE(BK8, {"0","1","2","3","4","5","6","7","8","9"},""))))</f>
        <v/>
      </c>
      <c r="BL10" t="str">
        <f>LEFT(BL8,SUM(LEN(BL8) - LEN(SUBSTITUTE(BL8, {"0","1","2","3","4","5","6","7","8","9"},""))))</f>
        <v/>
      </c>
      <c r="BM10" t="str">
        <f>LEFT(BM8,SUM(LEN(BM8) - LEN(SUBSTITUTE(BM8, {"0","1","2","3","4","5","6","7","8","9"},""))))</f>
        <v/>
      </c>
      <c r="BN10" t="str">
        <f>LEFT(BN8,SUM(LEN(BN8) - LEN(SUBSTITUTE(BN8, {"0","1","2","3","4","5","6","7","8","9"},""))))</f>
        <v/>
      </c>
      <c r="BO10" t="str">
        <f>LEFT(BO8,SUM(LEN(BO8) - LEN(SUBSTITUTE(BO8, {"0","1","2","3","4","5","6","7","8","9"},""))))</f>
        <v/>
      </c>
      <c r="BP10" t="str">
        <f>LEFT(BP8,SUM(LEN(BP8) - LEN(SUBSTITUTE(BP8, {"0","1","2","3","4","5","6","7","8","9"},""))))</f>
        <v/>
      </c>
      <c r="BQ10" t="str">
        <f>LEFT(BQ8,SUM(LEN(BQ8) - LEN(SUBSTITUTE(BQ8, {"0","1","2","3","4","5","6","7","8","9"},""))))</f>
        <v/>
      </c>
      <c r="BR10" t="str">
        <f>LEFT(BR8,SUM(LEN(BR8) - LEN(SUBSTITUTE(BR8, {"0","1","2","3","4","5","6","7","8","9"},""))))</f>
        <v/>
      </c>
      <c r="BS10" t="str">
        <f>LEFT(BS8,SUM(LEN(BS8) - LEN(SUBSTITUTE(BS8, {"0","1","2","3","4","5","6","7","8","9"},""))))</f>
        <v/>
      </c>
      <c r="BT10" t="str">
        <f>LEFT(BT8,SUM(LEN(BT8) - LEN(SUBSTITUTE(BT8, {"0","1","2","3","4","5","6","7","8","9"},""))))</f>
        <v/>
      </c>
      <c r="BU10" t="str">
        <f>LEFT(BU8,SUM(LEN(BU8) - LEN(SUBSTITUTE(BU8, {"0","1","2","3","4","5","6","7","8","9"},""))))</f>
        <v/>
      </c>
      <c r="BV10" t="str">
        <f>LEFT(BV8,SUM(LEN(BV8) - LEN(SUBSTITUTE(BV8, {"0","1","2","3","4","5","6","7","8","9"},""))))</f>
        <v/>
      </c>
      <c r="BW10" t="str">
        <f>LEFT(BW8,SUM(LEN(BW8) - LEN(SUBSTITUTE(BW8, {"0","1","2","3","4","5","6","7","8","9"},""))))</f>
        <v/>
      </c>
      <c r="BX10" t="str">
        <f>LEFT(BX8,SUM(LEN(BX8) - LEN(SUBSTITUTE(BX8, {"0","1","2","3","4","5","6","7","8","9"},""))))</f>
        <v/>
      </c>
      <c r="BY10" t="str">
        <f>LEFT(BY8,SUM(LEN(BY8) - LEN(SUBSTITUTE(BY8, {"0","1","2","3","4","5","6","7","8","9"},""))))</f>
        <v/>
      </c>
      <c r="BZ10" t="str">
        <f>LEFT(BZ8,SUM(LEN(BZ8) - LEN(SUBSTITUTE(BZ8, {"0","1","2","3","4","5","6","7","8","9"},""))))</f>
        <v/>
      </c>
      <c r="CA10" t="str">
        <f>LEFT(CA8,SUM(LEN(CA8) - LEN(SUBSTITUTE(CA8, {"0","1","2","3","4","5","6","7","8","9"},""))))</f>
        <v/>
      </c>
      <c r="CB10" t="str">
        <f>LEFT(CB8,SUM(LEN(CB8) - LEN(SUBSTITUTE(CB8, {"0","1","2","3","4","5","6","7","8","9"},""))))</f>
        <v/>
      </c>
      <c r="CC10" t="str">
        <f>LEFT(CC8,SUM(LEN(CC8) - LEN(SUBSTITUTE(CC8, {"0","1","2","3","4","5","6","7","8","9"},""))))</f>
        <v/>
      </c>
      <c r="CD10" t="str">
        <f>LEFT(CD8,SUM(LEN(CD8) - LEN(SUBSTITUTE(CD8, {"0","1","2","3","4","5","6","7","8","9"},""))))</f>
        <v/>
      </c>
      <c r="CE10" t="str">
        <f>LEFT(CE8,SUM(LEN(CE8) - LEN(SUBSTITUTE(CE8, {"0","1","2","3","4","5","6","7","8","9"},""))))</f>
        <v/>
      </c>
      <c r="CF10" t="str">
        <f>LEFT(CF8,SUM(LEN(CF8) - LEN(SUBSTITUTE(CF8, {"0","1","2","3","4","5","6","7","8","9"},""))))</f>
        <v/>
      </c>
      <c r="CG10" t="str">
        <f>LEFT(CG8,SUM(LEN(CG8) - LEN(SUBSTITUTE(CG8, {"0","1","2","3","4","5","6","7","8","9"},""))))</f>
        <v/>
      </c>
      <c r="CH10" t="str">
        <f>LEFT(CH8,SUM(LEN(CH8) - LEN(SUBSTITUTE(CH8, {"0","1","2","3","4","5","6","7","8","9"},""))))</f>
        <v/>
      </c>
      <c r="CI10" t="str">
        <f>LEFT(CI8,SUM(LEN(CI8) - LEN(SUBSTITUTE(CI8, {"0","1","2","3","4","5","6","7","8","9"},""))))</f>
        <v/>
      </c>
    </row>
    <row r="11" spans="2:87" x14ac:dyDescent="0.25">
      <c r="B11" t="s">
        <v>364</v>
      </c>
      <c r="D11" s="161" t="str">
        <f>RIGHT(D7,LEN(D7)-LEN(D9))</f>
        <v>a</v>
      </c>
      <c r="E11" s="161" t="str">
        <f>RIGHT(E7,LEN(E7)-LEN(E9))</f>
        <v/>
      </c>
      <c r="F11" s="161" t="str">
        <f t="shared" ref="F11:BP11" si="4">RIGHT(F7,LEN(F7)-LEN(F9))</f>
        <v/>
      </c>
      <c r="G11" s="161" t="str">
        <f t="shared" si="4"/>
        <v/>
      </c>
      <c r="H11" s="161" t="str">
        <f t="shared" si="4"/>
        <v/>
      </c>
      <c r="I11" s="161" t="str">
        <f t="shared" si="4"/>
        <v/>
      </c>
      <c r="J11" s="161" t="str">
        <f t="shared" si="4"/>
        <v/>
      </c>
      <c r="K11" s="161" t="str">
        <f t="shared" si="4"/>
        <v/>
      </c>
      <c r="L11" s="161" t="str">
        <f t="shared" si="4"/>
        <v/>
      </c>
      <c r="M11" s="161" t="str">
        <f t="shared" si="4"/>
        <v/>
      </c>
      <c r="N11" s="161" t="str">
        <f t="shared" si="4"/>
        <v/>
      </c>
      <c r="O11" s="161" t="str">
        <f t="shared" si="4"/>
        <v/>
      </c>
      <c r="P11" s="161" t="str">
        <f t="shared" si="4"/>
        <v/>
      </c>
      <c r="Q11" s="161" t="str">
        <f t="shared" si="4"/>
        <v/>
      </c>
      <c r="R11" s="161" t="str">
        <f t="shared" si="4"/>
        <v/>
      </c>
      <c r="S11" s="161" t="str">
        <f t="shared" si="4"/>
        <v/>
      </c>
      <c r="T11" s="161" t="str">
        <f t="shared" si="4"/>
        <v/>
      </c>
      <c r="U11" s="161" t="str">
        <f t="shared" si="4"/>
        <v/>
      </c>
      <c r="V11" s="161" t="str">
        <f t="shared" si="4"/>
        <v/>
      </c>
      <c r="W11" s="161" t="str">
        <f t="shared" si="4"/>
        <v/>
      </c>
      <c r="X11" s="161" t="str">
        <f t="shared" si="4"/>
        <v/>
      </c>
      <c r="Y11" s="161" t="str">
        <f t="shared" si="4"/>
        <v/>
      </c>
      <c r="Z11" s="161" t="str">
        <f t="shared" si="4"/>
        <v/>
      </c>
      <c r="AA11" s="161" t="str">
        <f t="shared" si="4"/>
        <v/>
      </c>
      <c r="AB11" s="161" t="str">
        <f t="shared" si="4"/>
        <v/>
      </c>
      <c r="AC11" s="161" t="str">
        <f t="shared" si="4"/>
        <v/>
      </c>
      <c r="AD11" s="161" t="str">
        <f t="shared" si="4"/>
        <v/>
      </c>
      <c r="AE11" s="161" t="str">
        <f t="shared" si="4"/>
        <v/>
      </c>
      <c r="AF11" s="161" t="str">
        <f t="shared" si="4"/>
        <v/>
      </c>
      <c r="AG11" s="161" t="str">
        <f t="shared" si="4"/>
        <v/>
      </c>
      <c r="AH11" s="161" t="str">
        <f t="shared" si="4"/>
        <v/>
      </c>
      <c r="AI11" s="161" t="str">
        <f t="shared" si="4"/>
        <v/>
      </c>
      <c r="AJ11" s="161" t="str">
        <f t="shared" si="4"/>
        <v/>
      </c>
      <c r="AK11" s="161" t="str">
        <f t="shared" si="4"/>
        <v/>
      </c>
      <c r="AL11" s="161" t="str">
        <f t="shared" si="4"/>
        <v/>
      </c>
      <c r="AM11" s="161" t="str">
        <f t="shared" si="4"/>
        <v/>
      </c>
      <c r="AN11" s="161" t="str">
        <f t="shared" si="4"/>
        <v/>
      </c>
      <c r="AO11" s="161" t="str">
        <f t="shared" si="4"/>
        <v/>
      </c>
      <c r="AP11" s="161" t="str">
        <f t="shared" si="4"/>
        <v/>
      </c>
      <c r="AQ11" s="161" t="str">
        <f t="shared" si="4"/>
        <v/>
      </c>
      <c r="AR11" s="161" t="str">
        <f t="shared" si="4"/>
        <v/>
      </c>
      <c r="AS11" s="161" t="str">
        <f t="shared" si="4"/>
        <v/>
      </c>
      <c r="AT11" s="161" t="str">
        <f t="shared" si="4"/>
        <v/>
      </c>
      <c r="AU11" s="161" t="str">
        <f t="shared" si="4"/>
        <v/>
      </c>
      <c r="AV11" s="161" t="str">
        <f t="shared" si="4"/>
        <v/>
      </c>
      <c r="AW11" s="161" t="str">
        <f t="shared" si="4"/>
        <v/>
      </c>
      <c r="AX11" s="161" t="str">
        <f t="shared" si="4"/>
        <v/>
      </c>
      <c r="AY11" s="161" t="str">
        <f t="shared" si="4"/>
        <v/>
      </c>
      <c r="AZ11" s="161" t="str">
        <f t="shared" si="4"/>
        <v/>
      </c>
      <c r="BA11" s="161" t="str">
        <f t="shared" si="4"/>
        <v/>
      </c>
      <c r="BB11" s="161" t="str">
        <f t="shared" si="4"/>
        <v/>
      </c>
      <c r="BC11" s="161" t="str">
        <f t="shared" si="4"/>
        <v/>
      </c>
      <c r="BD11" s="161" t="str">
        <f t="shared" si="4"/>
        <v/>
      </c>
      <c r="BE11" s="161" t="str">
        <f t="shared" si="4"/>
        <v/>
      </c>
      <c r="BF11" s="161" t="str">
        <f t="shared" si="4"/>
        <v/>
      </c>
      <c r="BG11" s="161" t="str">
        <f t="shared" si="4"/>
        <v/>
      </c>
      <c r="BH11" s="161" t="str">
        <f t="shared" si="4"/>
        <v/>
      </c>
      <c r="BI11" s="161" t="str">
        <f t="shared" si="4"/>
        <v/>
      </c>
      <c r="BJ11" s="161" t="str">
        <f t="shared" si="4"/>
        <v/>
      </c>
      <c r="BK11" s="161" t="str">
        <f t="shared" si="4"/>
        <v/>
      </c>
      <c r="BL11" s="161" t="str">
        <f t="shared" si="4"/>
        <v/>
      </c>
      <c r="BM11" s="161" t="str">
        <f t="shared" si="4"/>
        <v/>
      </c>
      <c r="BN11" s="161" t="str">
        <f t="shared" si="4"/>
        <v/>
      </c>
      <c r="BO11" s="161" t="str">
        <f t="shared" si="4"/>
        <v/>
      </c>
      <c r="BP11" s="161" t="str">
        <f t="shared" si="4"/>
        <v/>
      </c>
      <c r="BQ11" s="161" t="str">
        <f t="shared" ref="BQ11:CI11" si="5">RIGHT(BQ7,LEN(BQ7)-LEN(BQ9))</f>
        <v/>
      </c>
      <c r="BR11" s="161" t="str">
        <f t="shared" si="5"/>
        <v/>
      </c>
      <c r="BS11" s="161" t="str">
        <f t="shared" si="5"/>
        <v/>
      </c>
      <c r="BT11" s="161" t="str">
        <f t="shared" si="5"/>
        <v/>
      </c>
      <c r="BU11" s="161" t="str">
        <f t="shared" si="5"/>
        <v/>
      </c>
      <c r="BV11" s="161" t="str">
        <f t="shared" si="5"/>
        <v/>
      </c>
      <c r="BW11" s="161" t="str">
        <f t="shared" si="5"/>
        <v/>
      </c>
      <c r="BX11" s="161" t="str">
        <f t="shared" si="5"/>
        <v/>
      </c>
      <c r="BY11" s="161" t="str">
        <f t="shared" si="5"/>
        <v/>
      </c>
      <c r="BZ11" s="161" t="str">
        <f t="shared" si="5"/>
        <v/>
      </c>
      <c r="CA11" s="161" t="str">
        <f t="shared" si="5"/>
        <v/>
      </c>
      <c r="CB11" s="161" t="str">
        <f t="shared" si="5"/>
        <v/>
      </c>
      <c r="CC11" s="161" t="str">
        <f t="shared" si="5"/>
        <v/>
      </c>
      <c r="CD11" s="161" t="str">
        <f t="shared" si="5"/>
        <v/>
      </c>
      <c r="CE11" s="161" t="str">
        <f t="shared" si="5"/>
        <v/>
      </c>
      <c r="CF11" s="161" t="str">
        <f t="shared" si="5"/>
        <v/>
      </c>
      <c r="CG11" s="161" t="str">
        <f t="shared" si="5"/>
        <v/>
      </c>
      <c r="CH11" s="161" t="str">
        <f t="shared" si="5"/>
        <v/>
      </c>
      <c r="CI11" s="161" t="str">
        <f t="shared" si="5"/>
        <v/>
      </c>
    </row>
    <row r="12" spans="2:87" x14ac:dyDescent="0.25">
      <c r="B12" t="s">
        <v>365</v>
      </c>
      <c r="D12" s="161" t="str">
        <f>RIGHT(D8,LEN(D8)-LEN(D10))</f>
        <v>f</v>
      </c>
      <c r="E12" s="161" t="str">
        <f t="shared" ref="E12:BP12" si="6">RIGHT(E8,LEN(E8)-LEN(E10))</f>
        <v/>
      </c>
      <c r="F12" s="161" t="str">
        <f t="shared" si="6"/>
        <v/>
      </c>
      <c r="G12" s="161" t="str">
        <f t="shared" si="6"/>
        <v/>
      </c>
      <c r="H12" s="161" t="str">
        <f t="shared" si="6"/>
        <v/>
      </c>
      <c r="I12" s="161" t="str">
        <f t="shared" si="6"/>
        <v/>
      </c>
      <c r="J12" s="161" t="str">
        <f t="shared" si="6"/>
        <v/>
      </c>
      <c r="K12" s="161" t="str">
        <f t="shared" si="6"/>
        <v/>
      </c>
      <c r="L12" s="161" t="str">
        <f t="shared" si="6"/>
        <v/>
      </c>
      <c r="M12" s="161" t="str">
        <f t="shared" si="6"/>
        <v/>
      </c>
      <c r="N12" s="161" t="str">
        <f t="shared" si="6"/>
        <v/>
      </c>
      <c r="O12" s="161" t="str">
        <f t="shared" si="6"/>
        <v/>
      </c>
      <c r="P12" s="161" t="str">
        <f t="shared" si="6"/>
        <v/>
      </c>
      <c r="Q12" s="161" t="str">
        <f t="shared" si="6"/>
        <v/>
      </c>
      <c r="R12" s="161" t="str">
        <f t="shared" si="6"/>
        <v/>
      </c>
      <c r="S12" s="161" t="str">
        <f t="shared" si="6"/>
        <v/>
      </c>
      <c r="T12" s="161" t="str">
        <f t="shared" si="6"/>
        <v/>
      </c>
      <c r="U12" s="161" t="str">
        <f t="shared" si="6"/>
        <v/>
      </c>
      <c r="V12" s="161" t="str">
        <f t="shared" si="6"/>
        <v/>
      </c>
      <c r="W12" s="161" t="str">
        <f t="shared" si="6"/>
        <v/>
      </c>
      <c r="X12" s="161" t="str">
        <f t="shared" si="6"/>
        <v/>
      </c>
      <c r="Y12" s="161" t="str">
        <f t="shared" si="6"/>
        <v/>
      </c>
      <c r="Z12" s="161" t="str">
        <f t="shared" si="6"/>
        <v/>
      </c>
      <c r="AA12" s="161" t="str">
        <f t="shared" si="6"/>
        <v/>
      </c>
      <c r="AB12" s="161" t="str">
        <f t="shared" si="6"/>
        <v/>
      </c>
      <c r="AC12" s="161" t="str">
        <f t="shared" si="6"/>
        <v/>
      </c>
      <c r="AD12" s="161" t="str">
        <f t="shared" si="6"/>
        <v/>
      </c>
      <c r="AE12" s="161" t="str">
        <f t="shared" si="6"/>
        <v/>
      </c>
      <c r="AF12" s="161" t="str">
        <f t="shared" si="6"/>
        <v/>
      </c>
      <c r="AG12" s="161" t="str">
        <f t="shared" si="6"/>
        <v/>
      </c>
      <c r="AH12" s="161" t="str">
        <f t="shared" si="6"/>
        <v/>
      </c>
      <c r="AI12" s="161" t="str">
        <f t="shared" si="6"/>
        <v/>
      </c>
      <c r="AJ12" s="161" t="str">
        <f t="shared" si="6"/>
        <v/>
      </c>
      <c r="AK12" s="161" t="str">
        <f t="shared" si="6"/>
        <v/>
      </c>
      <c r="AL12" s="161" t="str">
        <f t="shared" si="6"/>
        <v/>
      </c>
      <c r="AM12" s="161" t="str">
        <f t="shared" si="6"/>
        <v/>
      </c>
      <c r="AN12" s="161" t="str">
        <f t="shared" si="6"/>
        <v/>
      </c>
      <c r="AO12" s="161" t="str">
        <f t="shared" si="6"/>
        <v/>
      </c>
      <c r="AP12" s="161" t="str">
        <f t="shared" si="6"/>
        <v/>
      </c>
      <c r="AQ12" s="161" t="str">
        <f t="shared" si="6"/>
        <v/>
      </c>
      <c r="AR12" s="161" t="str">
        <f t="shared" si="6"/>
        <v/>
      </c>
      <c r="AS12" s="161" t="str">
        <f t="shared" si="6"/>
        <v/>
      </c>
      <c r="AT12" s="161" t="str">
        <f t="shared" si="6"/>
        <v/>
      </c>
      <c r="AU12" s="161" t="str">
        <f t="shared" si="6"/>
        <v/>
      </c>
      <c r="AV12" s="161" t="str">
        <f t="shared" si="6"/>
        <v/>
      </c>
      <c r="AW12" s="161" t="str">
        <f t="shared" si="6"/>
        <v/>
      </c>
      <c r="AX12" s="161" t="str">
        <f t="shared" si="6"/>
        <v/>
      </c>
      <c r="AY12" s="161" t="str">
        <f t="shared" si="6"/>
        <v/>
      </c>
      <c r="AZ12" s="161" t="str">
        <f t="shared" si="6"/>
        <v/>
      </c>
      <c r="BA12" s="161" t="str">
        <f t="shared" si="6"/>
        <v/>
      </c>
      <c r="BB12" s="161" t="str">
        <f t="shared" si="6"/>
        <v/>
      </c>
      <c r="BC12" s="161" t="str">
        <f t="shared" si="6"/>
        <v/>
      </c>
      <c r="BD12" s="161" t="str">
        <f t="shared" si="6"/>
        <v/>
      </c>
      <c r="BE12" s="161" t="str">
        <f t="shared" si="6"/>
        <v/>
      </c>
      <c r="BF12" s="161" t="str">
        <f t="shared" si="6"/>
        <v/>
      </c>
      <c r="BG12" s="161" t="str">
        <f t="shared" si="6"/>
        <v/>
      </c>
      <c r="BH12" s="161" t="str">
        <f t="shared" si="6"/>
        <v/>
      </c>
      <c r="BI12" s="161" t="str">
        <f t="shared" si="6"/>
        <v/>
      </c>
      <c r="BJ12" s="161" t="str">
        <f t="shared" si="6"/>
        <v/>
      </c>
      <c r="BK12" s="161" t="str">
        <f t="shared" si="6"/>
        <v/>
      </c>
      <c r="BL12" s="161" t="str">
        <f t="shared" si="6"/>
        <v/>
      </c>
      <c r="BM12" s="161" t="str">
        <f t="shared" si="6"/>
        <v/>
      </c>
      <c r="BN12" s="161" t="str">
        <f t="shared" si="6"/>
        <v/>
      </c>
      <c r="BO12" s="161" t="str">
        <f t="shared" si="6"/>
        <v/>
      </c>
      <c r="BP12" s="161" t="str">
        <f t="shared" si="6"/>
        <v/>
      </c>
      <c r="BQ12" s="161" t="str">
        <f t="shared" ref="BQ12:CI12" si="7">RIGHT(BQ8,LEN(BQ8)-LEN(BQ10))</f>
        <v/>
      </c>
      <c r="BR12" s="161" t="str">
        <f t="shared" si="7"/>
        <v/>
      </c>
      <c r="BS12" s="161" t="str">
        <f t="shared" si="7"/>
        <v/>
      </c>
      <c r="BT12" s="161" t="str">
        <f t="shared" si="7"/>
        <v/>
      </c>
      <c r="BU12" s="161" t="str">
        <f t="shared" si="7"/>
        <v/>
      </c>
      <c r="BV12" s="161" t="str">
        <f t="shared" si="7"/>
        <v/>
      </c>
      <c r="BW12" s="161" t="str">
        <f t="shared" si="7"/>
        <v/>
      </c>
      <c r="BX12" s="161" t="str">
        <f t="shared" si="7"/>
        <v/>
      </c>
      <c r="BY12" s="161" t="str">
        <f t="shared" si="7"/>
        <v/>
      </c>
      <c r="BZ12" s="161" t="str">
        <f t="shared" si="7"/>
        <v/>
      </c>
      <c r="CA12" s="161" t="str">
        <f t="shared" si="7"/>
        <v/>
      </c>
      <c r="CB12" s="161" t="str">
        <f t="shared" si="7"/>
        <v/>
      </c>
      <c r="CC12" s="161" t="str">
        <f t="shared" si="7"/>
        <v/>
      </c>
      <c r="CD12" s="161" t="str">
        <f t="shared" si="7"/>
        <v/>
      </c>
      <c r="CE12" s="161" t="str">
        <f t="shared" si="7"/>
        <v/>
      </c>
      <c r="CF12" s="161" t="str">
        <f t="shared" si="7"/>
        <v/>
      </c>
      <c r="CG12" s="161" t="str">
        <f t="shared" si="7"/>
        <v/>
      </c>
      <c r="CH12" s="161" t="str">
        <f t="shared" si="7"/>
        <v/>
      </c>
      <c r="CI12" s="161" t="str">
        <f t="shared" si="7"/>
        <v/>
      </c>
    </row>
    <row r="13" spans="2:87" x14ac:dyDescent="0.25">
      <c r="B13" t="s">
        <v>366</v>
      </c>
      <c r="D13" s="161" t="str">
        <f>IF(D11="A","1",IF(D11="B",2,IF(D11="C",3,IF(D11="D",4,IF(D11="E",5,IF(D11="F",6,IF(D11="G",7,"0")))))))</f>
        <v>1</v>
      </c>
      <c r="E13" s="161" t="str">
        <f t="shared" ref="E13:BP13" si="8">IF(E11="A","1",IF(E11="B",2,IF(E11="C",3,IF(E11="D",4,IF(E11="E",5,IF(E11="F",6,IF(E11="G",7,"0")))))))</f>
        <v>0</v>
      </c>
      <c r="F13" s="161" t="str">
        <f t="shared" si="8"/>
        <v>0</v>
      </c>
      <c r="G13" s="161" t="str">
        <f t="shared" si="8"/>
        <v>0</v>
      </c>
      <c r="H13" s="161" t="str">
        <f t="shared" si="8"/>
        <v>0</v>
      </c>
      <c r="I13" s="161" t="str">
        <f t="shared" si="8"/>
        <v>0</v>
      </c>
      <c r="J13" s="161" t="str">
        <f t="shared" si="8"/>
        <v>0</v>
      </c>
      <c r="K13" s="161" t="str">
        <f t="shared" si="8"/>
        <v>0</v>
      </c>
      <c r="L13" s="161" t="str">
        <f t="shared" si="8"/>
        <v>0</v>
      </c>
      <c r="M13" s="161" t="str">
        <f t="shared" si="8"/>
        <v>0</v>
      </c>
      <c r="N13" s="161" t="str">
        <f t="shared" si="8"/>
        <v>0</v>
      </c>
      <c r="O13" s="161" t="str">
        <f t="shared" si="8"/>
        <v>0</v>
      </c>
      <c r="P13" s="161" t="str">
        <f t="shared" si="8"/>
        <v>0</v>
      </c>
      <c r="Q13" s="161" t="str">
        <f t="shared" si="8"/>
        <v>0</v>
      </c>
      <c r="R13" s="161" t="str">
        <f t="shared" si="8"/>
        <v>0</v>
      </c>
      <c r="S13" s="161" t="str">
        <f t="shared" si="8"/>
        <v>0</v>
      </c>
      <c r="T13" s="161" t="str">
        <f t="shared" si="8"/>
        <v>0</v>
      </c>
      <c r="U13" s="161" t="str">
        <f t="shared" si="8"/>
        <v>0</v>
      </c>
      <c r="V13" s="161" t="str">
        <f t="shared" si="8"/>
        <v>0</v>
      </c>
      <c r="W13" s="161" t="str">
        <f t="shared" si="8"/>
        <v>0</v>
      </c>
      <c r="X13" s="161" t="str">
        <f t="shared" si="8"/>
        <v>0</v>
      </c>
      <c r="Y13" s="161" t="str">
        <f t="shared" si="8"/>
        <v>0</v>
      </c>
      <c r="Z13" s="161" t="str">
        <f t="shared" si="8"/>
        <v>0</v>
      </c>
      <c r="AA13" s="161" t="str">
        <f t="shared" si="8"/>
        <v>0</v>
      </c>
      <c r="AB13" s="161" t="str">
        <f t="shared" si="8"/>
        <v>0</v>
      </c>
      <c r="AC13" s="161" t="str">
        <f t="shared" si="8"/>
        <v>0</v>
      </c>
      <c r="AD13" s="161" t="str">
        <f t="shared" si="8"/>
        <v>0</v>
      </c>
      <c r="AE13" s="161" t="str">
        <f t="shared" si="8"/>
        <v>0</v>
      </c>
      <c r="AF13" s="161" t="str">
        <f t="shared" si="8"/>
        <v>0</v>
      </c>
      <c r="AG13" s="161" t="str">
        <f t="shared" si="8"/>
        <v>0</v>
      </c>
      <c r="AH13" s="161" t="str">
        <f t="shared" si="8"/>
        <v>0</v>
      </c>
      <c r="AI13" s="161" t="str">
        <f t="shared" si="8"/>
        <v>0</v>
      </c>
      <c r="AJ13" s="161" t="str">
        <f t="shared" si="8"/>
        <v>0</v>
      </c>
      <c r="AK13" s="161" t="str">
        <f t="shared" si="8"/>
        <v>0</v>
      </c>
      <c r="AL13" s="161" t="str">
        <f t="shared" si="8"/>
        <v>0</v>
      </c>
      <c r="AM13" s="161" t="str">
        <f t="shared" si="8"/>
        <v>0</v>
      </c>
      <c r="AN13" s="161" t="str">
        <f t="shared" si="8"/>
        <v>0</v>
      </c>
      <c r="AO13" s="161" t="str">
        <f t="shared" si="8"/>
        <v>0</v>
      </c>
      <c r="AP13" s="161" t="str">
        <f t="shared" si="8"/>
        <v>0</v>
      </c>
      <c r="AQ13" s="161" t="str">
        <f t="shared" si="8"/>
        <v>0</v>
      </c>
      <c r="AR13" s="161" t="str">
        <f t="shared" si="8"/>
        <v>0</v>
      </c>
      <c r="AS13" s="161" t="str">
        <f t="shared" si="8"/>
        <v>0</v>
      </c>
      <c r="AT13" s="161" t="str">
        <f t="shared" si="8"/>
        <v>0</v>
      </c>
      <c r="AU13" s="161" t="str">
        <f t="shared" si="8"/>
        <v>0</v>
      </c>
      <c r="AV13" s="161" t="str">
        <f t="shared" si="8"/>
        <v>0</v>
      </c>
      <c r="AW13" s="161" t="str">
        <f t="shared" si="8"/>
        <v>0</v>
      </c>
      <c r="AX13" s="161" t="str">
        <f t="shared" si="8"/>
        <v>0</v>
      </c>
      <c r="AY13" s="161" t="str">
        <f t="shared" si="8"/>
        <v>0</v>
      </c>
      <c r="AZ13" s="161" t="str">
        <f t="shared" si="8"/>
        <v>0</v>
      </c>
      <c r="BA13" s="161" t="str">
        <f t="shared" si="8"/>
        <v>0</v>
      </c>
      <c r="BB13" s="161" t="str">
        <f t="shared" si="8"/>
        <v>0</v>
      </c>
      <c r="BC13" s="161" t="str">
        <f t="shared" si="8"/>
        <v>0</v>
      </c>
      <c r="BD13" s="161" t="str">
        <f t="shared" si="8"/>
        <v>0</v>
      </c>
      <c r="BE13" s="161" t="str">
        <f t="shared" si="8"/>
        <v>0</v>
      </c>
      <c r="BF13" s="161" t="str">
        <f t="shared" si="8"/>
        <v>0</v>
      </c>
      <c r="BG13" s="161" t="str">
        <f t="shared" si="8"/>
        <v>0</v>
      </c>
      <c r="BH13" s="161" t="str">
        <f t="shared" si="8"/>
        <v>0</v>
      </c>
      <c r="BI13" s="161" t="str">
        <f t="shared" si="8"/>
        <v>0</v>
      </c>
      <c r="BJ13" s="161" t="str">
        <f t="shared" si="8"/>
        <v>0</v>
      </c>
      <c r="BK13" s="161" t="str">
        <f t="shared" si="8"/>
        <v>0</v>
      </c>
      <c r="BL13" s="161" t="str">
        <f t="shared" si="8"/>
        <v>0</v>
      </c>
      <c r="BM13" s="161" t="str">
        <f t="shared" si="8"/>
        <v>0</v>
      </c>
      <c r="BN13" s="161" t="str">
        <f t="shared" si="8"/>
        <v>0</v>
      </c>
      <c r="BO13" s="161" t="str">
        <f t="shared" si="8"/>
        <v>0</v>
      </c>
      <c r="BP13" s="161" t="str">
        <f t="shared" si="8"/>
        <v>0</v>
      </c>
      <c r="BQ13" s="161" t="str">
        <f t="shared" ref="BQ13:CI13" si="9">IF(BQ11="A","1",IF(BQ11="B",2,IF(BQ11="C",3,IF(BQ11="D",4,IF(BQ11="E",5,IF(BQ11="F",6,IF(BQ11="G",7,"0")))))))</f>
        <v>0</v>
      </c>
      <c r="BR13" s="161" t="str">
        <f t="shared" si="9"/>
        <v>0</v>
      </c>
      <c r="BS13" s="161" t="str">
        <f t="shared" si="9"/>
        <v>0</v>
      </c>
      <c r="BT13" s="161" t="str">
        <f t="shared" si="9"/>
        <v>0</v>
      </c>
      <c r="BU13" s="161" t="str">
        <f t="shared" si="9"/>
        <v>0</v>
      </c>
      <c r="BV13" s="161" t="str">
        <f t="shared" si="9"/>
        <v>0</v>
      </c>
      <c r="BW13" s="161" t="str">
        <f t="shared" si="9"/>
        <v>0</v>
      </c>
      <c r="BX13" s="161" t="str">
        <f t="shared" si="9"/>
        <v>0</v>
      </c>
      <c r="BY13" s="161" t="str">
        <f t="shared" si="9"/>
        <v>0</v>
      </c>
      <c r="BZ13" s="161" t="str">
        <f t="shared" si="9"/>
        <v>0</v>
      </c>
      <c r="CA13" s="161" t="str">
        <f t="shared" si="9"/>
        <v>0</v>
      </c>
      <c r="CB13" s="161" t="str">
        <f t="shared" si="9"/>
        <v>0</v>
      </c>
      <c r="CC13" s="161" t="str">
        <f t="shared" si="9"/>
        <v>0</v>
      </c>
      <c r="CD13" s="161" t="str">
        <f t="shared" si="9"/>
        <v>0</v>
      </c>
      <c r="CE13" s="161" t="str">
        <f t="shared" si="9"/>
        <v>0</v>
      </c>
      <c r="CF13" s="161" t="str">
        <f t="shared" si="9"/>
        <v>0</v>
      </c>
      <c r="CG13" s="161" t="str">
        <f t="shared" si="9"/>
        <v>0</v>
      </c>
      <c r="CH13" s="161" t="str">
        <f t="shared" si="9"/>
        <v>0</v>
      </c>
      <c r="CI13" s="161" t="str">
        <f t="shared" si="9"/>
        <v>0</v>
      </c>
    </row>
    <row r="14" spans="2:87" x14ac:dyDescent="0.25">
      <c r="B14" t="s">
        <v>367</v>
      </c>
      <c r="D14" s="161">
        <f>IF(D12="A","1",IF(D12="B",2,IF(D12="C",3,IF(D12="D",4,IF(D12="E",5,IF(D12="F",6,IF(D12="G",7,"0")))))))</f>
        <v>6</v>
      </c>
      <c r="E14" s="161" t="str">
        <f t="shared" ref="E14:BP14" si="10">IF(E12="A","1",IF(E12="B",2,IF(E12="C",3,IF(E12="D",4,IF(E12="E",5,IF(E12="F",6,IF(E12="G",7,"0")))))))</f>
        <v>0</v>
      </c>
      <c r="F14" s="161" t="str">
        <f t="shared" si="10"/>
        <v>0</v>
      </c>
      <c r="G14" s="161" t="str">
        <f t="shared" si="10"/>
        <v>0</v>
      </c>
      <c r="H14" s="161" t="str">
        <f t="shared" si="10"/>
        <v>0</v>
      </c>
      <c r="I14" s="161" t="str">
        <f t="shared" si="10"/>
        <v>0</v>
      </c>
      <c r="J14" s="161" t="str">
        <f t="shared" si="10"/>
        <v>0</v>
      </c>
      <c r="K14" s="161" t="str">
        <f t="shared" si="10"/>
        <v>0</v>
      </c>
      <c r="L14" s="161" t="str">
        <f t="shared" si="10"/>
        <v>0</v>
      </c>
      <c r="M14" s="161" t="str">
        <f t="shared" si="10"/>
        <v>0</v>
      </c>
      <c r="N14" s="161" t="str">
        <f t="shared" si="10"/>
        <v>0</v>
      </c>
      <c r="O14" s="161" t="str">
        <f t="shared" si="10"/>
        <v>0</v>
      </c>
      <c r="P14" s="161" t="str">
        <f t="shared" si="10"/>
        <v>0</v>
      </c>
      <c r="Q14" s="161" t="str">
        <f t="shared" si="10"/>
        <v>0</v>
      </c>
      <c r="R14" s="161" t="str">
        <f t="shared" si="10"/>
        <v>0</v>
      </c>
      <c r="S14" s="161" t="str">
        <f t="shared" si="10"/>
        <v>0</v>
      </c>
      <c r="T14" s="161" t="str">
        <f t="shared" si="10"/>
        <v>0</v>
      </c>
      <c r="U14" s="161" t="str">
        <f t="shared" si="10"/>
        <v>0</v>
      </c>
      <c r="V14" s="161" t="str">
        <f t="shared" si="10"/>
        <v>0</v>
      </c>
      <c r="W14" s="161" t="str">
        <f t="shared" si="10"/>
        <v>0</v>
      </c>
      <c r="X14" s="161" t="str">
        <f t="shared" si="10"/>
        <v>0</v>
      </c>
      <c r="Y14" s="161" t="str">
        <f t="shared" si="10"/>
        <v>0</v>
      </c>
      <c r="Z14" s="161" t="str">
        <f t="shared" si="10"/>
        <v>0</v>
      </c>
      <c r="AA14" s="161" t="str">
        <f t="shared" si="10"/>
        <v>0</v>
      </c>
      <c r="AB14" s="161" t="str">
        <f t="shared" si="10"/>
        <v>0</v>
      </c>
      <c r="AC14" s="161" t="str">
        <f t="shared" si="10"/>
        <v>0</v>
      </c>
      <c r="AD14" s="161" t="str">
        <f t="shared" si="10"/>
        <v>0</v>
      </c>
      <c r="AE14" s="161" t="str">
        <f t="shared" si="10"/>
        <v>0</v>
      </c>
      <c r="AF14" s="161" t="str">
        <f t="shared" si="10"/>
        <v>0</v>
      </c>
      <c r="AG14" s="161" t="str">
        <f t="shared" si="10"/>
        <v>0</v>
      </c>
      <c r="AH14" s="161" t="str">
        <f t="shared" si="10"/>
        <v>0</v>
      </c>
      <c r="AI14" s="161" t="str">
        <f t="shared" si="10"/>
        <v>0</v>
      </c>
      <c r="AJ14" s="161" t="str">
        <f t="shared" si="10"/>
        <v>0</v>
      </c>
      <c r="AK14" s="161" t="str">
        <f t="shared" si="10"/>
        <v>0</v>
      </c>
      <c r="AL14" s="161" t="str">
        <f t="shared" si="10"/>
        <v>0</v>
      </c>
      <c r="AM14" s="161" t="str">
        <f t="shared" si="10"/>
        <v>0</v>
      </c>
      <c r="AN14" s="161" t="str">
        <f t="shared" si="10"/>
        <v>0</v>
      </c>
      <c r="AO14" s="161" t="str">
        <f t="shared" si="10"/>
        <v>0</v>
      </c>
      <c r="AP14" s="161" t="str">
        <f t="shared" si="10"/>
        <v>0</v>
      </c>
      <c r="AQ14" s="161" t="str">
        <f t="shared" si="10"/>
        <v>0</v>
      </c>
      <c r="AR14" s="161" t="str">
        <f t="shared" si="10"/>
        <v>0</v>
      </c>
      <c r="AS14" s="161" t="str">
        <f t="shared" si="10"/>
        <v>0</v>
      </c>
      <c r="AT14" s="161" t="str">
        <f t="shared" si="10"/>
        <v>0</v>
      </c>
      <c r="AU14" s="161" t="str">
        <f t="shared" si="10"/>
        <v>0</v>
      </c>
      <c r="AV14" s="161" t="str">
        <f t="shared" si="10"/>
        <v>0</v>
      </c>
      <c r="AW14" s="161" t="str">
        <f t="shared" si="10"/>
        <v>0</v>
      </c>
      <c r="AX14" s="161" t="str">
        <f t="shared" si="10"/>
        <v>0</v>
      </c>
      <c r="AY14" s="161" t="str">
        <f t="shared" si="10"/>
        <v>0</v>
      </c>
      <c r="AZ14" s="161" t="str">
        <f t="shared" si="10"/>
        <v>0</v>
      </c>
      <c r="BA14" s="161" t="str">
        <f t="shared" si="10"/>
        <v>0</v>
      </c>
      <c r="BB14" s="161" t="str">
        <f t="shared" si="10"/>
        <v>0</v>
      </c>
      <c r="BC14" s="161" t="str">
        <f t="shared" si="10"/>
        <v>0</v>
      </c>
      <c r="BD14" s="161" t="str">
        <f t="shared" si="10"/>
        <v>0</v>
      </c>
      <c r="BE14" s="161" t="str">
        <f t="shared" si="10"/>
        <v>0</v>
      </c>
      <c r="BF14" s="161" t="str">
        <f t="shared" si="10"/>
        <v>0</v>
      </c>
      <c r="BG14" s="161" t="str">
        <f t="shared" si="10"/>
        <v>0</v>
      </c>
      <c r="BH14" s="161" t="str">
        <f t="shared" si="10"/>
        <v>0</v>
      </c>
      <c r="BI14" s="161" t="str">
        <f t="shared" si="10"/>
        <v>0</v>
      </c>
      <c r="BJ14" s="161" t="str">
        <f t="shared" si="10"/>
        <v>0</v>
      </c>
      <c r="BK14" s="161" t="str">
        <f t="shared" si="10"/>
        <v>0</v>
      </c>
      <c r="BL14" s="161" t="str">
        <f t="shared" si="10"/>
        <v>0</v>
      </c>
      <c r="BM14" s="161" t="str">
        <f t="shared" si="10"/>
        <v>0</v>
      </c>
      <c r="BN14" s="161" t="str">
        <f t="shared" si="10"/>
        <v>0</v>
      </c>
      <c r="BO14" s="161" t="str">
        <f t="shared" si="10"/>
        <v>0</v>
      </c>
      <c r="BP14" s="161" t="str">
        <f t="shared" si="10"/>
        <v>0</v>
      </c>
      <c r="BQ14" s="161" t="str">
        <f t="shared" ref="BQ14:CI14" si="11">IF(BQ12="A","1",IF(BQ12="B",2,IF(BQ12="C",3,IF(BQ12="D",4,IF(BQ12="E",5,IF(BQ12="F",6,IF(BQ12="G",7,"0")))))))</f>
        <v>0</v>
      </c>
      <c r="BR14" s="161" t="str">
        <f t="shared" si="11"/>
        <v>0</v>
      </c>
      <c r="BS14" s="161" t="str">
        <f t="shared" si="11"/>
        <v>0</v>
      </c>
      <c r="BT14" s="161" t="str">
        <f t="shared" si="11"/>
        <v>0</v>
      </c>
      <c r="BU14" s="161" t="str">
        <f t="shared" si="11"/>
        <v>0</v>
      </c>
      <c r="BV14" s="161" t="str">
        <f t="shared" si="11"/>
        <v>0</v>
      </c>
      <c r="BW14" s="161" t="str">
        <f t="shared" si="11"/>
        <v>0</v>
      </c>
      <c r="BX14" s="161" t="str">
        <f t="shared" si="11"/>
        <v>0</v>
      </c>
      <c r="BY14" s="161" t="str">
        <f t="shared" si="11"/>
        <v>0</v>
      </c>
      <c r="BZ14" s="161" t="str">
        <f t="shared" si="11"/>
        <v>0</v>
      </c>
      <c r="CA14" s="161" t="str">
        <f t="shared" si="11"/>
        <v>0</v>
      </c>
      <c r="CB14" s="161" t="str">
        <f t="shared" si="11"/>
        <v>0</v>
      </c>
      <c r="CC14" s="161" t="str">
        <f t="shared" si="11"/>
        <v>0</v>
      </c>
      <c r="CD14" s="161" t="str">
        <f t="shared" si="11"/>
        <v>0</v>
      </c>
      <c r="CE14" s="161" t="str">
        <f t="shared" si="11"/>
        <v>0</v>
      </c>
      <c r="CF14" s="161" t="str">
        <f t="shared" si="11"/>
        <v>0</v>
      </c>
      <c r="CG14" s="161" t="str">
        <f t="shared" si="11"/>
        <v>0</v>
      </c>
      <c r="CH14" s="161" t="str">
        <f t="shared" si="11"/>
        <v>0</v>
      </c>
      <c r="CI14" s="161" t="str">
        <f t="shared" si="11"/>
        <v>0</v>
      </c>
    </row>
    <row r="15" spans="2:87" s="6" customFormat="1" x14ac:dyDescent="0.25">
      <c r="B15" s="6" t="s">
        <v>356</v>
      </c>
      <c r="D15" s="6">
        <f>IF(D6&lt;&gt;"",D9*$C$1-$C$1,"")</f>
        <v>24</v>
      </c>
      <c r="E15" s="6" t="str">
        <f t="shared" ref="E15:BP15" si="12">IF(E6&lt;&gt;"",E9*$C$1-$C$1,"")</f>
        <v/>
      </c>
      <c r="F15" s="6" t="str">
        <f t="shared" si="12"/>
        <v/>
      </c>
      <c r="G15" s="6" t="str">
        <f t="shared" si="12"/>
        <v/>
      </c>
      <c r="H15" s="6" t="str">
        <f t="shared" si="12"/>
        <v/>
      </c>
      <c r="I15" s="6" t="str">
        <f t="shared" si="12"/>
        <v/>
      </c>
      <c r="J15" s="6" t="str">
        <f t="shared" si="12"/>
        <v/>
      </c>
      <c r="K15" s="6" t="str">
        <f>IF(K6&lt;&gt;"",K9*$C$1-$C$1,"")</f>
        <v/>
      </c>
      <c r="L15" s="6" t="str">
        <f t="shared" si="12"/>
        <v/>
      </c>
      <c r="M15" s="6" t="str">
        <f t="shared" si="12"/>
        <v/>
      </c>
      <c r="N15" s="6" t="str">
        <f t="shared" si="12"/>
        <v/>
      </c>
      <c r="O15" s="6" t="str">
        <f t="shared" si="12"/>
        <v/>
      </c>
      <c r="P15" s="6" t="str">
        <f t="shared" si="12"/>
        <v/>
      </c>
      <c r="Q15" s="6" t="str">
        <f t="shared" si="12"/>
        <v/>
      </c>
      <c r="R15" s="6" t="str">
        <f t="shared" si="12"/>
        <v/>
      </c>
      <c r="S15" s="6" t="str">
        <f t="shared" si="12"/>
        <v/>
      </c>
      <c r="T15" s="6" t="str">
        <f t="shared" si="12"/>
        <v/>
      </c>
      <c r="U15" s="6" t="str">
        <f t="shared" si="12"/>
        <v/>
      </c>
      <c r="V15" s="6" t="str">
        <f t="shared" si="12"/>
        <v/>
      </c>
      <c r="W15" s="6" t="str">
        <f t="shared" si="12"/>
        <v/>
      </c>
      <c r="X15" s="6" t="str">
        <f t="shared" si="12"/>
        <v/>
      </c>
      <c r="Y15" s="6" t="str">
        <f t="shared" si="12"/>
        <v/>
      </c>
      <c r="Z15" s="6" t="str">
        <f t="shared" si="12"/>
        <v/>
      </c>
      <c r="AA15" s="6" t="str">
        <f t="shared" si="12"/>
        <v/>
      </c>
      <c r="AB15" s="6" t="str">
        <f t="shared" si="12"/>
        <v/>
      </c>
      <c r="AC15" s="6" t="str">
        <f t="shared" si="12"/>
        <v/>
      </c>
      <c r="AD15" s="6" t="str">
        <f t="shared" si="12"/>
        <v/>
      </c>
      <c r="AE15" s="6" t="str">
        <f t="shared" si="12"/>
        <v/>
      </c>
      <c r="AF15" s="6" t="str">
        <f t="shared" si="12"/>
        <v/>
      </c>
      <c r="AG15" s="6" t="str">
        <f t="shared" si="12"/>
        <v/>
      </c>
      <c r="AH15" s="6" t="str">
        <f t="shared" si="12"/>
        <v/>
      </c>
      <c r="AI15" s="6" t="str">
        <f t="shared" si="12"/>
        <v/>
      </c>
      <c r="AJ15" s="6" t="str">
        <f t="shared" si="12"/>
        <v/>
      </c>
      <c r="AK15" s="6" t="str">
        <f t="shared" si="12"/>
        <v/>
      </c>
      <c r="AL15" s="6" t="str">
        <f t="shared" si="12"/>
        <v/>
      </c>
      <c r="AM15" s="6" t="str">
        <f t="shared" si="12"/>
        <v/>
      </c>
      <c r="AN15" s="6" t="str">
        <f t="shared" si="12"/>
        <v/>
      </c>
      <c r="AO15" s="6" t="str">
        <f t="shared" si="12"/>
        <v/>
      </c>
      <c r="AP15" s="6" t="str">
        <f t="shared" si="12"/>
        <v/>
      </c>
      <c r="AQ15" s="6" t="str">
        <f t="shared" si="12"/>
        <v/>
      </c>
      <c r="AR15" s="6" t="str">
        <f t="shared" si="12"/>
        <v/>
      </c>
      <c r="AS15" s="6" t="str">
        <f t="shared" si="12"/>
        <v/>
      </c>
      <c r="AT15" s="6" t="str">
        <f t="shared" si="12"/>
        <v/>
      </c>
      <c r="AU15" s="6" t="str">
        <f t="shared" si="12"/>
        <v/>
      </c>
      <c r="AV15" s="6" t="str">
        <f t="shared" si="12"/>
        <v/>
      </c>
      <c r="AW15" s="6" t="str">
        <f t="shared" si="12"/>
        <v/>
      </c>
      <c r="AX15" s="6" t="str">
        <f t="shared" si="12"/>
        <v/>
      </c>
      <c r="AY15" s="6" t="str">
        <f t="shared" si="12"/>
        <v/>
      </c>
      <c r="AZ15" s="6" t="str">
        <f t="shared" si="12"/>
        <v/>
      </c>
      <c r="BA15" s="6" t="str">
        <f t="shared" si="12"/>
        <v/>
      </c>
      <c r="BB15" s="6" t="str">
        <f t="shared" si="12"/>
        <v/>
      </c>
      <c r="BC15" s="6" t="str">
        <f t="shared" si="12"/>
        <v/>
      </c>
      <c r="BD15" s="6" t="str">
        <f t="shared" si="12"/>
        <v/>
      </c>
      <c r="BE15" s="6" t="str">
        <f t="shared" si="12"/>
        <v/>
      </c>
      <c r="BF15" s="6" t="str">
        <f t="shared" si="12"/>
        <v/>
      </c>
      <c r="BG15" s="6" t="str">
        <f t="shared" si="12"/>
        <v/>
      </c>
      <c r="BH15" s="6" t="str">
        <f t="shared" si="12"/>
        <v/>
      </c>
      <c r="BI15" s="6" t="str">
        <f t="shared" si="12"/>
        <v/>
      </c>
      <c r="BJ15" s="6" t="str">
        <f t="shared" si="12"/>
        <v/>
      </c>
      <c r="BK15" s="6" t="str">
        <f t="shared" si="12"/>
        <v/>
      </c>
      <c r="BL15" s="6" t="str">
        <f t="shared" si="12"/>
        <v/>
      </c>
      <c r="BM15" s="6" t="str">
        <f t="shared" si="12"/>
        <v/>
      </c>
      <c r="BN15" s="6" t="str">
        <f t="shared" si="12"/>
        <v/>
      </c>
      <c r="BO15" s="6" t="str">
        <f t="shared" si="12"/>
        <v/>
      </c>
      <c r="BP15" s="6" t="str">
        <f t="shared" si="12"/>
        <v/>
      </c>
      <c r="BQ15" s="6" t="str">
        <f t="shared" ref="BQ15:CI15" si="13">IF(BQ6&lt;&gt;"",BQ9*$C$1-$C$1,"")</f>
        <v/>
      </c>
      <c r="BR15" s="6" t="str">
        <f t="shared" si="13"/>
        <v/>
      </c>
      <c r="BS15" s="6" t="str">
        <f t="shared" si="13"/>
        <v/>
      </c>
      <c r="BT15" s="6" t="str">
        <f t="shared" si="13"/>
        <v/>
      </c>
      <c r="BU15" s="6" t="str">
        <f t="shared" si="13"/>
        <v/>
      </c>
      <c r="BV15" s="6" t="str">
        <f t="shared" si="13"/>
        <v/>
      </c>
      <c r="BW15" s="6" t="str">
        <f t="shared" si="13"/>
        <v/>
      </c>
      <c r="BX15" s="6" t="str">
        <f t="shared" si="13"/>
        <v/>
      </c>
      <c r="BY15" s="6" t="str">
        <f t="shared" si="13"/>
        <v/>
      </c>
      <c r="BZ15" s="6" t="str">
        <f t="shared" si="13"/>
        <v/>
      </c>
      <c r="CA15" s="6" t="str">
        <f t="shared" si="13"/>
        <v/>
      </c>
      <c r="CB15" s="6" t="str">
        <f t="shared" si="13"/>
        <v/>
      </c>
      <c r="CC15" s="6" t="str">
        <f t="shared" si="13"/>
        <v/>
      </c>
      <c r="CD15" s="6" t="str">
        <f t="shared" si="13"/>
        <v/>
      </c>
      <c r="CE15" s="6" t="str">
        <f t="shared" si="13"/>
        <v/>
      </c>
      <c r="CF15" s="6" t="str">
        <f t="shared" si="13"/>
        <v/>
      </c>
      <c r="CG15" s="6" t="str">
        <f t="shared" si="13"/>
        <v/>
      </c>
      <c r="CH15" s="6" t="str">
        <f t="shared" si="13"/>
        <v/>
      </c>
      <c r="CI15" s="6" t="str">
        <f t="shared" si="13"/>
        <v/>
      </c>
    </row>
    <row r="16" spans="2:87" s="6" customFormat="1" x14ac:dyDescent="0.25">
      <c r="B16" s="6" t="s">
        <v>357</v>
      </c>
      <c r="D16" s="6">
        <f>IF(D6&lt;&gt;"",D10*$C$1,"")</f>
        <v>72</v>
      </c>
      <c r="E16" s="6" t="str">
        <f t="shared" ref="E16:BP16" si="14">IF(E6&lt;&gt;"",E10*$C$1,"")</f>
        <v/>
      </c>
      <c r="F16" s="6" t="str">
        <f t="shared" si="14"/>
        <v/>
      </c>
      <c r="G16" s="6" t="str">
        <f t="shared" si="14"/>
        <v/>
      </c>
      <c r="H16" s="6" t="str">
        <f t="shared" si="14"/>
        <v/>
      </c>
      <c r="I16" s="6" t="str">
        <f t="shared" si="14"/>
        <v/>
      </c>
      <c r="J16" s="6" t="str">
        <f t="shared" si="14"/>
        <v/>
      </c>
      <c r="K16" s="6" t="str">
        <f t="shared" si="14"/>
        <v/>
      </c>
      <c r="L16" s="6" t="str">
        <f t="shared" si="14"/>
        <v/>
      </c>
      <c r="M16" s="6" t="str">
        <f t="shared" si="14"/>
        <v/>
      </c>
      <c r="N16" s="6" t="str">
        <f t="shared" si="14"/>
        <v/>
      </c>
      <c r="O16" s="6" t="str">
        <f t="shared" si="14"/>
        <v/>
      </c>
      <c r="P16" s="6" t="str">
        <f t="shared" si="14"/>
        <v/>
      </c>
      <c r="Q16" s="6" t="str">
        <f t="shared" si="14"/>
        <v/>
      </c>
      <c r="R16" s="6" t="str">
        <f t="shared" si="14"/>
        <v/>
      </c>
      <c r="S16" s="6" t="str">
        <f t="shared" si="14"/>
        <v/>
      </c>
      <c r="T16" s="6" t="str">
        <f t="shared" si="14"/>
        <v/>
      </c>
      <c r="U16" s="6" t="str">
        <f t="shared" si="14"/>
        <v/>
      </c>
      <c r="V16" s="6" t="str">
        <f t="shared" si="14"/>
        <v/>
      </c>
      <c r="W16" s="6" t="str">
        <f t="shared" si="14"/>
        <v/>
      </c>
      <c r="X16" s="6" t="str">
        <f t="shared" si="14"/>
        <v/>
      </c>
      <c r="Y16" s="6" t="str">
        <f t="shared" si="14"/>
        <v/>
      </c>
      <c r="Z16" s="6" t="str">
        <f t="shared" si="14"/>
        <v/>
      </c>
      <c r="AA16" s="6" t="str">
        <f t="shared" si="14"/>
        <v/>
      </c>
      <c r="AB16" s="6" t="str">
        <f t="shared" si="14"/>
        <v/>
      </c>
      <c r="AC16" s="6" t="str">
        <f t="shared" si="14"/>
        <v/>
      </c>
      <c r="AD16" s="6" t="str">
        <f t="shared" si="14"/>
        <v/>
      </c>
      <c r="AE16" s="6" t="str">
        <f t="shared" si="14"/>
        <v/>
      </c>
      <c r="AF16" s="6" t="str">
        <f t="shared" si="14"/>
        <v/>
      </c>
      <c r="AG16" s="6" t="str">
        <f t="shared" si="14"/>
        <v/>
      </c>
      <c r="AH16" s="6" t="str">
        <f t="shared" si="14"/>
        <v/>
      </c>
      <c r="AI16" s="6" t="str">
        <f t="shared" si="14"/>
        <v/>
      </c>
      <c r="AJ16" s="6" t="str">
        <f t="shared" si="14"/>
        <v/>
      </c>
      <c r="AK16" s="6" t="str">
        <f t="shared" si="14"/>
        <v/>
      </c>
      <c r="AL16" s="6" t="str">
        <f t="shared" si="14"/>
        <v/>
      </c>
      <c r="AM16" s="6" t="str">
        <f t="shared" si="14"/>
        <v/>
      </c>
      <c r="AN16" s="6" t="str">
        <f t="shared" si="14"/>
        <v/>
      </c>
      <c r="AO16" s="6" t="str">
        <f t="shared" si="14"/>
        <v/>
      </c>
      <c r="AP16" s="6" t="str">
        <f t="shared" si="14"/>
        <v/>
      </c>
      <c r="AQ16" s="6" t="str">
        <f t="shared" si="14"/>
        <v/>
      </c>
      <c r="AR16" s="6" t="str">
        <f t="shared" si="14"/>
        <v/>
      </c>
      <c r="AS16" s="6" t="str">
        <f t="shared" si="14"/>
        <v/>
      </c>
      <c r="AT16" s="6" t="str">
        <f t="shared" si="14"/>
        <v/>
      </c>
      <c r="AU16" s="6" t="str">
        <f t="shared" si="14"/>
        <v/>
      </c>
      <c r="AV16" s="6" t="str">
        <f t="shared" si="14"/>
        <v/>
      </c>
      <c r="AW16" s="6" t="str">
        <f t="shared" si="14"/>
        <v/>
      </c>
      <c r="AX16" s="6" t="str">
        <f t="shared" si="14"/>
        <v/>
      </c>
      <c r="AY16" s="6" t="str">
        <f t="shared" si="14"/>
        <v/>
      </c>
      <c r="AZ16" s="6" t="str">
        <f t="shared" si="14"/>
        <v/>
      </c>
      <c r="BA16" s="6" t="str">
        <f t="shared" si="14"/>
        <v/>
      </c>
      <c r="BB16" s="6" t="str">
        <f t="shared" si="14"/>
        <v/>
      </c>
      <c r="BC16" s="6" t="str">
        <f t="shared" si="14"/>
        <v/>
      </c>
      <c r="BD16" s="6" t="str">
        <f t="shared" si="14"/>
        <v/>
      </c>
      <c r="BE16" s="6" t="str">
        <f t="shared" si="14"/>
        <v/>
      </c>
      <c r="BF16" s="6" t="str">
        <f t="shared" si="14"/>
        <v/>
      </c>
      <c r="BG16" s="6" t="str">
        <f t="shared" si="14"/>
        <v/>
      </c>
      <c r="BH16" s="6" t="str">
        <f t="shared" si="14"/>
        <v/>
      </c>
      <c r="BI16" s="6" t="str">
        <f t="shared" si="14"/>
        <v/>
      </c>
      <c r="BJ16" s="6" t="str">
        <f t="shared" si="14"/>
        <v/>
      </c>
      <c r="BK16" s="6" t="str">
        <f t="shared" si="14"/>
        <v/>
      </c>
      <c r="BL16" s="6" t="str">
        <f t="shared" si="14"/>
        <v/>
      </c>
      <c r="BM16" s="6" t="str">
        <f t="shared" si="14"/>
        <v/>
      </c>
      <c r="BN16" s="6" t="str">
        <f t="shared" si="14"/>
        <v/>
      </c>
      <c r="BO16" s="6" t="str">
        <f t="shared" si="14"/>
        <v/>
      </c>
      <c r="BP16" s="6" t="str">
        <f t="shared" si="14"/>
        <v/>
      </c>
      <c r="BQ16" s="6" t="str">
        <f t="shared" ref="BQ16:CI16" si="15">IF(BQ6&lt;&gt;"",BQ10*$C$1,"")</f>
        <v/>
      </c>
      <c r="BR16" s="6" t="str">
        <f t="shared" si="15"/>
        <v/>
      </c>
      <c r="BS16" s="6" t="str">
        <f t="shared" si="15"/>
        <v/>
      </c>
      <c r="BT16" s="6" t="str">
        <f t="shared" si="15"/>
        <v/>
      </c>
      <c r="BU16" s="6" t="str">
        <f t="shared" si="15"/>
        <v/>
      </c>
      <c r="BV16" s="6" t="str">
        <f t="shared" si="15"/>
        <v/>
      </c>
      <c r="BW16" s="6" t="str">
        <f t="shared" si="15"/>
        <v/>
      </c>
      <c r="BX16" s="6" t="str">
        <f t="shared" si="15"/>
        <v/>
      </c>
      <c r="BY16" s="6" t="str">
        <f t="shared" si="15"/>
        <v/>
      </c>
      <c r="BZ16" s="6" t="str">
        <f t="shared" si="15"/>
        <v/>
      </c>
      <c r="CA16" s="6" t="str">
        <f t="shared" si="15"/>
        <v/>
      </c>
      <c r="CB16" s="6" t="str">
        <f t="shared" si="15"/>
        <v/>
      </c>
      <c r="CC16" s="6" t="str">
        <f t="shared" si="15"/>
        <v/>
      </c>
      <c r="CD16" s="6" t="str">
        <f t="shared" si="15"/>
        <v/>
      </c>
      <c r="CE16" s="6" t="str">
        <f t="shared" si="15"/>
        <v/>
      </c>
      <c r="CF16" s="6" t="str">
        <f t="shared" si="15"/>
        <v/>
      </c>
      <c r="CG16" s="6" t="str">
        <f t="shared" si="15"/>
        <v/>
      </c>
      <c r="CH16" s="6" t="str">
        <f t="shared" si="15"/>
        <v/>
      </c>
      <c r="CI16" s="6" t="str">
        <f t="shared" si="15"/>
        <v/>
      </c>
    </row>
    <row r="17" spans="1:87" s="6" customFormat="1" x14ac:dyDescent="0.25">
      <c r="B17" s="6" t="s">
        <v>354</v>
      </c>
      <c r="D17" s="6">
        <f>IF(D6&lt;&gt;"",D13*$C$2-$C$2,"")</f>
        <v>0</v>
      </c>
      <c r="E17" s="6" t="str">
        <f>IF(E6&lt;&gt;"",E13*$C$2-$C$2,"")</f>
        <v/>
      </c>
      <c r="F17" s="6" t="str">
        <f t="shared" ref="F17:BP17" si="16">IF(F6&lt;&gt;"",F13*$C$2-$C$2,"")</f>
        <v/>
      </c>
      <c r="G17" s="6" t="str">
        <f t="shared" si="16"/>
        <v/>
      </c>
      <c r="H17" s="6" t="str">
        <f t="shared" si="16"/>
        <v/>
      </c>
      <c r="I17" s="6" t="str">
        <f t="shared" si="16"/>
        <v/>
      </c>
      <c r="J17" s="6" t="str">
        <f t="shared" si="16"/>
        <v/>
      </c>
      <c r="K17" s="6" t="str">
        <f t="shared" si="16"/>
        <v/>
      </c>
      <c r="L17" s="6" t="str">
        <f t="shared" si="16"/>
        <v/>
      </c>
      <c r="M17" s="6" t="str">
        <f t="shared" si="16"/>
        <v/>
      </c>
      <c r="N17" s="6" t="str">
        <f t="shared" si="16"/>
        <v/>
      </c>
      <c r="O17" s="6" t="str">
        <f t="shared" si="16"/>
        <v/>
      </c>
      <c r="P17" s="6" t="str">
        <f t="shared" si="16"/>
        <v/>
      </c>
      <c r="Q17" s="6" t="str">
        <f t="shared" si="16"/>
        <v/>
      </c>
      <c r="R17" s="6" t="str">
        <f t="shared" si="16"/>
        <v/>
      </c>
      <c r="S17" s="6" t="str">
        <f t="shared" si="16"/>
        <v/>
      </c>
      <c r="T17" s="6" t="str">
        <f t="shared" si="16"/>
        <v/>
      </c>
      <c r="U17" s="6" t="str">
        <f t="shared" si="16"/>
        <v/>
      </c>
      <c r="V17" s="6" t="str">
        <f t="shared" si="16"/>
        <v/>
      </c>
      <c r="W17" s="6" t="str">
        <f t="shared" si="16"/>
        <v/>
      </c>
      <c r="X17" s="6" t="str">
        <f t="shared" si="16"/>
        <v/>
      </c>
      <c r="Y17" s="6" t="str">
        <f t="shared" si="16"/>
        <v/>
      </c>
      <c r="Z17" s="6" t="str">
        <f t="shared" si="16"/>
        <v/>
      </c>
      <c r="AA17" s="6" t="str">
        <f t="shared" si="16"/>
        <v/>
      </c>
      <c r="AB17" s="6" t="str">
        <f t="shared" si="16"/>
        <v/>
      </c>
      <c r="AC17" s="6" t="str">
        <f t="shared" si="16"/>
        <v/>
      </c>
      <c r="AD17" s="6" t="str">
        <f t="shared" si="16"/>
        <v/>
      </c>
      <c r="AE17" s="6" t="str">
        <f t="shared" si="16"/>
        <v/>
      </c>
      <c r="AF17" s="6" t="str">
        <f t="shared" si="16"/>
        <v/>
      </c>
      <c r="AG17" s="6" t="str">
        <f t="shared" si="16"/>
        <v/>
      </c>
      <c r="AH17" s="6" t="str">
        <f t="shared" si="16"/>
        <v/>
      </c>
      <c r="AI17" s="6" t="str">
        <f t="shared" si="16"/>
        <v/>
      </c>
      <c r="AJ17" s="6" t="str">
        <f t="shared" si="16"/>
        <v/>
      </c>
      <c r="AK17" s="6" t="str">
        <f t="shared" si="16"/>
        <v/>
      </c>
      <c r="AL17" s="6" t="str">
        <f t="shared" si="16"/>
        <v/>
      </c>
      <c r="AM17" s="6" t="str">
        <f t="shared" si="16"/>
        <v/>
      </c>
      <c r="AN17" s="6" t="str">
        <f t="shared" si="16"/>
        <v/>
      </c>
      <c r="AO17" s="6" t="str">
        <f t="shared" si="16"/>
        <v/>
      </c>
      <c r="AP17" s="6" t="str">
        <f t="shared" si="16"/>
        <v/>
      </c>
      <c r="AQ17" s="6" t="str">
        <f t="shared" si="16"/>
        <v/>
      </c>
      <c r="AR17" s="6" t="str">
        <f t="shared" si="16"/>
        <v/>
      </c>
      <c r="AS17" s="6" t="str">
        <f t="shared" si="16"/>
        <v/>
      </c>
      <c r="AT17" s="6" t="str">
        <f t="shared" si="16"/>
        <v/>
      </c>
      <c r="AU17" s="6" t="str">
        <f t="shared" si="16"/>
        <v/>
      </c>
      <c r="AV17" s="6" t="str">
        <f t="shared" si="16"/>
        <v/>
      </c>
      <c r="AW17" s="6" t="str">
        <f t="shared" si="16"/>
        <v/>
      </c>
      <c r="AX17" s="6" t="str">
        <f t="shared" si="16"/>
        <v/>
      </c>
      <c r="AY17" s="6" t="str">
        <f t="shared" si="16"/>
        <v/>
      </c>
      <c r="AZ17" s="6" t="str">
        <f t="shared" si="16"/>
        <v/>
      </c>
      <c r="BA17" s="6" t="str">
        <f t="shared" si="16"/>
        <v/>
      </c>
      <c r="BB17" s="6" t="str">
        <f t="shared" si="16"/>
        <v/>
      </c>
      <c r="BC17" s="6" t="str">
        <f t="shared" si="16"/>
        <v/>
      </c>
      <c r="BD17" s="6" t="str">
        <f t="shared" si="16"/>
        <v/>
      </c>
      <c r="BE17" s="6" t="str">
        <f t="shared" si="16"/>
        <v/>
      </c>
      <c r="BF17" s="6" t="str">
        <f t="shared" si="16"/>
        <v/>
      </c>
      <c r="BG17" s="6" t="str">
        <f t="shared" si="16"/>
        <v/>
      </c>
      <c r="BH17" s="6" t="str">
        <f t="shared" si="16"/>
        <v/>
      </c>
      <c r="BI17" s="6" t="str">
        <f t="shared" si="16"/>
        <v/>
      </c>
      <c r="BJ17" s="6" t="str">
        <f t="shared" si="16"/>
        <v/>
      </c>
      <c r="BK17" s="6" t="str">
        <f t="shared" si="16"/>
        <v/>
      </c>
      <c r="BL17" s="6" t="str">
        <f t="shared" si="16"/>
        <v/>
      </c>
      <c r="BM17" s="6" t="str">
        <f t="shared" si="16"/>
        <v/>
      </c>
      <c r="BN17" s="6" t="str">
        <f t="shared" si="16"/>
        <v/>
      </c>
      <c r="BO17" s="6" t="str">
        <f t="shared" si="16"/>
        <v/>
      </c>
      <c r="BP17" s="6" t="str">
        <f t="shared" si="16"/>
        <v/>
      </c>
      <c r="BQ17" s="6" t="str">
        <f t="shared" ref="BQ17:CI17" si="17">IF(BQ6&lt;&gt;"",BQ13*$C$2-$C$2,"")</f>
        <v/>
      </c>
      <c r="BR17" s="6" t="str">
        <f t="shared" si="17"/>
        <v/>
      </c>
      <c r="BS17" s="6" t="str">
        <f t="shared" si="17"/>
        <v/>
      </c>
      <c r="BT17" s="6" t="str">
        <f t="shared" si="17"/>
        <v/>
      </c>
      <c r="BU17" s="6" t="str">
        <f t="shared" si="17"/>
        <v/>
      </c>
      <c r="BV17" s="6" t="str">
        <f t="shared" si="17"/>
        <v/>
      </c>
      <c r="BW17" s="6" t="str">
        <f t="shared" si="17"/>
        <v/>
      </c>
      <c r="BX17" s="6" t="str">
        <f t="shared" si="17"/>
        <v/>
      </c>
      <c r="BY17" s="6" t="str">
        <f t="shared" si="17"/>
        <v/>
      </c>
      <c r="BZ17" s="6" t="str">
        <f t="shared" si="17"/>
        <v/>
      </c>
      <c r="CA17" s="6" t="str">
        <f t="shared" si="17"/>
        <v/>
      </c>
      <c r="CB17" s="6" t="str">
        <f t="shared" si="17"/>
        <v/>
      </c>
      <c r="CC17" s="6" t="str">
        <f t="shared" si="17"/>
        <v/>
      </c>
      <c r="CD17" s="6" t="str">
        <f t="shared" si="17"/>
        <v/>
      </c>
      <c r="CE17" s="6" t="str">
        <f t="shared" si="17"/>
        <v/>
      </c>
      <c r="CF17" s="6" t="str">
        <f t="shared" si="17"/>
        <v/>
      </c>
      <c r="CG17" s="6" t="str">
        <f t="shared" si="17"/>
        <v/>
      </c>
      <c r="CH17" s="6" t="str">
        <f t="shared" si="17"/>
        <v/>
      </c>
      <c r="CI17" s="6" t="str">
        <f t="shared" si="17"/>
        <v/>
      </c>
    </row>
    <row r="18" spans="1:87" s="6" customFormat="1" x14ac:dyDescent="0.25">
      <c r="B18" s="6" t="s">
        <v>355</v>
      </c>
      <c r="D18" s="6">
        <f>IF(D6&lt;&gt;"",D14*$C$2,"")</f>
        <v>24</v>
      </c>
      <c r="E18" s="6" t="str">
        <f t="shared" ref="E18:BP18" si="18">IF(E6&lt;&gt;"",E14*$C$2,"")</f>
        <v/>
      </c>
      <c r="F18" s="6" t="str">
        <f t="shared" si="18"/>
        <v/>
      </c>
      <c r="G18" s="6" t="str">
        <f t="shared" si="18"/>
        <v/>
      </c>
      <c r="H18" s="6" t="str">
        <f t="shared" si="18"/>
        <v/>
      </c>
      <c r="I18" s="6" t="str">
        <f t="shared" si="18"/>
        <v/>
      </c>
      <c r="J18" s="6" t="str">
        <f t="shared" si="18"/>
        <v/>
      </c>
      <c r="K18" s="6" t="str">
        <f t="shared" si="18"/>
        <v/>
      </c>
      <c r="L18" s="6" t="str">
        <f t="shared" si="18"/>
        <v/>
      </c>
      <c r="M18" s="6" t="str">
        <f t="shared" si="18"/>
        <v/>
      </c>
      <c r="N18" s="6" t="str">
        <f t="shared" si="18"/>
        <v/>
      </c>
      <c r="O18" s="6" t="str">
        <f t="shared" si="18"/>
        <v/>
      </c>
      <c r="P18" s="6" t="str">
        <f t="shared" si="18"/>
        <v/>
      </c>
      <c r="Q18" s="6" t="str">
        <f t="shared" si="18"/>
        <v/>
      </c>
      <c r="R18" s="6" t="str">
        <f t="shared" si="18"/>
        <v/>
      </c>
      <c r="S18" s="6" t="str">
        <f t="shared" si="18"/>
        <v/>
      </c>
      <c r="T18" s="6" t="str">
        <f t="shared" si="18"/>
        <v/>
      </c>
      <c r="U18" s="6" t="str">
        <f t="shared" si="18"/>
        <v/>
      </c>
      <c r="V18" s="6" t="str">
        <f t="shared" si="18"/>
        <v/>
      </c>
      <c r="W18" s="6" t="str">
        <f t="shared" si="18"/>
        <v/>
      </c>
      <c r="X18" s="6" t="str">
        <f t="shared" si="18"/>
        <v/>
      </c>
      <c r="Y18" s="6" t="str">
        <f t="shared" si="18"/>
        <v/>
      </c>
      <c r="Z18" s="6" t="str">
        <f t="shared" si="18"/>
        <v/>
      </c>
      <c r="AA18" s="6" t="str">
        <f t="shared" si="18"/>
        <v/>
      </c>
      <c r="AB18" s="6" t="str">
        <f t="shared" si="18"/>
        <v/>
      </c>
      <c r="AC18" s="6" t="str">
        <f t="shared" si="18"/>
        <v/>
      </c>
      <c r="AD18" s="6" t="str">
        <f t="shared" si="18"/>
        <v/>
      </c>
      <c r="AE18" s="6" t="str">
        <f t="shared" si="18"/>
        <v/>
      </c>
      <c r="AF18" s="6" t="str">
        <f t="shared" si="18"/>
        <v/>
      </c>
      <c r="AG18" s="6" t="str">
        <f t="shared" si="18"/>
        <v/>
      </c>
      <c r="AH18" s="6" t="str">
        <f t="shared" si="18"/>
        <v/>
      </c>
      <c r="AI18" s="6" t="str">
        <f t="shared" si="18"/>
        <v/>
      </c>
      <c r="AJ18" s="6" t="str">
        <f t="shared" si="18"/>
        <v/>
      </c>
      <c r="AK18" s="6" t="str">
        <f t="shared" si="18"/>
        <v/>
      </c>
      <c r="AL18" s="6" t="str">
        <f t="shared" si="18"/>
        <v/>
      </c>
      <c r="AM18" s="6" t="str">
        <f t="shared" si="18"/>
        <v/>
      </c>
      <c r="AN18" s="6" t="str">
        <f t="shared" si="18"/>
        <v/>
      </c>
      <c r="AO18" s="6" t="str">
        <f t="shared" si="18"/>
        <v/>
      </c>
      <c r="AP18" s="6" t="str">
        <f t="shared" si="18"/>
        <v/>
      </c>
      <c r="AQ18" s="6" t="str">
        <f t="shared" si="18"/>
        <v/>
      </c>
      <c r="AR18" s="6" t="str">
        <f t="shared" si="18"/>
        <v/>
      </c>
      <c r="AS18" s="6" t="str">
        <f t="shared" si="18"/>
        <v/>
      </c>
      <c r="AT18" s="6" t="str">
        <f t="shared" si="18"/>
        <v/>
      </c>
      <c r="AU18" s="6" t="str">
        <f t="shared" si="18"/>
        <v/>
      </c>
      <c r="AV18" s="6" t="str">
        <f t="shared" si="18"/>
        <v/>
      </c>
      <c r="AW18" s="6" t="str">
        <f t="shared" si="18"/>
        <v/>
      </c>
      <c r="AX18" s="6" t="str">
        <f t="shared" si="18"/>
        <v/>
      </c>
      <c r="AY18" s="6" t="str">
        <f t="shared" si="18"/>
        <v/>
      </c>
      <c r="AZ18" s="6" t="str">
        <f t="shared" si="18"/>
        <v/>
      </c>
      <c r="BA18" s="6" t="str">
        <f t="shared" si="18"/>
        <v/>
      </c>
      <c r="BB18" s="6" t="str">
        <f t="shared" si="18"/>
        <v/>
      </c>
      <c r="BC18" s="6" t="str">
        <f t="shared" si="18"/>
        <v/>
      </c>
      <c r="BD18" s="6" t="str">
        <f t="shared" si="18"/>
        <v/>
      </c>
      <c r="BE18" s="6" t="str">
        <f t="shared" si="18"/>
        <v/>
      </c>
      <c r="BF18" s="6" t="str">
        <f t="shared" si="18"/>
        <v/>
      </c>
      <c r="BG18" s="6" t="str">
        <f t="shared" si="18"/>
        <v/>
      </c>
      <c r="BH18" s="6" t="str">
        <f t="shared" si="18"/>
        <v/>
      </c>
      <c r="BI18" s="6" t="str">
        <f t="shared" si="18"/>
        <v/>
      </c>
      <c r="BJ18" s="6" t="str">
        <f t="shared" si="18"/>
        <v/>
      </c>
      <c r="BK18" s="6" t="str">
        <f t="shared" si="18"/>
        <v/>
      </c>
      <c r="BL18" s="6" t="str">
        <f t="shared" si="18"/>
        <v/>
      </c>
      <c r="BM18" s="6" t="str">
        <f t="shared" si="18"/>
        <v/>
      </c>
      <c r="BN18" s="6" t="str">
        <f t="shared" si="18"/>
        <v/>
      </c>
      <c r="BO18" s="6" t="str">
        <f t="shared" si="18"/>
        <v/>
      </c>
      <c r="BP18" s="6" t="str">
        <f t="shared" si="18"/>
        <v/>
      </c>
      <c r="BQ18" s="6" t="str">
        <f t="shared" ref="BQ18:CI18" si="19">IF(BQ6&lt;&gt;"",BQ14*$C$2,"")</f>
        <v/>
      </c>
      <c r="BR18" s="6" t="str">
        <f t="shared" si="19"/>
        <v/>
      </c>
      <c r="BS18" s="6" t="str">
        <f t="shared" si="19"/>
        <v/>
      </c>
      <c r="BT18" s="6" t="str">
        <f t="shared" si="19"/>
        <v/>
      </c>
      <c r="BU18" s="6" t="str">
        <f t="shared" si="19"/>
        <v/>
      </c>
      <c r="BV18" s="6" t="str">
        <f t="shared" si="19"/>
        <v/>
      </c>
      <c r="BW18" s="6" t="str">
        <f t="shared" si="19"/>
        <v/>
      </c>
      <c r="BX18" s="6" t="str">
        <f t="shared" si="19"/>
        <v/>
      </c>
      <c r="BY18" s="6" t="str">
        <f t="shared" si="19"/>
        <v/>
      </c>
      <c r="BZ18" s="6" t="str">
        <f t="shared" si="19"/>
        <v/>
      </c>
      <c r="CA18" s="6" t="str">
        <f t="shared" si="19"/>
        <v/>
      </c>
      <c r="CB18" s="6" t="str">
        <f t="shared" si="19"/>
        <v/>
      </c>
      <c r="CC18" s="6" t="str">
        <f t="shared" si="19"/>
        <v/>
      </c>
      <c r="CD18" s="6" t="str">
        <f t="shared" si="19"/>
        <v/>
      </c>
      <c r="CE18" s="6" t="str">
        <f t="shared" si="19"/>
        <v/>
      </c>
      <c r="CF18" s="6" t="str">
        <f t="shared" si="19"/>
        <v/>
      </c>
      <c r="CG18" s="6" t="str">
        <f t="shared" si="19"/>
        <v/>
      </c>
      <c r="CH18" s="6" t="str">
        <f t="shared" si="19"/>
        <v/>
      </c>
      <c r="CI18" s="6" t="str">
        <f t="shared" si="19"/>
        <v/>
      </c>
    </row>
    <row r="23" spans="1:87" x14ac:dyDescent="0.25">
      <c r="A23" s="2" t="s">
        <v>39</v>
      </c>
      <c r="B23" s="160">
        <v>1</v>
      </c>
      <c r="C23" s="160">
        <v>2</v>
      </c>
      <c r="D23" s="160">
        <v>3</v>
      </c>
      <c r="E23" s="160">
        <v>4</v>
      </c>
      <c r="F23" s="160">
        <v>5</v>
      </c>
      <c r="G23" s="160">
        <v>6</v>
      </c>
      <c r="H23" s="160">
        <v>7</v>
      </c>
      <c r="I23" s="160">
        <v>8</v>
      </c>
      <c r="J23" s="160">
        <v>9</v>
      </c>
      <c r="K23" s="160">
        <v>10</v>
      </c>
      <c r="L23" s="160">
        <v>11</v>
      </c>
      <c r="M23" s="160">
        <v>12</v>
      </c>
      <c r="N23" s="160">
        <v>13</v>
      </c>
      <c r="O23" s="160">
        <v>14</v>
      </c>
      <c r="P23" s="160">
        <v>15</v>
      </c>
      <c r="Q23" s="160">
        <v>16</v>
      </c>
      <c r="R23" s="160">
        <v>17</v>
      </c>
      <c r="S23" s="160">
        <v>18</v>
      </c>
      <c r="T23" s="160">
        <v>19</v>
      </c>
      <c r="U23" s="160">
        <v>20</v>
      </c>
      <c r="V23" s="160">
        <v>21</v>
      </c>
      <c r="W23" s="160">
        <v>22</v>
      </c>
      <c r="X23" s="160">
        <v>23</v>
      </c>
      <c r="Y23" s="160">
        <v>24</v>
      </c>
      <c r="Z23" s="160">
        <v>25</v>
      </c>
      <c r="AA23" t="s">
        <v>39</v>
      </c>
    </row>
    <row r="24" spans="1:87" x14ac:dyDescent="0.25">
      <c r="A24" s="2" t="s">
        <v>40</v>
      </c>
      <c r="B24" s="160">
        <v>26</v>
      </c>
      <c r="C24" s="160">
        <v>27</v>
      </c>
      <c r="D24" s="160">
        <v>28</v>
      </c>
      <c r="E24" s="160">
        <v>29</v>
      </c>
      <c r="F24" s="160">
        <v>30</v>
      </c>
      <c r="G24" s="160">
        <v>31</v>
      </c>
      <c r="H24" s="160">
        <v>32</v>
      </c>
      <c r="I24" s="160">
        <v>33</v>
      </c>
      <c r="J24" s="160">
        <v>34</v>
      </c>
      <c r="K24" s="160">
        <v>35</v>
      </c>
      <c r="L24" s="160">
        <v>36</v>
      </c>
      <c r="M24" s="160">
        <v>37</v>
      </c>
      <c r="N24" s="160">
        <v>38</v>
      </c>
      <c r="O24" s="160">
        <v>39</v>
      </c>
      <c r="P24" s="160">
        <v>40</v>
      </c>
      <c r="Q24" s="160">
        <v>41</v>
      </c>
      <c r="R24" s="160">
        <v>42</v>
      </c>
      <c r="S24" s="160">
        <v>43</v>
      </c>
      <c r="T24" s="160">
        <v>44</v>
      </c>
      <c r="U24" s="160">
        <v>45</v>
      </c>
      <c r="V24" s="160">
        <v>46</v>
      </c>
      <c r="W24" s="160">
        <v>47</v>
      </c>
      <c r="X24" s="160">
        <v>48</v>
      </c>
      <c r="Y24" s="160">
        <v>49</v>
      </c>
      <c r="Z24" s="160">
        <v>50</v>
      </c>
      <c r="AA24" t="s">
        <v>40</v>
      </c>
    </row>
    <row r="25" spans="1:87" x14ac:dyDescent="0.25">
      <c r="A25" s="2" t="s">
        <v>41</v>
      </c>
      <c r="B25" s="160">
        <v>51</v>
      </c>
      <c r="C25" s="160">
        <v>52</v>
      </c>
      <c r="D25" s="160">
        <v>53</v>
      </c>
      <c r="E25" s="160">
        <v>54</v>
      </c>
      <c r="F25" s="160">
        <v>55</v>
      </c>
      <c r="G25" s="160">
        <v>56</v>
      </c>
      <c r="H25" s="160">
        <v>57</v>
      </c>
      <c r="I25" s="160">
        <v>58</v>
      </c>
      <c r="J25" s="160">
        <v>59</v>
      </c>
      <c r="K25" s="160">
        <v>60</v>
      </c>
      <c r="L25" s="160">
        <v>61</v>
      </c>
      <c r="M25" s="160">
        <v>62</v>
      </c>
      <c r="N25" s="160">
        <v>63</v>
      </c>
      <c r="O25" s="160">
        <v>64</v>
      </c>
      <c r="P25" s="160">
        <v>65</v>
      </c>
      <c r="Q25" s="160">
        <v>66</v>
      </c>
      <c r="R25" s="160">
        <v>67</v>
      </c>
      <c r="S25" s="160">
        <v>68</v>
      </c>
      <c r="T25" s="160">
        <v>69</v>
      </c>
      <c r="U25" s="160">
        <v>70</v>
      </c>
      <c r="V25" s="160">
        <v>71</v>
      </c>
      <c r="W25" s="160">
        <v>72</v>
      </c>
      <c r="X25" s="160">
        <v>73</v>
      </c>
      <c r="Y25" s="160">
        <v>74</v>
      </c>
      <c r="Z25" s="160">
        <v>75</v>
      </c>
      <c r="AA25" t="s">
        <v>41</v>
      </c>
    </row>
    <row r="26" spans="1:87" x14ac:dyDescent="0.25">
      <c r="A26" s="2" t="s">
        <v>42</v>
      </c>
      <c r="B26" s="160">
        <v>76</v>
      </c>
      <c r="C26" s="160">
        <v>77</v>
      </c>
      <c r="D26" s="160">
        <v>78</v>
      </c>
      <c r="E26" s="160">
        <v>79</v>
      </c>
      <c r="F26" s="160">
        <v>80</v>
      </c>
      <c r="G26" s="160">
        <v>81</v>
      </c>
      <c r="H26" s="160">
        <v>82</v>
      </c>
      <c r="I26" s="160">
        <v>83</v>
      </c>
      <c r="J26" s="160">
        <v>84</v>
      </c>
      <c r="K26" s="160">
        <v>85</v>
      </c>
      <c r="L26" s="160">
        <v>86</v>
      </c>
      <c r="M26" s="160">
        <v>87</v>
      </c>
      <c r="N26" s="160">
        <v>88</v>
      </c>
      <c r="O26" s="160">
        <v>89</v>
      </c>
      <c r="P26" s="160">
        <v>90</v>
      </c>
      <c r="Q26" s="160">
        <v>91</v>
      </c>
      <c r="R26" s="160">
        <v>92</v>
      </c>
      <c r="S26" s="160">
        <v>93</v>
      </c>
      <c r="T26" s="160">
        <v>94</v>
      </c>
      <c r="U26" s="160">
        <v>95</v>
      </c>
      <c r="V26" s="160">
        <v>96</v>
      </c>
      <c r="W26" s="160">
        <v>97</v>
      </c>
      <c r="X26" s="160">
        <v>98</v>
      </c>
      <c r="Y26" s="160">
        <v>99</v>
      </c>
      <c r="Z26" s="160">
        <v>100</v>
      </c>
      <c r="AA26" t="s">
        <v>42</v>
      </c>
    </row>
    <row r="27" spans="1:87" x14ac:dyDescent="0.25">
      <c r="A27" s="2" t="s">
        <v>43</v>
      </c>
      <c r="B27" s="160">
        <v>101</v>
      </c>
      <c r="C27" s="160">
        <v>102</v>
      </c>
      <c r="D27" s="160">
        <v>103</v>
      </c>
      <c r="E27" s="160">
        <v>104</v>
      </c>
      <c r="F27" s="160">
        <v>105</v>
      </c>
      <c r="G27" s="160">
        <v>106</v>
      </c>
      <c r="H27" s="160">
        <v>107</v>
      </c>
      <c r="I27" s="160">
        <v>108</v>
      </c>
      <c r="J27" s="160">
        <v>109</v>
      </c>
      <c r="K27" s="160">
        <v>110</v>
      </c>
      <c r="L27" s="160">
        <v>111</v>
      </c>
      <c r="M27" s="160">
        <v>112</v>
      </c>
      <c r="N27" s="160">
        <v>113</v>
      </c>
      <c r="O27" s="160">
        <v>114</v>
      </c>
      <c r="P27" s="160">
        <v>115</v>
      </c>
      <c r="Q27" s="160">
        <v>116</v>
      </c>
      <c r="R27" s="160">
        <v>117</v>
      </c>
      <c r="S27" s="160">
        <v>118</v>
      </c>
      <c r="T27" s="160">
        <v>119</v>
      </c>
      <c r="U27" s="160">
        <v>120</v>
      </c>
      <c r="V27" s="160">
        <v>121</v>
      </c>
      <c r="W27" s="160">
        <v>122</v>
      </c>
      <c r="X27" s="160">
        <v>123</v>
      </c>
      <c r="Y27" s="160">
        <v>124</v>
      </c>
      <c r="Z27" s="160">
        <v>125</v>
      </c>
      <c r="AA27" t="s">
        <v>43</v>
      </c>
    </row>
    <row r="28" spans="1:87" x14ac:dyDescent="0.25">
      <c r="A28" s="2" t="s">
        <v>44</v>
      </c>
      <c r="B28" s="160">
        <v>126</v>
      </c>
      <c r="C28" s="160">
        <v>127</v>
      </c>
      <c r="D28" s="160">
        <v>128</v>
      </c>
      <c r="E28" s="160">
        <v>129</v>
      </c>
      <c r="F28" s="160">
        <v>130</v>
      </c>
      <c r="G28" s="160">
        <v>131</v>
      </c>
      <c r="H28" s="160">
        <v>132</v>
      </c>
      <c r="I28" s="160">
        <v>133</v>
      </c>
      <c r="J28" s="160">
        <v>134</v>
      </c>
      <c r="K28" s="160">
        <v>135</v>
      </c>
      <c r="L28" s="160">
        <v>136</v>
      </c>
      <c r="M28" s="160">
        <v>137</v>
      </c>
      <c r="N28" s="160">
        <v>138</v>
      </c>
      <c r="O28" s="160">
        <v>139</v>
      </c>
      <c r="P28" s="160">
        <v>140</v>
      </c>
      <c r="Q28" s="160">
        <v>141</v>
      </c>
      <c r="R28" s="160">
        <v>142</v>
      </c>
      <c r="S28" s="160">
        <v>143</v>
      </c>
      <c r="T28" s="160">
        <v>144</v>
      </c>
      <c r="U28" s="160">
        <v>145</v>
      </c>
      <c r="V28" s="160">
        <v>146</v>
      </c>
      <c r="W28" s="160">
        <v>147</v>
      </c>
      <c r="X28" s="160">
        <v>148</v>
      </c>
      <c r="Y28" s="160">
        <v>149</v>
      </c>
      <c r="Z28" s="160">
        <v>150</v>
      </c>
      <c r="AA28" t="s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24"/>
  <sheetViews>
    <sheetView workbookViewId="0">
      <selection activeCell="D18" sqref="D18"/>
    </sheetView>
  </sheetViews>
  <sheetFormatPr defaultRowHeight="15" x14ac:dyDescent="0.25"/>
  <cols>
    <col min="1" max="1" width="45.7109375" style="2" bestFit="1" customWidth="1"/>
    <col min="2" max="2" width="21.85546875" style="2" bestFit="1" customWidth="1"/>
    <col min="3" max="3" width="26.7109375" style="2" bestFit="1" customWidth="1"/>
    <col min="4" max="4" width="10.42578125" style="2" bestFit="1" customWidth="1"/>
    <col min="5" max="5" width="10.28515625" style="2" bestFit="1" customWidth="1"/>
    <col min="7" max="7" width="13.7109375" customWidth="1"/>
    <col min="8" max="8" width="13.85546875" customWidth="1"/>
    <col min="10" max="10" width="11.42578125" customWidth="1"/>
    <col min="11" max="11" width="10.5703125" customWidth="1"/>
    <col min="13" max="13" width="10.42578125" bestFit="1" customWidth="1"/>
    <col min="14" max="14" width="12.7109375" customWidth="1"/>
  </cols>
  <sheetData>
    <row r="1" spans="1:17" x14ac:dyDescent="0.25">
      <c r="C1" s="13" t="s">
        <v>260</v>
      </c>
      <c r="D1" s="31">
        <v>76.45</v>
      </c>
      <c r="F1" t="s">
        <v>345</v>
      </c>
    </row>
    <row r="2" spans="1:17" x14ac:dyDescent="0.25">
      <c r="C2" s="13" t="s">
        <v>261</v>
      </c>
      <c r="D2" s="31">
        <v>27.4</v>
      </c>
      <c r="F2" s="31">
        <v>10.45</v>
      </c>
    </row>
    <row r="3" spans="1:17" x14ac:dyDescent="0.25">
      <c r="A3" s="2" t="s">
        <v>157</v>
      </c>
      <c r="B3" s="2" t="s">
        <v>140</v>
      </c>
      <c r="O3" t="s">
        <v>307</v>
      </c>
      <c r="P3" t="s">
        <v>308</v>
      </c>
      <c r="Q3" t="s">
        <v>309</v>
      </c>
    </row>
    <row r="4" spans="1:17" x14ac:dyDescent="0.25">
      <c r="A4" s="2" t="s">
        <v>344</v>
      </c>
      <c r="B4" s="2" t="s">
        <v>141</v>
      </c>
      <c r="D4" s="2" t="s">
        <v>162</v>
      </c>
      <c r="E4" s="2" t="s">
        <v>163</v>
      </c>
      <c r="N4" s="13" t="s">
        <v>281</v>
      </c>
      <c r="O4" s="31">
        <v>1.91</v>
      </c>
      <c r="P4" s="31">
        <v>1.73</v>
      </c>
    </row>
    <row r="5" spans="1:17" x14ac:dyDescent="0.25">
      <c r="A5" s="2" t="s">
        <v>158</v>
      </c>
      <c r="C5" s="13" t="s">
        <v>142</v>
      </c>
      <c r="D5" s="31">
        <v>0</v>
      </c>
      <c r="E5" s="31">
        <v>0</v>
      </c>
      <c r="N5" t="s">
        <v>310</v>
      </c>
    </row>
    <row r="6" spans="1:17" x14ac:dyDescent="0.25">
      <c r="A6" s="2" t="s">
        <v>159</v>
      </c>
      <c r="C6" s="13" t="s">
        <v>143</v>
      </c>
      <c r="D6" s="31">
        <f>D1+F2</f>
        <v>86.9</v>
      </c>
      <c r="E6" s="31">
        <v>0</v>
      </c>
      <c r="F6" t="s">
        <v>149</v>
      </c>
      <c r="G6" t="s">
        <v>161</v>
      </c>
    </row>
    <row r="7" spans="1:17" x14ac:dyDescent="0.25">
      <c r="A7" s="2" t="s">
        <v>160</v>
      </c>
      <c r="C7" s="13" t="s">
        <v>144</v>
      </c>
      <c r="D7" s="31">
        <v>0</v>
      </c>
      <c r="E7" s="31">
        <v>37</v>
      </c>
      <c r="F7" t="s">
        <v>149</v>
      </c>
      <c r="G7" t="s">
        <v>150</v>
      </c>
    </row>
    <row r="8" spans="1:17" x14ac:dyDescent="0.25">
      <c r="C8" s="13" t="s">
        <v>206</v>
      </c>
      <c r="D8" s="31"/>
      <c r="E8" s="31">
        <v>14</v>
      </c>
      <c r="F8" t="s">
        <v>149</v>
      </c>
      <c r="G8" t="s">
        <v>207</v>
      </c>
    </row>
    <row r="9" spans="1:17" x14ac:dyDescent="0.25">
      <c r="B9" s="2" t="s">
        <v>134</v>
      </c>
      <c r="D9" s="30"/>
      <c r="E9" s="30"/>
    </row>
    <row r="10" spans="1:17" x14ac:dyDescent="0.25">
      <c r="B10" s="2" t="s">
        <v>135</v>
      </c>
      <c r="D10" s="30"/>
      <c r="E10" s="30"/>
    </row>
    <row r="11" spans="1:17" x14ac:dyDescent="0.25">
      <c r="A11" s="13" t="s">
        <v>164</v>
      </c>
      <c r="C11" s="2" t="s">
        <v>136</v>
      </c>
      <c r="D11" s="30">
        <f>33</f>
        <v>33</v>
      </c>
      <c r="E11" s="30">
        <f>8.7</f>
        <v>8.6999999999999993</v>
      </c>
      <c r="F11" t="s">
        <v>149</v>
      </c>
      <c r="G11" t="s">
        <v>151</v>
      </c>
    </row>
    <row r="12" spans="1:17" x14ac:dyDescent="0.25">
      <c r="A12" s="31">
        <v>8.6</v>
      </c>
      <c r="C12" s="2" t="s">
        <v>137</v>
      </c>
      <c r="D12" s="30">
        <f>D11+A12</f>
        <v>41.6</v>
      </c>
      <c r="E12" s="30">
        <f>E11</f>
        <v>8.6999999999999993</v>
      </c>
    </row>
    <row r="13" spans="1:17" x14ac:dyDescent="0.25">
      <c r="C13" s="2" t="s">
        <v>138</v>
      </c>
      <c r="D13" s="30">
        <f>D11</f>
        <v>33</v>
      </c>
      <c r="E13" s="30">
        <f>E11</f>
        <v>8.6999999999999993</v>
      </c>
    </row>
    <row r="14" spans="1:17" x14ac:dyDescent="0.25">
      <c r="C14" s="2" t="s">
        <v>139</v>
      </c>
      <c r="D14" s="30">
        <f>D11</f>
        <v>33</v>
      </c>
      <c r="E14" s="30">
        <f>E11+A12</f>
        <v>17.299999999999997</v>
      </c>
    </row>
    <row r="15" spans="1:17" x14ac:dyDescent="0.25">
      <c r="D15" s="30"/>
      <c r="E15" s="30"/>
    </row>
    <row r="16" spans="1:17" x14ac:dyDescent="0.25">
      <c r="A16" s="13" t="s">
        <v>165</v>
      </c>
      <c r="B16" s="2" t="s">
        <v>145</v>
      </c>
      <c r="D16" s="30"/>
      <c r="E16" s="30"/>
    </row>
    <row r="17" spans="1:14" x14ac:dyDescent="0.25">
      <c r="A17" s="31">
        <v>3.7</v>
      </c>
      <c r="B17" s="2" t="s">
        <v>135</v>
      </c>
      <c r="C17" s="2" t="s">
        <v>146</v>
      </c>
      <c r="D17" s="30">
        <v>25.4</v>
      </c>
      <c r="E17" s="30">
        <f>4.3</f>
        <v>4.3</v>
      </c>
      <c r="F17" t="s">
        <v>149</v>
      </c>
      <c r="G17" t="s">
        <v>152</v>
      </c>
    </row>
    <row r="18" spans="1:14" x14ac:dyDescent="0.25">
      <c r="D18" s="30"/>
      <c r="E18" s="30"/>
    </row>
    <row r="19" spans="1:14" x14ac:dyDescent="0.25">
      <c r="B19" s="2" t="s">
        <v>147</v>
      </c>
      <c r="D19" s="30"/>
      <c r="E19" s="30"/>
    </row>
    <row r="20" spans="1:14" x14ac:dyDescent="0.25">
      <c r="C20" s="2" t="s">
        <v>147</v>
      </c>
      <c r="D20" s="30">
        <v>0</v>
      </c>
      <c r="E20" s="30">
        <v>0</v>
      </c>
    </row>
    <row r="21" spans="1:14" x14ac:dyDescent="0.25">
      <c r="C21" s="2" t="s">
        <v>154</v>
      </c>
      <c r="D21" s="30">
        <f>A17</f>
        <v>3.7</v>
      </c>
      <c r="E21" s="30">
        <v>0</v>
      </c>
      <c r="F21" t="s">
        <v>149</v>
      </c>
      <c r="G21" t="s">
        <v>155</v>
      </c>
      <c r="M21" t="s">
        <v>348</v>
      </c>
      <c r="N21" t="s">
        <v>349</v>
      </c>
    </row>
    <row r="22" spans="1:14" x14ac:dyDescent="0.25">
      <c r="C22" s="2" t="s">
        <v>148</v>
      </c>
      <c r="D22" s="30">
        <f>D21</f>
        <v>3.7</v>
      </c>
      <c r="E22" s="30">
        <v>0</v>
      </c>
      <c r="M22">
        <v>0</v>
      </c>
      <c r="N22">
        <v>0</v>
      </c>
    </row>
    <row r="23" spans="1:14" x14ac:dyDescent="0.25">
      <c r="C23" s="2" t="s">
        <v>153</v>
      </c>
      <c r="D23" s="30">
        <f>D22</f>
        <v>3.7</v>
      </c>
      <c r="E23" s="30">
        <f>A17</f>
        <v>3.7</v>
      </c>
      <c r="F23" t="s">
        <v>149</v>
      </c>
      <c r="G23" t="s">
        <v>156</v>
      </c>
      <c r="M23">
        <v>87.2</v>
      </c>
      <c r="N23">
        <v>0</v>
      </c>
    </row>
    <row r="24" spans="1:14" x14ac:dyDescent="0.25">
      <c r="M24">
        <v>173.8</v>
      </c>
      <c r="N24">
        <v>0</v>
      </c>
    </row>
    <row r="25" spans="1:14" x14ac:dyDescent="0.25">
      <c r="B25" s="2">
        <v>1</v>
      </c>
      <c r="C25" s="2">
        <v>2</v>
      </c>
      <c r="D25" s="2">
        <v>3</v>
      </c>
      <c r="E25" s="2">
        <v>4</v>
      </c>
      <c r="F25">
        <v>5</v>
      </c>
      <c r="G25">
        <v>6</v>
      </c>
      <c r="H25">
        <v>7</v>
      </c>
      <c r="M25">
        <v>260.8</v>
      </c>
      <c r="N25">
        <v>0</v>
      </c>
    </row>
    <row r="26" spans="1:14" x14ac:dyDescent="0.25">
      <c r="B26" s="13" t="s">
        <v>39</v>
      </c>
      <c r="C26" s="13" t="s">
        <v>40</v>
      </c>
      <c r="D26" s="13" t="s">
        <v>41</v>
      </c>
      <c r="E26" s="13" t="s">
        <v>42</v>
      </c>
      <c r="F26" s="6" t="s">
        <v>43</v>
      </c>
      <c r="G26" s="6" t="s">
        <v>44</v>
      </c>
      <c r="H26" s="6" t="s">
        <v>45</v>
      </c>
      <c r="M26">
        <v>347.2</v>
      </c>
      <c r="N26">
        <v>0</v>
      </c>
    </row>
    <row r="27" spans="1:14" x14ac:dyDescent="0.25">
      <c r="A27" s="14">
        <v>1</v>
      </c>
      <c r="B27" s="2" t="str">
        <f>'Program Page'!F5</f>
        <v>well</v>
      </c>
      <c r="C27" s="2" t="str">
        <f>'Program Page'!G5</f>
        <v>Box</v>
      </c>
      <c r="D27" s="2" t="str">
        <f>'Program Page'!H5</f>
        <v>box</v>
      </c>
      <c r="E27" s="2" t="str">
        <f>'Program Page'!I5</f>
        <v>box</v>
      </c>
      <c r="F27" s="2" t="str">
        <f>'Program Page'!J5</f>
        <v>box</v>
      </c>
      <c r="G27" s="2">
        <f>'Program Page'!K5</f>
        <v>0</v>
      </c>
      <c r="H27" s="2">
        <f>'Program Page'!L5</f>
        <v>0</v>
      </c>
      <c r="M27">
        <v>433.8</v>
      </c>
      <c r="N27">
        <v>0</v>
      </c>
    </row>
    <row r="28" spans="1:14" x14ac:dyDescent="0.25">
      <c r="A28" s="14">
        <v>2</v>
      </c>
      <c r="B28" s="2">
        <f>'Program Page'!F6</f>
        <v>0</v>
      </c>
      <c r="C28" s="2">
        <f>'Program Page'!G6</f>
        <v>0</v>
      </c>
      <c r="D28" s="2">
        <f>'Program Page'!H6</f>
        <v>0</v>
      </c>
      <c r="E28" s="2">
        <f>'Program Page'!I6</f>
        <v>0</v>
      </c>
      <c r="F28" s="2">
        <f>'Program Page'!J6</f>
        <v>0</v>
      </c>
      <c r="G28" s="2">
        <f>'Program Page'!K6</f>
        <v>0</v>
      </c>
      <c r="H28" s="2">
        <f>'Program Page'!L6</f>
        <v>0</v>
      </c>
      <c r="M28">
        <v>520.70000000000005</v>
      </c>
      <c r="N28">
        <v>0</v>
      </c>
    </row>
    <row r="29" spans="1:14" x14ac:dyDescent="0.25">
      <c r="A29" s="14">
        <v>3</v>
      </c>
      <c r="B29" s="2">
        <f>'Program Page'!F7</f>
        <v>0</v>
      </c>
      <c r="C29" s="2">
        <f>'Program Page'!G7</f>
        <v>0</v>
      </c>
      <c r="D29" s="2">
        <f>'Program Page'!H7</f>
        <v>0</v>
      </c>
      <c r="E29" s="2">
        <f>'Program Page'!I7</f>
        <v>0</v>
      </c>
      <c r="F29" s="2">
        <f>'Program Page'!J7</f>
        <v>0</v>
      </c>
      <c r="G29" s="2">
        <f>'Program Page'!K7</f>
        <v>0</v>
      </c>
      <c r="H29" s="2">
        <f>'Program Page'!L7</f>
        <v>0</v>
      </c>
    </row>
    <row r="30" spans="1:14" x14ac:dyDescent="0.25">
      <c r="A30" s="14">
        <v>4</v>
      </c>
      <c r="B30" s="2">
        <f>'Program Page'!F8</f>
        <v>0</v>
      </c>
      <c r="C30" s="2">
        <f>'Program Page'!G8</f>
        <v>0</v>
      </c>
      <c r="D30" s="2">
        <f>'Program Page'!H8</f>
        <v>0</v>
      </c>
      <c r="E30" s="2">
        <f>'Program Page'!I8</f>
        <v>0</v>
      </c>
      <c r="F30" s="2">
        <f>'Program Page'!J8</f>
        <v>0</v>
      </c>
      <c r="G30" s="2">
        <f>'Program Page'!K8</f>
        <v>0</v>
      </c>
      <c r="H30" s="2">
        <f>'Program Page'!L8</f>
        <v>0</v>
      </c>
      <c r="K30" t="s">
        <v>183</v>
      </c>
      <c r="L30" t="s">
        <v>184</v>
      </c>
    </row>
    <row r="31" spans="1:14" x14ac:dyDescent="0.25">
      <c r="A31" s="14">
        <v>5</v>
      </c>
      <c r="B31" s="2">
        <f>'Program Page'!F9</f>
        <v>0</v>
      </c>
      <c r="C31" s="2">
        <f>'Program Page'!G9</f>
        <v>0</v>
      </c>
      <c r="D31" s="2">
        <f>'Program Page'!H9</f>
        <v>0</v>
      </c>
      <c r="E31" s="2">
        <f>'Program Page'!I9</f>
        <v>0</v>
      </c>
      <c r="F31" s="2">
        <f>'Program Page'!J9</f>
        <v>0</v>
      </c>
      <c r="G31" s="2">
        <f>'Program Page'!K9</f>
        <v>0</v>
      </c>
      <c r="H31" s="2">
        <f>'Program Page'!L9</f>
        <v>0</v>
      </c>
      <c r="J31" t="s">
        <v>0</v>
      </c>
    </row>
    <row r="32" spans="1:14" x14ac:dyDescent="0.25">
      <c r="A32" s="14">
        <v>6</v>
      </c>
      <c r="B32" s="2">
        <f>'Program Page'!F10</f>
        <v>0</v>
      </c>
      <c r="C32" s="2">
        <f>'Program Page'!G10</f>
        <v>0</v>
      </c>
      <c r="D32" s="2">
        <f>'Program Page'!H10</f>
        <v>0</v>
      </c>
      <c r="E32" s="2">
        <f>'Program Page'!I10</f>
        <v>0</v>
      </c>
      <c r="F32" s="2">
        <f>'Program Page'!J10</f>
        <v>0</v>
      </c>
      <c r="G32" s="2">
        <f>'Program Page'!K10</f>
        <v>0</v>
      </c>
      <c r="H32" s="2">
        <f>'Program Page'!L10</f>
        <v>0</v>
      </c>
      <c r="J32">
        <v>1</v>
      </c>
    </row>
    <row r="33" spans="1:14" x14ac:dyDescent="0.25">
      <c r="A33" s="14">
        <v>7</v>
      </c>
      <c r="B33" s="2">
        <f>'Program Page'!F11</f>
        <v>0</v>
      </c>
      <c r="C33" s="2">
        <f>'Program Page'!G11</f>
        <v>0</v>
      </c>
      <c r="D33" s="2">
        <f>'Program Page'!H11</f>
        <v>0</v>
      </c>
      <c r="E33" s="2">
        <f>'Program Page'!I11</f>
        <v>0</v>
      </c>
      <c r="F33" s="2">
        <f>'Program Page'!J11</f>
        <v>0</v>
      </c>
      <c r="G33" s="2">
        <f>'Program Page'!K11</f>
        <v>0</v>
      </c>
      <c r="H33" s="2">
        <f>'Program Page'!L11</f>
        <v>0</v>
      </c>
      <c r="J33">
        <v>2</v>
      </c>
    </row>
    <row r="34" spans="1:14" x14ac:dyDescent="0.25">
      <c r="A34" s="14">
        <v>8</v>
      </c>
      <c r="B34" s="2">
        <f>'Program Page'!F12</f>
        <v>0</v>
      </c>
      <c r="C34" s="2">
        <f>'Program Page'!G12</f>
        <v>0</v>
      </c>
      <c r="D34" s="2">
        <f>'Program Page'!H12</f>
        <v>0</v>
      </c>
      <c r="E34" s="2">
        <f>'Program Page'!I12</f>
        <v>0</v>
      </c>
      <c r="F34" s="2">
        <f>'Program Page'!J12</f>
        <v>0</v>
      </c>
      <c r="G34" s="2">
        <f>'Program Page'!K12</f>
        <v>0</v>
      </c>
      <c r="H34" s="2">
        <f>'Program Page'!L12</f>
        <v>0</v>
      </c>
      <c r="J34">
        <v>3</v>
      </c>
    </row>
    <row r="35" spans="1:14" x14ac:dyDescent="0.25">
      <c r="A35" s="14">
        <v>9</v>
      </c>
      <c r="B35" s="2">
        <f>'Program Page'!F13</f>
        <v>0</v>
      </c>
      <c r="C35" s="2">
        <f>'Program Page'!G13</f>
        <v>0</v>
      </c>
      <c r="D35" s="2">
        <f>'Program Page'!H13</f>
        <v>0</v>
      </c>
      <c r="E35" s="2">
        <f>'Program Page'!I13</f>
        <v>0</v>
      </c>
      <c r="F35" s="2">
        <f>'Program Page'!J13</f>
        <v>0</v>
      </c>
      <c r="G35" s="2">
        <f>'Program Page'!K13</f>
        <v>0</v>
      </c>
      <c r="H35" s="2">
        <f>'Program Page'!L13</f>
        <v>0</v>
      </c>
      <c r="J35">
        <v>4</v>
      </c>
    </row>
    <row r="36" spans="1:14" x14ac:dyDescent="0.25">
      <c r="A36" s="14">
        <v>10</v>
      </c>
      <c r="B36" s="2">
        <f>'Program Page'!F14</f>
        <v>0</v>
      </c>
      <c r="C36" s="2">
        <f>'Program Page'!G14</f>
        <v>0</v>
      </c>
      <c r="D36" s="2">
        <f>'Program Page'!H14</f>
        <v>0</v>
      </c>
      <c r="E36" s="2">
        <f>'Program Page'!I14</f>
        <v>0</v>
      </c>
      <c r="F36" s="2">
        <f>'Program Page'!J14</f>
        <v>0</v>
      </c>
      <c r="G36" s="2">
        <f>'Program Page'!K14</f>
        <v>0</v>
      </c>
      <c r="H36" s="2">
        <f>'Program Page'!L14</f>
        <v>0</v>
      </c>
    </row>
    <row r="37" spans="1:14" x14ac:dyDescent="0.25">
      <c r="A37" s="14">
        <v>11</v>
      </c>
      <c r="B37" s="2">
        <f>'Program Page'!F15</f>
        <v>0</v>
      </c>
      <c r="C37" s="2">
        <f>'Program Page'!G15</f>
        <v>0</v>
      </c>
      <c r="D37" s="2">
        <f>'Program Page'!H15</f>
        <v>0</v>
      </c>
      <c r="E37" s="2">
        <f>'Program Page'!I15</f>
        <v>0</v>
      </c>
      <c r="F37" s="2">
        <f>'Program Page'!J15</f>
        <v>0</v>
      </c>
      <c r="G37" s="2">
        <f>'Program Page'!K15</f>
        <v>0</v>
      </c>
      <c r="H37" s="2">
        <f>'Program Page'!L15</f>
        <v>0</v>
      </c>
    </row>
    <row r="38" spans="1:14" x14ac:dyDescent="0.25">
      <c r="A38" s="14">
        <v>12</v>
      </c>
      <c r="B38" s="2">
        <f>'Program Page'!F16</f>
        <v>0</v>
      </c>
      <c r="C38" s="2">
        <f>'Program Page'!G16</f>
        <v>0</v>
      </c>
      <c r="D38" s="2">
        <f>'Program Page'!H16</f>
        <v>0</v>
      </c>
      <c r="E38" s="2">
        <f>'Program Page'!I16</f>
        <v>0</v>
      </c>
      <c r="F38" s="2">
        <f>'Program Page'!J16</f>
        <v>0</v>
      </c>
      <c r="G38" s="2">
        <f>'Program Page'!K16</f>
        <v>0</v>
      </c>
      <c r="H38" s="2">
        <f>'Program Page'!L16</f>
        <v>0</v>
      </c>
    </row>
    <row r="39" spans="1:14" x14ac:dyDescent="0.25">
      <c r="A39" s="13"/>
      <c r="F39" s="2"/>
      <c r="G39" s="2"/>
      <c r="H39" s="2"/>
    </row>
    <row r="40" spans="1:14" x14ac:dyDescent="0.25">
      <c r="A40" s="2" t="s">
        <v>186</v>
      </c>
      <c r="B40" s="2" t="s">
        <v>203</v>
      </c>
      <c r="C40" s="2" t="s">
        <v>204</v>
      </c>
      <c r="D40" s="2" t="s">
        <v>181</v>
      </c>
      <c r="E40" s="2" t="s">
        <v>182</v>
      </c>
      <c r="G40" t="s">
        <v>346</v>
      </c>
      <c r="H40" s="2" t="s">
        <v>347</v>
      </c>
      <c r="J40" t="s">
        <v>348</v>
      </c>
      <c r="K40" t="s">
        <v>349</v>
      </c>
      <c r="N40" t="s">
        <v>185</v>
      </c>
    </row>
    <row r="41" spans="1:14" x14ac:dyDescent="0.25">
      <c r="A41" s="2" t="str">
        <f>$B$27</f>
        <v>well</v>
      </c>
      <c r="B41" s="2">
        <v>1</v>
      </c>
      <c r="C41" s="12" t="s">
        <v>46</v>
      </c>
      <c r="D41" s="152">
        <f>J41+$O$4</f>
        <v>1.91</v>
      </c>
      <c r="E41" s="152">
        <f>K41+$P$4</f>
        <v>1.73</v>
      </c>
      <c r="G41" s="152">
        <f>ROUND($O$4+($D$6*$B$41)-$D$6,3)</f>
        <v>1.91</v>
      </c>
      <c r="H41" s="152">
        <f t="shared" ref="H41:H47" si="0">$P$4+($E$7*$B$41)-$E$7</f>
        <v>1.7299999999999969</v>
      </c>
      <c r="J41">
        <v>0</v>
      </c>
      <c r="K41">
        <v>0</v>
      </c>
      <c r="N41">
        <f>IF(OR(A41='DropDown Lists'!$E$4,A41='DropDown Lists'!$E$5),B41,"0")</f>
        <v>1</v>
      </c>
    </row>
    <row r="42" spans="1:14" x14ac:dyDescent="0.25">
      <c r="A42" s="2" t="str">
        <f>$C$27</f>
        <v>Box</v>
      </c>
      <c r="B42" s="2">
        <v>2</v>
      </c>
      <c r="C42" s="12" t="s">
        <v>53</v>
      </c>
      <c r="D42" s="152">
        <f t="shared" ref="D42:D105" si="1">J42+$O$4</f>
        <v>89.11</v>
      </c>
      <c r="E42" s="152">
        <f t="shared" ref="E42:E105" si="2">K42+$P$4</f>
        <v>1.73</v>
      </c>
      <c r="G42" s="152">
        <f>$O$4+($D$6*$B$42)-$D$6</f>
        <v>88.81</v>
      </c>
      <c r="H42" s="152">
        <f t="shared" si="0"/>
        <v>1.7299999999999969</v>
      </c>
      <c r="J42">
        <f>$M$23-J41</f>
        <v>87.2</v>
      </c>
      <c r="K42">
        <v>0</v>
      </c>
      <c r="N42">
        <f>IF(OR(A42='DropDown Lists'!$E$4,A42='DropDown Lists'!$E$5),B42,"0")</f>
        <v>2</v>
      </c>
    </row>
    <row r="43" spans="1:14" x14ac:dyDescent="0.25">
      <c r="A43" s="2" t="str">
        <f>$D$27</f>
        <v>box</v>
      </c>
      <c r="B43" s="2">
        <v>3</v>
      </c>
      <c r="C43" s="12" t="s">
        <v>54</v>
      </c>
      <c r="D43" s="152">
        <f t="shared" si="1"/>
        <v>175.71</v>
      </c>
      <c r="E43" s="152">
        <f t="shared" si="2"/>
        <v>1.73</v>
      </c>
      <c r="G43" s="152">
        <f>$O$4+($D$6*$B$43)-$D$6</f>
        <v>175.71000000000006</v>
      </c>
      <c r="H43" s="152">
        <f t="shared" si="0"/>
        <v>1.7299999999999969</v>
      </c>
      <c r="J43">
        <f>$M$24-J41</f>
        <v>173.8</v>
      </c>
      <c r="K43">
        <v>0</v>
      </c>
      <c r="N43">
        <f>IF(OR(A43='DropDown Lists'!$E$4,A43='DropDown Lists'!$E$5),B43,"0")</f>
        <v>3</v>
      </c>
    </row>
    <row r="44" spans="1:14" x14ac:dyDescent="0.25">
      <c r="A44" s="2" t="str">
        <f>$E$27</f>
        <v>box</v>
      </c>
      <c r="B44" s="2">
        <v>4</v>
      </c>
      <c r="C44" s="12" t="s">
        <v>55</v>
      </c>
      <c r="D44" s="152">
        <f t="shared" si="1"/>
        <v>262.71000000000004</v>
      </c>
      <c r="E44" s="152">
        <f t="shared" si="2"/>
        <v>1.73</v>
      </c>
      <c r="G44" s="152">
        <f>$O$4+($D$6*$B$44)-$D$6</f>
        <v>262.61</v>
      </c>
      <c r="H44" s="152">
        <f t="shared" si="0"/>
        <v>1.7299999999999969</v>
      </c>
      <c r="J44">
        <f>$M$25-J41</f>
        <v>260.8</v>
      </c>
      <c r="K44">
        <v>0</v>
      </c>
      <c r="N44">
        <f>IF(OR(A44='DropDown Lists'!$E$4,A44='DropDown Lists'!$E$5),B44,"0")</f>
        <v>4</v>
      </c>
    </row>
    <row r="45" spans="1:14" x14ac:dyDescent="0.25">
      <c r="A45" s="2" t="str">
        <f>$F$27</f>
        <v>box</v>
      </c>
      <c r="B45" s="2">
        <v>5</v>
      </c>
      <c r="C45" s="12" t="s">
        <v>56</v>
      </c>
      <c r="D45" s="152">
        <f t="shared" si="1"/>
        <v>349.11</v>
      </c>
      <c r="E45" s="152">
        <f t="shared" si="2"/>
        <v>1.73</v>
      </c>
      <c r="G45" s="152">
        <f>$O$4+($D$6*$B$45)-$D$6</f>
        <v>349.51</v>
      </c>
      <c r="H45" s="152">
        <f t="shared" si="0"/>
        <v>1.7299999999999969</v>
      </c>
      <c r="J45">
        <f>$M$26-J41</f>
        <v>347.2</v>
      </c>
      <c r="K45">
        <v>0</v>
      </c>
      <c r="N45">
        <f>IF(OR(A45='DropDown Lists'!$E$4,A45='DropDown Lists'!$E$5),B45,"0")</f>
        <v>5</v>
      </c>
    </row>
    <row r="46" spans="1:14" x14ac:dyDescent="0.25">
      <c r="A46" s="2">
        <f>$G$27</f>
        <v>0</v>
      </c>
      <c r="B46" s="2">
        <v>6</v>
      </c>
      <c r="C46" s="12" t="s">
        <v>57</v>
      </c>
      <c r="D46" s="152">
        <f t="shared" si="1"/>
        <v>435.71000000000004</v>
      </c>
      <c r="E46" s="152">
        <f t="shared" si="2"/>
        <v>1.73</v>
      </c>
      <c r="G46" s="152">
        <f>$O$4+($D$6*$B$46)-$D$6</f>
        <v>436.41000000000008</v>
      </c>
      <c r="H46" s="152">
        <f t="shared" si="0"/>
        <v>1.7299999999999969</v>
      </c>
      <c r="J46">
        <f>$M$27-J41</f>
        <v>433.8</v>
      </c>
      <c r="K46">
        <v>0</v>
      </c>
      <c r="N46" t="str">
        <f>IF(OR(A46='DropDown Lists'!$E$4,A46='DropDown Lists'!$E$5),B46,"0")</f>
        <v>0</v>
      </c>
    </row>
    <row r="47" spans="1:14" x14ac:dyDescent="0.25">
      <c r="A47" s="2">
        <f>$H$27</f>
        <v>0</v>
      </c>
      <c r="B47" s="2">
        <v>7</v>
      </c>
      <c r="C47" s="12" t="s">
        <v>58</v>
      </c>
      <c r="D47" s="152">
        <f t="shared" si="1"/>
        <v>522.61</v>
      </c>
      <c r="E47" s="152">
        <f t="shared" si="2"/>
        <v>1.73</v>
      </c>
      <c r="G47" s="152">
        <f>$O$4+($D$6*$B$47)-$D$6</f>
        <v>523.31000000000006</v>
      </c>
      <c r="H47" s="152">
        <f t="shared" si="0"/>
        <v>1.7299999999999969</v>
      </c>
      <c r="J47">
        <f>$M$28-J41</f>
        <v>520.70000000000005</v>
      </c>
      <c r="K47">
        <v>0</v>
      </c>
      <c r="N47" t="str">
        <f>IF(OR(A47='DropDown Lists'!$E$4,A47='DropDown Lists'!$E$5),B47,"0")</f>
        <v>0</v>
      </c>
    </row>
    <row r="48" spans="1:14" x14ac:dyDescent="0.25">
      <c r="A48" s="2">
        <f>$B$28</f>
        <v>0</v>
      </c>
      <c r="B48" s="2">
        <v>8</v>
      </c>
      <c r="C48" s="12" t="s">
        <v>47</v>
      </c>
      <c r="D48" s="152">
        <f t="shared" si="1"/>
        <v>1.91</v>
      </c>
      <c r="E48" s="152">
        <f t="shared" si="2"/>
        <v>38.229999999999997</v>
      </c>
      <c r="G48" s="152">
        <f>$O$4+($D$6*$B$41)-$D$6</f>
        <v>1.9099999999999966</v>
      </c>
      <c r="H48" s="152">
        <f t="shared" ref="H48:H54" si="3">$P$4+($E$7*$B$42)-$E$7</f>
        <v>38.730000000000004</v>
      </c>
      <c r="J48">
        <v>0</v>
      </c>
      <c r="K48">
        <v>36.5</v>
      </c>
      <c r="N48" t="str">
        <f>IF(OR(A48='DropDown Lists'!$E$4,A48='DropDown Lists'!$E$5),B48,"0")</f>
        <v>0</v>
      </c>
    </row>
    <row r="49" spans="1:14" x14ac:dyDescent="0.25">
      <c r="A49" s="2">
        <f>$C$28</f>
        <v>0</v>
      </c>
      <c r="B49" s="2">
        <v>9</v>
      </c>
      <c r="C49" s="12" t="s">
        <v>52</v>
      </c>
      <c r="D49" s="152">
        <f t="shared" si="1"/>
        <v>89.11</v>
      </c>
      <c r="E49" s="152">
        <f t="shared" si="2"/>
        <v>38.229999999999997</v>
      </c>
      <c r="G49" s="152">
        <f>$O$4+($D$6*$B$42)-$D$6</f>
        <v>88.81</v>
      </c>
      <c r="H49" s="152">
        <f t="shared" si="3"/>
        <v>38.730000000000004</v>
      </c>
      <c r="J49">
        <f>$M$23-J48</f>
        <v>87.2</v>
      </c>
      <c r="K49">
        <v>36.5</v>
      </c>
      <c r="N49" t="str">
        <f>IF(OR(A49='DropDown Lists'!$E$4,A49='DropDown Lists'!$E$5),B49,"0")</f>
        <v>0</v>
      </c>
    </row>
    <row r="50" spans="1:14" x14ac:dyDescent="0.25">
      <c r="A50" s="2">
        <f>$D$28</f>
        <v>0</v>
      </c>
      <c r="B50" s="2">
        <v>10</v>
      </c>
      <c r="C50" s="12" t="s">
        <v>63</v>
      </c>
      <c r="D50" s="152">
        <f t="shared" si="1"/>
        <v>175.71</v>
      </c>
      <c r="E50" s="152">
        <f t="shared" si="2"/>
        <v>38.229999999999997</v>
      </c>
      <c r="G50" s="152">
        <f>$O$4+($D$6*$B$43)-$D$6</f>
        <v>175.71000000000006</v>
      </c>
      <c r="H50" s="152">
        <f t="shared" si="3"/>
        <v>38.730000000000004</v>
      </c>
      <c r="J50">
        <f>$M$24-J48</f>
        <v>173.8</v>
      </c>
      <c r="K50">
        <v>36.5</v>
      </c>
      <c r="N50" t="str">
        <f>IF(OR(A50='DropDown Lists'!$E$4,A50='DropDown Lists'!$E$5),B50,"0")</f>
        <v>0</v>
      </c>
    </row>
    <row r="51" spans="1:14" x14ac:dyDescent="0.25">
      <c r="A51" s="2">
        <f>$E$28</f>
        <v>0</v>
      </c>
      <c r="B51" s="2">
        <v>11</v>
      </c>
      <c r="C51" s="12" t="s">
        <v>64</v>
      </c>
      <c r="D51" s="152">
        <f t="shared" si="1"/>
        <v>262.71000000000004</v>
      </c>
      <c r="E51" s="152">
        <f t="shared" si="2"/>
        <v>38.229999999999997</v>
      </c>
      <c r="G51" s="152">
        <f>$O$4+($D$6*$B$44)-$D$6</f>
        <v>262.61</v>
      </c>
      <c r="H51" s="152">
        <f t="shared" si="3"/>
        <v>38.730000000000004</v>
      </c>
      <c r="J51">
        <f>$M$25-J48</f>
        <v>260.8</v>
      </c>
      <c r="K51">
        <v>36.5</v>
      </c>
      <c r="N51" t="str">
        <f>IF(OR(A51='DropDown Lists'!$E$4,A51='DropDown Lists'!$E$5),B51,"0")</f>
        <v>0</v>
      </c>
    </row>
    <row r="52" spans="1:14" x14ac:dyDescent="0.25">
      <c r="A52" s="2">
        <f>$F$28</f>
        <v>0</v>
      </c>
      <c r="B52" s="2">
        <v>12</v>
      </c>
      <c r="C52" s="12" t="s">
        <v>65</v>
      </c>
      <c r="D52" s="152">
        <f t="shared" si="1"/>
        <v>349.11</v>
      </c>
      <c r="E52" s="152">
        <f t="shared" si="2"/>
        <v>38.229999999999997</v>
      </c>
      <c r="G52" s="152">
        <f>$O$4+($D$6*$B$45)-$D$6</f>
        <v>349.51</v>
      </c>
      <c r="H52" s="152">
        <f t="shared" si="3"/>
        <v>38.730000000000004</v>
      </c>
      <c r="J52">
        <f>$M$26-J48</f>
        <v>347.2</v>
      </c>
      <c r="K52">
        <v>36.5</v>
      </c>
      <c r="N52" t="str">
        <f>IF(OR(A52='DropDown Lists'!$E$4,A52='DropDown Lists'!$E$5),B52,"0")</f>
        <v>0</v>
      </c>
    </row>
    <row r="53" spans="1:14" x14ac:dyDescent="0.25">
      <c r="A53" s="2">
        <f>$G$28</f>
        <v>0</v>
      </c>
      <c r="B53" s="2">
        <v>13</v>
      </c>
      <c r="C53" s="12" t="s">
        <v>66</v>
      </c>
      <c r="D53" s="152">
        <f t="shared" si="1"/>
        <v>435.71000000000004</v>
      </c>
      <c r="E53" s="152">
        <f t="shared" si="2"/>
        <v>38.229999999999997</v>
      </c>
      <c r="G53" s="152">
        <f>$O$4+($D$6*$B$46)-$D$6</f>
        <v>436.41000000000008</v>
      </c>
      <c r="H53" s="152">
        <f t="shared" si="3"/>
        <v>38.730000000000004</v>
      </c>
      <c r="J53">
        <f>$M$27-J48</f>
        <v>433.8</v>
      </c>
      <c r="K53">
        <v>36.5</v>
      </c>
      <c r="N53" t="str">
        <f>IF(OR(A53='DropDown Lists'!$E$4,A53='DropDown Lists'!$E$5),B53,"0")</f>
        <v>0</v>
      </c>
    </row>
    <row r="54" spans="1:14" x14ac:dyDescent="0.25">
      <c r="A54" s="2">
        <f>$H$28</f>
        <v>0</v>
      </c>
      <c r="B54" s="2">
        <v>14</v>
      </c>
      <c r="C54" s="12" t="s">
        <v>67</v>
      </c>
      <c r="D54" s="152">
        <f t="shared" si="1"/>
        <v>522.61</v>
      </c>
      <c r="E54" s="152">
        <f t="shared" si="2"/>
        <v>38.229999999999997</v>
      </c>
      <c r="G54" s="152">
        <f>$O$4+($D$6*$B$47)-$D$6</f>
        <v>523.31000000000006</v>
      </c>
      <c r="H54" s="152">
        <f t="shared" si="3"/>
        <v>38.730000000000004</v>
      </c>
      <c r="J54">
        <f>$M$28-J48</f>
        <v>520.70000000000005</v>
      </c>
      <c r="K54">
        <v>36.5</v>
      </c>
      <c r="N54" t="str">
        <f>IF(OR(A54='DropDown Lists'!$E$4,A54='DropDown Lists'!$E$5),B54,"0")</f>
        <v>0</v>
      </c>
    </row>
    <row r="55" spans="1:14" x14ac:dyDescent="0.25">
      <c r="A55" s="2">
        <f>$B$29</f>
        <v>0</v>
      </c>
      <c r="B55" s="2">
        <v>15</v>
      </c>
      <c r="C55" s="12" t="s">
        <v>48</v>
      </c>
      <c r="D55" s="152">
        <f t="shared" si="1"/>
        <v>1.91</v>
      </c>
      <c r="E55" s="152">
        <f t="shared" si="2"/>
        <v>74.72</v>
      </c>
      <c r="G55" s="152">
        <f>$O$4+($D$6*$B$41)-$D$6</f>
        <v>1.9099999999999966</v>
      </c>
      <c r="H55" s="152">
        <f t="shared" ref="H55:H61" si="4">$P$4+($E$7*$B$43)-$E$7</f>
        <v>75.73</v>
      </c>
      <c r="J55">
        <v>0</v>
      </c>
      <c r="K55">
        <v>72.989999999999995</v>
      </c>
      <c r="N55" t="str">
        <f>IF(OR(A55='DropDown Lists'!$E$4,A55='DropDown Lists'!$E$5),B55,"0")</f>
        <v>0</v>
      </c>
    </row>
    <row r="56" spans="1:14" x14ac:dyDescent="0.25">
      <c r="A56" s="2">
        <f>$C$29</f>
        <v>0</v>
      </c>
      <c r="B56" s="2">
        <v>16</v>
      </c>
      <c r="C56" s="12" t="s">
        <v>68</v>
      </c>
      <c r="D56" s="152">
        <f t="shared" si="1"/>
        <v>89.11</v>
      </c>
      <c r="E56" s="152">
        <f t="shared" si="2"/>
        <v>74.72</v>
      </c>
      <c r="G56" s="152">
        <f>$O$4+($D$6*$B$42)-$D$6</f>
        <v>88.81</v>
      </c>
      <c r="H56" s="152">
        <f t="shared" si="4"/>
        <v>75.73</v>
      </c>
      <c r="J56">
        <f>$M$23-J55</f>
        <v>87.2</v>
      </c>
      <c r="K56">
        <v>72.989999999999995</v>
      </c>
      <c r="N56" t="str">
        <f>IF(OR(A56='DropDown Lists'!$E$4,A56='DropDown Lists'!$E$5),B56,"0")</f>
        <v>0</v>
      </c>
    </row>
    <row r="57" spans="1:14" x14ac:dyDescent="0.25">
      <c r="A57" s="2">
        <f>$D$29</f>
        <v>0</v>
      </c>
      <c r="B57" s="2">
        <v>17</v>
      </c>
      <c r="C57" s="12" t="s">
        <v>69</v>
      </c>
      <c r="D57" s="152">
        <f t="shared" si="1"/>
        <v>175.71</v>
      </c>
      <c r="E57" s="152">
        <f t="shared" si="2"/>
        <v>74.72</v>
      </c>
      <c r="G57" s="152">
        <f>$O$4+($D$6*$B$43)-$D$6</f>
        <v>175.71000000000006</v>
      </c>
      <c r="H57" s="152">
        <f t="shared" si="4"/>
        <v>75.73</v>
      </c>
      <c r="J57">
        <f>$M$24-J55</f>
        <v>173.8</v>
      </c>
      <c r="K57">
        <v>72.989999999999995</v>
      </c>
      <c r="N57" t="str">
        <f>IF(OR(A57='DropDown Lists'!$E$4,A57='DropDown Lists'!$E$5),B57,"0")</f>
        <v>0</v>
      </c>
    </row>
    <row r="58" spans="1:14" x14ac:dyDescent="0.25">
      <c r="A58" s="2">
        <f>$E$29</f>
        <v>0</v>
      </c>
      <c r="B58" s="2">
        <v>18</v>
      </c>
      <c r="C58" s="12" t="s">
        <v>70</v>
      </c>
      <c r="D58" s="152">
        <f t="shared" si="1"/>
        <v>262.71000000000004</v>
      </c>
      <c r="E58" s="152">
        <f t="shared" si="2"/>
        <v>74.72</v>
      </c>
      <c r="G58" s="152">
        <f>$O$4+($D$6*$B$44)-$D$6</f>
        <v>262.61</v>
      </c>
      <c r="H58" s="152">
        <f t="shared" si="4"/>
        <v>75.73</v>
      </c>
      <c r="J58">
        <f>$M$25-J55</f>
        <v>260.8</v>
      </c>
      <c r="K58">
        <v>72.989999999999995</v>
      </c>
      <c r="N58" t="str">
        <f>IF(OR(A58='DropDown Lists'!$E$4,A58='DropDown Lists'!$E$5),B58,"0")</f>
        <v>0</v>
      </c>
    </row>
    <row r="59" spans="1:14" x14ac:dyDescent="0.25">
      <c r="A59" s="2">
        <f>$F$29</f>
        <v>0</v>
      </c>
      <c r="B59" s="2">
        <v>19</v>
      </c>
      <c r="C59" s="12" t="s">
        <v>71</v>
      </c>
      <c r="D59" s="152">
        <f t="shared" si="1"/>
        <v>349.11</v>
      </c>
      <c r="E59" s="152">
        <f t="shared" si="2"/>
        <v>74.72</v>
      </c>
      <c r="G59" s="152">
        <f>$O$4+($D$6*$B$45)-$D$6</f>
        <v>349.51</v>
      </c>
      <c r="H59" s="152">
        <f t="shared" si="4"/>
        <v>75.73</v>
      </c>
      <c r="J59">
        <f>$M$26-J55</f>
        <v>347.2</v>
      </c>
      <c r="K59">
        <v>72.989999999999995</v>
      </c>
      <c r="N59" t="str">
        <f>IF(OR(A59='DropDown Lists'!$E$4,A59='DropDown Lists'!$E$5),B59,"0")</f>
        <v>0</v>
      </c>
    </row>
    <row r="60" spans="1:14" x14ac:dyDescent="0.25">
      <c r="A60" s="2">
        <f>$G$29</f>
        <v>0</v>
      </c>
      <c r="B60" s="2">
        <v>20</v>
      </c>
      <c r="C60" s="12" t="s">
        <v>72</v>
      </c>
      <c r="D60" s="152">
        <f t="shared" si="1"/>
        <v>435.71000000000004</v>
      </c>
      <c r="E60" s="152">
        <f t="shared" si="2"/>
        <v>74.72</v>
      </c>
      <c r="G60" s="152">
        <f>$O$4+($D$6*$B$46)-$D$6</f>
        <v>436.41000000000008</v>
      </c>
      <c r="H60" s="152">
        <f t="shared" si="4"/>
        <v>75.73</v>
      </c>
      <c r="J60">
        <f>$M$27-J55</f>
        <v>433.8</v>
      </c>
      <c r="K60">
        <v>72.989999999999995</v>
      </c>
      <c r="N60" t="str">
        <f>IF(OR(A60='DropDown Lists'!$E$4,A60='DropDown Lists'!$E$5),B60,"0")</f>
        <v>0</v>
      </c>
    </row>
    <row r="61" spans="1:14" x14ac:dyDescent="0.25">
      <c r="A61" s="2">
        <f>$H$29</f>
        <v>0</v>
      </c>
      <c r="B61" s="2">
        <v>21</v>
      </c>
      <c r="C61" s="12" t="s">
        <v>73</v>
      </c>
      <c r="D61" s="152">
        <f t="shared" si="1"/>
        <v>522.61</v>
      </c>
      <c r="E61" s="152">
        <f t="shared" si="2"/>
        <v>74.72</v>
      </c>
      <c r="G61" s="152">
        <f>$O$4+($D$6*$B$47)-$D$6</f>
        <v>523.31000000000006</v>
      </c>
      <c r="H61" s="152">
        <f t="shared" si="4"/>
        <v>75.73</v>
      </c>
      <c r="J61">
        <f>$M$28-J55</f>
        <v>520.70000000000005</v>
      </c>
      <c r="K61">
        <v>72.989999999999995</v>
      </c>
      <c r="N61" t="str">
        <f>IF(OR(A61='DropDown Lists'!$E$4,A61='DropDown Lists'!$E$5),B61,"0")</f>
        <v>0</v>
      </c>
    </row>
    <row r="62" spans="1:14" x14ac:dyDescent="0.25">
      <c r="A62" s="2">
        <f>$B$30</f>
        <v>0</v>
      </c>
      <c r="B62" s="2">
        <v>22</v>
      </c>
      <c r="C62" s="12" t="s">
        <v>49</v>
      </c>
      <c r="D62" s="152">
        <f t="shared" si="1"/>
        <v>1.5099999999999998</v>
      </c>
      <c r="E62" s="152">
        <f t="shared" si="2"/>
        <v>126.24000000000001</v>
      </c>
      <c r="G62" s="152">
        <f>$O$4+($D$6*$B$41)-$D$6</f>
        <v>1.9099999999999966</v>
      </c>
      <c r="H62" s="152">
        <f t="shared" ref="H62:H68" si="5">$P$4+($E$7*$B$44)-$E$7+$E$8</f>
        <v>126.72999999999999</v>
      </c>
      <c r="J62">
        <v>-0.4</v>
      </c>
      <c r="K62">
        <v>124.51</v>
      </c>
      <c r="N62" t="str">
        <f>IF(OR(A62='DropDown Lists'!$E$4,A62='DropDown Lists'!$E$5),B62,"0")</f>
        <v>0</v>
      </c>
    </row>
    <row r="63" spans="1:14" x14ac:dyDescent="0.25">
      <c r="A63" s="2">
        <f>$C$30</f>
        <v>0</v>
      </c>
      <c r="B63" s="2">
        <v>23</v>
      </c>
      <c r="C63" s="12" t="s">
        <v>74</v>
      </c>
      <c r="D63" s="152">
        <f t="shared" si="1"/>
        <v>89.51</v>
      </c>
      <c r="E63" s="152">
        <f t="shared" si="2"/>
        <v>126.24000000000001</v>
      </c>
      <c r="G63" s="152">
        <f>$O$4+($D$6*$B$42)-$D$6</f>
        <v>88.81</v>
      </c>
      <c r="H63" s="152">
        <f t="shared" si="5"/>
        <v>126.72999999999999</v>
      </c>
      <c r="J63">
        <f>$M$23-J62</f>
        <v>87.600000000000009</v>
      </c>
      <c r="K63">
        <v>124.51</v>
      </c>
      <c r="N63" t="str">
        <f>IF(OR(A63='DropDown Lists'!$E$4,A63='DropDown Lists'!$E$5),B63,"0")</f>
        <v>0</v>
      </c>
    </row>
    <row r="64" spans="1:14" x14ac:dyDescent="0.25">
      <c r="A64" s="2">
        <f>$D$30</f>
        <v>0</v>
      </c>
      <c r="B64" s="2">
        <v>24</v>
      </c>
      <c r="C64" s="12" t="s">
        <v>75</v>
      </c>
      <c r="D64" s="152">
        <f t="shared" si="1"/>
        <v>176.11</v>
      </c>
      <c r="E64" s="152">
        <f t="shared" si="2"/>
        <v>126.24000000000001</v>
      </c>
      <c r="G64" s="152">
        <f>$O$4+($D$6*$B$43)-$D$6</f>
        <v>175.71000000000006</v>
      </c>
      <c r="H64" s="152">
        <f t="shared" si="5"/>
        <v>126.72999999999999</v>
      </c>
      <c r="J64">
        <f>$M$24-J62</f>
        <v>174.20000000000002</v>
      </c>
      <c r="K64">
        <v>124.51</v>
      </c>
      <c r="N64" t="str">
        <f>IF(OR(A64='DropDown Lists'!$E$4,A64='DropDown Lists'!$E$5),B64,"0")</f>
        <v>0</v>
      </c>
    </row>
    <row r="65" spans="1:14" x14ac:dyDescent="0.25">
      <c r="A65" s="2">
        <f>$E$30</f>
        <v>0</v>
      </c>
      <c r="B65" s="2">
        <v>25</v>
      </c>
      <c r="C65" s="12" t="s">
        <v>76</v>
      </c>
      <c r="D65" s="152">
        <f t="shared" si="1"/>
        <v>263.11</v>
      </c>
      <c r="E65" s="152">
        <f t="shared" si="2"/>
        <v>126.24000000000001</v>
      </c>
      <c r="G65" s="152">
        <f>$O$4+($D$6*$B$44)-$D$6</f>
        <v>262.61</v>
      </c>
      <c r="H65" s="152">
        <f t="shared" si="5"/>
        <v>126.72999999999999</v>
      </c>
      <c r="J65">
        <f>$M$25-J62</f>
        <v>261.2</v>
      </c>
      <c r="K65">
        <v>124.51</v>
      </c>
      <c r="N65" t="str">
        <f>IF(OR(A65='DropDown Lists'!$E$4,A65='DropDown Lists'!$E$5),B65,"0")</f>
        <v>0</v>
      </c>
    </row>
    <row r="66" spans="1:14" x14ac:dyDescent="0.25">
      <c r="A66" s="2">
        <f>$F$30</f>
        <v>0</v>
      </c>
      <c r="B66" s="2">
        <v>26</v>
      </c>
      <c r="C66" s="12" t="s">
        <v>77</v>
      </c>
      <c r="D66" s="152">
        <f t="shared" si="1"/>
        <v>349.51</v>
      </c>
      <c r="E66" s="152">
        <f t="shared" si="2"/>
        <v>126.24000000000001</v>
      </c>
      <c r="G66" s="152">
        <f>$O$4+($D$6*$B$45)-$D$6</f>
        <v>349.51</v>
      </c>
      <c r="H66" s="152">
        <f t="shared" si="5"/>
        <v>126.72999999999999</v>
      </c>
      <c r="J66">
        <f>$M$26-J62</f>
        <v>347.59999999999997</v>
      </c>
      <c r="K66">
        <v>124.51</v>
      </c>
      <c r="N66" t="str">
        <f>IF(OR(A66='DropDown Lists'!$E$4,A66='DropDown Lists'!$E$5),B66,"0")</f>
        <v>0</v>
      </c>
    </row>
    <row r="67" spans="1:14" x14ac:dyDescent="0.25">
      <c r="A67" s="2">
        <f>$G$30</f>
        <v>0</v>
      </c>
      <c r="B67" s="2">
        <v>27</v>
      </c>
      <c r="C67" s="12" t="s">
        <v>78</v>
      </c>
      <c r="D67" s="152">
        <f t="shared" si="1"/>
        <v>436.11</v>
      </c>
      <c r="E67" s="152">
        <f t="shared" si="2"/>
        <v>126.24000000000001</v>
      </c>
      <c r="G67" s="152">
        <f>$O$4+($D$6*$B$46)-$D$6</f>
        <v>436.41000000000008</v>
      </c>
      <c r="H67" s="152">
        <f t="shared" si="5"/>
        <v>126.72999999999999</v>
      </c>
      <c r="J67">
        <f>$M$27-J62</f>
        <v>434.2</v>
      </c>
      <c r="K67">
        <v>124.51</v>
      </c>
      <c r="N67" t="str">
        <f>IF(OR(A67='DropDown Lists'!$E$4,A67='DropDown Lists'!$E$5),B67,"0")</f>
        <v>0</v>
      </c>
    </row>
    <row r="68" spans="1:14" x14ac:dyDescent="0.25">
      <c r="A68" s="2">
        <f>$H$30</f>
        <v>0</v>
      </c>
      <c r="B68" s="2">
        <v>28</v>
      </c>
      <c r="C68" s="12" t="s">
        <v>79</v>
      </c>
      <c r="D68" s="152">
        <f t="shared" si="1"/>
        <v>523.01</v>
      </c>
      <c r="E68" s="152">
        <f t="shared" si="2"/>
        <v>126.24000000000001</v>
      </c>
      <c r="G68" s="152">
        <f>$O$4+($D$6*$B$47)-$D$6</f>
        <v>523.31000000000006</v>
      </c>
      <c r="H68" s="152">
        <f t="shared" si="5"/>
        <v>126.72999999999999</v>
      </c>
      <c r="J68">
        <f>$M$28-J62</f>
        <v>521.1</v>
      </c>
      <c r="K68">
        <v>124.51</v>
      </c>
      <c r="N68" t="str">
        <f>IF(OR(A68='DropDown Lists'!$E$4,A68='DropDown Lists'!$E$5),B68,"0")</f>
        <v>0</v>
      </c>
    </row>
    <row r="69" spans="1:14" x14ac:dyDescent="0.25">
      <c r="A69" s="2">
        <f>$B$31</f>
        <v>0</v>
      </c>
      <c r="B69" s="2">
        <v>29</v>
      </c>
      <c r="C69" s="12" t="s">
        <v>50</v>
      </c>
      <c r="D69" s="152">
        <f t="shared" si="1"/>
        <v>1.5099999999999998</v>
      </c>
      <c r="E69" s="152">
        <f t="shared" si="2"/>
        <v>162.92999999999998</v>
      </c>
      <c r="G69" s="152">
        <f>$O$4+($D$6*$B$41)-$D$6</f>
        <v>1.9099999999999966</v>
      </c>
      <c r="H69" s="152">
        <f t="shared" ref="H69:H75" si="6">$P$4+($E$7*$B$45)-$E$7+$E$8</f>
        <v>163.72999999999999</v>
      </c>
      <c r="J69">
        <v>-0.4</v>
      </c>
      <c r="K69">
        <v>161.19999999999999</v>
      </c>
      <c r="N69" t="str">
        <f>IF(OR(A69='DropDown Lists'!$E$4,A69='DropDown Lists'!$E$5),B69,"0")</f>
        <v>0</v>
      </c>
    </row>
    <row r="70" spans="1:14" x14ac:dyDescent="0.25">
      <c r="A70" s="2">
        <f>$C$31</f>
        <v>0</v>
      </c>
      <c r="B70" s="2">
        <v>30</v>
      </c>
      <c r="C70" s="12" t="s">
        <v>80</v>
      </c>
      <c r="D70" s="152">
        <f t="shared" si="1"/>
        <v>89.51</v>
      </c>
      <c r="E70" s="152">
        <f t="shared" si="2"/>
        <v>162.92999999999998</v>
      </c>
      <c r="G70" s="152">
        <f>$O$4+($D$6*$B$42)-$D$6</f>
        <v>88.81</v>
      </c>
      <c r="H70" s="152">
        <f t="shared" si="6"/>
        <v>163.72999999999999</v>
      </c>
      <c r="J70">
        <f>$M$23-J69</f>
        <v>87.600000000000009</v>
      </c>
      <c r="K70">
        <v>161.19999999999999</v>
      </c>
      <c r="N70" t="str">
        <f>IF(OR(A70='DropDown Lists'!$E$4,A70='DropDown Lists'!$E$5),B70,"0")</f>
        <v>0</v>
      </c>
    </row>
    <row r="71" spans="1:14" x14ac:dyDescent="0.25">
      <c r="A71" s="2">
        <f>$D$31</f>
        <v>0</v>
      </c>
      <c r="B71" s="2">
        <v>31</v>
      </c>
      <c r="C71" s="12" t="s">
        <v>81</v>
      </c>
      <c r="D71" s="152">
        <f t="shared" si="1"/>
        <v>176.11</v>
      </c>
      <c r="E71" s="152">
        <f t="shared" si="2"/>
        <v>162.92999999999998</v>
      </c>
      <c r="G71" s="152">
        <f>$O$4+($D$6*$B$43)-$D$6</f>
        <v>175.71000000000006</v>
      </c>
      <c r="H71" s="152">
        <f t="shared" si="6"/>
        <v>163.72999999999999</v>
      </c>
      <c r="J71">
        <f>$M$24-J69</f>
        <v>174.20000000000002</v>
      </c>
      <c r="K71">
        <v>161.19999999999999</v>
      </c>
      <c r="N71" t="str">
        <f>IF(OR(A71='DropDown Lists'!$E$4,A71='DropDown Lists'!$E$5),B71,"0")</f>
        <v>0</v>
      </c>
    </row>
    <row r="72" spans="1:14" x14ac:dyDescent="0.25">
      <c r="A72" s="2">
        <f>$E$31</f>
        <v>0</v>
      </c>
      <c r="B72" s="2">
        <v>32</v>
      </c>
      <c r="C72" s="12" t="s">
        <v>82</v>
      </c>
      <c r="D72" s="152">
        <f t="shared" si="1"/>
        <v>263.11</v>
      </c>
      <c r="E72" s="152">
        <f t="shared" si="2"/>
        <v>162.92999999999998</v>
      </c>
      <c r="G72" s="152">
        <f>$O$4+($D$6*$B$44)-$D$6</f>
        <v>262.61</v>
      </c>
      <c r="H72" s="152">
        <f t="shared" si="6"/>
        <v>163.72999999999999</v>
      </c>
      <c r="J72">
        <f>$M$25-J69</f>
        <v>261.2</v>
      </c>
      <c r="K72">
        <v>161.19999999999999</v>
      </c>
      <c r="N72" t="str">
        <f>IF(OR(A72='DropDown Lists'!$E$4,A72='DropDown Lists'!$E$5),B72,"0")</f>
        <v>0</v>
      </c>
    </row>
    <row r="73" spans="1:14" x14ac:dyDescent="0.25">
      <c r="A73" s="2">
        <f>$F$31</f>
        <v>0</v>
      </c>
      <c r="B73" s="2">
        <v>33</v>
      </c>
      <c r="C73" s="12" t="s">
        <v>83</v>
      </c>
      <c r="D73" s="152">
        <f t="shared" si="1"/>
        <v>349.51</v>
      </c>
      <c r="E73" s="152">
        <f t="shared" si="2"/>
        <v>162.92999999999998</v>
      </c>
      <c r="G73" s="152">
        <f>$O$4+($D$6*$B$45)-$D$6</f>
        <v>349.51</v>
      </c>
      <c r="H73" s="152">
        <f t="shared" si="6"/>
        <v>163.72999999999999</v>
      </c>
      <c r="J73">
        <f>$M$26-J69</f>
        <v>347.59999999999997</v>
      </c>
      <c r="K73">
        <v>161.19999999999999</v>
      </c>
      <c r="N73" t="str">
        <f>IF(OR(A73='DropDown Lists'!$E$4,A73='DropDown Lists'!$E$5),B73,"0")</f>
        <v>0</v>
      </c>
    </row>
    <row r="74" spans="1:14" x14ac:dyDescent="0.25">
      <c r="A74" s="2">
        <f>$G$31</f>
        <v>0</v>
      </c>
      <c r="B74" s="2">
        <v>34</v>
      </c>
      <c r="C74" s="12" t="s">
        <v>84</v>
      </c>
      <c r="D74" s="152">
        <f t="shared" si="1"/>
        <v>436.11</v>
      </c>
      <c r="E74" s="152">
        <f t="shared" si="2"/>
        <v>162.92999999999998</v>
      </c>
      <c r="G74" s="152">
        <f>$O$4+($D$6*$B$46)-$D$6</f>
        <v>436.41000000000008</v>
      </c>
      <c r="H74" s="152">
        <f t="shared" si="6"/>
        <v>163.72999999999999</v>
      </c>
      <c r="J74">
        <f>$M$27-J69</f>
        <v>434.2</v>
      </c>
      <c r="K74">
        <v>161.19999999999999</v>
      </c>
      <c r="N74" t="str">
        <f>IF(OR(A74='DropDown Lists'!$E$4,A74='DropDown Lists'!$E$5),B74,"0")</f>
        <v>0</v>
      </c>
    </row>
    <row r="75" spans="1:14" x14ac:dyDescent="0.25">
      <c r="A75" s="2">
        <f>$H$31</f>
        <v>0</v>
      </c>
      <c r="B75" s="2">
        <v>35</v>
      </c>
      <c r="C75" s="12" t="s">
        <v>85</v>
      </c>
      <c r="D75" s="152">
        <f t="shared" si="1"/>
        <v>523.01</v>
      </c>
      <c r="E75" s="152">
        <f t="shared" si="2"/>
        <v>162.92999999999998</v>
      </c>
      <c r="G75" s="152">
        <f>$O$4+($D$6*$B$47)-$D$6</f>
        <v>523.31000000000006</v>
      </c>
      <c r="H75" s="152">
        <f t="shared" si="6"/>
        <v>163.72999999999999</v>
      </c>
      <c r="J75">
        <f>$M$28-J69</f>
        <v>521.1</v>
      </c>
      <c r="K75">
        <v>161.19999999999999</v>
      </c>
      <c r="N75" t="str">
        <f>IF(OR(A75='DropDown Lists'!$E$4,A75='DropDown Lists'!$E$5),B75,"0")</f>
        <v>0</v>
      </c>
    </row>
    <row r="76" spans="1:14" x14ac:dyDescent="0.25">
      <c r="A76" s="2">
        <f>$B$32</f>
        <v>0</v>
      </c>
      <c r="B76" s="2">
        <v>36</v>
      </c>
      <c r="C76" s="12" t="s">
        <v>86</v>
      </c>
      <c r="D76" s="152">
        <f t="shared" si="1"/>
        <v>1.5099999999999998</v>
      </c>
      <c r="E76" s="152">
        <f t="shared" si="2"/>
        <v>199.47</v>
      </c>
      <c r="G76" s="152">
        <f>$O$4+($D$6*$B$41)-$D$6</f>
        <v>1.9099999999999966</v>
      </c>
      <c r="H76" s="152">
        <f t="shared" ref="H76:H82" si="7">$P$4+($E$7*$B$46)-$E$7+$E$8</f>
        <v>200.73</v>
      </c>
      <c r="J76">
        <v>-0.4</v>
      </c>
      <c r="K76">
        <v>197.74</v>
      </c>
      <c r="N76" t="str">
        <f>IF(OR(A76='DropDown Lists'!$E$4,A76='DropDown Lists'!$E$5),B76,"0")</f>
        <v>0</v>
      </c>
    </row>
    <row r="77" spans="1:14" x14ac:dyDescent="0.25">
      <c r="A77" s="2">
        <f>$C$32</f>
        <v>0</v>
      </c>
      <c r="B77" s="2">
        <v>37</v>
      </c>
      <c r="C77" s="12" t="s">
        <v>87</v>
      </c>
      <c r="D77" s="152">
        <f t="shared" si="1"/>
        <v>89.51</v>
      </c>
      <c r="E77" s="152">
        <f t="shared" si="2"/>
        <v>199.47</v>
      </c>
      <c r="G77" s="152">
        <f>$O$4+($D$6*$B$42)-$D$6</f>
        <v>88.81</v>
      </c>
      <c r="H77" s="152">
        <f t="shared" si="7"/>
        <v>200.73</v>
      </c>
      <c r="J77">
        <f>$M$23-J76</f>
        <v>87.600000000000009</v>
      </c>
      <c r="K77">
        <v>197.74</v>
      </c>
      <c r="N77" t="str">
        <f>IF(OR(A77='DropDown Lists'!$E$4,A77='DropDown Lists'!$E$5),B77,"0")</f>
        <v>0</v>
      </c>
    </row>
    <row r="78" spans="1:14" x14ac:dyDescent="0.25">
      <c r="A78" s="2">
        <f>$D$32</f>
        <v>0</v>
      </c>
      <c r="B78" s="2">
        <v>38</v>
      </c>
      <c r="C78" s="12" t="s">
        <v>88</v>
      </c>
      <c r="D78" s="152">
        <f t="shared" si="1"/>
        <v>176.11</v>
      </c>
      <c r="E78" s="152">
        <f t="shared" si="2"/>
        <v>199.47</v>
      </c>
      <c r="G78" s="152">
        <f>$O$4+($D$6*$B$43)-$D$6</f>
        <v>175.71000000000006</v>
      </c>
      <c r="H78" s="152">
        <f t="shared" si="7"/>
        <v>200.73</v>
      </c>
      <c r="J78">
        <f>$M$24-J76</f>
        <v>174.20000000000002</v>
      </c>
      <c r="K78">
        <v>197.74</v>
      </c>
      <c r="N78" t="str">
        <f>IF(OR(A78='DropDown Lists'!$E$4,A78='DropDown Lists'!$E$5),B78,"0")</f>
        <v>0</v>
      </c>
    </row>
    <row r="79" spans="1:14" x14ac:dyDescent="0.25">
      <c r="A79" s="2">
        <f>$E$32</f>
        <v>0</v>
      </c>
      <c r="B79" s="2">
        <v>39</v>
      </c>
      <c r="C79" s="12" t="s">
        <v>89</v>
      </c>
      <c r="D79" s="152">
        <f t="shared" si="1"/>
        <v>263.11</v>
      </c>
      <c r="E79" s="152">
        <f t="shared" si="2"/>
        <v>199.47</v>
      </c>
      <c r="G79" s="152">
        <f>$O$4+($D$6*$B$44)-$D$6</f>
        <v>262.61</v>
      </c>
      <c r="H79" s="152">
        <f t="shared" si="7"/>
        <v>200.73</v>
      </c>
      <c r="J79">
        <f>$M$25-J76</f>
        <v>261.2</v>
      </c>
      <c r="K79">
        <v>197.74</v>
      </c>
      <c r="N79" t="str">
        <f>IF(OR(A79='DropDown Lists'!$E$4,A79='DropDown Lists'!$E$5),B79,"0")</f>
        <v>0</v>
      </c>
    </row>
    <row r="80" spans="1:14" x14ac:dyDescent="0.25">
      <c r="A80" s="2">
        <f>$F$32</f>
        <v>0</v>
      </c>
      <c r="B80" s="2">
        <v>40</v>
      </c>
      <c r="C80" s="12" t="s">
        <v>90</v>
      </c>
      <c r="D80" s="152">
        <f t="shared" si="1"/>
        <v>349.51</v>
      </c>
      <c r="E80" s="152">
        <f t="shared" si="2"/>
        <v>199.47</v>
      </c>
      <c r="G80" s="152">
        <f>$O$4+($D$6*$B$45)-$D$6</f>
        <v>349.51</v>
      </c>
      <c r="H80" s="152">
        <f t="shared" si="7"/>
        <v>200.73</v>
      </c>
      <c r="J80">
        <f>$M$26-J76</f>
        <v>347.59999999999997</v>
      </c>
      <c r="K80">
        <v>197.74</v>
      </c>
      <c r="N80" t="str">
        <f>IF(OR(A80='DropDown Lists'!$E$4,A80='DropDown Lists'!$E$5),B80,"0")</f>
        <v>0</v>
      </c>
    </row>
    <row r="81" spans="1:14" x14ac:dyDescent="0.25">
      <c r="A81" s="2">
        <f>$G$32</f>
        <v>0</v>
      </c>
      <c r="B81" s="2">
        <v>41</v>
      </c>
      <c r="C81" s="12" t="s">
        <v>91</v>
      </c>
      <c r="D81" s="152">
        <f t="shared" si="1"/>
        <v>436.11</v>
      </c>
      <c r="E81" s="152">
        <f t="shared" si="2"/>
        <v>199.47</v>
      </c>
      <c r="G81" s="152">
        <f>$O$4+($D$6*$B$46)-$D$6</f>
        <v>436.41000000000008</v>
      </c>
      <c r="H81" s="152">
        <f t="shared" si="7"/>
        <v>200.73</v>
      </c>
      <c r="J81">
        <f>$M$27-J76</f>
        <v>434.2</v>
      </c>
      <c r="K81">
        <v>197.74</v>
      </c>
      <c r="N81" t="str">
        <f>IF(OR(A81='DropDown Lists'!$E$4,A81='DropDown Lists'!$E$5),B81,"0")</f>
        <v>0</v>
      </c>
    </row>
    <row r="82" spans="1:14" x14ac:dyDescent="0.25">
      <c r="A82" s="2">
        <f>$H$32</f>
        <v>0</v>
      </c>
      <c r="B82" s="2">
        <v>42</v>
      </c>
      <c r="C82" s="12" t="s">
        <v>92</v>
      </c>
      <c r="D82" s="152">
        <f t="shared" si="1"/>
        <v>523.01</v>
      </c>
      <c r="E82" s="152">
        <f t="shared" si="2"/>
        <v>199.47</v>
      </c>
      <c r="G82" s="152">
        <f>$O$4+($D$6*$B$47)-$D$6</f>
        <v>523.31000000000006</v>
      </c>
      <c r="H82" s="152">
        <f t="shared" si="7"/>
        <v>200.73</v>
      </c>
      <c r="J82">
        <f>$M$28-J76</f>
        <v>521.1</v>
      </c>
      <c r="K82">
        <v>197.74</v>
      </c>
      <c r="N82" t="str">
        <f>IF(OR(A82='DropDown Lists'!$E$4,A82='DropDown Lists'!$E$5),B82,"0")</f>
        <v>0</v>
      </c>
    </row>
    <row r="83" spans="1:14" x14ac:dyDescent="0.25">
      <c r="A83" s="2">
        <f>$B$33</f>
        <v>0</v>
      </c>
      <c r="B83" s="2">
        <v>43</v>
      </c>
      <c r="C83" s="12" t="s">
        <v>51</v>
      </c>
      <c r="D83" s="152">
        <f t="shared" si="1"/>
        <v>1.71</v>
      </c>
      <c r="E83" s="152">
        <f t="shared" si="2"/>
        <v>251.42999999999998</v>
      </c>
      <c r="G83" s="152">
        <f>$O$4+($D$6*$B$41)-$D$6</f>
        <v>1.9099999999999966</v>
      </c>
      <c r="H83" s="152">
        <f t="shared" ref="H83:H89" si="8">$P$4+($E$7*$B$47)-$E$7+($E$8*2)</f>
        <v>251.73000000000002</v>
      </c>
      <c r="J83">
        <v>-0.2</v>
      </c>
      <c r="K83">
        <v>249.7</v>
      </c>
      <c r="N83" t="str">
        <f>IF(OR(A83='DropDown Lists'!$E$4,A83='DropDown Lists'!$E$5),B83,"0")</f>
        <v>0</v>
      </c>
    </row>
    <row r="84" spans="1:14" x14ac:dyDescent="0.25">
      <c r="A84" s="2">
        <f>$C$33</f>
        <v>0</v>
      </c>
      <c r="B84" s="2">
        <v>44</v>
      </c>
      <c r="C84" s="12" t="s">
        <v>93</v>
      </c>
      <c r="D84" s="152">
        <f t="shared" si="1"/>
        <v>89.31</v>
      </c>
      <c r="E84" s="152">
        <f t="shared" si="2"/>
        <v>251.42999999999998</v>
      </c>
      <c r="G84" s="152">
        <f>$O$4+($D$6*$B$42)-$D$6</f>
        <v>88.81</v>
      </c>
      <c r="H84" s="152">
        <f t="shared" si="8"/>
        <v>251.73000000000002</v>
      </c>
      <c r="J84">
        <f>$M$23-J83</f>
        <v>87.4</v>
      </c>
      <c r="K84">
        <v>249.7</v>
      </c>
      <c r="N84" t="str">
        <f>IF(OR(A84='DropDown Lists'!$E$4,A84='DropDown Lists'!$E$5),B84,"0")</f>
        <v>0</v>
      </c>
    </row>
    <row r="85" spans="1:14" x14ac:dyDescent="0.25">
      <c r="A85" s="2">
        <f>$D$33</f>
        <v>0</v>
      </c>
      <c r="B85" s="2">
        <v>45</v>
      </c>
      <c r="C85" s="12" t="s">
        <v>94</v>
      </c>
      <c r="D85" s="152">
        <f t="shared" si="1"/>
        <v>175.91</v>
      </c>
      <c r="E85" s="152">
        <f t="shared" si="2"/>
        <v>251.42999999999998</v>
      </c>
      <c r="G85" s="152">
        <f>$O$4+($D$6*$B$43)-$D$6</f>
        <v>175.71000000000006</v>
      </c>
      <c r="H85" s="152">
        <f t="shared" si="8"/>
        <v>251.73000000000002</v>
      </c>
      <c r="J85">
        <f>$M$24-J83</f>
        <v>174</v>
      </c>
      <c r="K85">
        <v>249.7</v>
      </c>
      <c r="N85" t="str">
        <f>IF(OR(A85='DropDown Lists'!$E$4,A85='DropDown Lists'!$E$5),B85,"0")</f>
        <v>0</v>
      </c>
    </row>
    <row r="86" spans="1:14" x14ac:dyDescent="0.25">
      <c r="A86" s="2">
        <f>$E$33</f>
        <v>0</v>
      </c>
      <c r="B86" s="2">
        <v>46</v>
      </c>
      <c r="C86" s="12" t="s">
        <v>95</v>
      </c>
      <c r="D86" s="152">
        <f t="shared" si="1"/>
        <v>262.91000000000003</v>
      </c>
      <c r="E86" s="152">
        <f t="shared" si="2"/>
        <v>251.42999999999998</v>
      </c>
      <c r="G86" s="152">
        <f>$O$4+($D$6*$B$44)-$D$6</f>
        <v>262.61</v>
      </c>
      <c r="H86" s="152">
        <f t="shared" si="8"/>
        <v>251.73000000000002</v>
      </c>
      <c r="J86">
        <f>$M$25-J83</f>
        <v>261</v>
      </c>
      <c r="K86">
        <v>249.7</v>
      </c>
      <c r="N86" t="str">
        <f>IF(OR(A86='DropDown Lists'!$E$4,A86='DropDown Lists'!$E$5),B86,"0")</f>
        <v>0</v>
      </c>
    </row>
    <row r="87" spans="1:14" x14ac:dyDescent="0.25">
      <c r="A87" s="2">
        <f>$F$33</f>
        <v>0</v>
      </c>
      <c r="B87" s="2">
        <v>47</v>
      </c>
      <c r="C87" s="12" t="s">
        <v>96</v>
      </c>
      <c r="D87" s="152">
        <f t="shared" si="1"/>
        <v>349.31</v>
      </c>
      <c r="E87" s="152">
        <f t="shared" si="2"/>
        <v>251.42999999999998</v>
      </c>
      <c r="G87" s="152">
        <f>$O$4+($D$6*$B$45)-$D$6</f>
        <v>349.51</v>
      </c>
      <c r="H87" s="152">
        <f t="shared" si="8"/>
        <v>251.73000000000002</v>
      </c>
      <c r="J87">
        <f>$M$26-J83</f>
        <v>347.4</v>
      </c>
      <c r="K87">
        <v>249.7</v>
      </c>
      <c r="N87" t="str">
        <f>IF(OR(A87='DropDown Lists'!$E$4,A87='DropDown Lists'!$E$5),B87,"0")</f>
        <v>0</v>
      </c>
    </row>
    <row r="88" spans="1:14" x14ac:dyDescent="0.25">
      <c r="A88" s="2">
        <f>$G$33</f>
        <v>0</v>
      </c>
      <c r="B88" s="2">
        <v>48</v>
      </c>
      <c r="C88" s="12" t="s">
        <v>97</v>
      </c>
      <c r="D88" s="152">
        <f t="shared" si="1"/>
        <v>435.91</v>
      </c>
      <c r="E88" s="152">
        <f t="shared" si="2"/>
        <v>251.42999999999998</v>
      </c>
      <c r="G88" s="152">
        <f>$O$4+($D$6*$B$46)-$D$6</f>
        <v>436.41000000000008</v>
      </c>
      <c r="H88" s="152">
        <f t="shared" si="8"/>
        <v>251.73000000000002</v>
      </c>
      <c r="J88">
        <f>$M$27-J83</f>
        <v>434</v>
      </c>
      <c r="K88">
        <v>249.7</v>
      </c>
      <c r="N88" t="str">
        <f>IF(OR(A88='DropDown Lists'!$E$4,A88='DropDown Lists'!$E$5),B88,"0")</f>
        <v>0</v>
      </c>
    </row>
    <row r="89" spans="1:14" x14ac:dyDescent="0.25">
      <c r="A89" s="2">
        <f>$H$33</f>
        <v>0</v>
      </c>
      <c r="B89" s="2">
        <v>49</v>
      </c>
      <c r="C89" s="12" t="s">
        <v>98</v>
      </c>
      <c r="D89" s="152">
        <f t="shared" si="1"/>
        <v>522.81000000000006</v>
      </c>
      <c r="E89" s="152">
        <f t="shared" si="2"/>
        <v>251.42999999999998</v>
      </c>
      <c r="G89" s="152">
        <f>$O$4+($D$6*$B$47)-$D$6</f>
        <v>523.31000000000006</v>
      </c>
      <c r="H89" s="152">
        <f t="shared" si="8"/>
        <v>251.73000000000002</v>
      </c>
      <c r="J89">
        <f>$M$28-J83</f>
        <v>520.90000000000009</v>
      </c>
      <c r="K89">
        <v>249.7</v>
      </c>
      <c r="N89" t="str">
        <f>IF(OR(A89='DropDown Lists'!$E$4,A89='DropDown Lists'!$E$5),B89,"0")</f>
        <v>0</v>
      </c>
    </row>
    <row r="90" spans="1:14" x14ac:dyDescent="0.25">
      <c r="A90" s="2">
        <f>$B$34</f>
        <v>0</v>
      </c>
      <c r="B90" s="2">
        <v>50</v>
      </c>
      <c r="C90" s="12" t="s">
        <v>99</v>
      </c>
      <c r="D90" s="152">
        <f t="shared" si="1"/>
        <v>1.71</v>
      </c>
      <c r="E90" s="152">
        <f t="shared" si="2"/>
        <v>288.23</v>
      </c>
      <c r="G90" s="152">
        <f>$O$4+($D$6*$B$41)-$D$6</f>
        <v>1.9099999999999966</v>
      </c>
      <c r="H90" s="152">
        <f t="shared" ref="H90:H96" si="9">$P$4+($E$7*$B$48)-$E$7+($E$8*2)</f>
        <v>288.73</v>
      </c>
      <c r="J90">
        <v>-0.2</v>
      </c>
      <c r="K90">
        <v>286.5</v>
      </c>
      <c r="N90" t="str">
        <f>IF(OR(A90='DropDown Lists'!$E$4,A90='DropDown Lists'!$E$5),B90,"0")</f>
        <v>0</v>
      </c>
    </row>
    <row r="91" spans="1:14" x14ac:dyDescent="0.25">
      <c r="A91" s="2">
        <f>$C$34</f>
        <v>0</v>
      </c>
      <c r="B91" s="2">
        <v>51</v>
      </c>
      <c r="C91" s="12" t="s">
        <v>100</v>
      </c>
      <c r="D91" s="152">
        <f t="shared" si="1"/>
        <v>89.31</v>
      </c>
      <c r="E91" s="152">
        <f t="shared" si="2"/>
        <v>288.23</v>
      </c>
      <c r="G91" s="152">
        <f>$O$4+($D$6*$B$42)-$D$6</f>
        <v>88.81</v>
      </c>
      <c r="H91" s="152">
        <f t="shared" si="9"/>
        <v>288.73</v>
      </c>
      <c r="J91">
        <f>$M$23-J90</f>
        <v>87.4</v>
      </c>
      <c r="K91">
        <v>286.5</v>
      </c>
      <c r="N91" t="str">
        <f>IF(OR(A91='DropDown Lists'!$E$4,A91='DropDown Lists'!$E$5),B91,"0")</f>
        <v>0</v>
      </c>
    </row>
    <row r="92" spans="1:14" x14ac:dyDescent="0.25">
      <c r="A92" s="2">
        <f>$D$34</f>
        <v>0</v>
      </c>
      <c r="B92" s="2">
        <v>52</v>
      </c>
      <c r="C92" s="12" t="s">
        <v>101</v>
      </c>
      <c r="D92" s="152">
        <f t="shared" si="1"/>
        <v>175.91</v>
      </c>
      <c r="E92" s="152">
        <f t="shared" si="2"/>
        <v>288.23</v>
      </c>
      <c r="G92" s="152">
        <f>$O$4+($D$6*$B$43)-$D$6</f>
        <v>175.71000000000006</v>
      </c>
      <c r="H92" s="152">
        <f t="shared" si="9"/>
        <v>288.73</v>
      </c>
      <c r="J92">
        <f>$M$24-J90</f>
        <v>174</v>
      </c>
      <c r="K92">
        <v>286.5</v>
      </c>
      <c r="N92" t="str">
        <f>IF(OR(A92='DropDown Lists'!$E$4,A92='DropDown Lists'!$E$5),B92,"0")</f>
        <v>0</v>
      </c>
    </row>
    <row r="93" spans="1:14" x14ac:dyDescent="0.25">
      <c r="A93" s="2">
        <f>$E$34</f>
        <v>0</v>
      </c>
      <c r="B93" s="2">
        <v>53</v>
      </c>
      <c r="C93" s="12" t="s">
        <v>102</v>
      </c>
      <c r="D93" s="152">
        <f t="shared" si="1"/>
        <v>262.91000000000003</v>
      </c>
      <c r="E93" s="152">
        <f t="shared" si="2"/>
        <v>288.23</v>
      </c>
      <c r="G93" s="152">
        <f>$O$4+($D$6*$B$44)-$D$6</f>
        <v>262.61</v>
      </c>
      <c r="H93" s="152">
        <f t="shared" si="9"/>
        <v>288.73</v>
      </c>
      <c r="J93">
        <f>$M$25-J90</f>
        <v>261</v>
      </c>
      <c r="K93">
        <v>286.5</v>
      </c>
      <c r="N93" t="str">
        <f>IF(OR(A93='DropDown Lists'!$E$4,A93='DropDown Lists'!$E$5),B93,"0")</f>
        <v>0</v>
      </c>
    </row>
    <row r="94" spans="1:14" x14ac:dyDescent="0.25">
      <c r="A94" s="2">
        <f>$F$34</f>
        <v>0</v>
      </c>
      <c r="B94" s="2">
        <v>54</v>
      </c>
      <c r="C94" s="12" t="s">
        <v>103</v>
      </c>
      <c r="D94" s="152">
        <f t="shared" si="1"/>
        <v>349.31</v>
      </c>
      <c r="E94" s="152">
        <f t="shared" si="2"/>
        <v>288.23</v>
      </c>
      <c r="G94" s="152">
        <f>$O$4+($D$6*$B$45)-$D$6</f>
        <v>349.51</v>
      </c>
      <c r="H94" s="152">
        <f t="shared" si="9"/>
        <v>288.73</v>
      </c>
      <c r="J94">
        <f>$M$26-J90</f>
        <v>347.4</v>
      </c>
      <c r="K94">
        <v>286.5</v>
      </c>
      <c r="N94" t="str">
        <f>IF(OR(A94='DropDown Lists'!$E$4,A94='DropDown Lists'!$E$5),B94,"0")</f>
        <v>0</v>
      </c>
    </row>
    <row r="95" spans="1:14" x14ac:dyDescent="0.25">
      <c r="A95" s="2">
        <f>$G$34</f>
        <v>0</v>
      </c>
      <c r="B95" s="2">
        <v>55</v>
      </c>
      <c r="C95" s="12" t="s">
        <v>104</v>
      </c>
      <c r="D95" s="152">
        <f t="shared" si="1"/>
        <v>435.91</v>
      </c>
      <c r="E95" s="152">
        <f t="shared" si="2"/>
        <v>288.23</v>
      </c>
      <c r="G95" s="152">
        <f>$O$4+($D$6*$B$46)-$D$6</f>
        <v>436.41000000000008</v>
      </c>
      <c r="H95" s="152">
        <f t="shared" si="9"/>
        <v>288.73</v>
      </c>
      <c r="J95">
        <f>$M$27-J90</f>
        <v>434</v>
      </c>
      <c r="K95">
        <v>286.5</v>
      </c>
      <c r="N95" t="str">
        <f>IF(OR(A95='DropDown Lists'!$E$4,A95='DropDown Lists'!$E$5),B95,"0")</f>
        <v>0</v>
      </c>
    </row>
    <row r="96" spans="1:14" x14ac:dyDescent="0.25">
      <c r="A96" s="2">
        <f>$H$34</f>
        <v>0</v>
      </c>
      <c r="B96" s="2">
        <v>56</v>
      </c>
      <c r="C96" s="12" t="s">
        <v>105</v>
      </c>
      <c r="D96" s="152">
        <f t="shared" si="1"/>
        <v>522.81000000000006</v>
      </c>
      <c r="E96" s="152">
        <f t="shared" si="2"/>
        <v>288.23</v>
      </c>
      <c r="G96" s="152">
        <f>$O$4+($D$6*$B$47)-$D$6</f>
        <v>523.31000000000006</v>
      </c>
      <c r="H96" s="152">
        <f t="shared" si="9"/>
        <v>288.73</v>
      </c>
      <c r="J96">
        <f>$M$28-J90</f>
        <v>520.90000000000009</v>
      </c>
      <c r="K96">
        <v>286.5</v>
      </c>
      <c r="N96" t="str">
        <f>IF(OR(A96='DropDown Lists'!$E$4,A96='DropDown Lists'!$E$5),B96,"0")</f>
        <v>0</v>
      </c>
    </row>
    <row r="97" spans="1:14" x14ac:dyDescent="0.25">
      <c r="A97" s="2">
        <f>$B$35</f>
        <v>0</v>
      </c>
      <c r="B97" s="2">
        <v>57</v>
      </c>
      <c r="C97" s="12" t="s">
        <v>106</v>
      </c>
      <c r="D97" s="152">
        <f t="shared" si="1"/>
        <v>1.71</v>
      </c>
      <c r="E97" s="152">
        <f t="shared" si="2"/>
        <v>324.72000000000003</v>
      </c>
      <c r="G97" s="152">
        <f>$O$4+($D$6*$B$41)-$D$6</f>
        <v>1.9099999999999966</v>
      </c>
      <c r="H97" s="152">
        <f>$P$4+($E$7*$B$41)-$E$7+($E$8*2)</f>
        <v>29.729999999999997</v>
      </c>
      <c r="J97">
        <v>-0.2</v>
      </c>
      <c r="K97">
        <v>322.99</v>
      </c>
      <c r="N97" t="str">
        <f>IF(OR(A97='DropDown Lists'!$E$4,A97='DropDown Lists'!$E$5),B97,"0")</f>
        <v>0</v>
      </c>
    </row>
    <row r="98" spans="1:14" x14ac:dyDescent="0.25">
      <c r="A98" s="2">
        <f>$C$35</f>
        <v>0</v>
      </c>
      <c r="B98" s="2">
        <v>58</v>
      </c>
      <c r="C98" s="12" t="s">
        <v>107</v>
      </c>
      <c r="D98" s="152">
        <f t="shared" si="1"/>
        <v>89.31</v>
      </c>
      <c r="E98" s="152">
        <f t="shared" si="2"/>
        <v>324.72000000000003</v>
      </c>
      <c r="G98" s="152">
        <f>$O$4+($D$6*$B$42)-$D$6</f>
        <v>88.81</v>
      </c>
      <c r="H98" s="152">
        <f>$P$4+($E$7*$B$42)-$E$7+($E$8*2)</f>
        <v>66.73</v>
      </c>
      <c r="J98">
        <f>$M$23-J97</f>
        <v>87.4</v>
      </c>
      <c r="K98">
        <v>322.99</v>
      </c>
      <c r="N98" t="str">
        <f>IF(OR(A98='DropDown Lists'!$E$4,A98='DropDown Lists'!$E$5),B98,"0")</f>
        <v>0</v>
      </c>
    </row>
    <row r="99" spans="1:14" x14ac:dyDescent="0.25">
      <c r="A99" s="2">
        <f>$D$35</f>
        <v>0</v>
      </c>
      <c r="B99" s="2">
        <v>59</v>
      </c>
      <c r="C99" s="12" t="s">
        <v>108</v>
      </c>
      <c r="D99" s="152">
        <f t="shared" si="1"/>
        <v>175.91</v>
      </c>
      <c r="E99" s="152">
        <f t="shared" si="2"/>
        <v>324.72000000000003</v>
      </c>
      <c r="G99" s="152">
        <f>$O$4+($D$6*$B$43)-$D$6</f>
        <v>175.71000000000006</v>
      </c>
      <c r="H99" s="152">
        <f>$P$4+($E$7*$B$43)-$E$7+($E$8*2)</f>
        <v>103.73</v>
      </c>
      <c r="J99">
        <f>$M$24-J97</f>
        <v>174</v>
      </c>
      <c r="K99">
        <v>322.99</v>
      </c>
      <c r="N99" t="str">
        <f>IF(OR(A99='DropDown Lists'!$E$4,A99='DropDown Lists'!$E$5),B99,"0")</f>
        <v>0</v>
      </c>
    </row>
    <row r="100" spans="1:14" x14ac:dyDescent="0.25">
      <c r="A100" s="2">
        <f>$E$35</f>
        <v>0</v>
      </c>
      <c r="B100" s="2">
        <v>60</v>
      </c>
      <c r="C100" s="12" t="s">
        <v>109</v>
      </c>
      <c r="D100" s="152">
        <f t="shared" si="1"/>
        <v>262.91000000000003</v>
      </c>
      <c r="E100" s="152">
        <f t="shared" si="2"/>
        <v>324.72000000000003</v>
      </c>
      <c r="G100" s="152">
        <f>$O$4+($D$6*$B$44)-$D$6</f>
        <v>262.61</v>
      </c>
      <c r="H100" s="152">
        <f>$P$4+($E$7*$B$44)-$E$7+($E$8*2)</f>
        <v>140.72999999999999</v>
      </c>
      <c r="J100">
        <f>$M$25-J97</f>
        <v>261</v>
      </c>
      <c r="K100">
        <v>322.99</v>
      </c>
      <c r="N100" t="str">
        <f>IF(OR(A100='DropDown Lists'!$E$4,A100='DropDown Lists'!$E$5),B100,"0")</f>
        <v>0</v>
      </c>
    </row>
    <row r="101" spans="1:14" x14ac:dyDescent="0.25">
      <c r="A101" s="2">
        <f>$F$35</f>
        <v>0</v>
      </c>
      <c r="B101" s="2">
        <v>61</v>
      </c>
      <c r="C101" s="12" t="s">
        <v>110</v>
      </c>
      <c r="D101" s="152">
        <f t="shared" si="1"/>
        <v>349.31</v>
      </c>
      <c r="E101" s="152">
        <f t="shared" si="2"/>
        <v>324.72000000000003</v>
      </c>
      <c r="G101" s="152">
        <f>$O$4+($D$6*$B$45)-$D$6</f>
        <v>349.51</v>
      </c>
      <c r="H101" s="152">
        <f>$P$4+($E$7*$B$45)-$E$7+($E$8*2)</f>
        <v>177.73</v>
      </c>
      <c r="J101">
        <f>$M$26-J97</f>
        <v>347.4</v>
      </c>
      <c r="K101">
        <v>322.99</v>
      </c>
      <c r="N101" t="str">
        <f>IF(OR(A101='DropDown Lists'!$E$4,A101='DropDown Lists'!$E$5),B101,"0")</f>
        <v>0</v>
      </c>
    </row>
    <row r="102" spans="1:14" x14ac:dyDescent="0.25">
      <c r="A102" s="2">
        <f>$G$35</f>
        <v>0</v>
      </c>
      <c r="B102" s="2">
        <v>62</v>
      </c>
      <c r="C102" s="12" t="s">
        <v>111</v>
      </c>
      <c r="D102" s="152">
        <f t="shared" si="1"/>
        <v>435.91</v>
      </c>
      <c r="E102" s="152">
        <f t="shared" si="2"/>
        <v>324.72000000000003</v>
      </c>
      <c r="G102" s="152">
        <f>$O$4+($D$6*$B$46)-$D$6</f>
        <v>436.41000000000008</v>
      </c>
      <c r="H102" s="152">
        <f>$P$4+($E$7*$B$46)-$E$7+($E$8*2)</f>
        <v>214.73</v>
      </c>
      <c r="J102">
        <f>$M$27-J97</f>
        <v>434</v>
      </c>
      <c r="K102">
        <v>322.99</v>
      </c>
      <c r="N102" t="str">
        <f>IF(OR(A102='DropDown Lists'!$E$4,A102='DropDown Lists'!$E$5),B102,"0")</f>
        <v>0</v>
      </c>
    </row>
    <row r="103" spans="1:14" x14ac:dyDescent="0.25">
      <c r="A103" s="2">
        <f>$H$35</f>
        <v>0</v>
      </c>
      <c r="B103" s="2">
        <v>63</v>
      </c>
      <c r="C103" s="12" t="s">
        <v>112</v>
      </c>
      <c r="D103" s="152">
        <f t="shared" si="1"/>
        <v>522.81000000000006</v>
      </c>
      <c r="E103" s="152">
        <f t="shared" si="2"/>
        <v>324.72000000000003</v>
      </c>
      <c r="G103" s="152">
        <f>$O$4+($D$6*$B$47)-$D$6</f>
        <v>523.31000000000006</v>
      </c>
      <c r="H103" s="152">
        <f>$P$4+($E$7*$B$47)-$E$7+($E$8*2)</f>
        <v>251.73000000000002</v>
      </c>
      <c r="J103">
        <f>$M$28-J97</f>
        <v>520.90000000000009</v>
      </c>
      <c r="K103">
        <v>322.99</v>
      </c>
      <c r="N103" t="str">
        <f>IF(OR(A103='DropDown Lists'!$E$4,A103='DropDown Lists'!$E$5),B103,"0")</f>
        <v>0</v>
      </c>
    </row>
    <row r="104" spans="1:14" x14ac:dyDescent="0.25">
      <c r="A104" s="2">
        <f>$B$36</f>
        <v>0</v>
      </c>
      <c r="B104" s="2">
        <v>64</v>
      </c>
      <c r="C104" s="12" t="s">
        <v>113</v>
      </c>
      <c r="D104" s="152">
        <f t="shared" si="1"/>
        <v>1.5099999999999998</v>
      </c>
      <c r="E104" s="152">
        <f t="shared" si="2"/>
        <v>376.43</v>
      </c>
      <c r="G104" s="152">
        <f>$O$4+($D$6*$B$41)-$D$6</f>
        <v>1.9099999999999966</v>
      </c>
      <c r="H104" s="152">
        <f t="shared" ref="H104:H110" si="10">$P$4+($E$7*$B$49)-$E$7+($E$8*3)</f>
        <v>339.73</v>
      </c>
      <c r="J104">
        <v>-0.4</v>
      </c>
      <c r="K104">
        <v>374.7</v>
      </c>
      <c r="N104" t="str">
        <f>IF(OR(A104='DropDown Lists'!$E$4,A104='DropDown Lists'!$E$5),B104,"0")</f>
        <v>0</v>
      </c>
    </row>
    <row r="105" spans="1:14" x14ac:dyDescent="0.25">
      <c r="A105" s="2">
        <f>$C$36</f>
        <v>0</v>
      </c>
      <c r="B105" s="2">
        <v>65</v>
      </c>
      <c r="C105" s="12" t="s">
        <v>114</v>
      </c>
      <c r="D105" s="152">
        <f t="shared" si="1"/>
        <v>89.51</v>
      </c>
      <c r="E105" s="152">
        <f t="shared" si="2"/>
        <v>376.43</v>
      </c>
      <c r="G105" s="152">
        <f>$O$4+($D$6*$B$42)-$D$6</f>
        <v>88.81</v>
      </c>
      <c r="H105" s="152">
        <f t="shared" si="10"/>
        <v>339.73</v>
      </c>
      <c r="J105">
        <f>$M$23-J104</f>
        <v>87.600000000000009</v>
      </c>
      <c r="K105">
        <v>374.7</v>
      </c>
      <c r="N105" t="str">
        <f>IF(OR(A105='DropDown Lists'!$E$4,A105='DropDown Lists'!$E$5),B105,"0")</f>
        <v>0</v>
      </c>
    </row>
    <row r="106" spans="1:14" x14ac:dyDescent="0.25">
      <c r="A106" s="2">
        <f>$D$36</f>
        <v>0</v>
      </c>
      <c r="B106" s="2">
        <v>66</v>
      </c>
      <c r="C106" s="12" t="s">
        <v>115</v>
      </c>
      <c r="D106" s="152">
        <f t="shared" ref="D106:D124" si="11">J106+$O$4</f>
        <v>176.11</v>
      </c>
      <c r="E106" s="152">
        <f t="shared" ref="E106:E124" si="12">K106+$P$4</f>
        <v>376.43</v>
      </c>
      <c r="G106" s="152">
        <f>$O$4+($D$6*$B$43)-$D$6</f>
        <v>175.71000000000006</v>
      </c>
      <c r="H106" s="152">
        <f t="shared" si="10"/>
        <v>339.73</v>
      </c>
      <c r="J106">
        <f>$M$24-J104</f>
        <v>174.20000000000002</v>
      </c>
      <c r="K106">
        <v>374.7</v>
      </c>
      <c r="N106" t="str">
        <f>IF(OR(A106='DropDown Lists'!$E$4,A106='DropDown Lists'!$E$5),B106,"0")</f>
        <v>0</v>
      </c>
    </row>
    <row r="107" spans="1:14" x14ac:dyDescent="0.25">
      <c r="A107" s="2">
        <f>$E$36</f>
        <v>0</v>
      </c>
      <c r="B107" s="2">
        <v>67</v>
      </c>
      <c r="C107" s="12" t="s">
        <v>116</v>
      </c>
      <c r="D107" s="152">
        <f t="shared" si="11"/>
        <v>263.11</v>
      </c>
      <c r="E107" s="152">
        <f t="shared" si="12"/>
        <v>376.43</v>
      </c>
      <c r="G107" s="152">
        <f>$O$4+($D$6*$B$44)-$D$6</f>
        <v>262.61</v>
      </c>
      <c r="H107" s="152">
        <f t="shared" si="10"/>
        <v>339.73</v>
      </c>
      <c r="J107">
        <f>$M$25-J104</f>
        <v>261.2</v>
      </c>
      <c r="K107">
        <v>374.7</v>
      </c>
      <c r="N107" t="str">
        <f>IF(OR(A107='DropDown Lists'!$E$4,A107='DropDown Lists'!$E$5),B107,"0")</f>
        <v>0</v>
      </c>
    </row>
    <row r="108" spans="1:14" x14ac:dyDescent="0.25">
      <c r="A108" s="2">
        <f>$F$36</f>
        <v>0</v>
      </c>
      <c r="B108" s="2">
        <v>68</v>
      </c>
      <c r="C108" s="12" t="s">
        <v>117</v>
      </c>
      <c r="D108" s="152">
        <f t="shared" si="11"/>
        <v>349.51</v>
      </c>
      <c r="E108" s="152">
        <f t="shared" si="12"/>
        <v>376.43</v>
      </c>
      <c r="G108" s="152">
        <f>$O$4+($D$6*$B$45)-$D$6</f>
        <v>349.51</v>
      </c>
      <c r="H108" s="152">
        <f t="shared" si="10"/>
        <v>339.73</v>
      </c>
      <c r="J108">
        <f>$M$26-J104</f>
        <v>347.59999999999997</v>
      </c>
      <c r="K108">
        <v>374.7</v>
      </c>
      <c r="N108" t="str">
        <f>IF(OR(A108='DropDown Lists'!$E$4,A108='DropDown Lists'!$E$5),B108,"0")</f>
        <v>0</v>
      </c>
    </row>
    <row r="109" spans="1:14" x14ac:dyDescent="0.25">
      <c r="A109" s="2">
        <f>$G$36</f>
        <v>0</v>
      </c>
      <c r="B109" s="2">
        <v>69</v>
      </c>
      <c r="C109" s="12" t="s">
        <v>118</v>
      </c>
      <c r="D109" s="152">
        <f t="shared" si="11"/>
        <v>436.11</v>
      </c>
      <c r="E109" s="152">
        <f t="shared" si="12"/>
        <v>376.43</v>
      </c>
      <c r="G109" s="152">
        <f>$O$4+($D$6*$B$46)-$D$6</f>
        <v>436.41000000000008</v>
      </c>
      <c r="H109" s="152">
        <f t="shared" si="10"/>
        <v>339.73</v>
      </c>
      <c r="J109">
        <f>$M$27-J104</f>
        <v>434.2</v>
      </c>
      <c r="K109">
        <v>374.7</v>
      </c>
      <c r="N109" t="str">
        <f>IF(OR(A109='DropDown Lists'!$E$4,A109='DropDown Lists'!$E$5),B109,"0")</f>
        <v>0</v>
      </c>
    </row>
    <row r="110" spans="1:14" x14ac:dyDescent="0.25">
      <c r="A110" s="2">
        <f>$H$36</f>
        <v>0</v>
      </c>
      <c r="B110" s="2">
        <v>70</v>
      </c>
      <c r="C110" s="12" t="s">
        <v>119</v>
      </c>
      <c r="D110" s="152">
        <f t="shared" si="11"/>
        <v>523.01</v>
      </c>
      <c r="E110" s="152">
        <f t="shared" si="12"/>
        <v>376.43</v>
      </c>
      <c r="G110" s="152">
        <f>$O$4+($D$6*$B$47)-$D$6</f>
        <v>523.31000000000006</v>
      </c>
      <c r="H110" s="152">
        <f t="shared" si="10"/>
        <v>339.73</v>
      </c>
      <c r="J110">
        <f>$M$28-J104</f>
        <v>521.1</v>
      </c>
      <c r="K110">
        <v>374.7</v>
      </c>
      <c r="N110" t="str">
        <f>IF(OR(A110='DropDown Lists'!$E$4,A110='DropDown Lists'!$E$5),B110,"0")</f>
        <v>0</v>
      </c>
    </row>
    <row r="111" spans="1:14" x14ac:dyDescent="0.25">
      <c r="A111" s="2">
        <f>$B$37</f>
        <v>0</v>
      </c>
      <c r="B111" s="2">
        <v>71</v>
      </c>
      <c r="C111" s="12" t="s">
        <v>120</v>
      </c>
      <c r="D111" s="152">
        <f t="shared" si="11"/>
        <v>1.5099999999999998</v>
      </c>
      <c r="E111" s="152">
        <f t="shared" si="12"/>
        <v>412.93</v>
      </c>
      <c r="G111" s="152">
        <f>$O$4+($D$6*$B$41)-$D$6</f>
        <v>1.9099999999999966</v>
      </c>
      <c r="H111" s="152">
        <f t="shared" ref="H111:H117" si="13">$P$4+($E$7*$B$50)-$E$7+($E$8*3)</f>
        <v>376.73</v>
      </c>
      <c r="J111">
        <v>-0.4</v>
      </c>
      <c r="K111">
        <v>411.2</v>
      </c>
      <c r="N111" t="str">
        <f>IF(OR(A111='DropDown Lists'!$E$4,A111='DropDown Lists'!$E$5),B111,"0")</f>
        <v>0</v>
      </c>
    </row>
    <row r="112" spans="1:14" x14ac:dyDescent="0.25">
      <c r="A112" s="2">
        <f>$C$37</f>
        <v>0</v>
      </c>
      <c r="B112" s="2">
        <v>72</v>
      </c>
      <c r="C112" s="12" t="s">
        <v>121</v>
      </c>
      <c r="D112" s="152">
        <f t="shared" si="11"/>
        <v>89.51</v>
      </c>
      <c r="E112" s="152">
        <f t="shared" si="12"/>
        <v>412.93</v>
      </c>
      <c r="G112" s="152">
        <f>$O$4+($D$6*$B$42)-$D$6</f>
        <v>88.81</v>
      </c>
      <c r="H112" s="152">
        <f t="shared" si="13"/>
        <v>376.73</v>
      </c>
      <c r="J112">
        <f>$M$23-J111</f>
        <v>87.600000000000009</v>
      </c>
      <c r="K112">
        <v>411.2</v>
      </c>
      <c r="N112" t="str">
        <f>IF(OR(A112='DropDown Lists'!$E$4,A112='DropDown Lists'!$E$5),B112,"0")</f>
        <v>0</v>
      </c>
    </row>
    <row r="113" spans="1:14" x14ac:dyDescent="0.25">
      <c r="A113" s="2">
        <f>$D$37</f>
        <v>0</v>
      </c>
      <c r="B113" s="2">
        <v>73</v>
      </c>
      <c r="C113" s="12" t="s">
        <v>122</v>
      </c>
      <c r="D113" s="152">
        <f t="shared" si="11"/>
        <v>176.11</v>
      </c>
      <c r="E113" s="152">
        <f t="shared" si="12"/>
        <v>412.93</v>
      </c>
      <c r="G113" s="152">
        <f>$O$4+($D$6*$B$43)-$D$6</f>
        <v>175.71000000000006</v>
      </c>
      <c r="H113" s="152">
        <f t="shared" si="13"/>
        <v>376.73</v>
      </c>
      <c r="J113">
        <f>$M$24-J111</f>
        <v>174.20000000000002</v>
      </c>
      <c r="K113">
        <v>411.2</v>
      </c>
      <c r="N113" t="str">
        <f>IF(OR(A113='DropDown Lists'!$E$4,A113='DropDown Lists'!$E$5),B113,"0")</f>
        <v>0</v>
      </c>
    </row>
    <row r="114" spans="1:14" x14ac:dyDescent="0.25">
      <c r="A114" s="2">
        <f>$E$37</f>
        <v>0</v>
      </c>
      <c r="B114" s="2">
        <v>74</v>
      </c>
      <c r="C114" s="12" t="s">
        <v>123</v>
      </c>
      <c r="D114" s="152">
        <f t="shared" si="11"/>
        <v>263.11</v>
      </c>
      <c r="E114" s="152">
        <f t="shared" si="12"/>
        <v>412.93</v>
      </c>
      <c r="G114" s="152">
        <f>$O$4+($D$6*$B$44)-$D$6</f>
        <v>262.61</v>
      </c>
      <c r="H114" s="152">
        <f t="shared" si="13"/>
        <v>376.73</v>
      </c>
      <c r="J114">
        <f>$M$25-J111</f>
        <v>261.2</v>
      </c>
      <c r="K114">
        <v>411.2</v>
      </c>
      <c r="N114" t="str">
        <f>IF(OR(A114='DropDown Lists'!$E$4,A114='DropDown Lists'!$E$5),B114,"0")</f>
        <v>0</v>
      </c>
    </row>
    <row r="115" spans="1:14" x14ac:dyDescent="0.25">
      <c r="A115" s="2">
        <f>$F$37</f>
        <v>0</v>
      </c>
      <c r="B115" s="2">
        <v>75</v>
      </c>
      <c r="C115" s="12" t="s">
        <v>124</v>
      </c>
      <c r="D115" s="152">
        <f t="shared" si="11"/>
        <v>349.51</v>
      </c>
      <c r="E115" s="152">
        <f t="shared" si="12"/>
        <v>412.93</v>
      </c>
      <c r="G115" s="152">
        <f>$O$4+($D$6*$B$45)-$D$6</f>
        <v>349.51</v>
      </c>
      <c r="H115" s="152">
        <f t="shared" si="13"/>
        <v>376.73</v>
      </c>
      <c r="J115">
        <f>$M$26-J111</f>
        <v>347.59999999999997</v>
      </c>
      <c r="K115">
        <v>411.2</v>
      </c>
      <c r="N115" t="str">
        <f>IF(OR(A115='DropDown Lists'!$E$4,A115='DropDown Lists'!$E$5),B115,"0")</f>
        <v>0</v>
      </c>
    </row>
    <row r="116" spans="1:14" x14ac:dyDescent="0.25">
      <c r="A116" s="2">
        <f>$G$37</f>
        <v>0</v>
      </c>
      <c r="B116" s="2">
        <v>76</v>
      </c>
      <c r="C116" s="12" t="s">
        <v>125</v>
      </c>
      <c r="D116" s="152">
        <f t="shared" si="11"/>
        <v>436.11</v>
      </c>
      <c r="E116" s="152">
        <f t="shared" si="12"/>
        <v>412.93</v>
      </c>
      <c r="G116" s="152">
        <f>$O$4+($D$6*$B$46)-$D$6</f>
        <v>436.41000000000008</v>
      </c>
      <c r="H116" s="152">
        <f t="shared" si="13"/>
        <v>376.73</v>
      </c>
      <c r="J116">
        <f>$M$27-J111</f>
        <v>434.2</v>
      </c>
      <c r="K116">
        <v>411.2</v>
      </c>
      <c r="N116" t="str">
        <f>IF(OR(A116='DropDown Lists'!$E$4,A116='DropDown Lists'!$E$5),B116,"0")</f>
        <v>0</v>
      </c>
    </row>
    <row r="117" spans="1:14" x14ac:dyDescent="0.25">
      <c r="A117" s="2">
        <f>$H$37</f>
        <v>0</v>
      </c>
      <c r="B117" s="2">
        <v>77</v>
      </c>
      <c r="C117" s="12" t="s">
        <v>126</v>
      </c>
      <c r="D117" s="152">
        <f t="shared" si="11"/>
        <v>523.01</v>
      </c>
      <c r="E117" s="152">
        <f t="shared" si="12"/>
        <v>412.93</v>
      </c>
      <c r="G117" s="152">
        <f>$O$4+($D$6*$B$47)-$D$6</f>
        <v>523.31000000000006</v>
      </c>
      <c r="H117" s="152">
        <f t="shared" si="13"/>
        <v>376.73</v>
      </c>
      <c r="J117">
        <f>$M$28-J111</f>
        <v>521.1</v>
      </c>
      <c r="K117">
        <v>411.2</v>
      </c>
      <c r="N117" t="str">
        <f>IF(OR(A117='DropDown Lists'!$E$4,A117='DropDown Lists'!$E$5),B117,"0")</f>
        <v>0</v>
      </c>
    </row>
    <row r="118" spans="1:14" x14ac:dyDescent="0.25">
      <c r="A118" s="2">
        <f>$B$38</f>
        <v>0</v>
      </c>
      <c r="B118" s="2">
        <v>78</v>
      </c>
      <c r="C118" s="12" t="s">
        <v>127</v>
      </c>
      <c r="D118" s="152">
        <f>J118+$O$4</f>
        <v>1.5099999999999998</v>
      </c>
      <c r="E118" s="152">
        <f t="shared" si="12"/>
        <v>449.53000000000003</v>
      </c>
      <c r="G118" s="152">
        <f>$O$4+($D$6*$B$41)-$D$6</f>
        <v>1.9099999999999966</v>
      </c>
      <c r="H118" s="152">
        <f t="shared" ref="H118:H124" si="14">$P$4+($E$7*$B$52)-$E$7+($E$8*3)</f>
        <v>450.73</v>
      </c>
      <c r="J118">
        <v>-0.4</v>
      </c>
      <c r="K118">
        <v>447.8</v>
      </c>
      <c r="N118" t="str">
        <f>IF(OR(A118='DropDown Lists'!$E$4,A118='DropDown Lists'!$E$5),B118,"0")</f>
        <v>0</v>
      </c>
    </row>
    <row r="119" spans="1:14" x14ac:dyDescent="0.25">
      <c r="A119" s="2">
        <f>$C$38</f>
        <v>0</v>
      </c>
      <c r="B119" s="2">
        <v>79</v>
      </c>
      <c r="C119" s="12" t="s">
        <v>128</v>
      </c>
      <c r="D119" s="152">
        <f t="shared" si="11"/>
        <v>89.51</v>
      </c>
      <c r="E119" s="152">
        <f t="shared" si="12"/>
        <v>449.53000000000003</v>
      </c>
      <c r="G119" s="152">
        <f>$O$4+($D$6*$B$42)-$D$6</f>
        <v>88.81</v>
      </c>
      <c r="H119" s="152">
        <f t="shared" si="14"/>
        <v>450.73</v>
      </c>
      <c r="J119">
        <f>$M$23-J118</f>
        <v>87.600000000000009</v>
      </c>
      <c r="K119">
        <v>447.8</v>
      </c>
      <c r="N119" t="str">
        <f>IF(OR(A119='DropDown Lists'!$E$4,A119='DropDown Lists'!$E$5),B119,"0")</f>
        <v>0</v>
      </c>
    </row>
    <row r="120" spans="1:14" x14ac:dyDescent="0.25">
      <c r="A120" s="2">
        <f>$D$38</f>
        <v>0</v>
      </c>
      <c r="B120" s="2">
        <v>80</v>
      </c>
      <c r="C120" s="12" t="s">
        <v>129</v>
      </c>
      <c r="D120" s="152">
        <f t="shared" si="11"/>
        <v>176.11</v>
      </c>
      <c r="E120" s="152">
        <f t="shared" si="12"/>
        <v>449.53000000000003</v>
      </c>
      <c r="G120" s="152">
        <f>$O$4+($D$6*$B$43)-$D$6</f>
        <v>175.71000000000006</v>
      </c>
      <c r="H120" s="152">
        <f t="shared" si="14"/>
        <v>450.73</v>
      </c>
      <c r="J120">
        <f>$M$24-J118</f>
        <v>174.20000000000002</v>
      </c>
      <c r="K120">
        <v>447.8</v>
      </c>
      <c r="N120" t="str">
        <f>IF(OR(A120='DropDown Lists'!$E$4,A120='DropDown Lists'!$E$5),B120,"0")</f>
        <v>0</v>
      </c>
    </row>
    <row r="121" spans="1:14" x14ac:dyDescent="0.25">
      <c r="A121" s="2">
        <f>$E$38</f>
        <v>0</v>
      </c>
      <c r="B121" s="2">
        <v>81</v>
      </c>
      <c r="C121" s="12" t="s">
        <v>130</v>
      </c>
      <c r="D121" s="152">
        <f t="shared" si="11"/>
        <v>263.11</v>
      </c>
      <c r="E121" s="152">
        <f t="shared" si="12"/>
        <v>449.53000000000003</v>
      </c>
      <c r="G121" s="152">
        <f>$O$4+($D$6*$B$44)-$D$6</f>
        <v>262.61</v>
      </c>
      <c r="H121" s="152">
        <f t="shared" si="14"/>
        <v>450.73</v>
      </c>
      <c r="J121">
        <f>$M$25-J118</f>
        <v>261.2</v>
      </c>
      <c r="K121">
        <v>447.8</v>
      </c>
      <c r="N121" t="str">
        <f>IF(OR(A121='DropDown Lists'!$E$4,A121='DropDown Lists'!$E$5),B121,"0")</f>
        <v>0</v>
      </c>
    </row>
    <row r="122" spans="1:14" x14ac:dyDescent="0.25">
      <c r="A122" s="2">
        <f>$F$38</f>
        <v>0</v>
      </c>
      <c r="B122" s="2">
        <v>82</v>
      </c>
      <c r="C122" s="12" t="s">
        <v>131</v>
      </c>
      <c r="D122" s="152">
        <f t="shared" si="11"/>
        <v>349.51</v>
      </c>
      <c r="E122" s="152">
        <f t="shared" si="12"/>
        <v>449.53000000000003</v>
      </c>
      <c r="G122" s="152">
        <f>$O$4+($D$6*$B$45)-$D$6</f>
        <v>349.51</v>
      </c>
      <c r="H122" s="152">
        <f t="shared" si="14"/>
        <v>450.73</v>
      </c>
      <c r="J122">
        <f>$M$26-J118</f>
        <v>347.59999999999997</v>
      </c>
      <c r="K122">
        <v>447.8</v>
      </c>
      <c r="N122" t="str">
        <f>IF(OR(A122='DropDown Lists'!$E$4,A122='DropDown Lists'!$E$5),B122,"0")</f>
        <v>0</v>
      </c>
    </row>
    <row r="123" spans="1:14" x14ac:dyDescent="0.25">
      <c r="A123" s="2">
        <f>$G$38</f>
        <v>0</v>
      </c>
      <c r="B123" s="2">
        <v>83</v>
      </c>
      <c r="C123" s="12" t="s">
        <v>132</v>
      </c>
      <c r="D123" s="152">
        <f t="shared" si="11"/>
        <v>436.11</v>
      </c>
      <c r="E123" s="152">
        <f t="shared" si="12"/>
        <v>449.53000000000003</v>
      </c>
      <c r="G123" s="152">
        <f>$O$4+($D$6*$B$46)-$D$6</f>
        <v>436.41000000000008</v>
      </c>
      <c r="H123" s="152">
        <f t="shared" si="14"/>
        <v>450.73</v>
      </c>
      <c r="J123">
        <f>$M$27-J118</f>
        <v>434.2</v>
      </c>
      <c r="K123">
        <v>447.8</v>
      </c>
      <c r="N123" t="str">
        <f>IF(OR(A123='DropDown Lists'!$E$4,A123='DropDown Lists'!$E$5),B123,"0")</f>
        <v>0</v>
      </c>
    </row>
    <row r="124" spans="1:14" x14ac:dyDescent="0.25">
      <c r="A124" s="2">
        <f>$H$38</f>
        <v>0</v>
      </c>
      <c r="B124" s="2">
        <v>84</v>
      </c>
      <c r="C124" s="12" t="s">
        <v>133</v>
      </c>
      <c r="D124" s="152">
        <f t="shared" si="11"/>
        <v>523.01</v>
      </c>
      <c r="E124" s="152">
        <f t="shared" si="12"/>
        <v>449.53000000000003</v>
      </c>
      <c r="G124" s="152">
        <f>$O$4+($D$6*$B$47)-$D$6</f>
        <v>523.31000000000006</v>
      </c>
      <c r="H124" s="152">
        <f t="shared" si="14"/>
        <v>450.73</v>
      </c>
      <c r="J124">
        <f>$M$28-J118</f>
        <v>521.1</v>
      </c>
      <c r="K124">
        <v>447.8</v>
      </c>
      <c r="N124" t="str">
        <f>IF(OR(A124='DropDown Lists'!$E$4,A124='DropDown Lists'!$E$5),B124,"0")</f>
        <v>0</v>
      </c>
    </row>
  </sheetData>
  <customSheetViews>
    <customSheetView guid="{84F0FDFB-72A1-4214-8B2B-A048953E297B}">
      <selection activeCell="P5" sqref="P5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85"/>
  <sheetViews>
    <sheetView workbookViewId="0">
      <selection activeCell="F2" sqref="F2"/>
    </sheetView>
  </sheetViews>
  <sheetFormatPr defaultRowHeight="15" x14ac:dyDescent="0.25"/>
  <cols>
    <col min="1" max="1" width="12.85546875" style="2" customWidth="1"/>
    <col min="2" max="2" width="16.28515625" style="2" customWidth="1"/>
    <col min="3" max="3" width="9.140625" style="2"/>
    <col min="4" max="5" width="10.42578125" style="2" bestFit="1" customWidth="1"/>
    <col min="6" max="10" width="9.140625" style="2"/>
    <col min="11" max="11" width="10" style="2" bestFit="1" customWidth="1"/>
    <col min="12" max="12" width="10.42578125" style="2" bestFit="1" customWidth="1"/>
    <col min="13" max="13" width="10.42578125" style="2" customWidth="1"/>
    <col min="14" max="14" width="12.7109375" style="2" bestFit="1" customWidth="1"/>
    <col min="15" max="15" width="11.5703125" style="2" bestFit="1" customWidth="1"/>
    <col min="16" max="16" width="11.42578125" style="2" bestFit="1" customWidth="1"/>
    <col min="17" max="17" width="14.85546875" style="163" bestFit="1" customWidth="1"/>
    <col min="18" max="18" width="18.85546875" bestFit="1" customWidth="1"/>
    <col min="20" max="20" width="23.28515625" bestFit="1" customWidth="1"/>
    <col min="22" max="22" width="34.5703125" bestFit="1" customWidth="1"/>
    <col min="24" max="24" width="25.140625" bestFit="1" customWidth="1"/>
  </cols>
  <sheetData>
    <row r="1" spans="1:24" x14ac:dyDescent="0.25">
      <c r="A1" s="13" t="str">
        <f>'Slide Measurements'!B40</f>
        <v>Base Number</v>
      </c>
      <c r="B1" s="13" t="str">
        <f>'Slide Measurements'!C40</f>
        <v>Base Designation</v>
      </c>
      <c r="C1" s="13" t="str">
        <f>'Slide Measurements'!A40</f>
        <v>Type</v>
      </c>
      <c r="D1" s="13" t="str">
        <f>'Slide Measurements'!D40</f>
        <v>BaseHoleX</v>
      </c>
      <c r="E1" s="13" t="str">
        <f>'Slide Measurements'!E40</f>
        <v>BaseHoleY</v>
      </c>
      <c r="F1" s="13" t="s">
        <v>188</v>
      </c>
      <c r="G1" s="13" t="s">
        <v>189</v>
      </c>
      <c r="H1" s="13" t="s">
        <v>190</v>
      </c>
      <c r="I1" s="13" t="s">
        <v>191</v>
      </c>
      <c r="J1" s="13" t="s">
        <v>196</v>
      </c>
      <c r="K1" s="13" t="s">
        <v>277</v>
      </c>
      <c r="L1" s="13" t="s">
        <v>167</v>
      </c>
      <c r="M1" s="13" t="s">
        <v>328</v>
      </c>
      <c r="N1" s="13" t="s">
        <v>368</v>
      </c>
      <c r="O1" s="13" t="s">
        <v>369</v>
      </c>
      <c r="P1" s="13" t="s">
        <v>370</v>
      </c>
      <c r="Q1" s="13" t="s">
        <v>371</v>
      </c>
      <c r="R1" s="15" t="s">
        <v>199</v>
      </c>
      <c r="T1" s="13" t="s">
        <v>200</v>
      </c>
      <c r="U1" s="13"/>
      <c r="V1" s="13" t="s">
        <v>201</v>
      </c>
      <c r="W1" s="13"/>
      <c r="X1" s="13" t="s">
        <v>202</v>
      </c>
    </row>
    <row r="2" spans="1:24" x14ac:dyDescent="0.25">
      <c r="A2" s="2">
        <f>'Slide Measurements'!B41</f>
        <v>1</v>
      </c>
      <c r="B2" s="2" t="str">
        <f>'Slide Measurements'!C41</f>
        <v>1A</v>
      </c>
      <c r="C2" s="2" t="str">
        <f>'Slide Measurements'!A41</f>
        <v>well</v>
      </c>
      <c r="D2" s="2">
        <f>'Slide Measurements'!D41</f>
        <v>1.91</v>
      </c>
      <c r="E2" s="2">
        <f>'Slide Measurements'!E41</f>
        <v>1.73</v>
      </c>
      <c r="F2" s="2">
        <f>'Program Page'!T$9</f>
        <v>12</v>
      </c>
      <c r="G2" s="2">
        <f>'Program Page'!T$10</f>
        <v>0</v>
      </c>
      <c r="H2" s="2">
        <f>'Program Page'!T$11</f>
        <v>0</v>
      </c>
      <c r="I2" s="2">
        <f>'Program Page'!T$12</f>
        <v>0</v>
      </c>
      <c r="J2" s="2">
        <f>'Program Page'!T$13</f>
        <v>0</v>
      </c>
      <c r="K2" s="2">
        <f>'Program Page'!T$6</f>
        <v>0.7</v>
      </c>
      <c r="L2" s="2">
        <f>'Program Page'!T$5</f>
        <v>1.5</v>
      </c>
      <c r="M2" s="2" t="str">
        <f>'Program Page'!T$17</f>
        <v>full</v>
      </c>
      <c r="N2" s="2">
        <f>'Custom Well'!D$15</f>
        <v>24</v>
      </c>
      <c r="O2" s="2">
        <f>'Custom Well'!D$16</f>
        <v>72</v>
      </c>
      <c r="P2" s="2">
        <f>'Custom Well'!D$17</f>
        <v>0</v>
      </c>
      <c r="Q2" s="163">
        <f>'Custom Well'!D$18</f>
        <v>24</v>
      </c>
      <c r="R2" s="17" t="s">
        <v>6</v>
      </c>
      <c r="T2" s="2">
        <f>COUNTA(R2:R17)</f>
        <v>6</v>
      </c>
      <c r="U2" s="2"/>
      <c r="V2" s="2">
        <v>2</v>
      </c>
      <c r="W2" s="2"/>
      <c r="X2" s="2">
        <f>T2+V2</f>
        <v>8</v>
      </c>
    </row>
    <row r="3" spans="1:24" x14ac:dyDescent="0.25">
      <c r="A3" s="2">
        <f>'Slide Measurements'!B42</f>
        <v>2</v>
      </c>
      <c r="B3" s="2" t="str">
        <f>'Slide Measurements'!C42</f>
        <v>1B</v>
      </c>
      <c r="C3" s="2" t="str">
        <f>'Slide Measurements'!A42</f>
        <v>Box</v>
      </c>
      <c r="D3" s="2">
        <f>'Slide Measurements'!D42</f>
        <v>89.11</v>
      </c>
      <c r="E3" s="2">
        <f>'Slide Measurements'!E42</f>
        <v>1.73</v>
      </c>
      <c r="F3" s="2">
        <f>'Program Page'!U$9</f>
        <v>12</v>
      </c>
      <c r="G3" s="2">
        <f>'Program Page'!U$10</f>
        <v>0</v>
      </c>
      <c r="H3" s="2">
        <f>'Program Page'!U$11</f>
        <v>0</v>
      </c>
      <c r="I3" s="2">
        <f>'Program Page'!U$12</f>
        <v>0</v>
      </c>
      <c r="J3" s="2">
        <f>'Program Page'!U$13</f>
        <v>0</v>
      </c>
      <c r="K3" s="2">
        <f>'Program Page'!U$6</f>
        <v>0.7</v>
      </c>
      <c r="L3" s="2">
        <f>'Program Page'!U$5</f>
        <v>1.5</v>
      </c>
      <c r="M3" s="2">
        <f>'Program Page'!U$17</f>
        <v>1</v>
      </c>
      <c r="N3" s="2" t="str">
        <f>'Custom Well'!E$15</f>
        <v/>
      </c>
      <c r="O3" s="2" t="str">
        <f>'Custom Well'!E$16</f>
        <v/>
      </c>
      <c r="P3" s="2" t="str">
        <f>'Custom Well'!E$17</f>
        <v/>
      </c>
      <c r="Q3" s="163" t="str">
        <f>'Custom Well'!E$18</f>
        <v/>
      </c>
      <c r="R3" s="16" t="s">
        <v>188</v>
      </c>
    </row>
    <row r="4" spans="1:24" x14ac:dyDescent="0.25">
      <c r="A4" s="2">
        <f>'Slide Measurements'!B43</f>
        <v>3</v>
      </c>
      <c r="B4" s="2" t="str">
        <f>'Slide Measurements'!C43</f>
        <v>1C</v>
      </c>
      <c r="C4" s="2" t="str">
        <f>'Slide Measurements'!A43</f>
        <v>box</v>
      </c>
      <c r="D4" s="2">
        <f>'Slide Measurements'!D43</f>
        <v>175.71</v>
      </c>
      <c r="E4" s="2">
        <f>'Slide Measurements'!E43</f>
        <v>1.73</v>
      </c>
      <c r="F4" s="2">
        <f>'Program Page'!V$9</f>
        <v>12</v>
      </c>
      <c r="G4" s="2">
        <f>'Program Page'!V$10</f>
        <v>12</v>
      </c>
      <c r="H4" s="2">
        <f>'Program Page'!V$11</f>
        <v>0</v>
      </c>
      <c r="I4" s="2">
        <f>'Program Page'!V$12</f>
        <v>0</v>
      </c>
      <c r="J4" s="2">
        <f>'Program Page'!V$13</f>
        <v>0</v>
      </c>
      <c r="K4" s="2">
        <f>'Program Page'!V$6</f>
        <v>0.7</v>
      </c>
      <c r="L4" s="2">
        <f>'Program Page'!V$5</f>
        <v>1.5</v>
      </c>
      <c r="M4" s="2">
        <f>'Program Page'!V$17</f>
        <v>2</v>
      </c>
      <c r="N4" s="2" t="str">
        <f>'Custom Well'!F$15</f>
        <v/>
      </c>
      <c r="O4" s="2" t="str">
        <f>'Custom Well'!F$16</f>
        <v/>
      </c>
      <c r="P4" s="2" t="str">
        <f>'Custom Well'!F$17</f>
        <v/>
      </c>
      <c r="Q4" s="163" t="str">
        <f>'Custom Well'!F$18</f>
        <v/>
      </c>
      <c r="R4" s="16" t="s">
        <v>189</v>
      </c>
    </row>
    <row r="5" spans="1:24" x14ac:dyDescent="0.25">
      <c r="A5" s="2">
        <f>'Slide Measurements'!B44</f>
        <v>4</v>
      </c>
      <c r="B5" s="2" t="str">
        <f>'Slide Measurements'!C44</f>
        <v>1D</v>
      </c>
      <c r="C5" s="2" t="str">
        <f>'Slide Measurements'!A44</f>
        <v>box</v>
      </c>
      <c r="D5" s="2">
        <f>'Slide Measurements'!D44</f>
        <v>262.71000000000004</v>
      </c>
      <c r="E5" s="2">
        <f>'Slide Measurements'!E44</f>
        <v>1.73</v>
      </c>
      <c r="F5" s="2">
        <f>'Program Page'!W$9</f>
        <v>12</v>
      </c>
      <c r="G5" s="2">
        <f>'Program Page'!W$10</f>
        <v>12</v>
      </c>
      <c r="H5" s="2">
        <f>'Program Page'!W$11</f>
        <v>12</v>
      </c>
      <c r="I5" s="2">
        <f>'Program Page'!W$12</f>
        <v>0</v>
      </c>
      <c r="J5" s="2">
        <f>'Program Page'!W$13</f>
        <v>0</v>
      </c>
      <c r="K5" s="2">
        <f>'Program Page'!W$6</f>
        <v>0.7</v>
      </c>
      <c r="L5" s="2">
        <f>'Program Page'!W$5</f>
        <v>1.5</v>
      </c>
      <c r="M5" s="2">
        <f>'Program Page'!W$17</f>
        <v>3</v>
      </c>
      <c r="N5" s="2" t="str">
        <f>'Custom Well'!G$15</f>
        <v/>
      </c>
      <c r="O5" s="2" t="str">
        <f>'Custom Well'!G$16</f>
        <v/>
      </c>
      <c r="P5" s="2" t="str">
        <f>'Custom Well'!G$17</f>
        <v/>
      </c>
      <c r="Q5" s="163" t="str">
        <f>'Custom Well'!G$18</f>
        <v/>
      </c>
      <c r="R5" s="16" t="s">
        <v>190</v>
      </c>
    </row>
    <row r="6" spans="1:24" x14ac:dyDescent="0.25">
      <c r="A6" s="2">
        <f>'Slide Measurements'!B45</f>
        <v>5</v>
      </c>
      <c r="B6" s="2" t="str">
        <f>'Slide Measurements'!C45</f>
        <v>1E</v>
      </c>
      <c r="C6" s="2" t="str">
        <f>'Slide Measurements'!A45</f>
        <v>box</v>
      </c>
      <c r="D6" s="2">
        <f>'Slide Measurements'!D45</f>
        <v>349.11</v>
      </c>
      <c r="E6" s="2">
        <f>'Slide Measurements'!E45</f>
        <v>1.73</v>
      </c>
      <c r="F6" s="20">
        <f>'Program Page'!X$9</f>
        <v>12</v>
      </c>
      <c r="G6" s="20">
        <f>'Program Page'!X$10</f>
        <v>12</v>
      </c>
      <c r="H6" s="20">
        <f>'Program Page'!X$11</f>
        <v>12</v>
      </c>
      <c r="I6" s="20">
        <f>'Program Page'!X$12</f>
        <v>12</v>
      </c>
      <c r="J6" s="20">
        <f>'Program Page'!X$13</f>
        <v>12</v>
      </c>
      <c r="K6" s="2">
        <f>'Program Page'!X$6</f>
        <v>0.7</v>
      </c>
      <c r="L6" s="2">
        <f>'Program Page'!X$5</f>
        <v>1.5</v>
      </c>
      <c r="M6" s="2">
        <f>'Program Page'!X$17</f>
        <v>4</v>
      </c>
      <c r="N6" s="2" t="str">
        <f>'Custom Well'!H$15</f>
        <v/>
      </c>
      <c r="O6" s="2" t="str">
        <f>'Custom Well'!H$16</f>
        <v/>
      </c>
      <c r="P6" s="2" t="str">
        <f>'Custom Well'!H$17</f>
        <v/>
      </c>
      <c r="Q6" s="163" t="str">
        <f>'Custom Well'!H$18</f>
        <v/>
      </c>
      <c r="R6" s="16" t="s">
        <v>191</v>
      </c>
    </row>
    <row r="7" spans="1:24" x14ac:dyDescent="0.25">
      <c r="A7" s="2">
        <f>'Slide Measurements'!B46</f>
        <v>6</v>
      </c>
      <c r="B7" s="2" t="str">
        <f>'Slide Measurements'!C46</f>
        <v>1F</v>
      </c>
      <c r="C7" s="2">
        <f>'Slide Measurements'!A46</f>
        <v>0</v>
      </c>
      <c r="D7" s="2">
        <f>'Slide Measurements'!D46</f>
        <v>435.71000000000004</v>
      </c>
      <c r="E7" s="2">
        <f>'Slide Measurements'!E46</f>
        <v>1.73</v>
      </c>
      <c r="F7" s="20">
        <f>'Program Page'!Y$9</f>
        <v>0</v>
      </c>
      <c r="G7" s="20">
        <f>'Program Page'!Y$10</f>
        <v>0</v>
      </c>
      <c r="H7" s="20">
        <f>'Program Page'!Y$11</f>
        <v>0</v>
      </c>
      <c r="I7" s="20">
        <f>'Program Page'!Y$12</f>
        <v>0</v>
      </c>
      <c r="J7" s="20">
        <f>'Program Page'!Y$13</f>
        <v>0</v>
      </c>
      <c r="K7" s="2" t="str">
        <f>'Program Page'!Y$6</f>
        <v/>
      </c>
      <c r="L7" s="2" t="str">
        <f>'Program Page'!Y$5</f>
        <v/>
      </c>
      <c r="M7" s="2">
        <f>'Program Page'!Y$17</f>
        <v>0</v>
      </c>
      <c r="N7" s="2" t="str">
        <f>'Custom Well'!I$15</f>
        <v/>
      </c>
      <c r="O7" s="2" t="str">
        <f>'Custom Well'!I$16</f>
        <v/>
      </c>
      <c r="P7" s="2" t="str">
        <f>'Custom Well'!I$17</f>
        <v/>
      </c>
      <c r="Q7" s="163" t="str">
        <f>'Custom Well'!I$18</f>
        <v/>
      </c>
      <c r="R7" s="16" t="s">
        <v>196</v>
      </c>
    </row>
    <row r="8" spans="1:24" x14ac:dyDescent="0.25">
      <c r="A8" s="2">
        <f>'Slide Measurements'!B47</f>
        <v>7</v>
      </c>
      <c r="B8" s="2" t="str">
        <f>'Slide Measurements'!C47</f>
        <v>1G</v>
      </c>
      <c r="C8" s="2">
        <f>'Slide Measurements'!A47</f>
        <v>0</v>
      </c>
      <c r="D8" s="2">
        <f>'Slide Measurements'!D47</f>
        <v>522.61</v>
      </c>
      <c r="E8" s="2">
        <f>'Slide Measurements'!E47</f>
        <v>1.73</v>
      </c>
      <c r="F8" s="20">
        <f>'Program Page'!Z$9</f>
        <v>0</v>
      </c>
      <c r="G8" s="20">
        <f>'Program Page'!Z$10</f>
        <v>0</v>
      </c>
      <c r="H8" s="20">
        <f>'Program Page'!Z$11</f>
        <v>0</v>
      </c>
      <c r="I8" s="20">
        <f>'Program Page'!Z$12</f>
        <v>0</v>
      </c>
      <c r="J8" s="20">
        <f>'Program Page'!Z$13</f>
        <v>0</v>
      </c>
      <c r="K8" s="2" t="str">
        <f>'Program Page'!Z$6</f>
        <v/>
      </c>
      <c r="L8" s="2" t="str">
        <f>'Program Page'!Z$5</f>
        <v/>
      </c>
      <c r="M8" s="2">
        <f>'Program Page'!Z$17</f>
        <v>0</v>
      </c>
      <c r="N8" s="2" t="str">
        <f>'Custom Well'!J$15</f>
        <v/>
      </c>
      <c r="O8" s="2" t="str">
        <f>'Custom Well'!J$16</f>
        <v/>
      </c>
      <c r="P8" s="2" t="str">
        <f>'Custom Well'!J$17</f>
        <v/>
      </c>
      <c r="Q8" s="163" t="str">
        <f>'Custom Well'!J$18</f>
        <v/>
      </c>
      <c r="R8" s="16"/>
    </row>
    <row r="9" spans="1:24" x14ac:dyDescent="0.25">
      <c r="A9" s="2">
        <f>'Slide Measurements'!B48</f>
        <v>8</v>
      </c>
      <c r="B9" s="2" t="str">
        <f>'Slide Measurements'!C48</f>
        <v>2A</v>
      </c>
      <c r="C9" s="2">
        <f>'Slide Measurements'!A48</f>
        <v>0</v>
      </c>
      <c r="D9" s="2">
        <f>'Slide Measurements'!D48</f>
        <v>1.91</v>
      </c>
      <c r="E9" s="2">
        <f>'Slide Measurements'!E48</f>
        <v>38.229999999999997</v>
      </c>
      <c r="F9" s="20">
        <f>'Program Page'!AA$9</f>
        <v>0</v>
      </c>
      <c r="G9" s="20">
        <f>'Program Page'!AA$10</f>
        <v>0</v>
      </c>
      <c r="H9" s="20">
        <f>'Program Page'!AA$11</f>
        <v>0</v>
      </c>
      <c r="I9" s="20">
        <f>'Program Page'!AA$12</f>
        <v>0</v>
      </c>
      <c r="J9" s="20">
        <f>'Program Page'!AA$13</f>
        <v>0</v>
      </c>
      <c r="K9" s="2" t="str">
        <f>'Program Page'!AA$6</f>
        <v/>
      </c>
      <c r="L9" s="2" t="str">
        <f>'Program Page'!AA$5</f>
        <v/>
      </c>
      <c r="M9" s="2">
        <f>'Program Page'!AA$17</f>
        <v>0</v>
      </c>
      <c r="N9" s="2" t="str">
        <f>'Custom Well'!K$15</f>
        <v/>
      </c>
      <c r="O9" s="2" t="str">
        <f>'Custom Well'!K$16</f>
        <v/>
      </c>
      <c r="P9" s="2" t="str">
        <f>'Custom Well'!K$17</f>
        <v/>
      </c>
      <c r="Q9" s="163" t="str">
        <f>'Custom Well'!K$18</f>
        <v/>
      </c>
      <c r="R9" s="16"/>
    </row>
    <row r="10" spans="1:24" x14ac:dyDescent="0.25">
      <c r="A10" s="2">
        <f>'Slide Measurements'!B49</f>
        <v>9</v>
      </c>
      <c r="B10" s="2" t="str">
        <f>'Slide Measurements'!C49</f>
        <v>2B</v>
      </c>
      <c r="C10" s="2">
        <f>'Slide Measurements'!A49</f>
        <v>0</v>
      </c>
      <c r="D10" s="2">
        <f>'Slide Measurements'!D49</f>
        <v>89.11</v>
      </c>
      <c r="E10" s="2">
        <f>'Slide Measurements'!E49</f>
        <v>38.229999999999997</v>
      </c>
      <c r="F10" s="20">
        <f>'Program Page'!AB$9</f>
        <v>0</v>
      </c>
      <c r="G10" s="20">
        <f>'Program Page'!AB$10</f>
        <v>0</v>
      </c>
      <c r="H10" s="20">
        <f>'Program Page'!AB$11</f>
        <v>0</v>
      </c>
      <c r="I10" s="20">
        <f>'Program Page'!AB$12</f>
        <v>0</v>
      </c>
      <c r="J10" s="20">
        <f>'Program Page'!AB$13</f>
        <v>0</v>
      </c>
      <c r="K10" s="2" t="str">
        <f>'Program Page'!AB$6</f>
        <v/>
      </c>
      <c r="L10" s="2" t="str">
        <f>'Program Page'!AB$5</f>
        <v/>
      </c>
      <c r="M10" s="2">
        <f>'Program Page'!AB$17</f>
        <v>0</v>
      </c>
      <c r="N10" s="2" t="str">
        <f>'Custom Well'!L$15</f>
        <v/>
      </c>
      <c r="O10" s="2" t="str">
        <f>'Custom Well'!L$16</f>
        <v/>
      </c>
      <c r="P10" s="2" t="str">
        <f>'Custom Well'!L$17</f>
        <v/>
      </c>
      <c r="Q10" s="163" t="str">
        <f>'Custom Well'!L$18</f>
        <v/>
      </c>
      <c r="R10" s="18"/>
    </row>
    <row r="11" spans="1:24" x14ac:dyDescent="0.25">
      <c r="A11" s="2">
        <f>'Slide Measurements'!B50</f>
        <v>10</v>
      </c>
      <c r="B11" s="2" t="str">
        <f>'Slide Measurements'!C50</f>
        <v>2C</v>
      </c>
      <c r="C11" s="2">
        <f>'Slide Measurements'!A50</f>
        <v>0</v>
      </c>
      <c r="D11" s="2">
        <f>'Slide Measurements'!D50</f>
        <v>175.71</v>
      </c>
      <c r="E11" s="2">
        <f>'Slide Measurements'!E50</f>
        <v>38.229999999999997</v>
      </c>
      <c r="F11" s="20">
        <f>'Program Page'!AC$9</f>
        <v>0</v>
      </c>
      <c r="G11" s="20">
        <f>'Program Page'!AC$10</f>
        <v>0</v>
      </c>
      <c r="H11" s="20">
        <f>'Program Page'!AC$11</f>
        <v>0</v>
      </c>
      <c r="I11" s="20">
        <f>'Program Page'!AC$12</f>
        <v>0</v>
      </c>
      <c r="J11" s="20">
        <f>'Program Page'!AC$13</f>
        <v>0</v>
      </c>
      <c r="K11" s="2" t="str">
        <f>'Program Page'!AC$6</f>
        <v/>
      </c>
      <c r="L11" s="2" t="str">
        <f>'Program Page'!AC$5</f>
        <v/>
      </c>
      <c r="M11" s="2">
        <f>'Program Page'!AC$17</f>
        <v>0</v>
      </c>
      <c r="N11" s="2" t="str">
        <f>'Custom Well'!M$15</f>
        <v/>
      </c>
      <c r="O11" s="2" t="str">
        <f>'Custom Well'!M$16</f>
        <v/>
      </c>
      <c r="P11" s="2" t="str">
        <f>'Custom Well'!M$17</f>
        <v/>
      </c>
      <c r="Q11" s="163" t="str">
        <f>'Custom Well'!M$18</f>
        <v/>
      </c>
      <c r="R11" s="18"/>
    </row>
    <row r="12" spans="1:24" x14ac:dyDescent="0.25">
      <c r="A12" s="2">
        <f>'Slide Measurements'!B51</f>
        <v>11</v>
      </c>
      <c r="B12" s="2" t="str">
        <f>'Slide Measurements'!C51</f>
        <v>2D</v>
      </c>
      <c r="C12" s="2">
        <f>'Slide Measurements'!A51</f>
        <v>0</v>
      </c>
      <c r="D12" s="2">
        <f>'Slide Measurements'!D51</f>
        <v>262.71000000000004</v>
      </c>
      <c r="E12" s="2">
        <f>'Slide Measurements'!E51</f>
        <v>38.229999999999997</v>
      </c>
      <c r="F12" s="20">
        <f>'Program Page'!AD$9</f>
        <v>0</v>
      </c>
      <c r="G12" s="20">
        <f>'Program Page'!AD$10</f>
        <v>0</v>
      </c>
      <c r="H12" s="20">
        <f>'Program Page'!AD$11</f>
        <v>0</v>
      </c>
      <c r="I12" s="20">
        <f>'Program Page'!AD$12</f>
        <v>0</v>
      </c>
      <c r="J12" s="20">
        <f>'Program Page'!AD$13</f>
        <v>0</v>
      </c>
      <c r="K12" s="2" t="str">
        <f>'Program Page'!AD$6</f>
        <v/>
      </c>
      <c r="L12" s="2" t="str">
        <f>'Program Page'!AD$5</f>
        <v/>
      </c>
      <c r="M12" s="2">
        <f>'Program Page'!AD$17</f>
        <v>0</v>
      </c>
      <c r="N12" s="2" t="str">
        <f>'Custom Well'!N$15</f>
        <v/>
      </c>
      <c r="O12" s="2" t="str">
        <f>'Custom Well'!N$16</f>
        <v/>
      </c>
      <c r="P12" s="2" t="str">
        <f>'Custom Well'!N$17</f>
        <v/>
      </c>
      <c r="Q12" s="163" t="str">
        <f>'Custom Well'!N$18</f>
        <v/>
      </c>
      <c r="R12" s="18"/>
    </row>
    <row r="13" spans="1:24" x14ac:dyDescent="0.25">
      <c r="A13" s="2">
        <f>'Slide Measurements'!B52</f>
        <v>12</v>
      </c>
      <c r="B13" s="2" t="str">
        <f>'Slide Measurements'!C52</f>
        <v>2E</v>
      </c>
      <c r="C13" s="2">
        <f>'Slide Measurements'!A52</f>
        <v>0</v>
      </c>
      <c r="D13" s="2">
        <f>'Slide Measurements'!D52</f>
        <v>349.11</v>
      </c>
      <c r="E13" s="2">
        <f>'Slide Measurements'!E52</f>
        <v>38.229999999999997</v>
      </c>
      <c r="F13" s="20">
        <f>'Program Page'!AE$9</f>
        <v>0</v>
      </c>
      <c r="G13" s="20">
        <f>'Program Page'!AE$10</f>
        <v>0</v>
      </c>
      <c r="H13" s="20">
        <f>'Program Page'!AE$11</f>
        <v>0</v>
      </c>
      <c r="I13" s="20">
        <f>'Program Page'!AE$12</f>
        <v>0</v>
      </c>
      <c r="J13" s="20">
        <f>'Program Page'!AE$13</f>
        <v>0</v>
      </c>
      <c r="K13" s="2" t="str">
        <f>'Program Page'!AE$6</f>
        <v/>
      </c>
      <c r="L13" s="2" t="str">
        <f>'Program Page'!AE$5</f>
        <v/>
      </c>
      <c r="M13" s="2">
        <f>'Program Page'!AE$17</f>
        <v>0</v>
      </c>
      <c r="N13" s="2" t="str">
        <f>'Custom Well'!O$15</f>
        <v/>
      </c>
      <c r="O13" s="2" t="str">
        <f>'Custom Well'!O$16</f>
        <v/>
      </c>
      <c r="P13" s="2" t="str">
        <f>'Custom Well'!O$17</f>
        <v/>
      </c>
      <c r="Q13" s="163" t="str">
        <f>'Custom Well'!O$18</f>
        <v/>
      </c>
      <c r="R13" s="18"/>
    </row>
    <row r="14" spans="1:24" x14ac:dyDescent="0.25">
      <c r="A14" s="2">
        <f>'Slide Measurements'!B53</f>
        <v>13</v>
      </c>
      <c r="B14" s="2" t="str">
        <f>'Slide Measurements'!C53</f>
        <v>2F</v>
      </c>
      <c r="C14" s="2">
        <f>'Slide Measurements'!A53</f>
        <v>0</v>
      </c>
      <c r="D14" s="2">
        <f>'Slide Measurements'!D53</f>
        <v>435.71000000000004</v>
      </c>
      <c r="E14" s="2">
        <f>'Slide Measurements'!E53</f>
        <v>38.229999999999997</v>
      </c>
      <c r="F14" s="20">
        <f>'Program Page'!AF$9</f>
        <v>0</v>
      </c>
      <c r="G14" s="20">
        <f>'Program Page'!AF$10</f>
        <v>0</v>
      </c>
      <c r="H14" s="20">
        <f>'Program Page'!AF$11</f>
        <v>0</v>
      </c>
      <c r="I14" s="20">
        <f>'Program Page'!AF$12</f>
        <v>0</v>
      </c>
      <c r="J14" s="20">
        <f>'Program Page'!AF$13</f>
        <v>0</v>
      </c>
      <c r="K14" s="2" t="str">
        <f>'Program Page'!AF$6</f>
        <v/>
      </c>
      <c r="L14" s="2" t="str">
        <f>'Program Page'!AF$5</f>
        <v/>
      </c>
      <c r="M14" s="2">
        <f>'Program Page'!AF$17</f>
        <v>0</v>
      </c>
      <c r="N14" s="2" t="str">
        <f>'Custom Well'!P$15</f>
        <v/>
      </c>
      <c r="O14" s="2" t="str">
        <f>'Custom Well'!P$16</f>
        <v/>
      </c>
      <c r="P14" s="2" t="str">
        <f>'Custom Well'!P$17</f>
        <v/>
      </c>
      <c r="Q14" s="163" t="str">
        <f>'Custom Well'!P$18</f>
        <v/>
      </c>
      <c r="R14" s="18"/>
    </row>
    <row r="15" spans="1:24" x14ac:dyDescent="0.25">
      <c r="A15" s="2">
        <f>'Slide Measurements'!B54</f>
        <v>14</v>
      </c>
      <c r="B15" s="2" t="str">
        <f>'Slide Measurements'!C54</f>
        <v>2G</v>
      </c>
      <c r="C15" s="2">
        <f>'Slide Measurements'!A54</f>
        <v>0</v>
      </c>
      <c r="D15" s="2">
        <f>'Slide Measurements'!D54</f>
        <v>522.61</v>
      </c>
      <c r="E15" s="2">
        <f>'Slide Measurements'!E54</f>
        <v>38.229999999999997</v>
      </c>
      <c r="F15" s="20">
        <f>'Program Page'!AG$9</f>
        <v>0</v>
      </c>
      <c r="G15" s="20">
        <f>'Program Page'!AG$10</f>
        <v>0</v>
      </c>
      <c r="H15" s="20">
        <f>'Program Page'!AG$11</f>
        <v>0</v>
      </c>
      <c r="I15" s="20">
        <f>'Program Page'!AG$12</f>
        <v>0</v>
      </c>
      <c r="J15" s="20">
        <f>'Program Page'!AG$13</f>
        <v>0</v>
      </c>
      <c r="K15" s="2" t="str">
        <f>'Program Page'!AG$6</f>
        <v/>
      </c>
      <c r="L15" s="2" t="str">
        <f>'Program Page'!AG$5</f>
        <v/>
      </c>
      <c r="M15" s="2">
        <f>'Program Page'!AG$17</f>
        <v>0</v>
      </c>
      <c r="N15" s="2" t="str">
        <f>'Custom Well'!Q$15</f>
        <v/>
      </c>
      <c r="O15" s="2" t="str">
        <f>'Custom Well'!Q$16</f>
        <v/>
      </c>
      <c r="P15" s="2" t="str">
        <f>'Custom Well'!Q$17</f>
        <v/>
      </c>
      <c r="Q15" s="163" t="str">
        <f>'Custom Well'!Q$18</f>
        <v/>
      </c>
      <c r="R15" s="18"/>
    </row>
    <row r="16" spans="1:24" x14ac:dyDescent="0.25">
      <c r="A16" s="2">
        <f>'Slide Measurements'!B55</f>
        <v>15</v>
      </c>
      <c r="B16" s="2" t="str">
        <f>'Slide Measurements'!C55</f>
        <v>3A</v>
      </c>
      <c r="C16" s="2">
        <f>'Slide Measurements'!A55</f>
        <v>0</v>
      </c>
      <c r="D16" s="2">
        <f>'Slide Measurements'!D55</f>
        <v>1.91</v>
      </c>
      <c r="E16" s="2">
        <f>'Slide Measurements'!E55</f>
        <v>74.72</v>
      </c>
      <c r="F16" s="20">
        <f>'Program Page'!AH$9</f>
        <v>0</v>
      </c>
      <c r="G16" s="20">
        <f>'Program Page'!AH$10</f>
        <v>0</v>
      </c>
      <c r="H16" s="20">
        <f>'Program Page'!AH$11</f>
        <v>0</v>
      </c>
      <c r="I16" s="20">
        <f>'Program Page'!AH$12</f>
        <v>0</v>
      </c>
      <c r="J16" s="20">
        <f>'Program Page'!AH$13</f>
        <v>0</v>
      </c>
      <c r="K16" s="2" t="str">
        <f>'Program Page'!AH$6</f>
        <v/>
      </c>
      <c r="L16" s="2" t="str">
        <f>'Program Page'!AH$5</f>
        <v/>
      </c>
      <c r="M16" s="2">
        <f>'Program Page'!AH$17</f>
        <v>0</v>
      </c>
      <c r="N16" s="2" t="str">
        <f>'Custom Well'!R$15</f>
        <v/>
      </c>
      <c r="O16" s="2" t="str">
        <f>'Custom Well'!R$16</f>
        <v/>
      </c>
      <c r="P16" s="2" t="str">
        <f>'Custom Well'!R$17</f>
        <v/>
      </c>
      <c r="Q16" s="163" t="str">
        <f>'Custom Well'!R$18</f>
        <v/>
      </c>
      <c r="R16" s="18"/>
    </row>
    <row r="17" spans="1:18" x14ac:dyDescent="0.25">
      <c r="A17" s="2">
        <f>'Slide Measurements'!B56</f>
        <v>16</v>
      </c>
      <c r="B17" s="2" t="str">
        <f>'Slide Measurements'!C56</f>
        <v>3B</v>
      </c>
      <c r="C17" s="2">
        <f>'Slide Measurements'!A56</f>
        <v>0</v>
      </c>
      <c r="D17" s="2">
        <f>'Slide Measurements'!D56</f>
        <v>89.11</v>
      </c>
      <c r="E17" s="2">
        <f>'Slide Measurements'!E56</f>
        <v>74.72</v>
      </c>
      <c r="F17" s="20">
        <f>'Program Page'!AI$9</f>
        <v>0</v>
      </c>
      <c r="G17" s="20">
        <f>'Program Page'!AI$10</f>
        <v>0</v>
      </c>
      <c r="H17" s="20">
        <f>'Program Page'!AI$11</f>
        <v>0</v>
      </c>
      <c r="I17" s="20">
        <f>'Program Page'!AI$12</f>
        <v>0</v>
      </c>
      <c r="J17" s="20">
        <f>'Program Page'!AI$13</f>
        <v>0</v>
      </c>
      <c r="K17" s="2" t="str">
        <f>'Program Page'!AI$6</f>
        <v/>
      </c>
      <c r="L17" s="2" t="str">
        <f>'Program Page'!AI$5</f>
        <v/>
      </c>
      <c r="M17" s="2">
        <f>'Program Page'!AI$17</f>
        <v>0</v>
      </c>
      <c r="N17" s="2" t="str">
        <f>'Custom Well'!S$15</f>
        <v/>
      </c>
      <c r="O17" s="2" t="str">
        <f>'Custom Well'!S$16</f>
        <v/>
      </c>
      <c r="P17" s="2" t="str">
        <f>'Custom Well'!S$17</f>
        <v/>
      </c>
      <c r="Q17" s="163" t="str">
        <f>'Custom Well'!S$18</f>
        <v/>
      </c>
      <c r="R17" s="19"/>
    </row>
    <row r="18" spans="1:18" x14ac:dyDescent="0.25">
      <c r="A18" s="2">
        <f>'Slide Measurements'!B57</f>
        <v>17</v>
      </c>
      <c r="B18" s="2" t="str">
        <f>'Slide Measurements'!C57</f>
        <v>3C</v>
      </c>
      <c r="C18" s="2">
        <f>'Slide Measurements'!A57</f>
        <v>0</v>
      </c>
      <c r="D18" s="2">
        <f>'Slide Measurements'!D57</f>
        <v>175.71</v>
      </c>
      <c r="E18" s="2">
        <f>'Slide Measurements'!E57</f>
        <v>74.72</v>
      </c>
      <c r="F18" s="20">
        <f>'Program Page'!AJ$9</f>
        <v>0</v>
      </c>
      <c r="G18" s="20">
        <f>'Program Page'!AJ$10</f>
        <v>0</v>
      </c>
      <c r="H18" s="20">
        <f>'Program Page'!AJ$11</f>
        <v>0</v>
      </c>
      <c r="I18" s="20">
        <f>'Program Page'!AJ$12</f>
        <v>0</v>
      </c>
      <c r="J18" s="20">
        <f>'Program Page'!AJ$13</f>
        <v>0</v>
      </c>
      <c r="K18" s="2" t="str">
        <f>'Program Page'!AJ$6</f>
        <v/>
      </c>
      <c r="L18" s="2" t="str">
        <f>'Program Page'!AJ$5</f>
        <v/>
      </c>
      <c r="M18" s="2">
        <f>'Program Page'!AJ$17</f>
        <v>0</v>
      </c>
      <c r="N18" s="2" t="str">
        <f>'Custom Well'!T$15</f>
        <v/>
      </c>
      <c r="O18" s="2" t="str">
        <f>'Custom Well'!T$16</f>
        <v/>
      </c>
      <c r="P18" s="2" t="str">
        <f>'Custom Well'!T$17</f>
        <v/>
      </c>
      <c r="Q18" s="163" t="str">
        <f>'Custom Well'!T$18</f>
        <v/>
      </c>
    </row>
    <row r="19" spans="1:18" x14ac:dyDescent="0.25">
      <c r="A19" s="2">
        <f>'Slide Measurements'!B58</f>
        <v>18</v>
      </c>
      <c r="B19" s="2" t="str">
        <f>'Slide Measurements'!C58</f>
        <v>3D</v>
      </c>
      <c r="C19" s="2">
        <f>'Slide Measurements'!A58</f>
        <v>0</v>
      </c>
      <c r="D19" s="2">
        <f>'Slide Measurements'!D58</f>
        <v>262.71000000000004</v>
      </c>
      <c r="E19" s="2">
        <f>'Slide Measurements'!E58</f>
        <v>74.72</v>
      </c>
      <c r="F19" s="20">
        <f>'Program Page'!AK$9</f>
        <v>0</v>
      </c>
      <c r="G19" s="20">
        <f>'Program Page'!AK$10</f>
        <v>0</v>
      </c>
      <c r="H19" s="20">
        <f>'Program Page'!AK$11</f>
        <v>0</v>
      </c>
      <c r="I19" s="20">
        <f>'Program Page'!AK$12</f>
        <v>0</v>
      </c>
      <c r="J19" s="20">
        <f>'Program Page'!AK$13</f>
        <v>0</v>
      </c>
      <c r="K19" s="2" t="str">
        <f>'Program Page'!AK$6</f>
        <v/>
      </c>
      <c r="L19" s="2" t="str">
        <f>'Program Page'!AK$5</f>
        <v/>
      </c>
      <c r="M19" s="2">
        <f>'Program Page'!AK$17</f>
        <v>0</v>
      </c>
      <c r="N19" s="2" t="str">
        <f>'Custom Well'!U$15</f>
        <v/>
      </c>
      <c r="O19" s="2" t="str">
        <f>'Custom Well'!U$16</f>
        <v/>
      </c>
      <c r="P19" s="2" t="str">
        <f>'Custom Well'!U$17</f>
        <v/>
      </c>
      <c r="Q19" s="163" t="str">
        <f>'Custom Well'!U$18</f>
        <v/>
      </c>
    </row>
    <row r="20" spans="1:18" x14ac:dyDescent="0.25">
      <c r="A20" s="2">
        <f>'Slide Measurements'!B59</f>
        <v>19</v>
      </c>
      <c r="B20" s="2" t="str">
        <f>'Slide Measurements'!C59</f>
        <v>3E</v>
      </c>
      <c r="C20" s="2">
        <f>'Slide Measurements'!A59</f>
        <v>0</v>
      </c>
      <c r="D20" s="2">
        <f>'Slide Measurements'!D59</f>
        <v>349.11</v>
      </c>
      <c r="E20" s="2">
        <f>'Slide Measurements'!E59</f>
        <v>74.72</v>
      </c>
      <c r="F20" s="20">
        <f>'Program Page'!AL$9</f>
        <v>0</v>
      </c>
      <c r="G20" s="20">
        <f>'Program Page'!AL$10</f>
        <v>0</v>
      </c>
      <c r="H20" s="20">
        <f>'Program Page'!AL$11</f>
        <v>0</v>
      </c>
      <c r="I20" s="20">
        <f>'Program Page'!AL$12</f>
        <v>0</v>
      </c>
      <c r="J20" s="20">
        <f>'Program Page'!AL$13</f>
        <v>0</v>
      </c>
      <c r="K20" s="2" t="str">
        <f>'Program Page'!AL$6</f>
        <v/>
      </c>
      <c r="L20" s="2" t="str">
        <f>'Program Page'!AL$5</f>
        <v/>
      </c>
      <c r="M20" s="2">
        <f>'Program Page'!AL$17</f>
        <v>0</v>
      </c>
      <c r="N20" s="2" t="str">
        <f>'Custom Well'!V$15</f>
        <v/>
      </c>
      <c r="O20" s="2" t="str">
        <f>'Custom Well'!V$16</f>
        <v/>
      </c>
      <c r="P20" s="2" t="str">
        <f>'Custom Well'!V$17</f>
        <v/>
      </c>
      <c r="Q20" s="163" t="str">
        <f>'Custom Well'!V$18</f>
        <v/>
      </c>
    </row>
    <row r="21" spans="1:18" x14ac:dyDescent="0.25">
      <c r="A21" s="2">
        <f>'Slide Measurements'!B60</f>
        <v>20</v>
      </c>
      <c r="B21" s="2" t="str">
        <f>'Slide Measurements'!C60</f>
        <v>3F</v>
      </c>
      <c r="C21" s="2">
        <f>'Slide Measurements'!A60</f>
        <v>0</v>
      </c>
      <c r="D21" s="2">
        <f>'Slide Measurements'!D60</f>
        <v>435.71000000000004</v>
      </c>
      <c r="E21" s="2">
        <f>'Slide Measurements'!E60</f>
        <v>74.72</v>
      </c>
      <c r="F21" s="20">
        <f>'Program Page'!AM$9</f>
        <v>0</v>
      </c>
      <c r="G21" s="20">
        <f>'Program Page'!AM$10</f>
        <v>0</v>
      </c>
      <c r="H21" s="20">
        <f>'Program Page'!AM$11</f>
        <v>0</v>
      </c>
      <c r="I21" s="20">
        <f>'Program Page'!AM$12</f>
        <v>0</v>
      </c>
      <c r="J21" s="20">
        <f>'Program Page'!AM$13</f>
        <v>0</v>
      </c>
      <c r="K21" s="2" t="str">
        <f>'Program Page'!AM$6</f>
        <v/>
      </c>
      <c r="L21" s="2" t="str">
        <f>'Program Page'!AM$5</f>
        <v/>
      </c>
      <c r="M21" s="2">
        <f>'Program Page'!AM$17</f>
        <v>0</v>
      </c>
      <c r="N21" s="2" t="str">
        <f>'Custom Well'!W$15</f>
        <v/>
      </c>
      <c r="O21" s="2" t="str">
        <f>'Custom Well'!W$16</f>
        <v/>
      </c>
      <c r="P21" s="2" t="str">
        <f>'Custom Well'!W$17</f>
        <v/>
      </c>
      <c r="Q21" s="163" t="str">
        <f>'Custom Well'!W$18</f>
        <v/>
      </c>
    </row>
    <row r="22" spans="1:18" x14ac:dyDescent="0.25">
      <c r="A22" s="2">
        <f>'Slide Measurements'!B61</f>
        <v>21</v>
      </c>
      <c r="B22" s="2" t="str">
        <f>'Slide Measurements'!C61</f>
        <v>3G</v>
      </c>
      <c r="C22" s="2">
        <f>'Slide Measurements'!A61</f>
        <v>0</v>
      </c>
      <c r="D22" s="2">
        <f>'Slide Measurements'!D61</f>
        <v>522.61</v>
      </c>
      <c r="E22" s="2">
        <f>'Slide Measurements'!E61</f>
        <v>74.72</v>
      </c>
      <c r="F22" s="20">
        <f>'Program Page'!AN$9</f>
        <v>0</v>
      </c>
      <c r="G22" s="20">
        <f>'Program Page'!AN$10</f>
        <v>0</v>
      </c>
      <c r="H22" s="20">
        <f>'Program Page'!AN$11</f>
        <v>0</v>
      </c>
      <c r="I22" s="20">
        <f>'Program Page'!AN$12</f>
        <v>0</v>
      </c>
      <c r="J22" s="20">
        <f>'Program Page'!AN$13</f>
        <v>0</v>
      </c>
      <c r="K22" s="2" t="str">
        <f>'Program Page'!AN$6</f>
        <v/>
      </c>
      <c r="L22" s="2" t="str">
        <f>'Program Page'!AN$5</f>
        <v/>
      </c>
      <c r="M22" s="2">
        <f>'Program Page'!AN$17</f>
        <v>0</v>
      </c>
      <c r="N22" s="2" t="str">
        <f>'Custom Well'!X$15</f>
        <v/>
      </c>
      <c r="O22" s="2" t="str">
        <f>'Custom Well'!X$16</f>
        <v/>
      </c>
      <c r="P22" s="2" t="str">
        <f>'Custom Well'!X$17</f>
        <v/>
      </c>
      <c r="Q22" s="163" t="str">
        <f>'Custom Well'!X$18</f>
        <v/>
      </c>
    </row>
    <row r="23" spans="1:18" x14ac:dyDescent="0.25">
      <c r="A23" s="2">
        <f>'Slide Measurements'!B62</f>
        <v>22</v>
      </c>
      <c r="B23" s="2" t="str">
        <f>'Slide Measurements'!C62</f>
        <v>4A</v>
      </c>
      <c r="C23" s="2">
        <f>'Slide Measurements'!A62</f>
        <v>0</v>
      </c>
      <c r="D23" s="2">
        <f>'Slide Measurements'!D62</f>
        <v>1.5099999999999998</v>
      </c>
      <c r="E23" s="2">
        <f>'Slide Measurements'!E62</f>
        <v>126.24000000000001</v>
      </c>
      <c r="F23" s="20">
        <f>'Program Page'!AO$9</f>
        <v>0</v>
      </c>
      <c r="G23" s="20">
        <f>'Program Page'!AO$10</f>
        <v>0</v>
      </c>
      <c r="H23" s="20">
        <f>'Program Page'!AO$11</f>
        <v>0</v>
      </c>
      <c r="I23" s="20">
        <f>'Program Page'!AO$12</f>
        <v>0</v>
      </c>
      <c r="J23" s="20">
        <f>'Program Page'!AO$13</f>
        <v>0</v>
      </c>
      <c r="K23" s="2" t="str">
        <f>'Program Page'!AO$6</f>
        <v/>
      </c>
      <c r="L23" s="2" t="str">
        <f>'Program Page'!AO$5</f>
        <v/>
      </c>
      <c r="M23" s="2">
        <f>'Program Page'!AO$17</f>
        <v>0</v>
      </c>
      <c r="N23" s="2" t="str">
        <f>'Custom Well'!Y$15</f>
        <v/>
      </c>
      <c r="O23" s="2" t="str">
        <f>'Custom Well'!Y$16</f>
        <v/>
      </c>
      <c r="P23" s="2" t="str">
        <f>'Custom Well'!Y$17</f>
        <v/>
      </c>
      <c r="Q23" s="163" t="str">
        <f>'Custom Well'!Y$18</f>
        <v/>
      </c>
    </row>
    <row r="24" spans="1:18" x14ac:dyDescent="0.25">
      <c r="A24" s="2">
        <f>'Slide Measurements'!B63</f>
        <v>23</v>
      </c>
      <c r="B24" s="2" t="str">
        <f>'Slide Measurements'!C63</f>
        <v>4B</v>
      </c>
      <c r="C24" s="2">
        <f>'Slide Measurements'!A63</f>
        <v>0</v>
      </c>
      <c r="D24" s="2">
        <f>'Slide Measurements'!D63</f>
        <v>89.51</v>
      </c>
      <c r="E24" s="2">
        <f>'Slide Measurements'!E63</f>
        <v>126.24000000000001</v>
      </c>
      <c r="F24" s="20">
        <f>'Program Page'!AP$9</f>
        <v>0</v>
      </c>
      <c r="G24" s="20">
        <f>'Program Page'!AP$10</f>
        <v>0</v>
      </c>
      <c r="H24" s="20">
        <f>'Program Page'!AP$11</f>
        <v>0</v>
      </c>
      <c r="I24" s="20">
        <f>'Program Page'!AP$12</f>
        <v>0</v>
      </c>
      <c r="J24" s="20">
        <f>'Program Page'!AP$13</f>
        <v>0</v>
      </c>
      <c r="K24" s="2" t="str">
        <f>'Program Page'!AP$6</f>
        <v/>
      </c>
      <c r="L24" s="2" t="str">
        <f>'Program Page'!AP$5</f>
        <v/>
      </c>
      <c r="M24" s="2">
        <f>'Program Page'!AP$17</f>
        <v>0</v>
      </c>
      <c r="N24" s="2" t="str">
        <f>'Custom Well'!Z$15</f>
        <v/>
      </c>
      <c r="O24" s="2" t="str">
        <f>'Custom Well'!Z$16</f>
        <v/>
      </c>
      <c r="P24" s="2" t="str">
        <f>'Custom Well'!Z$17</f>
        <v/>
      </c>
      <c r="Q24" s="163" t="str">
        <f>'Custom Well'!Z$18</f>
        <v/>
      </c>
    </row>
    <row r="25" spans="1:18" x14ac:dyDescent="0.25">
      <c r="A25" s="2">
        <f>'Slide Measurements'!B64</f>
        <v>24</v>
      </c>
      <c r="B25" s="2" t="str">
        <f>'Slide Measurements'!C64</f>
        <v>4C</v>
      </c>
      <c r="C25" s="2">
        <f>'Slide Measurements'!A64</f>
        <v>0</v>
      </c>
      <c r="D25" s="2">
        <f>'Slide Measurements'!D64</f>
        <v>176.11</v>
      </c>
      <c r="E25" s="2">
        <f>'Slide Measurements'!E64</f>
        <v>126.24000000000001</v>
      </c>
      <c r="F25" s="20">
        <f>'Program Page'!AQ$9</f>
        <v>0</v>
      </c>
      <c r="G25" s="20">
        <f>'Program Page'!AQ$10</f>
        <v>0</v>
      </c>
      <c r="H25" s="20">
        <f>'Program Page'!AQ$11</f>
        <v>0</v>
      </c>
      <c r="I25" s="20">
        <f>'Program Page'!AQ$12</f>
        <v>0</v>
      </c>
      <c r="J25" s="20">
        <f>'Program Page'!AQ$13</f>
        <v>0</v>
      </c>
      <c r="K25" s="2" t="str">
        <f>'Program Page'!AQ$6</f>
        <v/>
      </c>
      <c r="L25" s="2" t="str">
        <f>'Program Page'!AQ$5</f>
        <v/>
      </c>
      <c r="M25" s="2">
        <f>'Program Page'!AQ$17</f>
        <v>0</v>
      </c>
      <c r="N25" s="2" t="str">
        <f>'Custom Well'!AA$15</f>
        <v/>
      </c>
      <c r="O25" s="2" t="str">
        <f>'Custom Well'!AA$16</f>
        <v/>
      </c>
      <c r="P25" s="2" t="str">
        <f>'Custom Well'!AA$17</f>
        <v/>
      </c>
      <c r="Q25" s="163" t="str">
        <f>'Custom Well'!AA$18</f>
        <v/>
      </c>
    </row>
    <row r="26" spans="1:18" x14ac:dyDescent="0.25">
      <c r="A26" s="2">
        <f>'Slide Measurements'!B65</f>
        <v>25</v>
      </c>
      <c r="B26" s="2" t="str">
        <f>'Slide Measurements'!C65</f>
        <v>4D</v>
      </c>
      <c r="C26" s="2">
        <f>'Slide Measurements'!A65</f>
        <v>0</v>
      </c>
      <c r="D26" s="2">
        <f>'Slide Measurements'!D65</f>
        <v>263.11</v>
      </c>
      <c r="E26" s="2">
        <f>'Slide Measurements'!E65</f>
        <v>126.24000000000001</v>
      </c>
      <c r="F26" s="20">
        <f>'Program Page'!AR$9</f>
        <v>0</v>
      </c>
      <c r="G26" s="20">
        <f>'Program Page'!AR$10</f>
        <v>0</v>
      </c>
      <c r="H26" s="20">
        <f>'Program Page'!AR$11</f>
        <v>0</v>
      </c>
      <c r="I26" s="20">
        <f>'Program Page'!AR$12</f>
        <v>0</v>
      </c>
      <c r="J26" s="20">
        <f>'Program Page'!AR$13</f>
        <v>0</v>
      </c>
      <c r="K26" s="2" t="str">
        <f>'Program Page'!AR$6</f>
        <v/>
      </c>
      <c r="L26" s="2" t="str">
        <f>'Program Page'!AR$5</f>
        <v/>
      </c>
      <c r="M26" s="2">
        <f>'Program Page'!AR$17</f>
        <v>0</v>
      </c>
      <c r="N26" s="2" t="str">
        <f>'Custom Well'!AB$15</f>
        <v/>
      </c>
      <c r="O26" s="2" t="str">
        <f>'Custom Well'!AB$16</f>
        <v/>
      </c>
      <c r="P26" s="2" t="str">
        <f>'Custom Well'!AB$17</f>
        <v/>
      </c>
      <c r="Q26" s="163" t="str">
        <f>'Custom Well'!AB$18</f>
        <v/>
      </c>
    </row>
    <row r="27" spans="1:18" x14ac:dyDescent="0.25">
      <c r="A27" s="2">
        <f>'Slide Measurements'!B66</f>
        <v>26</v>
      </c>
      <c r="B27" s="2" t="str">
        <f>'Slide Measurements'!C66</f>
        <v>4E</v>
      </c>
      <c r="C27" s="2">
        <f>'Slide Measurements'!A66</f>
        <v>0</v>
      </c>
      <c r="D27" s="2">
        <f>'Slide Measurements'!D66</f>
        <v>349.51</v>
      </c>
      <c r="E27" s="2">
        <f>'Slide Measurements'!E66</f>
        <v>126.24000000000001</v>
      </c>
      <c r="F27" s="20">
        <f>'Program Page'!AS$9</f>
        <v>0</v>
      </c>
      <c r="G27" s="20">
        <f>'Program Page'!AS$10</f>
        <v>0</v>
      </c>
      <c r="H27" s="20">
        <f>'Program Page'!AS$11</f>
        <v>0</v>
      </c>
      <c r="I27" s="20">
        <f>'Program Page'!AS$12</f>
        <v>0</v>
      </c>
      <c r="J27" s="20">
        <f>'Program Page'!AS$13</f>
        <v>0</v>
      </c>
      <c r="K27" s="2" t="str">
        <f>'Program Page'!AS$6</f>
        <v/>
      </c>
      <c r="L27" s="2" t="str">
        <f>'Program Page'!AS$5</f>
        <v/>
      </c>
      <c r="M27" s="2">
        <f>'Program Page'!AS$17</f>
        <v>0</v>
      </c>
      <c r="N27" s="2" t="str">
        <f>'Custom Well'!AC$15</f>
        <v/>
      </c>
      <c r="O27" s="2" t="str">
        <f>'Custom Well'!AC$16</f>
        <v/>
      </c>
      <c r="P27" s="2" t="str">
        <f>'Custom Well'!AC$17</f>
        <v/>
      </c>
      <c r="Q27" s="163" t="str">
        <f>'Custom Well'!AC$18</f>
        <v/>
      </c>
    </row>
    <row r="28" spans="1:18" x14ac:dyDescent="0.25">
      <c r="A28" s="2">
        <f>'Slide Measurements'!B67</f>
        <v>27</v>
      </c>
      <c r="B28" s="2" t="str">
        <f>'Slide Measurements'!C67</f>
        <v>4F</v>
      </c>
      <c r="C28" s="2">
        <f>'Slide Measurements'!A67</f>
        <v>0</v>
      </c>
      <c r="D28" s="2">
        <f>'Slide Measurements'!D67</f>
        <v>436.11</v>
      </c>
      <c r="E28" s="2">
        <f>'Slide Measurements'!E67</f>
        <v>126.24000000000001</v>
      </c>
      <c r="F28" s="20">
        <f>'Program Page'!AT$9</f>
        <v>0</v>
      </c>
      <c r="G28" s="20">
        <f>'Program Page'!AT$10</f>
        <v>0</v>
      </c>
      <c r="H28" s="20">
        <f>'Program Page'!AT$11</f>
        <v>0</v>
      </c>
      <c r="I28" s="20">
        <f>'Program Page'!AT$12</f>
        <v>0</v>
      </c>
      <c r="J28" s="20">
        <f>'Program Page'!AT$13</f>
        <v>0</v>
      </c>
      <c r="K28" s="2" t="str">
        <f>'Program Page'!AT$6</f>
        <v/>
      </c>
      <c r="L28" s="2" t="str">
        <f>'Program Page'!AT$5</f>
        <v/>
      </c>
      <c r="M28" s="2">
        <f>'Program Page'!AT$17</f>
        <v>0</v>
      </c>
      <c r="N28" s="2" t="str">
        <f>'Custom Well'!AD$15</f>
        <v/>
      </c>
      <c r="O28" s="2" t="str">
        <f>'Custom Well'!AD$16</f>
        <v/>
      </c>
      <c r="P28" s="2" t="str">
        <f>'Custom Well'!AD$17</f>
        <v/>
      </c>
      <c r="Q28" s="163" t="str">
        <f>'Custom Well'!AD$18</f>
        <v/>
      </c>
    </row>
    <row r="29" spans="1:18" x14ac:dyDescent="0.25">
      <c r="A29" s="2">
        <f>'Slide Measurements'!B68</f>
        <v>28</v>
      </c>
      <c r="B29" s="2" t="str">
        <f>'Slide Measurements'!C68</f>
        <v>4G</v>
      </c>
      <c r="C29" s="2">
        <f>'Slide Measurements'!A68</f>
        <v>0</v>
      </c>
      <c r="D29" s="2">
        <f>'Slide Measurements'!D68</f>
        <v>523.01</v>
      </c>
      <c r="E29" s="2">
        <f>'Slide Measurements'!E68</f>
        <v>126.24000000000001</v>
      </c>
      <c r="F29" s="20">
        <f>'Program Page'!AU$9</f>
        <v>0</v>
      </c>
      <c r="G29" s="20">
        <f>'Program Page'!AU$10</f>
        <v>0</v>
      </c>
      <c r="H29" s="20">
        <f>'Program Page'!AU$11</f>
        <v>0</v>
      </c>
      <c r="I29" s="20">
        <f>'Program Page'!AU$12</f>
        <v>0</v>
      </c>
      <c r="J29" s="20">
        <f>'Program Page'!AU$13</f>
        <v>0</v>
      </c>
      <c r="K29" s="2" t="str">
        <f>'Program Page'!AU$6</f>
        <v/>
      </c>
      <c r="L29" s="2" t="str">
        <f>'Program Page'!AU$5</f>
        <v/>
      </c>
      <c r="M29" s="2">
        <f>'Program Page'!AU$17</f>
        <v>0</v>
      </c>
      <c r="N29" s="2" t="str">
        <f>'Custom Well'!AE$15</f>
        <v/>
      </c>
      <c r="O29" s="2" t="str">
        <f>'Custom Well'!AE$16</f>
        <v/>
      </c>
      <c r="P29" s="2" t="str">
        <f>'Custom Well'!AE$17</f>
        <v/>
      </c>
      <c r="Q29" s="163" t="str">
        <f>'Custom Well'!AE$18</f>
        <v/>
      </c>
    </row>
    <row r="30" spans="1:18" x14ac:dyDescent="0.25">
      <c r="A30" s="2">
        <f>'Slide Measurements'!B69</f>
        <v>29</v>
      </c>
      <c r="B30" s="2" t="str">
        <f>'Slide Measurements'!C69</f>
        <v>5A</v>
      </c>
      <c r="C30" s="2">
        <f>'Slide Measurements'!A69</f>
        <v>0</v>
      </c>
      <c r="D30" s="2">
        <f>'Slide Measurements'!D69</f>
        <v>1.5099999999999998</v>
      </c>
      <c r="E30" s="2">
        <f>'Slide Measurements'!E69</f>
        <v>162.92999999999998</v>
      </c>
      <c r="F30" s="20">
        <f>'Program Page'!AV$9</f>
        <v>0</v>
      </c>
      <c r="G30" s="20">
        <f>'Program Page'!AV$10</f>
        <v>0</v>
      </c>
      <c r="H30" s="20">
        <f>'Program Page'!AV$11</f>
        <v>0</v>
      </c>
      <c r="I30" s="20">
        <f>'Program Page'!AV$12</f>
        <v>0</v>
      </c>
      <c r="J30" s="20">
        <f>'Program Page'!AV$13</f>
        <v>0</v>
      </c>
      <c r="K30" s="2" t="str">
        <f>'Program Page'!AV$6</f>
        <v/>
      </c>
      <c r="L30" s="2" t="str">
        <f>'Program Page'!AV$5</f>
        <v/>
      </c>
      <c r="M30" s="2">
        <f>'Program Page'!AV$17</f>
        <v>0</v>
      </c>
      <c r="N30" s="2" t="str">
        <f>'Custom Well'!AF$15</f>
        <v/>
      </c>
      <c r="O30" s="2" t="str">
        <f>'Custom Well'!AF$16</f>
        <v/>
      </c>
      <c r="P30" s="2" t="str">
        <f>'Custom Well'!AF$17</f>
        <v/>
      </c>
      <c r="Q30" s="163" t="str">
        <f>'Custom Well'!AF$18</f>
        <v/>
      </c>
    </row>
    <row r="31" spans="1:18" x14ac:dyDescent="0.25">
      <c r="A31" s="2">
        <f>'Slide Measurements'!B70</f>
        <v>30</v>
      </c>
      <c r="B31" s="2" t="str">
        <f>'Slide Measurements'!C70</f>
        <v>5B</v>
      </c>
      <c r="C31" s="2">
        <f>'Slide Measurements'!A70</f>
        <v>0</v>
      </c>
      <c r="D31" s="2">
        <f>'Slide Measurements'!D70</f>
        <v>89.51</v>
      </c>
      <c r="E31" s="2">
        <f>'Slide Measurements'!E70</f>
        <v>162.92999999999998</v>
      </c>
      <c r="F31" s="20">
        <f>'Program Page'!AW$9</f>
        <v>0</v>
      </c>
      <c r="G31" s="20">
        <f>'Program Page'!AW$10</f>
        <v>0</v>
      </c>
      <c r="H31" s="20">
        <f>'Program Page'!AW$11</f>
        <v>0</v>
      </c>
      <c r="I31" s="20">
        <f>'Program Page'!AW$12</f>
        <v>0</v>
      </c>
      <c r="J31" s="20">
        <f>'Program Page'!AW$13</f>
        <v>0</v>
      </c>
      <c r="K31" s="2" t="str">
        <f>'Program Page'!AW$6</f>
        <v/>
      </c>
      <c r="L31" s="2" t="str">
        <f>'Program Page'!AW$5</f>
        <v/>
      </c>
      <c r="M31" s="2">
        <f>'Program Page'!AW$17</f>
        <v>0</v>
      </c>
      <c r="N31" s="2" t="str">
        <f>'Custom Well'!AG$15</f>
        <v/>
      </c>
      <c r="O31" s="2" t="str">
        <f>'Custom Well'!AG$16</f>
        <v/>
      </c>
      <c r="P31" s="2" t="str">
        <f>'Custom Well'!AG$17</f>
        <v/>
      </c>
      <c r="Q31" s="163" t="str">
        <f>'Custom Well'!AG$18</f>
        <v/>
      </c>
    </row>
    <row r="32" spans="1:18" x14ac:dyDescent="0.25">
      <c r="A32" s="2">
        <f>'Slide Measurements'!B71</f>
        <v>31</v>
      </c>
      <c r="B32" s="2" t="str">
        <f>'Slide Measurements'!C71</f>
        <v>5C</v>
      </c>
      <c r="C32" s="2">
        <f>'Slide Measurements'!A71</f>
        <v>0</v>
      </c>
      <c r="D32" s="2">
        <f>'Slide Measurements'!D71</f>
        <v>176.11</v>
      </c>
      <c r="E32" s="2">
        <f>'Slide Measurements'!E71</f>
        <v>162.92999999999998</v>
      </c>
      <c r="F32" s="20">
        <f>'Program Page'!AX$9</f>
        <v>0</v>
      </c>
      <c r="G32" s="20">
        <f>'Program Page'!AX$10</f>
        <v>0</v>
      </c>
      <c r="H32" s="20">
        <f>'Program Page'!AX$11</f>
        <v>0</v>
      </c>
      <c r="I32" s="20">
        <f>'Program Page'!AX$12</f>
        <v>0</v>
      </c>
      <c r="J32" s="20">
        <f>'Program Page'!AX$13</f>
        <v>0</v>
      </c>
      <c r="K32" s="2" t="str">
        <f>'Program Page'!AX$6</f>
        <v/>
      </c>
      <c r="L32" s="2" t="str">
        <f>'Program Page'!AX$5</f>
        <v/>
      </c>
      <c r="M32" s="2">
        <f>'Program Page'!AX$17</f>
        <v>0</v>
      </c>
      <c r="N32" s="2" t="str">
        <f>'Custom Well'!AH$15</f>
        <v/>
      </c>
      <c r="O32" s="2" t="str">
        <f>'Custom Well'!AH$16</f>
        <v/>
      </c>
      <c r="P32" s="2" t="str">
        <f>'Custom Well'!AH$17</f>
        <v/>
      </c>
      <c r="Q32" s="163" t="str">
        <f>'Custom Well'!AH$18</f>
        <v/>
      </c>
    </row>
    <row r="33" spans="1:17" x14ac:dyDescent="0.25">
      <c r="A33" s="2">
        <f>'Slide Measurements'!B72</f>
        <v>32</v>
      </c>
      <c r="B33" s="2" t="str">
        <f>'Slide Measurements'!C72</f>
        <v>5D</v>
      </c>
      <c r="C33" s="2">
        <f>'Slide Measurements'!A72</f>
        <v>0</v>
      </c>
      <c r="D33" s="2">
        <f>'Slide Measurements'!D72</f>
        <v>263.11</v>
      </c>
      <c r="E33" s="2">
        <f>'Slide Measurements'!E72</f>
        <v>162.92999999999998</v>
      </c>
      <c r="F33" s="20">
        <f>'Program Page'!AY$9</f>
        <v>0</v>
      </c>
      <c r="G33" s="20">
        <f>'Program Page'!AY$10</f>
        <v>0</v>
      </c>
      <c r="H33" s="20">
        <f>'Program Page'!AY$11</f>
        <v>0</v>
      </c>
      <c r="I33" s="20">
        <f>'Program Page'!AY$12</f>
        <v>0</v>
      </c>
      <c r="J33" s="20">
        <f>'Program Page'!AY$13</f>
        <v>0</v>
      </c>
      <c r="K33" s="2" t="str">
        <f>'Program Page'!AY$6</f>
        <v/>
      </c>
      <c r="L33" s="2" t="str">
        <f>'Program Page'!AY$5</f>
        <v/>
      </c>
      <c r="M33" s="2">
        <f>'Program Page'!AY$17</f>
        <v>0</v>
      </c>
      <c r="N33" s="2" t="str">
        <f>'Custom Well'!AI$15</f>
        <v/>
      </c>
      <c r="O33" s="2" t="str">
        <f>'Custom Well'!AI$16</f>
        <v/>
      </c>
      <c r="P33" s="2" t="str">
        <f>'Custom Well'!AI$17</f>
        <v/>
      </c>
      <c r="Q33" s="163" t="str">
        <f>'Custom Well'!AI$18</f>
        <v/>
      </c>
    </row>
    <row r="34" spans="1:17" x14ac:dyDescent="0.25">
      <c r="A34" s="2">
        <f>'Slide Measurements'!B73</f>
        <v>33</v>
      </c>
      <c r="B34" s="2" t="str">
        <f>'Slide Measurements'!C73</f>
        <v>5E</v>
      </c>
      <c r="C34" s="2">
        <f>'Slide Measurements'!A73</f>
        <v>0</v>
      </c>
      <c r="D34" s="2">
        <f>'Slide Measurements'!D73</f>
        <v>349.51</v>
      </c>
      <c r="E34" s="2">
        <f>'Slide Measurements'!E73</f>
        <v>162.92999999999998</v>
      </c>
      <c r="F34" s="20">
        <f>'Program Page'!AZ$9</f>
        <v>0</v>
      </c>
      <c r="G34" s="20">
        <f>'Program Page'!AZ$10</f>
        <v>0</v>
      </c>
      <c r="H34" s="20">
        <f>'Program Page'!AZ$11</f>
        <v>0</v>
      </c>
      <c r="I34" s="20">
        <f>'Program Page'!AZ$12</f>
        <v>0</v>
      </c>
      <c r="J34" s="20">
        <f>'Program Page'!AZ$13</f>
        <v>0</v>
      </c>
      <c r="K34" s="2" t="str">
        <f>'Program Page'!AZ$6</f>
        <v/>
      </c>
      <c r="L34" s="2" t="str">
        <f>'Program Page'!AZ$5</f>
        <v/>
      </c>
      <c r="M34" s="2">
        <f>'Program Page'!AZ$17</f>
        <v>0</v>
      </c>
      <c r="N34" s="2" t="str">
        <f>'Custom Well'!AJ$15</f>
        <v/>
      </c>
      <c r="O34" s="2" t="str">
        <f>'Custom Well'!AJ$16</f>
        <v/>
      </c>
      <c r="P34" s="2" t="str">
        <f>'Custom Well'!AJ$17</f>
        <v/>
      </c>
      <c r="Q34" s="163" t="str">
        <f>'Custom Well'!AJ$18</f>
        <v/>
      </c>
    </row>
    <row r="35" spans="1:17" x14ac:dyDescent="0.25">
      <c r="A35" s="2">
        <f>'Slide Measurements'!B74</f>
        <v>34</v>
      </c>
      <c r="B35" s="2" t="str">
        <f>'Slide Measurements'!C74</f>
        <v>5F</v>
      </c>
      <c r="C35" s="2">
        <f>'Slide Measurements'!A74</f>
        <v>0</v>
      </c>
      <c r="D35" s="2">
        <f>'Slide Measurements'!D74</f>
        <v>436.11</v>
      </c>
      <c r="E35" s="2">
        <f>'Slide Measurements'!E74</f>
        <v>162.92999999999998</v>
      </c>
      <c r="F35" s="20">
        <f>'Program Page'!BA$9</f>
        <v>0</v>
      </c>
      <c r="G35" s="20">
        <f>'Program Page'!BA$10</f>
        <v>0</v>
      </c>
      <c r="H35" s="20">
        <f>'Program Page'!BA$11</f>
        <v>0</v>
      </c>
      <c r="I35" s="20">
        <f>'Program Page'!BA$12</f>
        <v>0</v>
      </c>
      <c r="J35" s="20">
        <f>'Program Page'!BA$13</f>
        <v>0</v>
      </c>
      <c r="K35" s="2" t="str">
        <f>'Program Page'!BA$6</f>
        <v/>
      </c>
      <c r="L35" s="2" t="str">
        <f>'Program Page'!BA$5</f>
        <v/>
      </c>
      <c r="M35" s="2">
        <f>'Program Page'!BA$17</f>
        <v>0</v>
      </c>
      <c r="N35" s="2" t="str">
        <f>'Custom Well'!AK$15</f>
        <v/>
      </c>
      <c r="O35" s="2" t="str">
        <f>'Custom Well'!AK$16</f>
        <v/>
      </c>
      <c r="P35" s="2" t="str">
        <f>'Custom Well'!AK$17</f>
        <v/>
      </c>
      <c r="Q35" s="163" t="str">
        <f>'Custom Well'!AK$18</f>
        <v/>
      </c>
    </row>
    <row r="36" spans="1:17" x14ac:dyDescent="0.25">
      <c r="A36" s="2">
        <f>'Slide Measurements'!B75</f>
        <v>35</v>
      </c>
      <c r="B36" s="2" t="str">
        <f>'Slide Measurements'!C75</f>
        <v>5G</v>
      </c>
      <c r="C36" s="2">
        <f>'Slide Measurements'!A75</f>
        <v>0</v>
      </c>
      <c r="D36" s="2">
        <f>'Slide Measurements'!D75</f>
        <v>523.01</v>
      </c>
      <c r="E36" s="2">
        <f>'Slide Measurements'!E75</f>
        <v>162.92999999999998</v>
      </c>
      <c r="F36" s="20">
        <f>'Program Page'!BB$9</f>
        <v>0</v>
      </c>
      <c r="G36" s="20">
        <f>'Program Page'!BB$10</f>
        <v>0</v>
      </c>
      <c r="H36" s="20">
        <f>'Program Page'!BB$11</f>
        <v>0</v>
      </c>
      <c r="I36" s="20">
        <f>'Program Page'!BB$12</f>
        <v>0</v>
      </c>
      <c r="J36" s="20">
        <f>'Program Page'!BB$13</f>
        <v>0</v>
      </c>
      <c r="K36" s="2" t="str">
        <f>'Program Page'!BB$6</f>
        <v/>
      </c>
      <c r="L36" s="2" t="str">
        <f>'Program Page'!BB$5</f>
        <v/>
      </c>
      <c r="M36" s="2">
        <f>'Program Page'!BB$17</f>
        <v>0</v>
      </c>
      <c r="N36" s="2" t="str">
        <f>'Custom Well'!AL$15</f>
        <v/>
      </c>
      <c r="O36" s="2" t="str">
        <f>'Custom Well'!AL$16</f>
        <v/>
      </c>
      <c r="P36" s="2" t="str">
        <f>'Custom Well'!AL$17</f>
        <v/>
      </c>
      <c r="Q36" s="163" t="str">
        <f>'Custom Well'!AL$18</f>
        <v/>
      </c>
    </row>
    <row r="37" spans="1:17" x14ac:dyDescent="0.25">
      <c r="A37" s="2">
        <f>'Slide Measurements'!B76</f>
        <v>36</v>
      </c>
      <c r="B37" s="2" t="str">
        <f>'Slide Measurements'!C76</f>
        <v>6A</v>
      </c>
      <c r="C37" s="2">
        <f>'Slide Measurements'!A76</f>
        <v>0</v>
      </c>
      <c r="D37" s="2">
        <f>'Slide Measurements'!D76</f>
        <v>1.5099999999999998</v>
      </c>
      <c r="E37" s="2">
        <f>'Slide Measurements'!E76</f>
        <v>199.47</v>
      </c>
      <c r="F37" s="20">
        <f>'Program Page'!BC$9</f>
        <v>0</v>
      </c>
      <c r="G37" s="20">
        <f>'Program Page'!BC$10</f>
        <v>0</v>
      </c>
      <c r="H37" s="20">
        <f>'Program Page'!BC$11</f>
        <v>0</v>
      </c>
      <c r="I37" s="20">
        <f>'Program Page'!BC$12</f>
        <v>0</v>
      </c>
      <c r="J37" s="20">
        <f>'Program Page'!BC$13</f>
        <v>0</v>
      </c>
      <c r="K37" s="2" t="str">
        <f>'Program Page'!BC$6</f>
        <v/>
      </c>
      <c r="L37" s="2" t="str">
        <f>'Program Page'!BC$5</f>
        <v/>
      </c>
      <c r="M37" s="2">
        <f>'Program Page'!BC$17</f>
        <v>0</v>
      </c>
      <c r="N37" s="2" t="str">
        <f>'Custom Well'!AM$15</f>
        <v/>
      </c>
      <c r="O37" s="2" t="str">
        <f>'Custom Well'!AM$16</f>
        <v/>
      </c>
      <c r="P37" s="2" t="str">
        <f>'Custom Well'!AM$17</f>
        <v/>
      </c>
      <c r="Q37" s="163" t="str">
        <f>'Custom Well'!AM$18</f>
        <v/>
      </c>
    </row>
    <row r="38" spans="1:17" x14ac:dyDescent="0.25">
      <c r="A38" s="2">
        <f>'Slide Measurements'!B77</f>
        <v>37</v>
      </c>
      <c r="B38" s="2" t="str">
        <f>'Slide Measurements'!C77</f>
        <v>6B</v>
      </c>
      <c r="C38" s="2">
        <f>'Slide Measurements'!A77</f>
        <v>0</v>
      </c>
      <c r="D38" s="2">
        <f>'Slide Measurements'!D77</f>
        <v>89.51</v>
      </c>
      <c r="E38" s="2">
        <f>'Slide Measurements'!E77</f>
        <v>199.47</v>
      </c>
      <c r="F38" s="20">
        <f>'Program Page'!BD$9</f>
        <v>0</v>
      </c>
      <c r="G38" s="20">
        <f>'Program Page'!BD$10</f>
        <v>0</v>
      </c>
      <c r="H38" s="20">
        <f>'Program Page'!BD$11</f>
        <v>0</v>
      </c>
      <c r="I38" s="20">
        <f>'Program Page'!BD$12</f>
        <v>0</v>
      </c>
      <c r="J38" s="20">
        <f>'Program Page'!BD$13</f>
        <v>0</v>
      </c>
      <c r="K38" s="2" t="str">
        <f>'Program Page'!BD$6</f>
        <v/>
      </c>
      <c r="L38" s="2" t="str">
        <f>'Program Page'!BD$5</f>
        <v/>
      </c>
      <c r="M38" s="2">
        <f>'Program Page'!BD$17</f>
        <v>0</v>
      </c>
      <c r="N38" s="2" t="str">
        <f>'Custom Well'!AN$15</f>
        <v/>
      </c>
      <c r="O38" s="2" t="str">
        <f>'Custom Well'!AN$16</f>
        <v/>
      </c>
      <c r="P38" s="2" t="str">
        <f>'Custom Well'!AN$17</f>
        <v/>
      </c>
      <c r="Q38" s="163" t="str">
        <f>'Custom Well'!AN$18</f>
        <v/>
      </c>
    </row>
    <row r="39" spans="1:17" x14ac:dyDescent="0.25">
      <c r="A39" s="2">
        <f>'Slide Measurements'!B78</f>
        <v>38</v>
      </c>
      <c r="B39" s="2" t="str">
        <f>'Slide Measurements'!C78</f>
        <v>6C</v>
      </c>
      <c r="C39" s="2">
        <f>'Slide Measurements'!A78</f>
        <v>0</v>
      </c>
      <c r="D39" s="2">
        <f>'Slide Measurements'!D78</f>
        <v>176.11</v>
      </c>
      <c r="E39" s="2">
        <f>'Slide Measurements'!E78</f>
        <v>199.47</v>
      </c>
      <c r="F39" s="20">
        <f>'Program Page'!BE$9</f>
        <v>0</v>
      </c>
      <c r="G39" s="20">
        <f>'Program Page'!BE$10</f>
        <v>0</v>
      </c>
      <c r="H39" s="20">
        <f>'Program Page'!BE$11</f>
        <v>0</v>
      </c>
      <c r="I39" s="20">
        <f>'Program Page'!BE$12</f>
        <v>0</v>
      </c>
      <c r="J39" s="20">
        <f>'Program Page'!BE$13</f>
        <v>0</v>
      </c>
      <c r="K39" s="2" t="str">
        <f>'Program Page'!BE$6</f>
        <v/>
      </c>
      <c r="L39" s="2" t="str">
        <f>'Program Page'!BE$5</f>
        <v/>
      </c>
      <c r="M39" s="2">
        <f>'Program Page'!BE$17</f>
        <v>0</v>
      </c>
      <c r="N39" s="2" t="str">
        <f>'Custom Well'!AO$15</f>
        <v/>
      </c>
      <c r="O39" s="2" t="str">
        <f>'Custom Well'!AO$16</f>
        <v/>
      </c>
      <c r="P39" s="2" t="str">
        <f>'Custom Well'!AO$17</f>
        <v/>
      </c>
      <c r="Q39" s="163" t="str">
        <f>'Custom Well'!AO$18</f>
        <v/>
      </c>
    </row>
    <row r="40" spans="1:17" x14ac:dyDescent="0.25">
      <c r="A40" s="2">
        <f>'Slide Measurements'!B79</f>
        <v>39</v>
      </c>
      <c r="B40" s="2" t="str">
        <f>'Slide Measurements'!C79</f>
        <v>6D</v>
      </c>
      <c r="C40" s="2">
        <f>'Slide Measurements'!A79</f>
        <v>0</v>
      </c>
      <c r="D40" s="2">
        <f>'Slide Measurements'!D79</f>
        <v>263.11</v>
      </c>
      <c r="E40" s="2">
        <f>'Slide Measurements'!E79</f>
        <v>199.47</v>
      </c>
      <c r="F40" s="20">
        <f>'Program Page'!BF$9</f>
        <v>0</v>
      </c>
      <c r="G40" s="20">
        <f>'Program Page'!BF$10</f>
        <v>0</v>
      </c>
      <c r="H40" s="20">
        <f>'Program Page'!BF$11</f>
        <v>0</v>
      </c>
      <c r="I40" s="20">
        <f>'Program Page'!BF$12</f>
        <v>0</v>
      </c>
      <c r="J40" s="20">
        <f>'Program Page'!BF$13</f>
        <v>0</v>
      </c>
      <c r="K40" s="2" t="str">
        <f>'Program Page'!BF$6</f>
        <v/>
      </c>
      <c r="L40" s="2" t="str">
        <f>'Program Page'!BF$5</f>
        <v/>
      </c>
      <c r="M40" s="2">
        <f>'Program Page'!BF$17</f>
        <v>0</v>
      </c>
      <c r="N40" s="2" t="str">
        <f>'Custom Well'!AP$15</f>
        <v/>
      </c>
      <c r="O40" s="2" t="str">
        <f>'Custom Well'!AP$16</f>
        <v/>
      </c>
      <c r="P40" s="2" t="str">
        <f>'Custom Well'!AP$17</f>
        <v/>
      </c>
      <c r="Q40" s="163" t="str">
        <f>'Custom Well'!AP$18</f>
        <v/>
      </c>
    </row>
    <row r="41" spans="1:17" x14ac:dyDescent="0.25">
      <c r="A41" s="2">
        <f>'Slide Measurements'!B80</f>
        <v>40</v>
      </c>
      <c r="B41" s="2" t="str">
        <f>'Slide Measurements'!C80</f>
        <v>6E</v>
      </c>
      <c r="C41" s="2">
        <f>'Slide Measurements'!A80</f>
        <v>0</v>
      </c>
      <c r="D41" s="2">
        <f>'Slide Measurements'!D80</f>
        <v>349.51</v>
      </c>
      <c r="E41" s="2">
        <f>'Slide Measurements'!E80</f>
        <v>199.47</v>
      </c>
      <c r="F41" s="20">
        <f>'Program Page'!BG$9</f>
        <v>0</v>
      </c>
      <c r="G41" s="20">
        <f>'Program Page'!BG$10</f>
        <v>0</v>
      </c>
      <c r="H41" s="20">
        <f>'Program Page'!BG$11</f>
        <v>0</v>
      </c>
      <c r="I41" s="20">
        <f>'Program Page'!BG$12</f>
        <v>0</v>
      </c>
      <c r="J41" s="20">
        <f>'Program Page'!BG$13</f>
        <v>0</v>
      </c>
      <c r="K41" s="2" t="str">
        <f>'Program Page'!BG$6</f>
        <v/>
      </c>
      <c r="L41" s="2" t="str">
        <f>'Program Page'!BG$5</f>
        <v/>
      </c>
      <c r="M41" s="2">
        <f>'Program Page'!BG$17</f>
        <v>0</v>
      </c>
      <c r="N41" s="2" t="str">
        <f>'Custom Well'!AQ$15</f>
        <v/>
      </c>
      <c r="O41" s="2" t="str">
        <f>'Custom Well'!AQ$16</f>
        <v/>
      </c>
      <c r="P41" s="2" t="str">
        <f>'Custom Well'!AQ$17</f>
        <v/>
      </c>
      <c r="Q41" s="163" t="str">
        <f>'Custom Well'!AQ$18</f>
        <v/>
      </c>
    </row>
    <row r="42" spans="1:17" x14ac:dyDescent="0.25">
      <c r="A42" s="2">
        <f>'Slide Measurements'!B81</f>
        <v>41</v>
      </c>
      <c r="B42" s="2" t="str">
        <f>'Slide Measurements'!C81</f>
        <v>6F</v>
      </c>
      <c r="C42" s="2">
        <f>'Slide Measurements'!A81</f>
        <v>0</v>
      </c>
      <c r="D42" s="2">
        <f>'Slide Measurements'!D81</f>
        <v>436.11</v>
      </c>
      <c r="E42" s="2">
        <f>'Slide Measurements'!E81</f>
        <v>199.47</v>
      </c>
      <c r="F42" s="20">
        <f>'Program Page'!BH$9</f>
        <v>0</v>
      </c>
      <c r="G42" s="20">
        <f>'Program Page'!BH$10</f>
        <v>0</v>
      </c>
      <c r="H42" s="20">
        <f>'Program Page'!BH$11</f>
        <v>0</v>
      </c>
      <c r="I42" s="20">
        <f>'Program Page'!BH$12</f>
        <v>0</v>
      </c>
      <c r="J42" s="20">
        <f>'Program Page'!BH$13</f>
        <v>0</v>
      </c>
      <c r="K42" s="2" t="str">
        <f>'Program Page'!BH$6</f>
        <v/>
      </c>
      <c r="L42" s="2" t="str">
        <f>'Program Page'!BH$5</f>
        <v/>
      </c>
      <c r="M42" s="2">
        <f>'Program Page'!BH$17</f>
        <v>0</v>
      </c>
      <c r="N42" s="2" t="str">
        <f>'Custom Well'!AR$15</f>
        <v/>
      </c>
      <c r="O42" s="2" t="str">
        <f>'Custom Well'!AR$16</f>
        <v/>
      </c>
      <c r="P42" s="2" t="str">
        <f>'Custom Well'!AR$17</f>
        <v/>
      </c>
      <c r="Q42" s="163" t="str">
        <f>'Custom Well'!AR$18</f>
        <v/>
      </c>
    </row>
    <row r="43" spans="1:17" x14ac:dyDescent="0.25">
      <c r="A43" s="2">
        <f>'Slide Measurements'!B82</f>
        <v>42</v>
      </c>
      <c r="B43" s="2" t="str">
        <f>'Slide Measurements'!C82</f>
        <v>6G</v>
      </c>
      <c r="C43" s="2">
        <f>'Slide Measurements'!A82</f>
        <v>0</v>
      </c>
      <c r="D43" s="2">
        <f>'Slide Measurements'!D82</f>
        <v>523.01</v>
      </c>
      <c r="E43" s="2">
        <f>'Slide Measurements'!E82</f>
        <v>199.47</v>
      </c>
      <c r="F43" s="20">
        <f>'Program Page'!BI$9</f>
        <v>0</v>
      </c>
      <c r="G43" s="20">
        <f>'Program Page'!BI$10</f>
        <v>0</v>
      </c>
      <c r="H43" s="20">
        <f>'Program Page'!BI$11</f>
        <v>0</v>
      </c>
      <c r="I43" s="20">
        <f>'Program Page'!BI$12</f>
        <v>0</v>
      </c>
      <c r="J43" s="20">
        <f>'Program Page'!BI$13</f>
        <v>0</v>
      </c>
      <c r="K43" s="2" t="str">
        <f>'Program Page'!BI$6</f>
        <v/>
      </c>
      <c r="L43" s="2" t="str">
        <f>'Program Page'!BI$5</f>
        <v/>
      </c>
      <c r="M43" s="2">
        <f>'Program Page'!BI$17</f>
        <v>0</v>
      </c>
      <c r="N43" s="2" t="str">
        <f>'Custom Well'!AS$15</f>
        <v/>
      </c>
      <c r="O43" s="2" t="str">
        <f>'Custom Well'!AS$16</f>
        <v/>
      </c>
      <c r="P43" s="2" t="str">
        <f>'Custom Well'!AS$17</f>
        <v/>
      </c>
      <c r="Q43" s="163" t="str">
        <f>'Custom Well'!AS$18</f>
        <v/>
      </c>
    </row>
    <row r="44" spans="1:17" x14ac:dyDescent="0.25">
      <c r="A44" s="2">
        <f>'Slide Measurements'!B83</f>
        <v>43</v>
      </c>
      <c r="B44" s="2" t="str">
        <f>'Slide Measurements'!C83</f>
        <v>7A</v>
      </c>
      <c r="C44" s="2">
        <f>'Slide Measurements'!A83</f>
        <v>0</v>
      </c>
      <c r="D44" s="2">
        <f>'Slide Measurements'!D83</f>
        <v>1.71</v>
      </c>
      <c r="E44" s="2">
        <f>'Slide Measurements'!E83</f>
        <v>251.42999999999998</v>
      </c>
      <c r="F44" s="20">
        <f>'Program Page'!BJ$9</f>
        <v>0</v>
      </c>
      <c r="G44" s="20">
        <f>'Program Page'!BJ$10</f>
        <v>0</v>
      </c>
      <c r="H44" s="20">
        <f>'Program Page'!BJ$11</f>
        <v>0</v>
      </c>
      <c r="I44" s="20">
        <f>'Program Page'!BJ$12</f>
        <v>0</v>
      </c>
      <c r="J44" s="20">
        <f>'Program Page'!BJ$13</f>
        <v>0</v>
      </c>
      <c r="K44" s="2" t="str">
        <f>'Program Page'!BJ$6</f>
        <v/>
      </c>
      <c r="L44" s="2" t="str">
        <f>'Program Page'!BJ$5</f>
        <v/>
      </c>
      <c r="M44" s="2">
        <f>'Program Page'!BJ$17</f>
        <v>0</v>
      </c>
      <c r="N44" s="2" t="str">
        <f>'Custom Well'!AT$15</f>
        <v/>
      </c>
      <c r="O44" s="2" t="str">
        <f>'Custom Well'!AT$16</f>
        <v/>
      </c>
      <c r="P44" s="2" t="str">
        <f>'Custom Well'!AT$17</f>
        <v/>
      </c>
      <c r="Q44" s="163" t="str">
        <f>'Custom Well'!AT$18</f>
        <v/>
      </c>
    </row>
    <row r="45" spans="1:17" x14ac:dyDescent="0.25">
      <c r="A45" s="2">
        <f>'Slide Measurements'!B84</f>
        <v>44</v>
      </c>
      <c r="B45" s="2" t="str">
        <f>'Slide Measurements'!C84</f>
        <v>7B</v>
      </c>
      <c r="C45" s="2">
        <f>'Slide Measurements'!A84</f>
        <v>0</v>
      </c>
      <c r="D45" s="2">
        <f>'Slide Measurements'!D84</f>
        <v>89.31</v>
      </c>
      <c r="E45" s="2">
        <f>'Slide Measurements'!E84</f>
        <v>251.42999999999998</v>
      </c>
      <c r="F45" s="20">
        <f>'Program Page'!BK$9</f>
        <v>0</v>
      </c>
      <c r="G45" s="20">
        <f>'Program Page'!BK$10</f>
        <v>0</v>
      </c>
      <c r="H45" s="20">
        <f>'Program Page'!BK$11</f>
        <v>0</v>
      </c>
      <c r="I45" s="20">
        <f>'Program Page'!BK$12</f>
        <v>0</v>
      </c>
      <c r="J45" s="20">
        <f>'Program Page'!BK$13</f>
        <v>0</v>
      </c>
      <c r="K45" s="2" t="str">
        <f>'Program Page'!BK$6</f>
        <v/>
      </c>
      <c r="L45" s="2" t="str">
        <f>'Program Page'!BK$5</f>
        <v/>
      </c>
      <c r="M45" s="2">
        <f>'Program Page'!BK$17</f>
        <v>0</v>
      </c>
      <c r="N45" s="2" t="str">
        <f>'Custom Well'!AU$15</f>
        <v/>
      </c>
      <c r="O45" s="2" t="str">
        <f>'Custom Well'!AU$16</f>
        <v/>
      </c>
      <c r="P45" s="2" t="str">
        <f>'Custom Well'!AU$17</f>
        <v/>
      </c>
      <c r="Q45" s="163" t="str">
        <f>'Custom Well'!AU$18</f>
        <v/>
      </c>
    </row>
    <row r="46" spans="1:17" x14ac:dyDescent="0.25">
      <c r="A46" s="2">
        <f>'Slide Measurements'!B85</f>
        <v>45</v>
      </c>
      <c r="B46" s="2" t="str">
        <f>'Slide Measurements'!C85</f>
        <v>7C</v>
      </c>
      <c r="C46" s="2">
        <f>'Slide Measurements'!A85</f>
        <v>0</v>
      </c>
      <c r="D46" s="2">
        <f>'Slide Measurements'!D85</f>
        <v>175.91</v>
      </c>
      <c r="E46" s="2">
        <f>'Slide Measurements'!E85</f>
        <v>251.42999999999998</v>
      </c>
      <c r="F46" s="20">
        <f>'Program Page'!BL$9</f>
        <v>0</v>
      </c>
      <c r="G46" s="20">
        <f>'Program Page'!BL$10</f>
        <v>0</v>
      </c>
      <c r="H46" s="20">
        <f>'Program Page'!BL$11</f>
        <v>0</v>
      </c>
      <c r="I46" s="20">
        <f>'Program Page'!BL$12</f>
        <v>0</v>
      </c>
      <c r="J46" s="20">
        <f>'Program Page'!BL$13</f>
        <v>0</v>
      </c>
      <c r="K46" s="2" t="str">
        <f>'Program Page'!BL$6</f>
        <v/>
      </c>
      <c r="L46" s="2" t="str">
        <f>'Program Page'!BL$5</f>
        <v/>
      </c>
      <c r="M46" s="2">
        <f>'Program Page'!BL$17</f>
        <v>0</v>
      </c>
      <c r="N46" s="2" t="str">
        <f>'Custom Well'!AV$15</f>
        <v/>
      </c>
      <c r="O46" s="2" t="str">
        <f>'Custom Well'!AV$16</f>
        <v/>
      </c>
      <c r="P46" s="2" t="str">
        <f>'Custom Well'!AV$17</f>
        <v/>
      </c>
      <c r="Q46" s="163" t="str">
        <f>'Custom Well'!AV$18</f>
        <v/>
      </c>
    </row>
    <row r="47" spans="1:17" x14ac:dyDescent="0.25">
      <c r="A47" s="2">
        <f>'Slide Measurements'!B86</f>
        <v>46</v>
      </c>
      <c r="B47" s="2" t="str">
        <f>'Slide Measurements'!C86</f>
        <v>7D</v>
      </c>
      <c r="C47" s="2">
        <f>'Slide Measurements'!A86</f>
        <v>0</v>
      </c>
      <c r="D47" s="2">
        <f>'Slide Measurements'!D86</f>
        <v>262.91000000000003</v>
      </c>
      <c r="E47" s="2">
        <f>'Slide Measurements'!E86</f>
        <v>251.42999999999998</v>
      </c>
      <c r="F47" s="20">
        <f>'Program Page'!BM$9</f>
        <v>0</v>
      </c>
      <c r="G47" s="20">
        <f>'Program Page'!BM$10</f>
        <v>0</v>
      </c>
      <c r="H47" s="20">
        <f>'Program Page'!BM$11</f>
        <v>0</v>
      </c>
      <c r="I47" s="20">
        <f>'Program Page'!BM$12</f>
        <v>0</v>
      </c>
      <c r="J47" s="20">
        <f>'Program Page'!BM$13</f>
        <v>0</v>
      </c>
      <c r="K47" s="2" t="str">
        <f>'Program Page'!BM$6</f>
        <v/>
      </c>
      <c r="L47" s="2" t="str">
        <f>'Program Page'!BM$5</f>
        <v/>
      </c>
      <c r="M47" s="2">
        <f>'Program Page'!BM$17</f>
        <v>0</v>
      </c>
      <c r="N47" s="2" t="str">
        <f>'Custom Well'!AW$15</f>
        <v/>
      </c>
      <c r="O47" s="2" t="str">
        <f>'Custom Well'!AW$16</f>
        <v/>
      </c>
      <c r="P47" s="2" t="str">
        <f>'Custom Well'!AW$17</f>
        <v/>
      </c>
      <c r="Q47" s="163" t="str">
        <f>'Custom Well'!AW$18</f>
        <v/>
      </c>
    </row>
    <row r="48" spans="1:17" x14ac:dyDescent="0.25">
      <c r="A48" s="2">
        <f>'Slide Measurements'!B87</f>
        <v>47</v>
      </c>
      <c r="B48" s="2" t="str">
        <f>'Slide Measurements'!C87</f>
        <v>7E</v>
      </c>
      <c r="C48" s="2">
        <f>'Slide Measurements'!A87</f>
        <v>0</v>
      </c>
      <c r="D48" s="2">
        <f>'Slide Measurements'!D87</f>
        <v>349.31</v>
      </c>
      <c r="E48" s="2">
        <f>'Slide Measurements'!E87</f>
        <v>251.42999999999998</v>
      </c>
      <c r="F48" s="20">
        <f>'Program Page'!BN$9</f>
        <v>0</v>
      </c>
      <c r="G48" s="20">
        <f>'Program Page'!BN$10</f>
        <v>0</v>
      </c>
      <c r="H48" s="20">
        <f>'Program Page'!BN$11</f>
        <v>0</v>
      </c>
      <c r="I48" s="20">
        <f>'Program Page'!BN$12</f>
        <v>0</v>
      </c>
      <c r="J48" s="20">
        <f>'Program Page'!BN$13</f>
        <v>0</v>
      </c>
      <c r="K48" s="2" t="str">
        <f>'Program Page'!BN$6</f>
        <v/>
      </c>
      <c r="L48" s="2" t="str">
        <f>'Program Page'!BN$5</f>
        <v/>
      </c>
      <c r="M48" s="2">
        <f>'Program Page'!BN$17</f>
        <v>0</v>
      </c>
      <c r="N48" s="2" t="str">
        <f>'Custom Well'!AX$15</f>
        <v/>
      </c>
      <c r="O48" s="2" t="str">
        <f>'Custom Well'!AX$16</f>
        <v/>
      </c>
      <c r="P48" s="2" t="str">
        <f>'Custom Well'!AX$17</f>
        <v/>
      </c>
      <c r="Q48" s="163" t="str">
        <f>'Custom Well'!AX$18</f>
        <v/>
      </c>
    </row>
    <row r="49" spans="1:17" x14ac:dyDescent="0.25">
      <c r="A49" s="2">
        <f>'Slide Measurements'!B88</f>
        <v>48</v>
      </c>
      <c r="B49" s="2" t="str">
        <f>'Slide Measurements'!C88</f>
        <v>7F</v>
      </c>
      <c r="C49" s="2">
        <f>'Slide Measurements'!A88</f>
        <v>0</v>
      </c>
      <c r="D49" s="2">
        <f>'Slide Measurements'!D88</f>
        <v>435.91</v>
      </c>
      <c r="E49" s="2">
        <f>'Slide Measurements'!E88</f>
        <v>251.42999999999998</v>
      </c>
      <c r="F49" s="20">
        <f>'Program Page'!BO$9</f>
        <v>0</v>
      </c>
      <c r="G49" s="20">
        <f>'Program Page'!BO$10</f>
        <v>0</v>
      </c>
      <c r="H49" s="20">
        <f>'Program Page'!BO$11</f>
        <v>0</v>
      </c>
      <c r="I49" s="20">
        <f>'Program Page'!BO$12</f>
        <v>0</v>
      </c>
      <c r="J49" s="20">
        <f>'Program Page'!BO$13</f>
        <v>0</v>
      </c>
      <c r="K49" s="2" t="str">
        <f>'Program Page'!BO$6</f>
        <v/>
      </c>
      <c r="L49" s="2" t="str">
        <f>'Program Page'!BO$5</f>
        <v/>
      </c>
      <c r="M49" s="2">
        <f>'Program Page'!BO$17</f>
        <v>0</v>
      </c>
      <c r="N49" s="2" t="str">
        <f>'Custom Well'!AY$15</f>
        <v/>
      </c>
      <c r="O49" s="2" t="str">
        <f>'Custom Well'!AY$16</f>
        <v/>
      </c>
      <c r="P49" s="2" t="str">
        <f>'Custom Well'!AY$17</f>
        <v/>
      </c>
      <c r="Q49" s="163" t="str">
        <f>'Custom Well'!AY$18</f>
        <v/>
      </c>
    </row>
    <row r="50" spans="1:17" x14ac:dyDescent="0.25">
      <c r="A50" s="2">
        <f>'Slide Measurements'!B89</f>
        <v>49</v>
      </c>
      <c r="B50" s="2" t="str">
        <f>'Slide Measurements'!C89</f>
        <v>7G</v>
      </c>
      <c r="C50" s="2">
        <f>'Slide Measurements'!A89</f>
        <v>0</v>
      </c>
      <c r="D50" s="2">
        <f>'Slide Measurements'!D89</f>
        <v>522.81000000000006</v>
      </c>
      <c r="E50" s="2">
        <f>'Slide Measurements'!E89</f>
        <v>251.42999999999998</v>
      </c>
      <c r="F50" s="20">
        <f>'Program Page'!BP$9</f>
        <v>0</v>
      </c>
      <c r="G50" s="20">
        <f>'Program Page'!BP$10</f>
        <v>0</v>
      </c>
      <c r="H50" s="20">
        <f>'Program Page'!BP$11</f>
        <v>0</v>
      </c>
      <c r="I50" s="20">
        <f>'Program Page'!BP$12</f>
        <v>0</v>
      </c>
      <c r="J50" s="20">
        <f>'Program Page'!BP$13</f>
        <v>0</v>
      </c>
      <c r="K50" s="2" t="str">
        <f>'Program Page'!BP$6</f>
        <v/>
      </c>
      <c r="L50" s="2" t="str">
        <f>'Program Page'!BP$5</f>
        <v/>
      </c>
      <c r="M50" s="2">
        <f>'Program Page'!BP$17</f>
        <v>0</v>
      </c>
      <c r="N50" s="2" t="str">
        <f>'Custom Well'!AZ$15</f>
        <v/>
      </c>
      <c r="O50" s="2" t="str">
        <f>'Custom Well'!AZ$16</f>
        <v/>
      </c>
      <c r="P50" s="2" t="str">
        <f>'Custom Well'!AZ$17</f>
        <v/>
      </c>
      <c r="Q50" s="163" t="str">
        <f>'Custom Well'!AZ$18</f>
        <v/>
      </c>
    </row>
    <row r="51" spans="1:17" x14ac:dyDescent="0.25">
      <c r="A51" s="2">
        <f>'Slide Measurements'!B90</f>
        <v>50</v>
      </c>
      <c r="B51" s="2" t="str">
        <f>'Slide Measurements'!C90</f>
        <v>8A</v>
      </c>
      <c r="C51" s="2">
        <f>'Slide Measurements'!A90</f>
        <v>0</v>
      </c>
      <c r="D51" s="2">
        <f>'Slide Measurements'!D90</f>
        <v>1.71</v>
      </c>
      <c r="E51" s="2">
        <f>'Slide Measurements'!E90</f>
        <v>288.23</v>
      </c>
      <c r="F51" s="20">
        <f>'Program Page'!BQ$9</f>
        <v>0</v>
      </c>
      <c r="G51" s="20">
        <f>'Program Page'!BQ$10</f>
        <v>0</v>
      </c>
      <c r="H51" s="20">
        <f>'Program Page'!BQ$11</f>
        <v>0</v>
      </c>
      <c r="I51" s="20">
        <f>'Program Page'!BQ$12</f>
        <v>0</v>
      </c>
      <c r="J51" s="20">
        <f>'Program Page'!BQ$13</f>
        <v>0</v>
      </c>
      <c r="K51" s="2" t="str">
        <f>'Program Page'!BQ$6</f>
        <v/>
      </c>
      <c r="L51" s="2" t="str">
        <f>'Program Page'!BQ$5</f>
        <v/>
      </c>
      <c r="M51" s="2">
        <f>'Program Page'!BQ$17</f>
        <v>0</v>
      </c>
      <c r="N51" s="2" t="str">
        <f>'Custom Well'!BA$15</f>
        <v/>
      </c>
      <c r="O51" s="2" t="str">
        <f>'Custom Well'!BA$16</f>
        <v/>
      </c>
      <c r="P51" s="2" t="str">
        <f>'Custom Well'!BA$17</f>
        <v/>
      </c>
      <c r="Q51" s="163" t="str">
        <f>'Custom Well'!BA$18</f>
        <v/>
      </c>
    </row>
    <row r="52" spans="1:17" x14ac:dyDescent="0.25">
      <c r="A52" s="2">
        <f>'Slide Measurements'!B91</f>
        <v>51</v>
      </c>
      <c r="B52" s="2" t="str">
        <f>'Slide Measurements'!C91</f>
        <v>8B</v>
      </c>
      <c r="C52" s="2">
        <f>'Slide Measurements'!A91</f>
        <v>0</v>
      </c>
      <c r="D52" s="2">
        <f>'Slide Measurements'!D91</f>
        <v>89.31</v>
      </c>
      <c r="E52" s="2">
        <f>'Slide Measurements'!E91</f>
        <v>288.23</v>
      </c>
      <c r="F52" s="20">
        <f>'Program Page'!BR$9</f>
        <v>0</v>
      </c>
      <c r="G52" s="20">
        <f>'Program Page'!BR$10</f>
        <v>0</v>
      </c>
      <c r="H52" s="20">
        <f>'Program Page'!BR$11</f>
        <v>0</v>
      </c>
      <c r="I52" s="20">
        <f>'Program Page'!BR$12</f>
        <v>0</v>
      </c>
      <c r="J52" s="20">
        <f>'Program Page'!BR$13</f>
        <v>0</v>
      </c>
      <c r="K52" s="2" t="str">
        <f>'Program Page'!BR$6</f>
        <v/>
      </c>
      <c r="L52" s="2" t="str">
        <f>'Program Page'!BR$5</f>
        <v/>
      </c>
      <c r="M52" s="2">
        <f>'Program Page'!BR$17</f>
        <v>0</v>
      </c>
      <c r="N52" s="2" t="str">
        <f>'Custom Well'!BB$15</f>
        <v/>
      </c>
      <c r="O52" s="2" t="str">
        <f>'Custom Well'!BB$16</f>
        <v/>
      </c>
      <c r="P52" s="2" t="str">
        <f>'Custom Well'!BB$17</f>
        <v/>
      </c>
      <c r="Q52" s="163" t="str">
        <f>'Custom Well'!BB$18</f>
        <v/>
      </c>
    </row>
    <row r="53" spans="1:17" x14ac:dyDescent="0.25">
      <c r="A53" s="2">
        <f>'Slide Measurements'!B92</f>
        <v>52</v>
      </c>
      <c r="B53" s="2" t="str">
        <f>'Slide Measurements'!C92</f>
        <v>8C</v>
      </c>
      <c r="C53" s="2">
        <f>'Slide Measurements'!A92</f>
        <v>0</v>
      </c>
      <c r="D53" s="2">
        <f>'Slide Measurements'!D92</f>
        <v>175.91</v>
      </c>
      <c r="E53" s="2">
        <f>'Slide Measurements'!E92</f>
        <v>288.23</v>
      </c>
      <c r="F53" s="20">
        <f>'Program Page'!BS$9</f>
        <v>0</v>
      </c>
      <c r="G53" s="20">
        <f>'Program Page'!BS$10</f>
        <v>0</v>
      </c>
      <c r="H53" s="20">
        <f>'Program Page'!BS$11</f>
        <v>0</v>
      </c>
      <c r="I53" s="20">
        <f>'Program Page'!BS$12</f>
        <v>0</v>
      </c>
      <c r="J53" s="20">
        <f>'Program Page'!BS$13</f>
        <v>0</v>
      </c>
      <c r="K53" s="2" t="str">
        <f>'Program Page'!BS$6</f>
        <v/>
      </c>
      <c r="L53" s="2" t="str">
        <f>'Program Page'!BS$5</f>
        <v/>
      </c>
      <c r="M53" s="2">
        <f>'Program Page'!BS$17</f>
        <v>0</v>
      </c>
      <c r="N53" s="2" t="str">
        <f>'Custom Well'!BC$15</f>
        <v/>
      </c>
      <c r="O53" s="2" t="str">
        <f>'Custom Well'!BC$16</f>
        <v/>
      </c>
      <c r="P53" s="2" t="str">
        <f>'Custom Well'!BC$17</f>
        <v/>
      </c>
      <c r="Q53" s="163" t="str">
        <f>'Custom Well'!BC$18</f>
        <v/>
      </c>
    </row>
    <row r="54" spans="1:17" x14ac:dyDescent="0.25">
      <c r="A54" s="2">
        <f>'Slide Measurements'!B93</f>
        <v>53</v>
      </c>
      <c r="B54" s="2" t="str">
        <f>'Slide Measurements'!C93</f>
        <v>8D</v>
      </c>
      <c r="C54" s="2">
        <f>'Slide Measurements'!A93</f>
        <v>0</v>
      </c>
      <c r="D54" s="2">
        <f>'Slide Measurements'!D93</f>
        <v>262.91000000000003</v>
      </c>
      <c r="E54" s="2">
        <f>'Slide Measurements'!E93</f>
        <v>288.23</v>
      </c>
      <c r="F54" s="20">
        <f>'Program Page'!BT$9</f>
        <v>0</v>
      </c>
      <c r="G54" s="20">
        <f>'Program Page'!BT$10</f>
        <v>0</v>
      </c>
      <c r="H54" s="20">
        <f>'Program Page'!BT$11</f>
        <v>0</v>
      </c>
      <c r="I54" s="20">
        <f>'Program Page'!BT$12</f>
        <v>0</v>
      </c>
      <c r="J54" s="20">
        <f>'Program Page'!BT$13</f>
        <v>0</v>
      </c>
      <c r="K54" s="2" t="str">
        <f>'Program Page'!BT$6</f>
        <v/>
      </c>
      <c r="L54" s="2" t="str">
        <f>'Program Page'!BT$5</f>
        <v/>
      </c>
      <c r="M54" s="2">
        <f>'Program Page'!BT$17</f>
        <v>0</v>
      </c>
      <c r="N54" s="2" t="str">
        <f>'Custom Well'!BD$15</f>
        <v/>
      </c>
      <c r="O54" s="2" t="str">
        <f>'Custom Well'!BD$16</f>
        <v/>
      </c>
      <c r="P54" s="2" t="str">
        <f>'Custom Well'!BD$17</f>
        <v/>
      </c>
      <c r="Q54" s="163" t="str">
        <f>'Custom Well'!BD$18</f>
        <v/>
      </c>
    </row>
    <row r="55" spans="1:17" x14ac:dyDescent="0.25">
      <c r="A55" s="2">
        <f>'Slide Measurements'!B94</f>
        <v>54</v>
      </c>
      <c r="B55" s="2" t="str">
        <f>'Slide Measurements'!C94</f>
        <v>8E</v>
      </c>
      <c r="C55" s="2">
        <f>'Slide Measurements'!A94</f>
        <v>0</v>
      </c>
      <c r="D55" s="2">
        <f>'Slide Measurements'!D94</f>
        <v>349.31</v>
      </c>
      <c r="E55" s="2">
        <f>'Slide Measurements'!E94</f>
        <v>288.23</v>
      </c>
      <c r="F55" s="20">
        <f>'Program Page'!BU$9</f>
        <v>0</v>
      </c>
      <c r="G55" s="20">
        <f>'Program Page'!BU$10</f>
        <v>0</v>
      </c>
      <c r="H55" s="20">
        <f>'Program Page'!BU$11</f>
        <v>0</v>
      </c>
      <c r="I55" s="20">
        <f>'Program Page'!BU$12</f>
        <v>0</v>
      </c>
      <c r="J55" s="20">
        <f>'Program Page'!BU$13</f>
        <v>0</v>
      </c>
      <c r="K55" s="2" t="str">
        <f>'Program Page'!BU$6</f>
        <v/>
      </c>
      <c r="L55" s="2" t="str">
        <f>'Program Page'!BU$5</f>
        <v/>
      </c>
      <c r="M55" s="2">
        <f>'Program Page'!BU$17</f>
        <v>0</v>
      </c>
      <c r="N55" s="2" t="str">
        <f>'Custom Well'!BE$15</f>
        <v/>
      </c>
      <c r="O55" s="2" t="str">
        <f>'Custom Well'!BE$16</f>
        <v/>
      </c>
      <c r="P55" s="2" t="str">
        <f>'Custom Well'!BE$17</f>
        <v/>
      </c>
      <c r="Q55" s="163" t="str">
        <f>'Custom Well'!BE$18</f>
        <v/>
      </c>
    </row>
    <row r="56" spans="1:17" x14ac:dyDescent="0.25">
      <c r="A56" s="2">
        <f>'Slide Measurements'!B95</f>
        <v>55</v>
      </c>
      <c r="B56" s="2" t="str">
        <f>'Slide Measurements'!C95</f>
        <v>8F</v>
      </c>
      <c r="C56" s="2">
        <f>'Slide Measurements'!A95</f>
        <v>0</v>
      </c>
      <c r="D56" s="2">
        <f>'Slide Measurements'!D95</f>
        <v>435.91</v>
      </c>
      <c r="E56" s="2">
        <f>'Slide Measurements'!E95</f>
        <v>288.23</v>
      </c>
      <c r="F56" s="20">
        <f>'Program Page'!BV$9</f>
        <v>0</v>
      </c>
      <c r="G56" s="20">
        <f>'Program Page'!BV$10</f>
        <v>0</v>
      </c>
      <c r="H56" s="20">
        <f>'Program Page'!BV$11</f>
        <v>0</v>
      </c>
      <c r="I56" s="20">
        <f>'Program Page'!BV$12</f>
        <v>0</v>
      </c>
      <c r="J56" s="20">
        <f>'Program Page'!BV$13</f>
        <v>0</v>
      </c>
      <c r="K56" s="2" t="str">
        <f>'Program Page'!BV$6</f>
        <v/>
      </c>
      <c r="L56" s="2" t="str">
        <f>'Program Page'!BV$5</f>
        <v/>
      </c>
      <c r="M56" s="2">
        <f>'Program Page'!BV$17</f>
        <v>0</v>
      </c>
      <c r="N56" s="2" t="str">
        <f>'Custom Well'!BF$15</f>
        <v/>
      </c>
      <c r="O56" s="2" t="str">
        <f>'Custom Well'!BF$16</f>
        <v/>
      </c>
      <c r="P56" s="2" t="str">
        <f>'Custom Well'!BF$17</f>
        <v/>
      </c>
      <c r="Q56" s="163" t="str">
        <f>'Custom Well'!BF$18</f>
        <v/>
      </c>
    </row>
    <row r="57" spans="1:17" x14ac:dyDescent="0.25">
      <c r="A57" s="2">
        <f>'Slide Measurements'!B96</f>
        <v>56</v>
      </c>
      <c r="B57" s="2" t="str">
        <f>'Slide Measurements'!C96</f>
        <v>8G</v>
      </c>
      <c r="C57" s="2">
        <f>'Slide Measurements'!A96</f>
        <v>0</v>
      </c>
      <c r="D57" s="2">
        <f>'Slide Measurements'!D96</f>
        <v>522.81000000000006</v>
      </c>
      <c r="E57" s="2">
        <f>'Slide Measurements'!E96</f>
        <v>288.23</v>
      </c>
      <c r="F57" s="20">
        <f>'Program Page'!BW$9</f>
        <v>0</v>
      </c>
      <c r="G57" s="20">
        <f>'Program Page'!BW$10</f>
        <v>0</v>
      </c>
      <c r="H57" s="20">
        <f>'Program Page'!BW$11</f>
        <v>0</v>
      </c>
      <c r="I57" s="20">
        <f>'Program Page'!BW$12</f>
        <v>0</v>
      </c>
      <c r="J57" s="20">
        <f>'Program Page'!BW$13</f>
        <v>0</v>
      </c>
      <c r="K57" s="2" t="str">
        <f>'Program Page'!BW$6</f>
        <v/>
      </c>
      <c r="L57" s="2" t="str">
        <f>'Program Page'!BW$5</f>
        <v/>
      </c>
      <c r="M57" s="2">
        <f>'Program Page'!BW$17</f>
        <v>0</v>
      </c>
      <c r="N57" s="2" t="str">
        <f>'Custom Well'!BG$15</f>
        <v/>
      </c>
      <c r="O57" s="2" t="str">
        <f>'Custom Well'!BG$16</f>
        <v/>
      </c>
      <c r="P57" s="2" t="str">
        <f>'Custom Well'!BG$17</f>
        <v/>
      </c>
      <c r="Q57" s="163" t="str">
        <f>'Custom Well'!BG$18</f>
        <v/>
      </c>
    </row>
    <row r="58" spans="1:17" x14ac:dyDescent="0.25">
      <c r="A58" s="2">
        <f>'Slide Measurements'!B97</f>
        <v>57</v>
      </c>
      <c r="B58" s="2" t="str">
        <f>'Slide Measurements'!C97</f>
        <v>9A</v>
      </c>
      <c r="C58" s="2">
        <f>'Slide Measurements'!A97</f>
        <v>0</v>
      </c>
      <c r="D58" s="2">
        <f>'Slide Measurements'!D97</f>
        <v>1.71</v>
      </c>
      <c r="E58" s="2">
        <f>'Slide Measurements'!E97</f>
        <v>324.72000000000003</v>
      </c>
      <c r="F58" s="20">
        <f>'Program Page'!BX$9</f>
        <v>0</v>
      </c>
      <c r="G58" s="20">
        <f>'Program Page'!BX$10</f>
        <v>0</v>
      </c>
      <c r="H58" s="20">
        <f>'Program Page'!BX$11</f>
        <v>0</v>
      </c>
      <c r="I58" s="20">
        <f>'Program Page'!BX$12</f>
        <v>0</v>
      </c>
      <c r="J58" s="20">
        <f>'Program Page'!BX$13</f>
        <v>0</v>
      </c>
      <c r="K58" s="2" t="str">
        <f>'Program Page'!BX$6</f>
        <v/>
      </c>
      <c r="L58" s="2" t="str">
        <f>'Program Page'!BX$5</f>
        <v/>
      </c>
      <c r="M58" s="2">
        <f>'Program Page'!BX$17</f>
        <v>0</v>
      </c>
      <c r="N58" s="2" t="str">
        <f>'Custom Well'!BH$15</f>
        <v/>
      </c>
      <c r="O58" s="2" t="str">
        <f>'Custom Well'!BH$16</f>
        <v/>
      </c>
      <c r="P58" s="2" t="str">
        <f>'Custom Well'!BH$17</f>
        <v/>
      </c>
      <c r="Q58" s="163" t="str">
        <f>'Custom Well'!BH$18</f>
        <v/>
      </c>
    </row>
    <row r="59" spans="1:17" x14ac:dyDescent="0.25">
      <c r="A59" s="2">
        <f>'Slide Measurements'!B98</f>
        <v>58</v>
      </c>
      <c r="B59" s="2" t="str">
        <f>'Slide Measurements'!C98</f>
        <v>9B</v>
      </c>
      <c r="C59" s="2">
        <f>'Slide Measurements'!A98</f>
        <v>0</v>
      </c>
      <c r="D59" s="2">
        <f>'Slide Measurements'!D98</f>
        <v>89.31</v>
      </c>
      <c r="E59" s="2">
        <f>'Slide Measurements'!E98</f>
        <v>324.72000000000003</v>
      </c>
      <c r="F59" s="20">
        <f>'Program Page'!BY$9</f>
        <v>0</v>
      </c>
      <c r="G59" s="20">
        <f>'Program Page'!BY$10</f>
        <v>0</v>
      </c>
      <c r="H59" s="20">
        <f>'Program Page'!BY$11</f>
        <v>0</v>
      </c>
      <c r="I59" s="20">
        <f>'Program Page'!BY$12</f>
        <v>0</v>
      </c>
      <c r="J59" s="20">
        <f>'Program Page'!BY$13</f>
        <v>0</v>
      </c>
      <c r="K59" s="2" t="str">
        <f>'Program Page'!BY$6</f>
        <v/>
      </c>
      <c r="L59" s="2" t="str">
        <f>'Program Page'!BY$5</f>
        <v/>
      </c>
      <c r="M59" s="2">
        <f>'Program Page'!BY$17</f>
        <v>0</v>
      </c>
      <c r="N59" s="2" t="str">
        <f>'Custom Well'!BI$15</f>
        <v/>
      </c>
      <c r="O59" s="2" t="str">
        <f>'Custom Well'!BI$16</f>
        <v/>
      </c>
      <c r="P59" s="2" t="str">
        <f>'Custom Well'!BI$17</f>
        <v/>
      </c>
      <c r="Q59" s="163" t="str">
        <f>'Custom Well'!BI$18</f>
        <v/>
      </c>
    </row>
    <row r="60" spans="1:17" x14ac:dyDescent="0.25">
      <c r="A60" s="2">
        <f>'Slide Measurements'!B99</f>
        <v>59</v>
      </c>
      <c r="B60" s="2" t="str">
        <f>'Slide Measurements'!C99</f>
        <v>9C</v>
      </c>
      <c r="C60" s="2">
        <f>'Slide Measurements'!A99</f>
        <v>0</v>
      </c>
      <c r="D60" s="2">
        <f>'Slide Measurements'!D99</f>
        <v>175.91</v>
      </c>
      <c r="E60" s="2">
        <f>'Slide Measurements'!E99</f>
        <v>324.72000000000003</v>
      </c>
      <c r="F60" s="20">
        <f>'Program Page'!BZ$9</f>
        <v>0</v>
      </c>
      <c r="G60" s="20">
        <f>'Program Page'!BZ$10</f>
        <v>0</v>
      </c>
      <c r="H60" s="20">
        <f>'Program Page'!BZ$11</f>
        <v>0</v>
      </c>
      <c r="I60" s="20">
        <f>'Program Page'!BZ$12</f>
        <v>0</v>
      </c>
      <c r="J60" s="20">
        <f>'Program Page'!BZ$13</f>
        <v>0</v>
      </c>
      <c r="K60" s="2" t="str">
        <f>'Program Page'!BZ$6</f>
        <v/>
      </c>
      <c r="L60" s="2" t="str">
        <f>'Program Page'!BZ$5</f>
        <v/>
      </c>
      <c r="M60" s="2">
        <f>'Program Page'!BZ$17</f>
        <v>0</v>
      </c>
      <c r="N60" s="2" t="str">
        <f>'Custom Well'!BJ$15</f>
        <v/>
      </c>
      <c r="O60" s="2" t="str">
        <f>'Custom Well'!BJ$16</f>
        <v/>
      </c>
      <c r="P60" s="2" t="str">
        <f>'Custom Well'!BJ$17</f>
        <v/>
      </c>
      <c r="Q60" s="163" t="str">
        <f>'Custom Well'!BJ$18</f>
        <v/>
      </c>
    </row>
    <row r="61" spans="1:17" x14ac:dyDescent="0.25">
      <c r="A61" s="2">
        <f>'Slide Measurements'!B100</f>
        <v>60</v>
      </c>
      <c r="B61" s="2" t="str">
        <f>'Slide Measurements'!C100</f>
        <v>9D</v>
      </c>
      <c r="C61" s="2">
        <f>'Slide Measurements'!A100</f>
        <v>0</v>
      </c>
      <c r="D61" s="2">
        <f>'Slide Measurements'!D100</f>
        <v>262.91000000000003</v>
      </c>
      <c r="E61" s="2">
        <f>'Slide Measurements'!E100</f>
        <v>324.72000000000003</v>
      </c>
      <c r="F61" s="20">
        <f>'Program Page'!CA$9</f>
        <v>0</v>
      </c>
      <c r="G61" s="20">
        <f>'Program Page'!CA$10</f>
        <v>0</v>
      </c>
      <c r="H61" s="20">
        <f>'Program Page'!CA$11</f>
        <v>0</v>
      </c>
      <c r="I61" s="20">
        <f>'Program Page'!CA$12</f>
        <v>0</v>
      </c>
      <c r="J61" s="20">
        <f>'Program Page'!CA$13</f>
        <v>0</v>
      </c>
      <c r="K61" s="2" t="str">
        <f>'Program Page'!CA$6</f>
        <v/>
      </c>
      <c r="L61" s="2" t="str">
        <f>'Program Page'!CA$5</f>
        <v/>
      </c>
      <c r="M61" s="2">
        <f>'Program Page'!CA$17</f>
        <v>0</v>
      </c>
      <c r="N61" s="2" t="str">
        <f>'Custom Well'!BK$15</f>
        <v/>
      </c>
      <c r="O61" s="2" t="str">
        <f>'Custom Well'!BK$16</f>
        <v/>
      </c>
      <c r="P61" s="2" t="str">
        <f>'Custom Well'!BK$17</f>
        <v/>
      </c>
      <c r="Q61" s="163" t="str">
        <f>'Custom Well'!BK$18</f>
        <v/>
      </c>
    </row>
    <row r="62" spans="1:17" x14ac:dyDescent="0.25">
      <c r="A62" s="2">
        <f>'Slide Measurements'!B101</f>
        <v>61</v>
      </c>
      <c r="B62" s="2" t="str">
        <f>'Slide Measurements'!C101</f>
        <v>9E</v>
      </c>
      <c r="C62" s="2">
        <f>'Slide Measurements'!A101</f>
        <v>0</v>
      </c>
      <c r="D62" s="2">
        <f>'Slide Measurements'!D101</f>
        <v>349.31</v>
      </c>
      <c r="E62" s="2">
        <f>'Slide Measurements'!E101</f>
        <v>324.72000000000003</v>
      </c>
      <c r="F62" s="20">
        <f>'Program Page'!CB$9</f>
        <v>0</v>
      </c>
      <c r="G62" s="20">
        <f>'Program Page'!CB$10</f>
        <v>0</v>
      </c>
      <c r="H62" s="20">
        <f>'Program Page'!CB$11</f>
        <v>0</v>
      </c>
      <c r="I62" s="20">
        <f>'Program Page'!CB$12</f>
        <v>0</v>
      </c>
      <c r="J62" s="20">
        <f>'Program Page'!CB$13</f>
        <v>0</v>
      </c>
      <c r="K62" s="2" t="str">
        <f>'Program Page'!CB$6</f>
        <v/>
      </c>
      <c r="L62" s="2" t="str">
        <f>'Program Page'!CB$5</f>
        <v/>
      </c>
      <c r="M62" s="2">
        <f>'Program Page'!CB$17</f>
        <v>0</v>
      </c>
      <c r="N62" s="2" t="str">
        <f>'Custom Well'!BL$15</f>
        <v/>
      </c>
      <c r="O62" s="2" t="str">
        <f>'Custom Well'!BL$16</f>
        <v/>
      </c>
      <c r="P62" s="2" t="str">
        <f>'Custom Well'!BL$17</f>
        <v/>
      </c>
      <c r="Q62" s="163" t="str">
        <f>'Custom Well'!BL$18</f>
        <v/>
      </c>
    </row>
    <row r="63" spans="1:17" x14ac:dyDescent="0.25">
      <c r="A63" s="2">
        <f>'Slide Measurements'!B102</f>
        <v>62</v>
      </c>
      <c r="B63" s="2" t="str">
        <f>'Slide Measurements'!C102</f>
        <v>9F</v>
      </c>
      <c r="C63" s="2">
        <f>'Slide Measurements'!A102</f>
        <v>0</v>
      </c>
      <c r="D63" s="2">
        <f>'Slide Measurements'!D102</f>
        <v>435.91</v>
      </c>
      <c r="E63" s="2">
        <f>'Slide Measurements'!E102</f>
        <v>324.72000000000003</v>
      </c>
      <c r="F63" s="20">
        <f>'Program Page'!CC$9</f>
        <v>0</v>
      </c>
      <c r="G63" s="20">
        <f>'Program Page'!CC$10</f>
        <v>0</v>
      </c>
      <c r="H63" s="20">
        <f>'Program Page'!CC$11</f>
        <v>0</v>
      </c>
      <c r="I63" s="20">
        <f>'Program Page'!CC$12</f>
        <v>0</v>
      </c>
      <c r="J63" s="20">
        <f>'Program Page'!CC$13</f>
        <v>0</v>
      </c>
      <c r="K63" s="2" t="str">
        <f>'Program Page'!CC$6</f>
        <v/>
      </c>
      <c r="L63" s="2" t="str">
        <f>'Program Page'!CC$5</f>
        <v/>
      </c>
      <c r="M63" s="2">
        <f>'Program Page'!CC$17</f>
        <v>0</v>
      </c>
      <c r="N63" s="2" t="str">
        <f>'Custom Well'!BM$15</f>
        <v/>
      </c>
      <c r="O63" s="2" t="str">
        <f>'Custom Well'!BM$16</f>
        <v/>
      </c>
      <c r="P63" s="2" t="str">
        <f>'Custom Well'!BM$17</f>
        <v/>
      </c>
      <c r="Q63" s="163" t="str">
        <f>'Custom Well'!BM$18</f>
        <v/>
      </c>
    </row>
    <row r="64" spans="1:17" x14ac:dyDescent="0.25">
      <c r="A64" s="2">
        <f>'Slide Measurements'!B103</f>
        <v>63</v>
      </c>
      <c r="B64" s="2" t="str">
        <f>'Slide Measurements'!C103</f>
        <v>9G</v>
      </c>
      <c r="C64" s="2">
        <f>'Slide Measurements'!A103</f>
        <v>0</v>
      </c>
      <c r="D64" s="2">
        <f>'Slide Measurements'!D103</f>
        <v>522.81000000000006</v>
      </c>
      <c r="E64" s="2">
        <f>'Slide Measurements'!E103</f>
        <v>324.72000000000003</v>
      </c>
      <c r="F64" s="20">
        <f>'Program Page'!CD$9</f>
        <v>0</v>
      </c>
      <c r="G64" s="20">
        <f>'Program Page'!CD$10</f>
        <v>0</v>
      </c>
      <c r="H64" s="20">
        <f>'Program Page'!CD$11</f>
        <v>0</v>
      </c>
      <c r="I64" s="20">
        <f>'Program Page'!CD$12</f>
        <v>0</v>
      </c>
      <c r="J64" s="20">
        <f>'Program Page'!CD$13</f>
        <v>0</v>
      </c>
      <c r="K64" s="2" t="str">
        <f>'Program Page'!CD$6</f>
        <v/>
      </c>
      <c r="L64" s="2" t="str">
        <f>'Program Page'!CD$5</f>
        <v/>
      </c>
      <c r="M64" s="2">
        <f>'Program Page'!CD$17</f>
        <v>0</v>
      </c>
      <c r="N64" s="2" t="str">
        <f>'Custom Well'!BN$15</f>
        <v/>
      </c>
      <c r="O64" s="2" t="str">
        <f>'Custom Well'!BN$16</f>
        <v/>
      </c>
      <c r="P64" s="2" t="str">
        <f>'Custom Well'!BN$17</f>
        <v/>
      </c>
      <c r="Q64" s="163" t="str">
        <f>'Custom Well'!BN$18</f>
        <v/>
      </c>
    </row>
    <row r="65" spans="1:17" x14ac:dyDescent="0.25">
      <c r="A65" s="2">
        <f>'Slide Measurements'!B104</f>
        <v>64</v>
      </c>
      <c r="B65" s="2" t="str">
        <f>'Slide Measurements'!C104</f>
        <v>10A</v>
      </c>
      <c r="C65" s="2">
        <f>'Slide Measurements'!A104</f>
        <v>0</v>
      </c>
      <c r="D65" s="2">
        <f>'Slide Measurements'!D104</f>
        <v>1.5099999999999998</v>
      </c>
      <c r="E65" s="2">
        <f>'Slide Measurements'!E104</f>
        <v>376.43</v>
      </c>
      <c r="F65" s="20">
        <f>'Program Page'!CE$9</f>
        <v>0</v>
      </c>
      <c r="G65" s="20">
        <f>'Program Page'!CE$10</f>
        <v>0</v>
      </c>
      <c r="H65" s="20">
        <f>'Program Page'!CE$11</f>
        <v>0</v>
      </c>
      <c r="I65" s="20">
        <f>'Program Page'!CE$12</f>
        <v>0</v>
      </c>
      <c r="J65" s="20">
        <f>'Program Page'!CE$13</f>
        <v>0</v>
      </c>
      <c r="K65" s="2" t="str">
        <f>'Program Page'!CE$6</f>
        <v/>
      </c>
      <c r="L65" s="2" t="str">
        <f>'Program Page'!CE$5</f>
        <v/>
      </c>
      <c r="M65" s="2">
        <f>'Program Page'!CE$17</f>
        <v>0</v>
      </c>
      <c r="N65" s="2" t="str">
        <f>'Custom Well'!BO$15</f>
        <v/>
      </c>
      <c r="O65" s="2" t="str">
        <f>'Custom Well'!BO$16</f>
        <v/>
      </c>
      <c r="P65" s="2" t="str">
        <f>'Custom Well'!BO$17</f>
        <v/>
      </c>
      <c r="Q65" s="163" t="str">
        <f>'Custom Well'!BO$18</f>
        <v/>
      </c>
    </row>
    <row r="66" spans="1:17" x14ac:dyDescent="0.25">
      <c r="A66" s="2">
        <f>'Slide Measurements'!B105</f>
        <v>65</v>
      </c>
      <c r="B66" s="2" t="str">
        <f>'Slide Measurements'!C105</f>
        <v>10B</v>
      </c>
      <c r="C66" s="2">
        <f>'Slide Measurements'!A105</f>
        <v>0</v>
      </c>
      <c r="D66" s="2">
        <f>'Slide Measurements'!D105</f>
        <v>89.51</v>
      </c>
      <c r="E66" s="2">
        <f>'Slide Measurements'!E105</f>
        <v>376.43</v>
      </c>
      <c r="F66" s="20">
        <f>'Program Page'!CF$9</f>
        <v>0</v>
      </c>
      <c r="G66" s="20">
        <f>'Program Page'!CF$10</f>
        <v>0</v>
      </c>
      <c r="H66" s="20">
        <f>'Program Page'!CF$11</f>
        <v>0</v>
      </c>
      <c r="I66" s="20">
        <f>'Program Page'!CF$12</f>
        <v>0</v>
      </c>
      <c r="J66" s="20">
        <f>'Program Page'!CF$13</f>
        <v>0</v>
      </c>
      <c r="K66" s="2" t="str">
        <f>'Program Page'!CF$6</f>
        <v/>
      </c>
      <c r="L66" s="2" t="str">
        <f>'Program Page'!CF$5</f>
        <v/>
      </c>
      <c r="M66" s="2">
        <f>'Program Page'!CF$17</f>
        <v>0</v>
      </c>
      <c r="N66" s="2" t="str">
        <f>'Custom Well'!BP$15</f>
        <v/>
      </c>
      <c r="O66" s="2" t="str">
        <f>'Custom Well'!BP$16</f>
        <v/>
      </c>
      <c r="P66" s="2" t="str">
        <f>'Custom Well'!BP$17</f>
        <v/>
      </c>
      <c r="Q66" s="163" t="str">
        <f>'Custom Well'!BP$18</f>
        <v/>
      </c>
    </row>
    <row r="67" spans="1:17" x14ac:dyDescent="0.25">
      <c r="A67" s="2">
        <f>'Slide Measurements'!B106</f>
        <v>66</v>
      </c>
      <c r="B67" s="2" t="str">
        <f>'Slide Measurements'!C106</f>
        <v>10C</v>
      </c>
      <c r="C67" s="2">
        <f>'Slide Measurements'!A106</f>
        <v>0</v>
      </c>
      <c r="D67" s="2">
        <f>'Slide Measurements'!D106</f>
        <v>176.11</v>
      </c>
      <c r="E67" s="2">
        <f>'Slide Measurements'!E106</f>
        <v>376.43</v>
      </c>
      <c r="F67" s="20">
        <f>'Program Page'!CG$9</f>
        <v>0</v>
      </c>
      <c r="G67" s="20">
        <f>'Program Page'!CG$10</f>
        <v>0</v>
      </c>
      <c r="H67" s="20">
        <f>'Program Page'!CG$11</f>
        <v>0</v>
      </c>
      <c r="I67" s="20">
        <f>'Program Page'!CG$12</f>
        <v>0</v>
      </c>
      <c r="J67" s="20">
        <f>'Program Page'!CG$13</f>
        <v>0</v>
      </c>
      <c r="K67" s="2" t="str">
        <f>'Program Page'!CG$6</f>
        <v/>
      </c>
      <c r="L67" s="2" t="str">
        <f>'Program Page'!CG$5</f>
        <v/>
      </c>
      <c r="M67" s="2">
        <f>'Program Page'!CG$17</f>
        <v>0</v>
      </c>
      <c r="N67" s="2" t="str">
        <f>'Custom Well'!BQ$15</f>
        <v/>
      </c>
      <c r="O67" s="2" t="str">
        <f>'Custom Well'!BQ$16</f>
        <v/>
      </c>
      <c r="P67" s="2" t="str">
        <f>'Custom Well'!BQ$17</f>
        <v/>
      </c>
      <c r="Q67" s="163" t="str">
        <f>'Custom Well'!BQ$18</f>
        <v/>
      </c>
    </row>
    <row r="68" spans="1:17" x14ac:dyDescent="0.25">
      <c r="A68" s="2">
        <f>'Slide Measurements'!B107</f>
        <v>67</v>
      </c>
      <c r="B68" s="2" t="str">
        <f>'Slide Measurements'!C107</f>
        <v>10D</v>
      </c>
      <c r="C68" s="2">
        <f>'Slide Measurements'!A107</f>
        <v>0</v>
      </c>
      <c r="D68" s="2">
        <f>'Slide Measurements'!D107</f>
        <v>263.11</v>
      </c>
      <c r="E68" s="2">
        <f>'Slide Measurements'!E107</f>
        <v>376.43</v>
      </c>
      <c r="F68" s="20">
        <f>'Program Page'!CH$9</f>
        <v>0</v>
      </c>
      <c r="G68" s="20">
        <f>'Program Page'!CH$10</f>
        <v>0</v>
      </c>
      <c r="H68" s="20">
        <f>'Program Page'!CH$11</f>
        <v>0</v>
      </c>
      <c r="I68" s="20">
        <f>'Program Page'!CH$12</f>
        <v>0</v>
      </c>
      <c r="J68" s="20">
        <f>'Program Page'!CH$13</f>
        <v>0</v>
      </c>
      <c r="K68" s="2" t="str">
        <f>'Program Page'!CH$6</f>
        <v/>
      </c>
      <c r="L68" s="2" t="str">
        <f>'Program Page'!CH$5</f>
        <v/>
      </c>
      <c r="M68" s="2">
        <f>'Program Page'!CH$17</f>
        <v>0</v>
      </c>
      <c r="N68" s="2" t="str">
        <f>'Custom Well'!BR$15</f>
        <v/>
      </c>
      <c r="O68" s="2" t="str">
        <f>'Custom Well'!BR$16</f>
        <v/>
      </c>
      <c r="P68" s="2" t="str">
        <f>'Custom Well'!BR$17</f>
        <v/>
      </c>
      <c r="Q68" s="163" t="str">
        <f>'Custom Well'!BR$18</f>
        <v/>
      </c>
    </row>
    <row r="69" spans="1:17" x14ac:dyDescent="0.25">
      <c r="A69" s="2">
        <f>'Slide Measurements'!B108</f>
        <v>68</v>
      </c>
      <c r="B69" s="2" t="str">
        <f>'Slide Measurements'!C108</f>
        <v>10E</v>
      </c>
      <c r="C69" s="2">
        <f>'Slide Measurements'!A108</f>
        <v>0</v>
      </c>
      <c r="D69" s="2">
        <f>'Slide Measurements'!D108</f>
        <v>349.51</v>
      </c>
      <c r="E69" s="2">
        <f>'Slide Measurements'!E108</f>
        <v>376.43</v>
      </c>
      <c r="F69" s="20">
        <f>'Program Page'!CI$9</f>
        <v>0</v>
      </c>
      <c r="G69" s="20">
        <f>'Program Page'!CI$10</f>
        <v>0</v>
      </c>
      <c r="H69" s="20">
        <f>'Program Page'!CI$11</f>
        <v>0</v>
      </c>
      <c r="I69" s="20">
        <f>'Program Page'!CI$12</f>
        <v>0</v>
      </c>
      <c r="J69" s="20">
        <f>'Program Page'!CI$13</f>
        <v>0</v>
      </c>
      <c r="K69" s="2" t="str">
        <f>'Program Page'!CI$6</f>
        <v/>
      </c>
      <c r="L69" s="2" t="str">
        <f>'Program Page'!CI$5</f>
        <v/>
      </c>
      <c r="M69" s="2">
        <f>'Program Page'!CI$17</f>
        <v>0</v>
      </c>
      <c r="N69" s="2" t="str">
        <f>'Custom Well'!BS$15</f>
        <v/>
      </c>
      <c r="O69" s="2" t="str">
        <f>'Custom Well'!BS$16</f>
        <v/>
      </c>
      <c r="P69" s="2" t="str">
        <f>'Custom Well'!BS$17</f>
        <v/>
      </c>
      <c r="Q69" s="163" t="str">
        <f>'Custom Well'!BS$18</f>
        <v/>
      </c>
    </row>
    <row r="70" spans="1:17" x14ac:dyDescent="0.25">
      <c r="A70" s="2">
        <f>'Slide Measurements'!B109</f>
        <v>69</v>
      </c>
      <c r="B70" s="2" t="str">
        <f>'Slide Measurements'!C109</f>
        <v>10F</v>
      </c>
      <c r="C70" s="2">
        <f>'Slide Measurements'!A109</f>
        <v>0</v>
      </c>
      <c r="D70" s="2">
        <f>'Slide Measurements'!D109</f>
        <v>436.11</v>
      </c>
      <c r="E70" s="2">
        <f>'Slide Measurements'!E109</f>
        <v>376.43</v>
      </c>
      <c r="F70" s="20">
        <f>'Program Page'!CJ$9</f>
        <v>0</v>
      </c>
      <c r="G70" s="20">
        <f>'Program Page'!CJ$10</f>
        <v>0</v>
      </c>
      <c r="H70" s="20">
        <f>'Program Page'!CJ$11</f>
        <v>0</v>
      </c>
      <c r="I70" s="20">
        <f>'Program Page'!CJ$12</f>
        <v>0</v>
      </c>
      <c r="J70" s="20">
        <f>'Program Page'!CJ$13</f>
        <v>0</v>
      </c>
      <c r="K70" s="2" t="str">
        <f>'Program Page'!CJ$6</f>
        <v/>
      </c>
      <c r="L70" s="2" t="str">
        <f>'Program Page'!CJ$5</f>
        <v/>
      </c>
      <c r="M70" s="2">
        <f>'Program Page'!CJ$17</f>
        <v>0</v>
      </c>
      <c r="N70" s="2" t="str">
        <f>'Custom Well'!BT$15</f>
        <v/>
      </c>
      <c r="O70" s="2" t="str">
        <f>'Custom Well'!BT$16</f>
        <v/>
      </c>
      <c r="P70" s="2" t="str">
        <f>'Custom Well'!BT$17</f>
        <v/>
      </c>
      <c r="Q70" s="163" t="str">
        <f>'Custom Well'!BT$18</f>
        <v/>
      </c>
    </row>
    <row r="71" spans="1:17" x14ac:dyDescent="0.25">
      <c r="A71" s="2">
        <f>'Slide Measurements'!B110</f>
        <v>70</v>
      </c>
      <c r="B71" s="2" t="str">
        <f>'Slide Measurements'!C110</f>
        <v>10G</v>
      </c>
      <c r="C71" s="2">
        <f>'Slide Measurements'!A110</f>
        <v>0</v>
      </c>
      <c r="D71" s="2">
        <f>'Slide Measurements'!D110</f>
        <v>523.01</v>
      </c>
      <c r="E71" s="2">
        <f>'Slide Measurements'!E110</f>
        <v>376.43</v>
      </c>
      <c r="F71" s="20">
        <f>'Program Page'!CK$9</f>
        <v>0</v>
      </c>
      <c r="G71" s="20">
        <f>'Program Page'!CK$10</f>
        <v>0</v>
      </c>
      <c r="H71" s="20">
        <f>'Program Page'!CK$11</f>
        <v>0</v>
      </c>
      <c r="I71" s="20">
        <f>'Program Page'!CK$12</f>
        <v>0</v>
      </c>
      <c r="J71" s="20">
        <f>'Program Page'!CK$13</f>
        <v>0</v>
      </c>
      <c r="K71" s="2" t="str">
        <f>'Program Page'!CK$6</f>
        <v/>
      </c>
      <c r="L71" s="2" t="str">
        <f>'Program Page'!CK$5</f>
        <v/>
      </c>
      <c r="M71" s="2">
        <f>'Program Page'!CK$17</f>
        <v>0</v>
      </c>
      <c r="N71" s="2" t="str">
        <f>'Custom Well'!BU$15</f>
        <v/>
      </c>
      <c r="O71" s="2" t="str">
        <f>'Custom Well'!BU$16</f>
        <v/>
      </c>
      <c r="P71" s="2" t="str">
        <f>'Custom Well'!BU$17</f>
        <v/>
      </c>
      <c r="Q71" s="163" t="str">
        <f>'Custom Well'!BU$18</f>
        <v/>
      </c>
    </row>
    <row r="72" spans="1:17" x14ac:dyDescent="0.25">
      <c r="A72" s="2">
        <f>'Slide Measurements'!B111</f>
        <v>71</v>
      </c>
      <c r="B72" s="2" t="str">
        <f>'Slide Measurements'!C111</f>
        <v>11A</v>
      </c>
      <c r="C72" s="2">
        <f>'Slide Measurements'!A111</f>
        <v>0</v>
      </c>
      <c r="D72" s="2">
        <f>'Slide Measurements'!D111</f>
        <v>1.5099999999999998</v>
      </c>
      <c r="E72" s="2">
        <f>'Slide Measurements'!E111</f>
        <v>412.93</v>
      </c>
      <c r="F72" s="20">
        <f>'Program Page'!CL$9</f>
        <v>0</v>
      </c>
      <c r="G72" s="20">
        <f>'Program Page'!BXX27</f>
        <v>0</v>
      </c>
      <c r="H72" s="20">
        <f>'Program Page'!BXX28</f>
        <v>0</v>
      </c>
      <c r="I72" s="20">
        <f>'Program Page'!BXX29</f>
        <v>0</v>
      </c>
      <c r="J72" s="20">
        <f>'Program Page'!BXX30</f>
        <v>0</v>
      </c>
      <c r="K72" s="2" t="str">
        <f>'Program Page'!CL$6</f>
        <v/>
      </c>
      <c r="L72" s="2" t="str">
        <f>'Program Page'!CL$5</f>
        <v/>
      </c>
      <c r="M72" s="2">
        <f>'Program Page'!CL$17</f>
        <v>0</v>
      </c>
      <c r="N72" s="2" t="str">
        <f>'Custom Well'!BV$15</f>
        <v/>
      </c>
      <c r="O72" s="2" t="str">
        <f>'Custom Well'!BV$16</f>
        <v/>
      </c>
      <c r="P72" s="2" t="str">
        <f>'Custom Well'!BV$17</f>
        <v/>
      </c>
      <c r="Q72" s="163" t="str">
        <f>'Custom Well'!BV$18</f>
        <v/>
      </c>
    </row>
    <row r="73" spans="1:17" x14ac:dyDescent="0.25">
      <c r="A73" s="2">
        <f>'Slide Measurements'!B112</f>
        <v>72</v>
      </c>
      <c r="B73" s="2" t="str">
        <f>'Slide Measurements'!C112</f>
        <v>11B</v>
      </c>
      <c r="C73" s="2">
        <f>'Slide Measurements'!A112</f>
        <v>0</v>
      </c>
      <c r="D73" s="2">
        <f>'Slide Measurements'!D112</f>
        <v>89.51</v>
      </c>
      <c r="E73" s="2">
        <f>'Slide Measurements'!E112</f>
        <v>412.93</v>
      </c>
      <c r="F73" s="20">
        <f>'Program Page'!CM$9</f>
        <v>0</v>
      </c>
      <c r="G73" s="20">
        <f>'Program Page'!CM$10</f>
        <v>0</v>
      </c>
      <c r="H73" s="20">
        <f>'Program Page'!CM$11</f>
        <v>0</v>
      </c>
      <c r="I73" s="20">
        <f>'Program Page'!CM$12</f>
        <v>0</v>
      </c>
      <c r="J73" s="20">
        <f>'Program Page'!CM$13</f>
        <v>0</v>
      </c>
      <c r="K73" s="2" t="str">
        <f>'Program Page'!CM$6</f>
        <v/>
      </c>
      <c r="L73" s="2" t="str">
        <f>'Program Page'!CM$5</f>
        <v/>
      </c>
      <c r="M73" s="2">
        <f>'Program Page'!CM$17</f>
        <v>0</v>
      </c>
      <c r="N73" s="2" t="str">
        <f>'Custom Well'!BW$15</f>
        <v/>
      </c>
      <c r="O73" s="2" t="str">
        <f>'Custom Well'!BW$16</f>
        <v/>
      </c>
      <c r="P73" s="2" t="str">
        <f>'Custom Well'!BW$17</f>
        <v/>
      </c>
      <c r="Q73" s="163" t="str">
        <f>'Custom Well'!BW$18</f>
        <v/>
      </c>
    </row>
    <row r="74" spans="1:17" x14ac:dyDescent="0.25">
      <c r="A74" s="2">
        <f>'Slide Measurements'!B113</f>
        <v>73</v>
      </c>
      <c r="B74" s="2" t="str">
        <f>'Slide Measurements'!C113</f>
        <v>11C</v>
      </c>
      <c r="C74" s="2">
        <f>'Slide Measurements'!A113</f>
        <v>0</v>
      </c>
      <c r="D74" s="2">
        <f>'Slide Measurements'!D113</f>
        <v>176.11</v>
      </c>
      <c r="E74" s="2">
        <f>'Slide Measurements'!E113</f>
        <v>412.93</v>
      </c>
      <c r="F74" s="20">
        <f>'Program Page'!CN$9</f>
        <v>0</v>
      </c>
      <c r="G74" s="20">
        <f>'Program Page'!CN$10</f>
        <v>0</v>
      </c>
      <c r="H74" s="20">
        <f>'Program Page'!CN$11</f>
        <v>0</v>
      </c>
      <c r="I74" s="20">
        <f>'Program Page'!CN$12</f>
        <v>0</v>
      </c>
      <c r="J74" s="20">
        <f>'Program Page'!CN$13</f>
        <v>0</v>
      </c>
      <c r="K74" s="2" t="str">
        <f>'Program Page'!CN$6</f>
        <v/>
      </c>
      <c r="L74" s="2" t="str">
        <f>'Program Page'!CN$5</f>
        <v/>
      </c>
      <c r="M74" s="2">
        <f>'Program Page'!CN$17</f>
        <v>0</v>
      </c>
      <c r="N74" s="2" t="str">
        <f>'Custom Well'!BX$15</f>
        <v/>
      </c>
      <c r="O74" s="2" t="str">
        <f>'Custom Well'!BX$16</f>
        <v/>
      </c>
      <c r="P74" s="2" t="str">
        <f>'Custom Well'!BX$17</f>
        <v/>
      </c>
      <c r="Q74" s="163" t="str">
        <f>'Custom Well'!BX$18</f>
        <v/>
      </c>
    </row>
    <row r="75" spans="1:17" x14ac:dyDescent="0.25">
      <c r="A75" s="2">
        <f>'Slide Measurements'!B114</f>
        <v>74</v>
      </c>
      <c r="B75" s="2" t="str">
        <f>'Slide Measurements'!C114</f>
        <v>11D</v>
      </c>
      <c r="C75" s="2">
        <f>'Slide Measurements'!A114</f>
        <v>0</v>
      </c>
      <c r="D75" s="2">
        <f>'Slide Measurements'!D114</f>
        <v>263.11</v>
      </c>
      <c r="E75" s="2">
        <f>'Slide Measurements'!E114</f>
        <v>412.93</v>
      </c>
      <c r="F75" s="20">
        <f>'Program Page'!CO$9</f>
        <v>0</v>
      </c>
      <c r="G75" s="20">
        <f>'Program Page'!CO$10</f>
        <v>0</v>
      </c>
      <c r="H75" s="20">
        <f>'Program Page'!CO$11</f>
        <v>0</v>
      </c>
      <c r="I75" s="20">
        <f>'Program Page'!CO$12</f>
        <v>0</v>
      </c>
      <c r="J75" s="20">
        <f>'Program Page'!CO$13</f>
        <v>0</v>
      </c>
      <c r="K75" s="2" t="str">
        <f>'Program Page'!CO$6</f>
        <v/>
      </c>
      <c r="L75" s="2" t="str">
        <f>'Program Page'!CO$5</f>
        <v/>
      </c>
      <c r="M75" s="2">
        <f>'Program Page'!CO$17</f>
        <v>0</v>
      </c>
      <c r="N75" s="2" t="str">
        <f>'Custom Well'!BY$15</f>
        <v/>
      </c>
      <c r="O75" s="2" t="str">
        <f>'Custom Well'!BY$16</f>
        <v/>
      </c>
      <c r="P75" s="2" t="str">
        <f>'Custom Well'!BY$17</f>
        <v/>
      </c>
      <c r="Q75" s="163" t="str">
        <f>'Custom Well'!BY$18</f>
        <v/>
      </c>
    </row>
    <row r="76" spans="1:17" x14ac:dyDescent="0.25">
      <c r="A76" s="2">
        <f>'Slide Measurements'!B115</f>
        <v>75</v>
      </c>
      <c r="B76" s="2" t="str">
        <f>'Slide Measurements'!C115</f>
        <v>11E</v>
      </c>
      <c r="C76" s="2">
        <f>'Slide Measurements'!A115</f>
        <v>0</v>
      </c>
      <c r="D76" s="2">
        <f>'Slide Measurements'!D115</f>
        <v>349.51</v>
      </c>
      <c r="E76" s="2">
        <f>'Slide Measurements'!E115</f>
        <v>412.93</v>
      </c>
      <c r="F76" s="20">
        <f>'Program Page'!CP$9</f>
        <v>0</v>
      </c>
      <c r="G76" s="20">
        <f>'Program Page'!CP$10</f>
        <v>0</v>
      </c>
      <c r="H76" s="20">
        <f>'Program Page'!CP$11</f>
        <v>0</v>
      </c>
      <c r="I76" s="20">
        <f>'Program Page'!CP$12</f>
        <v>0</v>
      </c>
      <c r="J76" s="20">
        <f>'Program Page'!CP$13</f>
        <v>0</v>
      </c>
      <c r="K76" s="2" t="str">
        <f>'Program Page'!CP$6</f>
        <v/>
      </c>
      <c r="L76" s="2" t="str">
        <f>'Program Page'!CP$5</f>
        <v/>
      </c>
      <c r="M76" s="2">
        <f>'Program Page'!CP$17</f>
        <v>0</v>
      </c>
      <c r="N76" s="2" t="str">
        <f>'Custom Well'!BZ$15</f>
        <v/>
      </c>
      <c r="O76" s="2" t="str">
        <f>'Custom Well'!BZ$16</f>
        <v/>
      </c>
      <c r="P76" s="2" t="str">
        <f>'Custom Well'!BZ$17</f>
        <v/>
      </c>
      <c r="Q76" s="163" t="str">
        <f>'Custom Well'!BZ$18</f>
        <v/>
      </c>
    </row>
    <row r="77" spans="1:17" x14ac:dyDescent="0.25">
      <c r="A77" s="2">
        <f>'Slide Measurements'!B116</f>
        <v>76</v>
      </c>
      <c r="B77" s="2" t="str">
        <f>'Slide Measurements'!C116</f>
        <v>11F</v>
      </c>
      <c r="C77" s="2">
        <f>'Slide Measurements'!A116</f>
        <v>0</v>
      </c>
      <c r="D77" s="2">
        <f>'Slide Measurements'!D116</f>
        <v>436.11</v>
      </c>
      <c r="E77" s="2">
        <f>'Slide Measurements'!E116</f>
        <v>412.93</v>
      </c>
      <c r="F77" s="20">
        <f>'Program Page'!CQ$9</f>
        <v>0</v>
      </c>
      <c r="G77" s="20">
        <f>'Program Page'!CQ$10</f>
        <v>0</v>
      </c>
      <c r="H77" s="20">
        <f>'Program Page'!CQ$11</f>
        <v>0</v>
      </c>
      <c r="I77" s="20">
        <f>'Program Page'!CQ$12</f>
        <v>0</v>
      </c>
      <c r="J77" s="20">
        <f>'Program Page'!CQ$13</f>
        <v>0</v>
      </c>
      <c r="K77" s="2" t="str">
        <f>'Program Page'!CQ$6</f>
        <v/>
      </c>
      <c r="L77" s="2" t="str">
        <f>'Program Page'!CQ$5</f>
        <v/>
      </c>
      <c r="M77" s="2">
        <f>'Program Page'!CQ$17</f>
        <v>0</v>
      </c>
      <c r="N77" s="2" t="str">
        <f>'Custom Well'!CA$15</f>
        <v/>
      </c>
      <c r="O77" s="2" t="str">
        <f>'Custom Well'!CA$16</f>
        <v/>
      </c>
      <c r="P77" s="2" t="str">
        <f>'Custom Well'!CA$17</f>
        <v/>
      </c>
      <c r="Q77" s="163" t="str">
        <f>'Custom Well'!CA$18</f>
        <v/>
      </c>
    </row>
    <row r="78" spans="1:17" x14ac:dyDescent="0.25">
      <c r="A78" s="2">
        <f>'Slide Measurements'!B117</f>
        <v>77</v>
      </c>
      <c r="B78" s="2" t="str">
        <f>'Slide Measurements'!C117</f>
        <v>11G</v>
      </c>
      <c r="C78" s="2">
        <f>'Slide Measurements'!A117</f>
        <v>0</v>
      </c>
      <c r="D78" s="2">
        <f>'Slide Measurements'!D117</f>
        <v>523.01</v>
      </c>
      <c r="E78" s="2">
        <f>'Slide Measurements'!E117</f>
        <v>412.93</v>
      </c>
      <c r="F78" s="20">
        <f>'Program Page'!CR$9</f>
        <v>0</v>
      </c>
      <c r="G78" s="20">
        <f>'Program Page'!CR$10</f>
        <v>0</v>
      </c>
      <c r="H78" s="20">
        <f>'Program Page'!CR$11</f>
        <v>0</v>
      </c>
      <c r="I78" s="20">
        <f>'Program Page'!CR$12</f>
        <v>0</v>
      </c>
      <c r="J78" s="20">
        <f>'Program Page'!CR$13</f>
        <v>0</v>
      </c>
      <c r="K78" s="2" t="str">
        <f>'Program Page'!CR$6</f>
        <v/>
      </c>
      <c r="L78" s="2" t="str">
        <f>'Program Page'!CR$5</f>
        <v/>
      </c>
      <c r="M78" s="2">
        <f>'Program Page'!CR$17</f>
        <v>0</v>
      </c>
      <c r="N78" s="2" t="str">
        <f>'Custom Well'!CB$15</f>
        <v/>
      </c>
      <c r="O78" s="2" t="str">
        <f>'Custom Well'!CB$16</f>
        <v/>
      </c>
      <c r="P78" s="2" t="str">
        <f>'Custom Well'!CB$17</f>
        <v/>
      </c>
      <c r="Q78" s="163" t="str">
        <f>'Custom Well'!CB$18</f>
        <v/>
      </c>
    </row>
    <row r="79" spans="1:17" x14ac:dyDescent="0.25">
      <c r="A79" s="2">
        <f>'Slide Measurements'!B118</f>
        <v>78</v>
      </c>
      <c r="B79" s="2" t="str">
        <f>'Slide Measurements'!C118</f>
        <v>12A</v>
      </c>
      <c r="C79" s="2">
        <f>'Slide Measurements'!A118</f>
        <v>0</v>
      </c>
      <c r="D79" s="2">
        <f>'Slide Measurements'!D118</f>
        <v>1.5099999999999998</v>
      </c>
      <c r="E79" s="2">
        <f>'Slide Measurements'!E118</f>
        <v>449.53000000000003</v>
      </c>
      <c r="F79" s="20">
        <f>'Program Page'!CS$9</f>
        <v>0</v>
      </c>
      <c r="G79" s="20">
        <f>'Program Page'!DB$27</f>
        <v>0</v>
      </c>
      <c r="H79" s="20">
        <f>'Program Page'!DB$28</f>
        <v>0</v>
      </c>
      <c r="I79" s="20">
        <f>'Program Page'!DB$29</f>
        <v>0</v>
      </c>
      <c r="J79" s="20">
        <f>'Program Page'!DB$30</f>
        <v>0</v>
      </c>
      <c r="K79" s="2" t="str">
        <f>'Program Page'!CS$6</f>
        <v/>
      </c>
      <c r="L79" s="2" t="str">
        <f>'Program Page'!CS$5</f>
        <v/>
      </c>
      <c r="M79" s="2">
        <f>'Program Page'!CS$17</f>
        <v>0</v>
      </c>
      <c r="N79" s="2" t="str">
        <f>'Custom Well'!CC$15</f>
        <v/>
      </c>
      <c r="O79" s="2" t="str">
        <f>'Custom Well'!CC$16</f>
        <v/>
      </c>
      <c r="P79" s="2" t="str">
        <f>'Custom Well'!CC$17</f>
        <v/>
      </c>
      <c r="Q79" s="163" t="str">
        <f>'Custom Well'!CC$18</f>
        <v/>
      </c>
    </row>
    <row r="80" spans="1:17" x14ac:dyDescent="0.25">
      <c r="A80" s="2">
        <f>'Slide Measurements'!B119</f>
        <v>79</v>
      </c>
      <c r="B80" s="2" t="str">
        <f>'Slide Measurements'!C119</f>
        <v>12B</v>
      </c>
      <c r="C80" s="2">
        <f>'Slide Measurements'!A119</f>
        <v>0</v>
      </c>
      <c r="D80" s="2">
        <f>'Slide Measurements'!D119</f>
        <v>89.51</v>
      </c>
      <c r="E80" s="2">
        <f>'Slide Measurements'!E119</f>
        <v>449.53000000000003</v>
      </c>
      <c r="F80" s="20">
        <f>'Program Page'!CT$9</f>
        <v>0</v>
      </c>
      <c r="G80" s="20">
        <f>'Program Page'!CT$10</f>
        <v>0</v>
      </c>
      <c r="H80" s="20">
        <f>'Program Page'!CT$11</f>
        <v>0</v>
      </c>
      <c r="I80" s="20">
        <f>'Program Page'!CT$12</f>
        <v>0</v>
      </c>
      <c r="J80" s="20">
        <f>'Program Page'!CT$13</f>
        <v>0</v>
      </c>
      <c r="K80" s="2" t="str">
        <f>'Program Page'!CT$6</f>
        <v/>
      </c>
      <c r="L80" s="2" t="str">
        <f>'Program Page'!CT$5</f>
        <v/>
      </c>
      <c r="M80" s="2">
        <f>'Program Page'!CT$17</f>
        <v>0</v>
      </c>
      <c r="N80" s="2" t="str">
        <f>'Custom Well'!CD$15</f>
        <v/>
      </c>
      <c r="O80" s="2" t="str">
        <f>'Custom Well'!CD$16</f>
        <v/>
      </c>
      <c r="P80" s="2" t="str">
        <f>'Custom Well'!CD$17</f>
        <v/>
      </c>
      <c r="Q80" s="163" t="str">
        <f>'Custom Well'!CD$18</f>
        <v/>
      </c>
    </row>
    <row r="81" spans="1:17" x14ac:dyDescent="0.25">
      <c r="A81" s="2">
        <f>'Slide Measurements'!B120</f>
        <v>80</v>
      </c>
      <c r="B81" s="2" t="str">
        <f>'Slide Measurements'!C120</f>
        <v>12C</v>
      </c>
      <c r="C81" s="2">
        <f>'Slide Measurements'!A120</f>
        <v>0</v>
      </c>
      <c r="D81" s="2">
        <f>'Slide Measurements'!D120</f>
        <v>176.11</v>
      </c>
      <c r="E81" s="2">
        <f>'Slide Measurements'!E120</f>
        <v>449.53000000000003</v>
      </c>
      <c r="F81" s="20">
        <f>'Program Page'!CU$9</f>
        <v>0</v>
      </c>
      <c r="G81" s="20">
        <f>'Program Page'!CU$10</f>
        <v>0</v>
      </c>
      <c r="H81" s="20">
        <f>'Program Page'!CU$11</f>
        <v>0</v>
      </c>
      <c r="I81" s="20">
        <f>'Program Page'!CU$12</f>
        <v>0</v>
      </c>
      <c r="J81" s="20">
        <f>'Program Page'!CU$13</f>
        <v>0</v>
      </c>
      <c r="K81" s="2" t="str">
        <f>'Program Page'!CU$6</f>
        <v/>
      </c>
      <c r="L81" s="2" t="str">
        <f>'Program Page'!CU$5</f>
        <v/>
      </c>
      <c r="M81" s="2">
        <f>'Program Page'!CU$17</f>
        <v>0</v>
      </c>
      <c r="N81" s="2" t="str">
        <f>'Custom Well'!CE$15</f>
        <v/>
      </c>
      <c r="O81" s="2" t="str">
        <f>'Custom Well'!CE$16</f>
        <v/>
      </c>
      <c r="P81" s="2" t="str">
        <f>'Custom Well'!CE$17</f>
        <v/>
      </c>
      <c r="Q81" s="163" t="str">
        <f>'Custom Well'!CE$18</f>
        <v/>
      </c>
    </row>
    <row r="82" spans="1:17" x14ac:dyDescent="0.25">
      <c r="A82" s="2">
        <f>'Slide Measurements'!B121</f>
        <v>81</v>
      </c>
      <c r="B82" s="2" t="str">
        <f>'Slide Measurements'!C121</f>
        <v>12D</v>
      </c>
      <c r="C82" s="2">
        <f>'Slide Measurements'!A121</f>
        <v>0</v>
      </c>
      <c r="D82" s="2">
        <f>'Slide Measurements'!D121</f>
        <v>263.11</v>
      </c>
      <c r="E82" s="2">
        <f>'Slide Measurements'!E121</f>
        <v>449.53000000000003</v>
      </c>
      <c r="F82" s="20">
        <f>'Program Page'!CV$9</f>
        <v>0</v>
      </c>
      <c r="G82" s="20">
        <f>'Program Page'!CV$10</f>
        <v>0</v>
      </c>
      <c r="H82" s="20">
        <f>'Program Page'!CV$11</f>
        <v>0</v>
      </c>
      <c r="I82" s="20">
        <f>'Program Page'!CV$12</f>
        <v>0</v>
      </c>
      <c r="J82" s="20">
        <f>'Program Page'!CV$13</f>
        <v>0</v>
      </c>
      <c r="K82" s="2" t="str">
        <f>'Program Page'!CV$6</f>
        <v/>
      </c>
      <c r="L82" s="2" t="str">
        <f>'Program Page'!CV$5</f>
        <v/>
      </c>
      <c r="M82" s="2">
        <f>'Program Page'!CV$17</f>
        <v>0</v>
      </c>
      <c r="N82" s="2" t="str">
        <f>'Custom Well'!CF$15</f>
        <v/>
      </c>
      <c r="O82" s="2" t="str">
        <f>'Custom Well'!CF$16</f>
        <v/>
      </c>
      <c r="P82" s="2" t="str">
        <f>'Custom Well'!CF$17</f>
        <v/>
      </c>
      <c r="Q82" s="163" t="str">
        <f>'Custom Well'!CF$18</f>
        <v/>
      </c>
    </row>
    <row r="83" spans="1:17" x14ac:dyDescent="0.25">
      <c r="A83" s="2">
        <f>'Slide Measurements'!B122</f>
        <v>82</v>
      </c>
      <c r="B83" s="2" t="str">
        <f>'Slide Measurements'!C122</f>
        <v>12E</v>
      </c>
      <c r="C83" s="2">
        <f>'Slide Measurements'!A122</f>
        <v>0</v>
      </c>
      <c r="D83" s="2">
        <f>'Slide Measurements'!D122</f>
        <v>349.51</v>
      </c>
      <c r="E83" s="2">
        <f>'Slide Measurements'!E122</f>
        <v>449.53000000000003</v>
      </c>
      <c r="F83" s="20">
        <f>'Program Page'!CW$9</f>
        <v>0</v>
      </c>
      <c r="G83" s="20">
        <f>'Program Page'!CW$10</f>
        <v>0</v>
      </c>
      <c r="H83" s="20">
        <f>'Program Page'!CW$11</f>
        <v>0</v>
      </c>
      <c r="I83" s="20">
        <f>'Program Page'!CW$12</f>
        <v>0</v>
      </c>
      <c r="J83" s="20">
        <f>'Program Page'!CW$13</f>
        <v>0</v>
      </c>
      <c r="K83" s="2" t="str">
        <f>'Program Page'!CW$6</f>
        <v/>
      </c>
      <c r="L83" s="2" t="str">
        <f>'Program Page'!CW$5</f>
        <v/>
      </c>
      <c r="M83" s="2">
        <f>'Program Page'!CW$17</f>
        <v>0</v>
      </c>
      <c r="N83" s="2" t="str">
        <f>'Custom Well'!CG$15</f>
        <v/>
      </c>
      <c r="O83" s="2" t="str">
        <f>'Custom Well'!CG$16</f>
        <v/>
      </c>
      <c r="P83" s="2" t="str">
        <f>'Custom Well'!CG$17</f>
        <v/>
      </c>
      <c r="Q83" s="163" t="str">
        <f>'Custom Well'!CG$18</f>
        <v/>
      </c>
    </row>
    <row r="84" spans="1:17" x14ac:dyDescent="0.25">
      <c r="A84" s="2">
        <f>'Slide Measurements'!B123</f>
        <v>83</v>
      </c>
      <c r="B84" s="2" t="str">
        <f>'Slide Measurements'!C123</f>
        <v>12F</v>
      </c>
      <c r="C84" s="2">
        <f>'Slide Measurements'!A123</f>
        <v>0</v>
      </c>
      <c r="D84" s="2">
        <f>'Slide Measurements'!D123</f>
        <v>436.11</v>
      </c>
      <c r="E84" s="2">
        <f>'Slide Measurements'!E123</f>
        <v>449.53000000000003</v>
      </c>
      <c r="F84" s="20">
        <f>'Program Page'!CX$9</f>
        <v>0</v>
      </c>
      <c r="G84" s="20">
        <f>'Program Page'!CX$10</f>
        <v>0</v>
      </c>
      <c r="H84" s="20">
        <f>'Program Page'!CX$11</f>
        <v>0</v>
      </c>
      <c r="I84" s="20">
        <f>'Program Page'!CX$12</f>
        <v>0</v>
      </c>
      <c r="J84" s="20">
        <f>'Program Page'!CX$13</f>
        <v>0</v>
      </c>
      <c r="K84" s="2" t="str">
        <f>'Program Page'!CX$6</f>
        <v/>
      </c>
      <c r="L84" s="2" t="str">
        <f>'Program Page'!CX$5</f>
        <v/>
      </c>
      <c r="M84" s="2">
        <f>'Program Page'!CX$17</f>
        <v>0</v>
      </c>
      <c r="N84" s="2" t="str">
        <f>'Custom Well'!CH$15</f>
        <v/>
      </c>
      <c r="O84" s="2" t="str">
        <f>'Custom Well'!CH$16</f>
        <v/>
      </c>
      <c r="P84" s="2" t="str">
        <f>'Custom Well'!CH$17</f>
        <v/>
      </c>
      <c r="Q84" s="163" t="str">
        <f>'Custom Well'!CH$18</f>
        <v/>
      </c>
    </row>
    <row r="85" spans="1:17" x14ac:dyDescent="0.25">
      <c r="A85" s="2">
        <f>'Slide Measurements'!B124</f>
        <v>84</v>
      </c>
      <c r="B85" s="2" t="str">
        <f>'Slide Measurements'!C124</f>
        <v>12G</v>
      </c>
      <c r="C85" s="2">
        <f>'Slide Measurements'!A124</f>
        <v>0</v>
      </c>
      <c r="D85" s="2">
        <f>'Slide Measurements'!D124</f>
        <v>523.01</v>
      </c>
      <c r="E85" s="2">
        <f>'Slide Measurements'!E124</f>
        <v>449.53000000000003</v>
      </c>
      <c r="F85" s="20">
        <f>'Program Page'!CY$9</f>
        <v>0</v>
      </c>
      <c r="G85" s="20">
        <f>'Program Page'!CY$10</f>
        <v>0</v>
      </c>
      <c r="H85" s="20">
        <f>'Program Page'!CY$11</f>
        <v>0</v>
      </c>
      <c r="I85" s="20">
        <f>'Program Page'!CY$12</f>
        <v>0</v>
      </c>
      <c r="J85" s="20">
        <f>'Program Page'!CY$13</f>
        <v>0</v>
      </c>
      <c r="K85" s="2" t="str">
        <f>'Program Page'!CY$6</f>
        <v/>
      </c>
      <c r="L85" s="2" t="str">
        <f>'Program Page'!CY$5</f>
        <v/>
      </c>
      <c r="M85" s="2">
        <f>'Program Page'!CY$17</f>
        <v>0</v>
      </c>
      <c r="N85" s="2" t="str">
        <f>'Custom Well'!CI$15</f>
        <v/>
      </c>
      <c r="O85" s="2" t="str">
        <f>'Custom Well'!CI$16</f>
        <v/>
      </c>
      <c r="P85" s="2" t="str">
        <f>'Custom Well'!CI$17</f>
        <v/>
      </c>
      <c r="Q85" s="163" t="str">
        <f>'Custom Well'!CI$18</f>
        <v/>
      </c>
    </row>
  </sheetData>
  <customSheetViews>
    <customSheetView guid="{84F0FDFB-72A1-4214-8B2B-A048953E297B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154"/>
  <sheetViews>
    <sheetView topLeftCell="C1" workbookViewId="0">
      <selection activeCell="P2" sqref="P2:S85"/>
    </sheetView>
  </sheetViews>
  <sheetFormatPr defaultRowHeight="15" x14ac:dyDescent="0.25"/>
  <cols>
    <col min="2" max="2" width="19" bestFit="1" customWidth="1"/>
    <col min="3" max="3" width="18.85546875" bestFit="1" customWidth="1"/>
    <col min="9" max="9" width="15.85546875" bestFit="1" customWidth="1"/>
    <col min="16" max="16" width="20.85546875" bestFit="1" customWidth="1"/>
    <col min="17" max="17" width="20.5703125" bestFit="1" customWidth="1"/>
    <col min="18" max="19" width="22" bestFit="1" customWidth="1"/>
  </cols>
  <sheetData>
    <row r="1" spans="5:19" x14ac:dyDescent="0.25">
      <c r="P1" s="13" t="s">
        <v>369</v>
      </c>
      <c r="Q1" t="s">
        <v>368</v>
      </c>
      <c r="R1" t="s">
        <v>370</v>
      </c>
      <c r="S1" t="s">
        <v>371</v>
      </c>
    </row>
    <row r="2" spans="5:19" x14ac:dyDescent="0.25">
      <c r="E2" t="s">
        <v>42</v>
      </c>
      <c r="G2" s="67" t="str">
        <f t="shared" ref="G2:G13" si="0">CONCATENATE(A2,B2,C2,D2,E2)</f>
        <v>D</v>
      </c>
      <c r="I2" s="41" t="s">
        <v>372</v>
      </c>
      <c r="K2" s="42" t="s">
        <v>373</v>
      </c>
      <c r="L2" s="42" t="s">
        <v>374</v>
      </c>
      <c r="M2" s="42" t="s">
        <v>375</v>
      </c>
      <c r="N2" s="42" t="s">
        <v>376</v>
      </c>
      <c r="P2" t="str">
        <f>CONCATENATE(I2,G2,K2)</f>
        <v>='Custom Well'!D`$15</v>
      </c>
      <c r="Q2" t="str">
        <f>CONCATENATE(I2,G2,L2)</f>
        <v>='Custom Well'!D`$16</v>
      </c>
      <c r="R2" t="str">
        <f>CONCATENATE(I2,G2,M2)</f>
        <v>='Custom Well'!D`$17</v>
      </c>
      <c r="S2" t="str">
        <f>CONCATENATE(I2,G2,N2)</f>
        <v>='Custom Well'!D`$18</v>
      </c>
    </row>
    <row r="3" spans="5:19" x14ac:dyDescent="0.25">
      <c r="E3" t="s">
        <v>43</v>
      </c>
      <c r="F3" s="66">
        <v>1</v>
      </c>
      <c r="G3" s="67" t="str">
        <f t="shared" si="0"/>
        <v>E</v>
      </c>
      <c r="I3" s="41" t="s">
        <v>372</v>
      </c>
      <c r="K3" s="42" t="s">
        <v>373</v>
      </c>
      <c r="L3" s="42" t="s">
        <v>374</v>
      </c>
      <c r="M3" s="42" t="s">
        <v>375</v>
      </c>
      <c r="N3" s="42" t="s">
        <v>376</v>
      </c>
      <c r="P3" t="str">
        <f>CONCATENATE(I3,G3,K3)</f>
        <v>='Custom Well'!E`$15</v>
      </c>
      <c r="Q3" t="str">
        <f>CONCATENATE(I3,G3,L3)</f>
        <v>='Custom Well'!E`$16</v>
      </c>
      <c r="R3" t="str">
        <f>CONCATENATE(I3,G3,M3)</f>
        <v>='Custom Well'!E`$17</v>
      </c>
      <c r="S3" t="str">
        <f>CONCATENATE(I3,G3,N3)</f>
        <v>='Custom Well'!E`$18</v>
      </c>
    </row>
    <row r="4" spans="5:19" x14ac:dyDescent="0.25">
      <c r="E4" t="s">
        <v>44</v>
      </c>
      <c r="F4" s="68">
        <v>2</v>
      </c>
      <c r="G4" s="69" t="str">
        <f t="shared" si="0"/>
        <v>F</v>
      </c>
      <c r="I4" s="41" t="s">
        <v>372</v>
      </c>
      <c r="K4" s="42" t="s">
        <v>373</v>
      </c>
      <c r="L4" s="42" t="s">
        <v>374</v>
      </c>
      <c r="M4" s="42" t="s">
        <v>375</v>
      </c>
      <c r="N4" s="42" t="s">
        <v>376</v>
      </c>
      <c r="P4" t="str">
        <f t="shared" ref="P4:P11" si="1">CONCATENATE(I4,G4,K4)</f>
        <v>='Custom Well'!F`$15</v>
      </c>
      <c r="Q4" t="str">
        <f t="shared" ref="Q4:Q67" si="2">CONCATENATE(I4,G4,L4)</f>
        <v>='Custom Well'!F`$16</v>
      </c>
      <c r="R4" t="str">
        <f t="shared" ref="R4:R67" si="3">CONCATENATE(I4,G4,M4)</f>
        <v>='Custom Well'!F`$17</v>
      </c>
      <c r="S4" t="str">
        <f t="shared" ref="S4:S67" si="4">CONCATENATE(I4,G4,N4)</f>
        <v>='Custom Well'!F`$18</v>
      </c>
    </row>
    <row r="5" spans="5:19" x14ac:dyDescent="0.25">
      <c r="E5" t="s">
        <v>45</v>
      </c>
      <c r="F5" s="68">
        <v>3</v>
      </c>
      <c r="G5" s="69" t="str">
        <f t="shared" si="0"/>
        <v>G</v>
      </c>
      <c r="I5" s="41" t="s">
        <v>372</v>
      </c>
      <c r="K5" s="42" t="s">
        <v>373</v>
      </c>
      <c r="L5" s="42" t="s">
        <v>374</v>
      </c>
      <c r="M5" s="42" t="s">
        <v>375</v>
      </c>
      <c r="N5" s="42" t="s">
        <v>376</v>
      </c>
      <c r="P5" t="str">
        <f t="shared" si="1"/>
        <v>='Custom Well'!G`$15</v>
      </c>
      <c r="Q5" t="str">
        <f t="shared" si="2"/>
        <v>='Custom Well'!G`$16</v>
      </c>
      <c r="R5" t="str">
        <f t="shared" si="3"/>
        <v>='Custom Well'!G`$17</v>
      </c>
      <c r="S5" t="str">
        <f t="shared" si="4"/>
        <v>='Custom Well'!G`$18</v>
      </c>
    </row>
    <row r="6" spans="5:19" x14ac:dyDescent="0.25">
      <c r="E6" t="s">
        <v>282</v>
      </c>
      <c r="F6" s="68">
        <v>4</v>
      </c>
      <c r="G6" s="69" t="str">
        <f t="shared" si="0"/>
        <v>H</v>
      </c>
      <c r="I6" s="41" t="s">
        <v>372</v>
      </c>
      <c r="K6" s="42" t="s">
        <v>373</v>
      </c>
      <c r="L6" s="42" t="s">
        <v>374</v>
      </c>
      <c r="M6" s="42" t="s">
        <v>375</v>
      </c>
      <c r="N6" s="42" t="s">
        <v>376</v>
      </c>
      <c r="P6" t="str">
        <f t="shared" si="1"/>
        <v>='Custom Well'!H`$15</v>
      </c>
      <c r="Q6" t="str">
        <f t="shared" si="2"/>
        <v>='Custom Well'!H`$16</v>
      </c>
      <c r="R6" t="str">
        <f t="shared" si="3"/>
        <v>='Custom Well'!H`$17</v>
      </c>
      <c r="S6" t="str">
        <f t="shared" si="4"/>
        <v>='Custom Well'!H`$18</v>
      </c>
    </row>
    <row r="7" spans="5:19" x14ac:dyDescent="0.25">
      <c r="E7" t="s">
        <v>283</v>
      </c>
      <c r="F7" s="68">
        <v>5</v>
      </c>
      <c r="G7" s="69" t="str">
        <f t="shared" si="0"/>
        <v>I</v>
      </c>
      <c r="I7" s="41" t="s">
        <v>372</v>
      </c>
      <c r="K7" s="42" t="s">
        <v>373</v>
      </c>
      <c r="L7" s="42" t="s">
        <v>374</v>
      </c>
      <c r="M7" s="42" t="s">
        <v>375</v>
      </c>
      <c r="N7" s="42" t="s">
        <v>376</v>
      </c>
      <c r="P7" t="str">
        <f t="shared" si="1"/>
        <v>='Custom Well'!I`$15</v>
      </c>
      <c r="Q7" t="str">
        <f t="shared" si="2"/>
        <v>='Custom Well'!I`$16</v>
      </c>
      <c r="R7" t="str">
        <f t="shared" si="3"/>
        <v>='Custom Well'!I`$17</v>
      </c>
      <c r="S7" t="str">
        <f t="shared" si="4"/>
        <v>='Custom Well'!I`$18</v>
      </c>
    </row>
    <row r="8" spans="5:19" x14ac:dyDescent="0.25">
      <c r="E8" t="s">
        <v>284</v>
      </c>
      <c r="F8" s="68">
        <v>6</v>
      </c>
      <c r="G8" s="69" t="str">
        <f t="shared" si="0"/>
        <v>J</v>
      </c>
      <c r="I8" s="41" t="s">
        <v>372</v>
      </c>
      <c r="K8" s="42" t="s">
        <v>373</v>
      </c>
      <c r="L8" s="42" t="s">
        <v>374</v>
      </c>
      <c r="M8" s="42" t="s">
        <v>375</v>
      </c>
      <c r="N8" s="42" t="s">
        <v>376</v>
      </c>
      <c r="P8" t="str">
        <f t="shared" si="1"/>
        <v>='Custom Well'!J`$15</v>
      </c>
      <c r="Q8" t="str">
        <f t="shared" si="2"/>
        <v>='Custom Well'!J`$16</v>
      </c>
      <c r="R8" t="str">
        <f t="shared" si="3"/>
        <v>='Custom Well'!J`$17</v>
      </c>
      <c r="S8" t="str">
        <f t="shared" si="4"/>
        <v>='Custom Well'!J`$18</v>
      </c>
    </row>
    <row r="9" spans="5:19" x14ac:dyDescent="0.25">
      <c r="E9" t="s">
        <v>285</v>
      </c>
      <c r="F9" s="70">
        <v>7</v>
      </c>
      <c r="G9" s="71" t="str">
        <f t="shared" si="0"/>
        <v>K</v>
      </c>
      <c r="I9" s="41" t="s">
        <v>372</v>
      </c>
      <c r="K9" s="42" t="s">
        <v>373</v>
      </c>
      <c r="L9" s="42" t="s">
        <v>374</v>
      </c>
      <c r="M9" s="42" t="s">
        <v>375</v>
      </c>
      <c r="N9" s="42" t="s">
        <v>376</v>
      </c>
      <c r="P9" t="str">
        <f t="shared" si="1"/>
        <v>='Custom Well'!K`$15</v>
      </c>
      <c r="Q9" t="str">
        <f t="shared" si="2"/>
        <v>='Custom Well'!K`$16</v>
      </c>
      <c r="R9" t="str">
        <f t="shared" si="3"/>
        <v>='Custom Well'!K`$17</v>
      </c>
      <c r="S9" t="str">
        <f t="shared" si="4"/>
        <v>='Custom Well'!K`$18</v>
      </c>
    </row>
    <row r="10" spans="5:19" x14ac:dyDescent="0.25">
      <c r="E10" t="s">
        <v>286</v>
      </c>
      <c r="F10" s="66">
        <v>1</v>
      </c>
      <c r="G10" s="40" t="str">
        <f t="shared" si="0"/>
        <v>L</v>
      </c>
      <c r="I10" s="41" t="s">
        <v>372</v>
      </c>
      <c r="K10" s="42" t="s">
        <v>373</v>
      </c>
      <c r="L10" s="42" t="s">
        <v>374</v>
      </c>
      <c r="M10" s="42" t="s">
        <v>375</v>
      </c>
      <c r="N10" s="42" t="s">
        <v>376</v>
      </c>
      <c r="P10" t="str">
        <f t="shared" si="1"/>
        <v>='Custom Well'!L`$15</v>
      </c>
      <c r="Q10" t="str">
        <f t="shared" si="2"/>
        <v>='Custom Well'!L`$16</v>
      </c>
      <c r="R10" t="str">
        <f t="shared" si="3"/>
        <v>='Custom Well'!L`$17</v>
      </c>
      <c r="S10" t="str">
        <f t="shared" si="4"/>
        <v>='Custom Well'!L`$18</v>
      </c>
    </row>
    <row r="11" spans="5:19" x14ac:dyDescent="0.25">
      <c r="E11" t="s">
        <v>287</v>
      </c>
      <c r="F11" s="68">
        <v>2</v>
      </c>
      <c r="G11" s="40" t="str">
        <f t="shared" si="0"/>
        <v>M</v>
      </c>
      <c r="I11" s="41" t="s">
        <v>372</v>
      </c>
      <c r="K11" s="42" t="s">
        <v>373</v>
      </c>
      <c r="L11" s="42" t="s">
        <v>374</v>
      </c>
      <c r="M11" s="42" t="s">
        <v>375</v>
      </c>
      <c r="N11" s="42" t="s">
        <v>376</v>
      </c>
      <c r="P11" t="str">
        <f t="shared" si="1"/>
        <v>='Custom Well'!M`$15</v>
      </c>
      <c r="Q11" t="str">
        <f t="shared" si="2"/>
        <v>='Custom Well'!M`$16</v>
      </c>
      <c r="R11" t="str">
        <f t="shared" si="3"/>
        <v>='Custom Well'!M`$17</v>
      </c>
      <c r="S11" t="str">
        <f t="shared" si="4"/>
        <v>='Custom Well'!M`$18</v>
      </c>
    </row>
    <row r="12" spans="5:19" x14ac:dyDescent="0.25">
      <c r="E12" t="s">
        <v>288</v>
      </c>
      <c r="F12" s="68">
        <v>3</v>
      </c>
      <c r="G12" s="40" t="str">
        <f t="shared" si="0"/>
        <v>N</v>
      </c>
      <c r="I12" s="41" t="s">
        <v>372</v>
      </c>
      <c r="K12" s="42" t="s">
        <v>373</v>
      </c>
      <c r="L12" s="42" t="s">
        <v>374</v>
      </c>
      <c r="M12" s="42" t="s">
        <v>375</v>
      </c>
      <c r="N12" s="42" t="s">
        <v>376</v>
      </c>
      <c r="P12" t="str">
        <f t="shared" ref="P12:P49" si="5">CONCATENATE(I12,G12,K12)</f>
        <v>='Custom Well'!N`$15</v>
      </c>
      <c r="Q12" t="str">
        <f t="shared" si="2"/>
        <v>='Custom Well'!N`$16</v>
      </c>
      <c r="R12" t="str">
        <f t="shared" si="3"/>
        <v>='Custom Well'!N`$17</v>
      </c>
      <c r="S12" t="str">
        <f t="shared" si="4"/>
        <v>='Custom Well'!N`$18</v>
      </c>
    </row>
    <row r="13" spans="5:19" x14ac:dyDescent="0.25">
      <c r="E13" t="s">
        <v>289</v>
      </c>
      <c r="F13" s="68">
        <v>4</v>
      </c>
      <c r="G13" s="40" t="str">
        <f t="shared" si="0"/>
        <v>O</v>
      </c>
      <c r="I13" s="41" t="s">
        <v>372</v>
      </c>
      <c r="K13" s="42" t="s">
        <v>373</v>
      </c>
      <c r="L13" s="42" t="s">
        <v>374</v>
      </c>
      <c r="M13" s="42" t="s">
        <v>375</v>
      </c>
      <c r="N13" s="42" t="s">
        <v>376</v>
      </c>
      <c r="P13" t="str">
        <f t="shared" si="5"/>
        <v>='Custom Well'!O`$15</v>
      </c>
      <c r="Q13" t="str">
        <f t="shared" si="2"/>
        <v>='Custom Well'!O`$16</v>
      </c>
      <c r="R13" t="str">
        <f t="shared" si="3"/>
        <v>='Custom Well'!O`$17</v>
      </c>
      <c r="S13" t="str">
        <f t="shared" si="4"/>
        <v>='Custom Well'!O`$18</v>
      </c>
    </row>
    <row r="14" spans="5:19" x14ac:dyDescent="0.25">
      <c r="E14" t="s">
        <v>290</v>
      </c>
      <c r="F14" s="68">
        <v>5</v>
      </c>
      <c r="G14" s="40" t="str">
        <f t="shared" ref="G14:G49" si="6">CONCATENATE(A14,B14,C14,D14,E14)</f>
        <v>P</v>
      </c>
      <c r="I14" s="41" t="s">
        <v>372</v>
      </c>
      <c r="K14" s="42" t="s">
        <v>373</v>
      </c>
      <c r="L14" s="42" t="s">
        <v>374</v>
      </c>
      <c r="M14" s="42" t="s">
        <v>375</v>
      </c>
      <c r="N14" s="42" t="s">
        <v>376</v>
      </c>
      <c r="P14" t="str">
        <f t="shared" si="5"/>
        <v>='Custom Well'!P`$15</v>
      </c>
      <c r="Q14" t="str">
        <f t="shared" si="2"/>
        <v>='Custom Well'!P`$16</v>
      </c>
      <c r="R14" t="str">
        <f t="shared" si="3"/>
        <v>='Custom Well'!P`$17</v>
      </c>
      <c r="S14" t="str">
        <f t="shared" si="4"/>
        <v>='Custom Well'!P`$18</v>
      </c>
    </row>
    <row r="15" spans="5:19" x14ac:dyDescent="0.25">
      <c r="E15" t="s">
        <v>291</v>
      </c>
      <c r="F15" s="68">
        <v>6</v>
      </c>
      <c r="G15" s="40" t="str">
        <f t="shared" si="6"/>
        <v>Q</v>
      </c>
      <c r="I15" s="41" t="s">
        <v>372</v>
      </c>
      <c r="K15" s="42" t="s">
        <v>373</v>
      </c>
      <c r="L15" s="42" t="s">
        <v>374</v>
      </c>
      <c r="M15" s="42" t="s">
        <v>375</v>
      </c>
      <c r="N15" s="42" t="s">
        <v>376</v>
      </c>
      <c r="P15" t="str">
        <f t="shared" si="5"/>
        <v>='Custom Well'!Q`$15</v>
      </c>
      <c r="Q15" t="str">
        <f t="shared" si="2"/>
        <v>='Custom Well'!Q`$16</v>
      </c>
      <c r="R15" t="str">
        <f t="shared" si="3"/>
        <v>='Custom Well'!Q`$17</v>
      </c>
      <c r="S15" t="str">
        <f t="shared" si="4"/>
        <v>='Custom Well'!Q`$18</v>
      </c>
    </row>
    <row r="16" spans="5:19" x14ac:dyDescent="0.25">
      <c r="E16" t="s">
        <v>292</v>
      </c>
      <c r="F16" s="70">
        <v>7</v>
      </c>
      <c r="G16" s="40" t="str">
        <f t="shared" si="6"/>
        <v>R</v>
      </c>
      <c r="I16" s="41" t="s">
        <v>372</v>
      </c>
      <c r="K16" s="42" t="s">
        <v>373</v>
      </c>
      <c r="L16" s="42" t="s">
        <v>374</v>
      </c>
      <c r="M16" s="42" t="s">
        <v>375</v>
      </c>
      <c r="N16" s="42" t="s">
        <v>376</v>
      </c>
      <c r="P16" t="str">
        <f t="shared" si="5"/>
        <v>='Custom Well'!R`$15</v>
      </c>
      <c r="Q16" t="str">
        <f t="shared" si="2"/>
        <v>='Custom Well'!R`$16</v>
      </c>
      <c r="R16" t="str">
        <f t="shared" si="3"/>
        <v>='Custom Well'!R`$17</v>
      </c>
      <c r="S16" t="str">
        <f t="shared" si="4"/>
        <v>='Custom Well'!R`$18</v>
      </c>
    </row>
    <row r="17" spans="1:19" x14ac:dyDescent="0.25">
      <c r="E17" t="s">
        <v>293</v>
      </c>
      <c r="F17" s="66">
        <v>1</v>
      </c>
      <c r="G17" s="40" t="str">
        <f t="shared" si="6"/>
        <v>S</v>
      </c>
      <c r="I17" s="41" t="s">
        <v>372</v>
      </c>
      <c r="K17" s="42" t="s">
        <v>373</v>
      </c>
      <c r="L17" s="42" t="s">
        <v>374</v>
      </c>
      <c r="M17" s="42" t="s">
        <v>375</v>
      </c>
      <c r="N17" s="42" t="s">
        <v>376</v>
      </c>
      <c r="P17" t="str">
        <f t="shared" si="5"/>
        <v>='Custom Well'!S`$15</v>
      </c>
      <c r="Q17" t="str">
        <f t="shared" si="2"/>
        <v>='Custom Well'!S`$16</v>
      </c>
      <c r="R17" t="str">
        <f t="shared" si="3"/>
        <v>='Custom Well'!S`$17</v>
      </c>
      <c r="S17" t="str">
        <f t="shared" si="4"/>
        <v>='Custom Well'!S`$18</v>
      </c>
    </row>
    <row r="18" spans="1:19" x14ac:dyDescent="0.25">
      <c r="E18" t="s">
        <v>294</v>
      </c>
      <c r="F18" s="68">
        <v>2</v>
      </c>
      <c r="G18" s="40" t="str">
        <f t="shared" si="6"/>
        <v>T</v>
      </c>
      <c r="I18" s="41" t="s">
        <v>372</v>
      </c>
      <c r="K18" s="42" t="s">
        <v>373</v>
      </c>
      <c r="L18" s="42" t="s">
        <v>374</v>
      </c>
      <c r="M18" s="42" t="s">
        <v>375</v>
      </c>
      <c r="N18" s="42" t="s">
        <v>376</v>
      </c>
      <c r="P18" t="str">
        <f t="shared" si="5"/>
        <v>='Custom Well'!T`$15</v>
      </c>
      <c r="Q18" t="str">
        <f t="shared" si="2"/>
        <v>='Custom Well'!T`$16</v>
      </c>
      <c r="R18" t="str">
        <f t="shared" si="3"/>
        <v>='Custom Well'!T`$17</v>
      </c>
      <c r="S18" t="str">
        <f t="shared" si="4"/>
        <v>='Custom Well'!T`$18</v>
      </c>
    </row>
    <row r="19" spans="1:19" x14ac:dyDescent="0.25">
      <c r="E19" t="s">
        <v>295</v>
      </c>
      <c r="F19" s="68">
        <v>3</v>
      </c>
      <c r="G19" s="40" t="str">
        <f t="shared" si="6"/>
        <v>U</v>
      </c>
      <c r="I19" s="41" t="s">
        <v>372</v>
      </c>
      <c r="K19" s="42" t="s">
        <v>373</v>
      </c>
      <c r="L19" s="42" t="s">
        <v>374</v>
      </c>
      <c r="M19" s="42" t="s">
        <v>375</v>
      </c>
      <c r="N19" s="42" t="s">
        <v>376</v>
      </c>
      <c r="P19" t="str">
        <f t="shared" si="5"/>
        <v>='Custom Well'!U`$15</v>
      </c>
      <c r="Q19" t="str">
        <f t="shared" si="2"/>
        <v>='Custom Well'!U`$16</v>
      </c>
      <c r="R19" t="str">
        <f t="shared" si="3"/>
        <v>='Custom Well'!U`$17</v>
      </c>
      <c r="S19" t="str">
        <f t="shared" si="4"/>
        <v>='Custom Well'!U`$18</v>
      </c>
    </row>
    <row r="20" spans="1:19" x14ac:dyDescent="0.25">
      <c r="E20" t="s">
        <v>296</v>
      </c>
      <c r="F20" s="68">
        <v>4</v>
      </c>
      <c r="G20" s="40" t="str">
        <f t="shared" si="6"/>
        <v>V</v>
      </c>
      <c r="I20" s="41" t="s">
        <v>372</v>
      </c>
      <c r="K20" s="42" t="s">
        <v>373</v>
      </c>
      <c r="L20" s="42" t="s">
        <v>374</v>
      </c>
      <c r="M20" s="42" t="s">
        <v>375</v>
      </c>
      <c r="N20" s="42" t="s">
        <v>376</v>
      </c>
      <c r="P20" t="str">
        <f t="shared" si="5"/>
        <v>='Custom Well'!V`$15</v>
      </c>
      <c r="Q20" t="str">
        <f t="shared" si="2"/>
        <v>='Custom Well'!V`$16</v>
      </c>
      <c r="R20" t="str">
        <f t="shared" si="3"/>
        <v>='Custom Well'!V`$17</v>
      </c>
      <c r="S20" t="str">
        <f t="shared" si="4"/>
        <v>='Custom Well'!V`$18</v>
      </c>
    </row>
    <row r="21" spans="1:19" x14ac:dyDescent="0.25">
      <c r="E21" t="s">
        <v>297</v>
      </c>
      <c r="F21" s="68">
        <v>5</v>
      </c>
      <c r="G21" s="40" t="str">
        <f t="shared" si="6"/>
        <v>W</v>
      </c>
      <c r="I21" s="41" t="s">
        <v>372</v>
      </c>
      <c r="K21" s="42" t="s">
        <v>373</v>
      </c>
      <c r="L21" s="42" t="s">
        <v>374</v>
      </c>
      <c r="M21" s="42" t="s">
        <v>375</v>
      </c>
      <c r="N21" s="42" t="s">
        <v>376</v>
      </c>
      <c r="P21" t="str">
        <f t="shared" si="5"/>
        <v>='Custom Well'!W`$15</v>
      </c>
      <c r="Q21" t="str">
        <f t="shared" si="2"/>
        <v>='Custom Well'!W`$16</v>
      </c>
      <c r="R21" t="str">
        <f t="shared" si="3"/>
        <v>='Custom Well'!W`$17</v>
      </c>
      <c r="S21" t="str">
        <f t="shared" si="4"/>
        <v>='Custom Well'!W`$18</v>
      </c>
    </row>
    <row r="22" spans="1:19" x14ac:dyDescent="0.25">
      <c r="E22" t="s">
        <v>298</v>
      </c>
      <c r="F22" s="68">
        <v>6</v>
      </c>
      <c r="G22" s="40" t="str">
        <f t="shared" si="6"/>
        <v>X</v>
      </c>
      <c r="I22" s="41" t="s">
        <v>372</v>
      </c>
      <c r="K22" s="42" t="s">
        <v>373</v>
      </c>
      <c r="L22" s="42" t="s">
        <v>374</v>
      </c>
      <c r="M22" s="42" t="s">
        <v>375</v>
      </c>
      <c r="N22" s="42" t="s">
        <v>376</v>
      </c>
      <c r="P22" t="str">
        <f t="shared" si="5"/>
        <v>='Custom Well'!X`$15</v>
      </c>
      <c r="Q22" t="str">
        <f t="shared" si="2"/>
        <v>='Custom Well'!X`$16</v>
      </c>
      <c r="R22" t="str">
        <f t="shared" si="3"/>
        <v>='Custom Well'!X`$17</v>
      </c>
      <c r="S22" t="str">
        <f t="shared" si="4"/>
        <v>='Custom Well'!X`$18</v>
      </c>
    </row>
    <row r="23" spans="1:19" x14ac:dyDescent="0.25">
      <c r="E23" t="s">
        <v>299</v>
      </c>
      <c r="F23" s="70">
        <v>7</v>
      </c>
      <c r="G23" s="40" t="str">
        <f t="shared" si="6"/>
        <v>Y</v>
      </c>
      <c r="I23" s="41" t="s">
        <v>372</v>
      </c>
      <c r="K23" s="42" t="s">
        <v>373</v>
      </c>
      <c r="L23" s="42" t="s">
        <v>374</v>
      </c>
      <c r="M23" s="42" t="s">
        <v>375</v>
      </c>
      <c r="N23" s="42" t="s">
        <v>376</v>
      </c>
      <c r="P23" t="str">
        <f t="shared" si="5"/>
        <v>='Custom Well'!Y`$15</v>
      </c>
      <c r="Q23" t="str">
        <f t="shared" si="2"/>
        <v>='Custom Well'!Y`$16</v>
      </c>
      <c r="R23" t="str">
        <f t="shared" si="3"/>
        <v>='Custom Well'!Y`$17</v>
      </c>
      <c r="S23" t="str">
        <f t="shared" si="4"/>
        <v>='Custom Well'!Y`$18</v>
      </c>
    </row>
    <row r="24" spans="1:19" x14ac:dyDescent="0.25">
      <c r="E24" t="s">
        <v>300</v>
      </c>
      <c r="F24" s="66">
        <v>1</v>
      </c>
      <c r="G24" s="40" t="str">
        <f t="shared" si="6"/>
        <v>Z</v>
      </c>
      <c r="I24" s="41" t="s">
        <v>372</v>
      </c>
      <c r="K24" s="42" t="s">
        <v>373</v>
      </c>
      <c r="L24" s="42" t="s">
        <v>374</v>
      </c>
      <c r="M24" s="42" t="s">
        <v>375</v>
      </c>
      <c r="N24" s="42" t="s">
        <v>376</v>
      </c>
      <c r="P24" t="str">
        <f t="shared" si="5"/>
        <v>='Custom Well'!Z`$15</v>
      </c>
      <c r="Q24" t="str">
        <f t="shared" si="2"/>
        <v>='Custom Well'!Z`$16</v>
      </c>
      <c r="R24" t="str">
        <f t="shared" si="3"/>
        <v>='Custom Well'!Z`$17</v>
      </c>
      <c r="S24" t="str">
        <f t="shared" si="4"/>
        <v>='Custom Well'!Z`$18</v>
      </c>
    </row>
    <row r="25" spans="1:19" x14ac:dyDescent="0.25">
      <c r="A25" t="s">
        <v>39</v>
      </c>
      <c r="E25" t="s">
        <v>39</v>
      </c>
      <c r="F25" s="68">
        <v>2</v>
      </c>
      <c r="G25" s="40" t="str">
        <f>CONCATENATE(A25,B25,C25,D25,E25)</f>
        <v>AA</v>
      </c>
      <c r="I25" s="41" t="s">
        <v>372</v>
      </c>
      <c r="K25" s="42" t="s">
        <v>373</v>
      </c>
      <c r="L25" s="42" t="s">
        <v>374</v>
      </c>
      <c r="M25" s="42" t="s">
        <v>375</v>
      </c>
      <c r="N25" s="42" t="s">
        <v>376</v>
      </c>
      <c r="P25" t="str">
        <f t="shared" si="5"/>
        <v>='Custom Well'!AA`$15</v>
      </c>
      <c r="Q25" t="str">
        <f t="shared" si="2"/>
        <v>='Custom Well'!AA`$16</v>
      </c>
      <c r="R25" t="str">
        <f t="shared" si="3"/>
        <v>='Custom Well'!AA`$17</v>
      </c>
      <c r="S25" t="str">
        <f t="shared" si="4"/>
        <v>='Custom Well'!AA`$18</v>
      </c>
    </row>
    <row r="26" spans="1:19" x14ac:dyDescent="0.25">
      <c r="A26" t="s">
        <v>39</v>
      </c>
      <c r="E26" t="s">
        <v>40</v>
      </c>
      <c r="F26" s="68">
        <v>3</v>
      </c>
      <c r="G26" s="40" t="str">
        <f t="shared" si="6"/>
        <v>AB</v>
      </c>
      <c r="I26" s="41" t="s">
        <v>372</v>
      </c>
      <c r="K26" s="42" t="s">
        <v>373</v>
      </c>
      <c r="L26" s="42" t="s">
        <v>374</v>
      </c>
      <c r="M26" s="42" t="s">
        <v>375</v>
      </c>
      <c r="N26" s="42" t="s">
        <v>376</v>
      </c>
      <c r="P26" t="str">
        <f t="shared" si="5"/>
        <v>='Custom Well'!AB`$15</v>
      </c>
      <c r="Q26" t="str">
        <f t="shared" si="2"/>
        <v>='Custom Well'!AB`$16</v>
      </c>
      <c r="R26" t="str">
        <f t="shared" si="3"/>
        <v>='Custom Well'!AB`$17</v>
      </c>
      <c r="S26" t="str">
        <f t="shared" si="4"/>
        <v>='Custom Well'!AB`$18</v>
      </c>
    </row>
    <row r="27" spans="1:19" x14ac:dyDescent="0.25">
      <c r="A27" t="s">
        <v>39</v>
      </c>
      <c r="E27" t="s">
        <v>41</v>
      </c>
      <c r="F27" s="68">
        <v>4</v>
      </c>
      <c r="G27" s="40" t="str">
        <f t="shared" si="6"/>
        <v>AC</v>
      </c>
      <c r="I27" s="41" t="s">
        <v>372</v>
      </c>
      <c r="K27" s="42" t="s">
        <v>373</v>
      </c>
      <c r="L27" s="42" t="s">
        <v>374</v>
      </c>
      <c r="M27" s="42" t="s">
        <v>375</v>
      </c>
      <c r="N27" s="42" t="s">
        <v>376</v>
      </c>
      <c r="P27" t="str">
        <f t="shared" si="5"/>
        <v>='Custom Well'!AC`$15</v>
      </c>
      <c r="Q27" t="str">
        <f t="shared" si="2"/>
        <v>='Custom Well'!AC`$16</v>
      </c>
      <c r="R27" t="str">
        <f t="shared" si="3"/>
        <v>='Custom Well'!AC`$17</v>
      </c>
      <c r="S27" t="str">
        <f t="shared" si="4"/>
        <v>='Custom Well'!AC`$18</v>
      </c>
    </row>
    <row r="28" spans="1:19" x14ac:dyDescent="0.25">
      <c r="A28" t="s">
        <v>39</v>
      </c>
      <c r="E28" t="s">
        <v>42</v>
      </c>
      <c r="F28" s="68">
        <v>5</v>
      </c>
      <c r="G28" s="40" t="str">
        <f t="shared" si="6"/>
        <v>AD</v>
      </c>
      <c r="I28" s="41" t="s">
        <v>372</v>
      </c>
      <c r="K28" s="42" t="s">
        <v>373</v>
      </c>
      <c r="L28" s="42" t="s">
        <v>374</v>
      </c>
      <c r="M28" s="42" t="s">
        <v>375</v>
      </c>
      <c r="N28" s="42" t="s">
        <v>376</v>
      </c>
      <c r="P28" t="str">
        <f t="shared" si="5"/>
        <v>='Custom Well'!AD`$15</v>
      </c>
      <c r="Q28" t="str">
        <f t="shared" si="2"/>
        <v>='Custom Well'!AD`$16</v>
      </c>
      <c r="R28" t="str">
        <f t="shared" si="3"/>
        <v>='Custom Well'!AD`$17</v>
      </c>
      <c r="S28" t="str">
        <f t="shared" si="4"/>
        <v>='Custom Well'!AD`$18</v>
      </c>
    </row>
    <row r="29" spans="1:19" x14ac:dyDescent="0.25">
      <c r="A29" t="s">
        <v>39</v>
      </c>
      <c r="E29" t="s">
        <v>43</v>
      </c>
      <c r="F29" s="68">
        <v>6</v>
      </c>
      <c r="G29" s="40" t="str">
        <f t="shared" si="6"/>
        <v>AE</v>
      </c>
      <c r="I29" s="41" t="s">
        <v>372</v>
      </c>
      <c r="K29" s="42" t="s">
        <v>373</v>
      </c>
      <c r="L29" s="42" t="s">
        <v>374</v>
      </c>
      <c r="M29" s="42" t="s">
        <v>375</v>
      </c>
      <c r="N29" s="42" t="s">
        <v>376</v>
      </c>
      <c r="P29" t="str">
        <f t="shared" si="5"/>
        <v>='Custom Well'!AE`$15</v>
      </c>
      <c r="Q29" t="str">
        <f t="shared" si="2"/>
        <v>='Custom Well'!AE`$16</v>
      </c>
      <c r="R29" t="str">
        <f t="shared" si="3"/>
        <v>='Custom Well'!AE`$17</v>
      </c>
      <c r="S29" t="str">
        <f t="shared" si="4"/>
        <v>='Custom Well'!AE`$18</v>
      </c>
    </row>
    <row r="30" spans="1:19" x14ac:dyDescent="0.25">
      <c r="A30" t="s">
        <v>39</v>
      </c>
      <c r="E30" t="s">
        <v>44</v>
      </c>
      <c r="F30" s="70">
        <v>7</v>
      </c>
      <c r="G30" s="40" t="str">
        <f t="shared" si="6"/>
        <v>AF</v>
      </c>
      <c r="I30" s="41" t="s">
        <v>372</v>
      </c>
      <c r="K30" s="42" t="s">
        <v>373</v>
      </c>
      <c r="L30" s="42" t="s">
        <v>374</v>
      </c>
      <c r="M30" s="42" t="s">
        <v>375</v>
      </c>
      <c r="N30" s="42" t="s">
        <v>376</v>
      </c>
      <c r="P30" t="str">
        <f t="shared" si="5"/>
        <v>='Custom Well'!AF`$15</v>
      </c>
      <c r="Q30" t="str">
        <f t="shared" si="2"/>
        <v>='Custom Well'!AF`$16</v>
      </c>
      <c r="R30" t="str">
        <f t="shared" si="3"/>
        <v>='Custom Well'!AF`$17</v>
      </c>
      <c r="S30" t="str">
        <f t="shared" si="4"/>
        <v>='Custom Well'!AF`$18</v>
      </c>
    </row>
    <row r="31" spans="1:19" x14ac:dyDescent="0.25">
      <c r="A31" t="s">
        <v>39</v>
      </c>
      <c r="E31" t="s">
        <v>45</v>
      </c>
      <c r="F31" s="66">
        <v>1</v>
      </c>
      <c r="G31" s="40" t="str">
        <f t="shared" si="6"/>
        <v>AG</v>
      </c>
      <c r="I31" s="41" t="s">
        <v>372</v>
      </c>
      <c r="K31" s="42" t="s">
        <v>373</v>
      </c>
      <c r="L31" s="42" t="s">
        <v>374</v>
      </c>
      <c r="M31" s="42" t="s">
        <v>375</v>
      </c>
      <c r="N31" s="42" t="s">
        <v>376</v>
      </c>
      <c r="P31" t="str">
        <f t="shared" si="5"/>
        <v>='Custom Well'!AG`$15</v>
      </c>
      <c r="Q31" t="str">
        <f t="shared" si="2"/>
        <v>='Custom Well'!AG`$16</v>
      </c>
      <c r="R31" t="str">
        <f t="shared" si="3"/>
        <v>='Custom Well'!AG`$17</v>
      </c>
      <c r="S31" t="str">
        <f t="shared" si="4"/>
        <v>='Custom Well'!AG`$18</v>
      </c>
    </row>
    <row r="32" spans="1:19" x14ac:dyDescent="0.25">
      <c r="A32" t="s">
        <v>39</v>
      </c>
      <c r="E32" t="s">
        <v>282</v>
      </c>
      <c r="F32" s="68">
        <v>2</v>
      </c>
      <c r="G32" s="40" t="str">
        <f t="shared" si="6"/>
        <v>AH</v>
      </c>
      <c r="I32" s="41" t="s">
        <v>372</v>
      </c>
      <c r="K32" s="42" t="s">
        <v>373</v>
      </c>
      <c r="L32" s="42" t="s">
        <v>374</v>
      </c>
      <c r="M32" s="42" t="s">
        <v>375</v>
      </c>
      <c r="N32" s="42" t="s">
        <v>376</v>
      </c>
      <c r="P32" t="str">
        <f t="shared" si="5"/>
        <v>='Custom Well'!AH`$15</v>
      </c>
      <c r="Q32" t="str">
        <f t="shared" si="2"/>
        <v>='Custom Well'!AH`$16</v>
      </c>
      <c r="R32" t="str">
        <f t="shared" si="3"/>
        <v>='Custom Well'!AH`$17</v>
      </c>
      <c r="S32" t="str">
        <f t="shared" si="4"/>
        <v>='Custom Well'!AH`$18</v>
      </c>
    </row>
    <row r="33" spans="1:19" x14ac:dyDescent="0.25">
      <c r="A33" t="s">
        <v>39</v>
      </c>
      <c r="E33" t="s">
        <v>283</v>
      </c>
      <c r="F33" s="68">
        <v>3</v>
      </c>
      <c r="G33" s="40" t="str">
        <f t="shared" si="6"/>
        <v>AI</v>
      </c>
      <c r="I33" s="41" t="s">
        <v>372</v>
      </c>
      <c r="K33" s="42" t="s">
        <v>373</v>
      </c>
      <c r="L33" s="42" t="s">
        <v>374</v>
      </c>
      <c r="M33" s="42" t="s">
        <v>375</v>
      </c>
      <c r="N33" s="42" t="s">
        <v>376</v>
      </c>
      <c r="P33" t="str">
        <f t="shared" si="5"/>
        <v>='Custom Well'!AI`$15</v>
      </c>
      <c r="Q33" t="str">
        <f t="shared" si="2"/>
        <v>='Custom Well'!AI`$16</v>
      </c>
      <c r="R33" t="str">
        <f t="shared" si="3"/>
        <v>='Custom Well'!AI`$17</v>
      </c>
      <c r="S33" t="str">
        <f t="shared" si="4"/>
        <v>='Custom Well'!AI`$18</v>
      </c>
    </row>
    <row r="34" spans="1:19" x14ac:dyDescent="0.25">
      <c r="A34" t="s">
        <v>39</v>
      </c>
      <c r="E34" t="s">
        <v>284</v>
      </c>
      <c r="F34" s="68">
        <v>4</v>
      </c>
      <c r="G34" s="40" t="str">
        <f t="shared" si="6"/>
        <v>AJ</v>
      </c>
      <c r="I34" s="41" t="s">
        <v>372</v>
      </c>
      <c r="K34" s="42" t="s">
        <v>373</v>
      </c>
      <c r="L34" s="42" t="s">
        <v>374</v>
      </c>
      <c r="M34" s="42" t="s">
        <v>375</v>
      </c>
      <c r="N34" s="42" t="s">
        <v>376</v>
      </c>
      <c r="P34" t="str">
        <f t="shared" si="5"/>
        <v>='Custom Well'!AJ`$15</v>
      </c>
      <c r="Q34" t="str">
        <f t="shared" si="2"/>
        <v>='Custom Well'!AJ`$16</v>
      </c>
      <c r="R34" t="str">
        <f t="shared" si="3"/>
        <v>='Custom Well'!AJ`$17</v>
      </c>
      <c r="S34" t="str">
        <f t="shared" si="4"/>
        <v>='Custom Well'!AJ`$18</v>
      </c>
    </row>
    <row r="35" spans="1:19" x14ac:dyDescent="0.25">
      <c r="A35" t="s">
        <v>39</v>
      </c>
      <c r="E35" t="s">
        <v>285</v>
      </c>
      <c r="F35" s="68">
        <v>5</v>
      </c>
      <c r="G35" s="40" t="str">
        <f t="shared" si="6"/>
        <v>AK</v>
      </c>
      <c r="I35" s="41" t="s">
        <v>372</v>
      </c>
      <c r="K35" s="42" t="s">
        <v>373</v>
      </c>
      <c r="L35" s="42" t="s">
        <v>374</v>
      </c>
      <c r="M35" s="42" t="s">
        <v>375</v>
      </c>
      <c r="N35" s="42" t="s">
        <v>376</v>
      </c>
      <c r="P35" t="str">
        <f t="shared" si="5"/>
        <v>='Custom Well'!AK`$15</v>
      </c>
      <c r="Q35" t="str">
        <f t="shared" si="2"/>
        <v>='Custom Well'!AK`$16</v>
      </c>
      <c r="R35" t="str">
        <f t="shared" si="3"/>
        <v>='Custom Well'!AK`$17</v>
      </c>
      <c r="S35" t="str">
        <f t="shared" si="4"/>
        <v>='Custom Well'!AK`$18</v>
      </c>
    </row>
    <row r="36" spans="1:19" x14ac:dyDescent="0.25">
      <c r="A36" t="s">
        <v>39</v>
      </c>
      <c r="E36" t="s">
        <v>286</v>
      </c>
      <c r="F36" s="68">
        <v>6</v>
      </c>
      <c r="G36" s="40" t="str">
        <f t="shared" si="6"/>
        <v>AL</v>
      </c>
      <c r="I36" s="41" t="s">
        <v>372</v>
      </c>
      <c r="K36" s="42" t="s">
        <v>373</v>
      </c>
      <c r="L36" s="42" t="s">
        <v>374</v>
      </c>
      <c r="M36" s="42" t="s">
        <v>375</v>
      </c>
      <c r="N36" s="42" t="s">
        <v>376</v>
      </c>
      <c r="P36" t="str">
        <f t="shared" si="5"/>
        <v>='Custom Well'!AL`$15</v>
      </c>
      <c r="Q36" t="str">
        <f t="shared" si="2"/>
        <v>='Custom Well'!AL`$16</v>
      </c>
      <c r="R36" t="str">
        <f t="shared" si="3"/>
        <v>='Custom Well'!AL`$17</v>
      </c>
      <c r="S36" t="str">
        <f t="shared" si="4"/>
        <v>='Custom Well'!AL`$18</v>
      </c>
    </row>
    <row r="37" spans="1:19" x14ac:dyDescent="0.25">
      <c r="A37" t="s">
        <v>39</v>
      </c>
      <c r="E37" t="s">
        <v>287</v>
      </c>
      <c r="F37" s="70">
        <v>7</v>
      </c>
      <c r="G37" s="40" t="str">
        <f t="shared" si="6"/>
        <v>AM</v>
      </c>
      <c r="I37" s="41" t="s">
        <v>372</v>
      </c>
      <c r="K37" s="42" t="s">
        <v>373</v>
      </c>
      <c r="L37" s="42" t="s">
        <v>374</v>
      </c>
      <c r="M37" s="42" t="s">
        <v>375</v>
      </c>
      <c r="N37" s="42" t="s">
        <v>376</v>
      </c>
      <c r="P37" t="str">
        <f t="shared" si="5"/>
        <v>='Custom Well'!AM`$15</v>
      </c>
      <c r="Q37" t="str">
        <f t="shared" si="2"/>
        <v>='Custom Well'!AM`$16</v>
      </c>
      <c r="R37" t="str">
        <f t="shared" si="3"/>
        <v>='Custom Well'!AM`$17</v>
      </c>
      <c r="S37" t="str">
        <f t="shared" si="4"/>
        <v>='Custom Well'!AM`$18</v>
      </c>
    </row>
    <row r="38" spans="1:19" x14ac:dyDescent="0.25">
      <c r="A38" t="s">
        <v>39</v>
      </c>
      <c r="E38" t="s">
        <v>288</v>
      </c>
      <c r="F38" s="66">
        <v>1</v>
      </c>
      <c r="G38" s="40" t="str">
        <f t="shared" si="6"/>
        <v>AN</v>
      </c>
      <c r="I38" s="41" t="s">
        <v>372</v>
      </c>
      <c r="K38" s="42" t="s">
        <v>373</v>
      </c>
      <c r="L38" s="42" t="s">
        <v>374</v>
      </c>
      <c r="M38" s="42" t="s">
        <v>375</v>
      </c>
      <c r="N38" s="42" t="s">
        <v>376</v>
      </c>
      <c r="P38" t="str">
        <f t="shared" si="5"/>
        <v>='Custom Well'!AN`$15</v>
      </c>
      <c r="Q38" t="str">
        <f t="shared" si="2"/>
        <v>='Custom Well'!AN`$16</v>
      </c>
      <c r="R38" t="str">
        <f t="shared" si="3"/>
        <v>='Custom Well'!AN`$17</v>
      </c>
      <c r="S38" t="str">
        <f t="shared" si="4"/>
        <v>='Custom Well'!AN`$18</v>
      </c>
    </row>
    <row r="39" spans="1:19" x14ac:dyDescent="0.25">
      <c r="A39" t="s">
        <v>39</v>
      </c>
      <c r="E39" t="s">
        <v>289</v>
      </c>
      <c r="F39" s="68">
        <v>2</v>
      </c>
      <c r="G39" s="40" t="str">
        <f t="shared" si="6"/>
        <v>AO</v>
      </c>
      <c r="I39" s="41" t="s">
        <v>372</v>
      </c>
      <c r="K39" s="42" t="s">
        <v>373</v>
      </c>
      <c r="L39" s="42" t="s">
        <v>374</v>
      </c>
      <c r="M39" s="42" t="s">
        <v>375</v>
      </c>
      <c r="N39" s="42" t="s">
        <v>376</v>
      </c>
      <c r="P39" t="str">
        <f t="shared" si="5"/>
        <v>='Custom Well'!AO`$15</v>
      </c>
      <c r="Q39" t="str">
        <f t="shared" si="2"/>
        <v>='Custom Well'!AO`$16</v>
      </c>
      <c r="R39" t="str">
        <f t="shared" si="3"/>
        <v>='Custom Well'!AO`$17</v>
      </c>
      <c r="S39" t="str">
        <f t="shared" si="4"/>
        <v>='Custom Well'!AO`$18</v>
      </c>
    </row>
    <row r="40" spans="1:19" x14ac:dyDescent="0.25">
      <c r="A40" t="s">
        <v>39</v>
      </c>
      <c r="E40" t="s">
        <v>290</v>
      </c>
      <c r="F40" s="68">
        <v>3</v>
      </c>
      <c r="G40" s="40" t="str">
        <f t="shared" si="6"/>
        <v>AP</v>
      </c>
      <c r="I40" s="41" t="s">
        <v>372</v>
      </c>
      <c r="K40" s="42" t="s">
        <v>373</v>
      </c>
      <c r="L40" s="42" t="s">
        <v>374</v>
      </c>
      <c r="M40" s="42" t="s">
        <v>375</v>
      </c>
      <c r="N40" s="42" t="s">
        <v>376</v>
      </c>
      <c r="P40" t="str">
        <f t="shared" si="5"/>
        <v>='Custom Well'!AP`$15</v>
      </c>
      <c r="Q40" t="str">
        <f t="shared" si="2"/>
        <v>='Custom Well'!AP`$16</v>
      </c>
      <c r="R40" t="str">
        <f t="shared" si="3"/>
        <v>='Custom Well'!AP`$17</v>
      </c>
      <c r="S40" t="str">
        <f t="shared" si="4"/>
        <v>='Custom Well'!AP`$18</v>
      </c>
    </row>
    <row r="41" spans="1:19" x14ac:dyDescent="0.25">
      <c r="A41" t="s">
        <v>39</v>
      </c>
      <c r="E41" t="s">
        <v>291</v>
      </c>
      <c r="F41" s="68">
        <v>4</v>
      </c>
      <c r="G41" s="40" t="str">
        <f t="shared" si="6"/>
        <v>AQ</v>
      </c>
      <c r="I41" s="41" t="s">
        <v>372</v>
      </c>
      <c r="K41" s="42" t="s">
        <v>373</v>
      </c>
      <c r="L41" s="42" t="s">
        <v>374</v>
      </c>
      <c r="M41" s="42" t="s">
        <v>375</v>
      </c>
      <c r="N41" s="42" t="s">
        <v>376</v>
      </c>
      <c r="P41" t="str">
        <f t="shared" si="5"/>
        <v>='Custom Well'!AQ`$15</v>
      </c>
      <c r="Q41" t="str">
        <f t="shared" si="2"/>
        <v>='Custom Well'!AQ`$16</v>
      </c>
      <c r="R41" t="str">
        <f t="shared" si="3"/>
        <v>='Custom Well'!AQ`$17</v>
      </c>
      <c r="S41" t="str">
        <f t="shared" si="4"/>
        <v>='Custom Well'!AQ`$18</v>
      </c>
    </row>
    <row r="42" spans="1:19" x14ac:dyDescent="0.25">
      <c r="A42" t="s">
        <v>39</v>
      </c>
      <c r="E42" t="s">
        <v>292</v>
      </c>
      <c r="F42" s="68">
        <v>5</v>
      </c>
      <c r="G42" s="40" t="str">
        <f t="shared" si="6"/>
        <v>AR</v>
      </c>
      <c r="I42" s="41" t="s">
        <v>372</v>
      </c>
      <c r="K42" s="42" t="s">
        <v>373</v>
      </c>
      <c r="L42" s="42" t="s">
        <v>374</v>
      </c>
      <c r="M42" s="42" t="s">
        <v>375</v>
      </c>
      <c r="N42" s="42" t="s">
        <v>376</v>
      </c>
      <c r="P42" t="str">
        <f t="shared" si="5"/>
        <v>='Custom Well'!AR`$15</v>
      </c>
      <c r="Q42" t="str">
        <f t="shared" si="2"/>
        <v>='Custom Well'!AR`$16</v>
      </c>
      <c r="R42" t="str">
        <f t="shared" si="3"/>
        <v>='Custom Well'!AR`$17</v>
      </c>
      <c r="S42" t="str">
        <f t="shared" si="4"/>
        <v>='Custom Well'!AR`$18</v>
      </c>
    </row>
    <row r="43" spans="1:19" x14ac:dyDescent="0.25">
      <c r="A43" t="s">
        <v>39</v>
      </c>
      <c r="E43" t="s">
        <v>293</v>
      </c>
      <c r="F43" s="68">
        <v>6</v>
      </c>
      <c r="G43" s="40" t="str">
        <f t="shared" si="6"/>
        <v>AS</v>
      </c>
      <c r="I43" s="41" t="s">
        <v>372</v>
      </c>
      <c r="K43" s="42" t="s">
        <v>373</v>
      </c>
      <c r="L43" s="42" t="s">
        <v>374</v>
      </c>
      <c r="M43" s="42" t="s">
        <v>375</v>
      </c>
      <c r="N43" s="42" t="s">
        <v>376</v>
      </c>
      <c r="P43" t="str">
        <f t="shared" si="5"/>
        <v>='Custom Well'!AS`$15</v>
      </c>
      <c r="Q43" t="str">
        <f t="shared" si="2"/>
        <v>='Custom Well'!AS`$16</v>
      </c>
      <c r="R43" t="str">
        <f t="shared" si="3"/>
        <v>='Custom Well'!AS`$17</v>
      </c>
      <c r="S43" t="str">
        <f t="shared" si="4"/>
        <v>='Custom Well'!AS`$18</v>
      </c>
    </row>
    <row r="44" spans="1:19" x14ac:dyDescent="0.25">
      <c r="A44" t="s">
        <v>39</v>
      </c>
      <c r="E44" t="s">
        <v>294</v>
      </c>
      <c r="F44" s="70">
        <v>7</v>
      </c>
      <c r="G44" s="40" t="str">
        <f t="shared" si="6"/>
        <v>AT</v>
      </c>
      <c r="I44" s="41" t="s">
        <v>372</v>
      </c>
      <c r="K44" s="42" t="s">
        <v>373</v>
      </c>
      <c r="L44" s="42" t="s">
        <v>374</v>
      </c>
      <c r="M44" s="42" t="s">
        <v>375</v>
      </c>
      <c r="N44" s="42" t="s">
        <v>376</v>
      </c>
      <c r="P44" t="str">
        <f t="shared" si="5"/>
        <v>='Custom Well'!AT`$15</v>
      </c>
      <c r="Q44" t="str">
        <f t="shared" si="2"/>
        <v>='Custom Well'!AT`$16</v>
      </c>
      <c r="R44" t="str">
        <f t="shared" si="3"/>
        <v>='Custom Well'!AT`$17</v>
      </c>
      <c r="S44" t="str">
        <f t="shared" si="4"/>
        <v>='Custom Well'!AT`$18</v>
      </c>
    </row>
    <row r="45" spans="1:19" x14ac:dyDescent="0.25">
      <c r="A45" t="s">
        <v>39</v>
      </c>
      <c r="E45" t="s">
        <v>295</v>
      </c>
      <c r="F45" s="66">
        <v>1</v>
      </c>
      <c r="G45" s="40" t="str">
        <f t="shared" si="6"/>
        <v>AU</v>
      </c>
      <c r="I45" s="41" t="s">
        <v>372</v>
      </c>
      <c r="K45" s="42" t="s">
        <v>373</v>
      </c>
      <c r="L45" s="42" t="s">
        <v>374</v>
      </c>
      <c r="M45" s="42" t="s">
        <v>375</v>
      </c>
      <c r="N45" s="42" t="s">
        <v>376</v>
      </c>
      <c r="P45" t="str">
        <f t="shared" si="5"/>
        <v>='Custom Well'!AU`$15</v>
      </c>
      <c r="Q45" t="str">
        <f t="shared" si="2"/>
        <v>='Custom Well'!AU`$16</v>
      </c>
      <c r="R45" t="str">
        <f t="shared" si="3"/>
        <v>='Custom Well'!AU`$17</v>
      </c>
      <c r="S45" t="str">
        <f t="shared" si="4"/>
        <v>='Custom Well'!AU`$18</v>
      </c>
    </row>
    <row r="46" spans="1:19" x14ac:dyDescent="0.25">
      <c r="A46" t="s">
        <v>39</v>
      </c>
      <c r="E46" t="s">
        <v>296</v>
      </c>
      <c r="F46" s="68">
        <v>2</v>
      </c>
      <c r="G46" s="40" t="str">
        <f t="shared" si="6"/>
        <v>AV</v>
      </c>
      <c r="I46" s="41" t="s">
        <v>372</v>
      </c>
      <c r="K46" s="42" t="s">
        <v>373</v>
      </c>
      <c r="L46" s="42" t="s">
        <v>374</v>
      </c>
      <c r="M46" s="42" t="s">
        <v>375</v>
      </c>
      <c r="N46" s="42" t="s">
        <v>376</v>
      </c>
      <c r="P46" t="str">
        <f t="shared" si="5"/>
        <v>='Custom Well'!AV`$15</v>
      </c>
      <c r="Q46" t="str">
        <f t="shared" si="2"/>
        <v>='Custom Well'!AV`$16</v>
      </c>
      <c r="R46" t="str">
        <f t="shared" si="3"/>
        <v>='Custom Well'!AV`$17</v>
      </c>
      <c r="S46" t="str">
        <f t="shared" si="4"/>
        <v>='Custom Well'!AV`$18</v>
      </c>
    </row>
    <row r="47" spans="1:19" x14ac:dyDescent="0.25">
      <c r="A47" t="s">
        <v>39</v>
      </c>
      <c r="E47" t="s">
        <v>297</v>
      </c>
      <c r="F47" s="68">
        <v>3</v>
      </c>
      <c r="G47" s="40" t="str">
        <f t="shared" si="6"/>
        <v>AW</v>
      </c>
      <c r="I47" s="41" t="s">
        <v>372</v>
      </c>
      <c r="K47" s="42" t="s">
        <v>373</v>
      </c>
      <c r="L47" s="42" t="s">
        <v>374</v>
      </c>
      <c r="M47" s="42" t="s">
        <v>375</v>
      </c>
      <c r="N47" s="42" t="s">
        <v>376</v>
      </c>
      <c r="P47" t="str">
        <f t="shared" si="5"/>
        <v>='Custom Well'!AW`$15</v>
      </c>
      <c r="Q47" t="str">
        <f t="shared" si="2"/>
        <v>='Custom Well'!AW`$16</v>
      </c>
      <c r="R47" t="str">
        <f t="shared" si="3"/>
        <v>='Custom Well'!AW`$17</v>
      </c>
      <c r="S47" t="str">
        <f t="shared" si="4"/>
        <v>='Custom Well'!AW`$18</v>
      </c>
    </row>
    <row r="48" spans="1:19" x14ac:dyDescent="0.25">
      <c r="A48" t="s">
        <v>39</v>
      </c>
      <c r="E48" t="s">
        <v>298</v>
      </c>
      <c r="F48" s="68">
        <v>4</v>
      </c>
      <c r="G48" s="40" t="str">
        <f t="shared" si="6"/>
        <v>AX</v>
      </c>
      <c r="I48" s="41" t="s">
        <v>372</v>
      </c>
      <c r="K48" s="42" t="s">
        <v>373</v>
      </c>
      <c r="L48" s="42" t="s">
        <v>374</v>
      </c>
      <c r="M48" s="42" t="s">
        <v>375</v>
      </c>
      <c r="N48" s="42" t="s">
        <v>376</v>
      </c>
      <c r="P48" t="str">
        <f t="shared" si="5"/>
        <v>='Custom Well'!AX`$15</v>
      </c>
      <c r="Q48" t="str">
        <f t="shared" si="2"/>
        <v>='Custom Well'!AX`$16</v>
      </c>
      <c r="R48" t="str">
        <f t="shared" si="3"/>
        <v>='Custom Well'!AX`$17</v>
      </c>
      <c r="S48" t="str">
        <f t="shared" si="4"/>
        <v>='Custom Well'!AX`$18</v>
      </c>
    </row>
    <row r="49" spans="1:19" x14ac:dyDescent="0.25">
      <c r="A49" t="s">
        <v>39</v>
      </c>
      <c r="E49" t="s">
        <v>299</v>
      </c>
      <c r="F49" s="68">
        <v>5</v>
      </c>
      <c r="G49" s="40" t="str">
        <f t="shared" si="6"/>
        <v>AY</v>
      </c>
      <c r="I49" s="41" t="s">
        <v>372</v>
      </c>
      <c r="K49" s="42" t="s">
        <v>373</v>
      </c>
      <c r="L49" s="42" t="s">
        <v>374</v>
      </c>
      <c r="M49" s="42" t="s">
        <v>375</v>
      </c>
      <c r="N49" s="42" t="s">
        <v>376</v>
      </c>
      <c r="P49" t="str">
        <f t="shared" si="5"/>
        <v>='Custom Well'!AY`$15</v>
      </c>
      <c r="Q49" t="str">
        <f t="shared" si="2"/>
        <v>='Custom Well'!AY`$16</v>
      </c>
      <c r="R49" t="str">
        <f t="shared" si="3"/>
        <v>='Custom Well'!AY`$17</v>
      </c>
      <c r="S49" t="str">
        <f t="shared" si="4"/>
        <v>='Custom Well'!AY`$18</v>
      </c>
    </row>
    <row r="50" spans="1:19" x14ac:dyDescent="0.25">
      <c r="A50" t="s">
        <v>39</v>
      </c>
      <c r="E50" t="s">
        <v>300</v>
      </c>
      <c r="F50" s="68">
        <v>6</v>
      </c>
      <c r="G50" s="40" t="str">
        <f t="shared" ref="G50:G76" si="7">CONCATENATE(A50,B50,C50,D50,E50)</f>
        <v>AZ</v>
      </c>
      <c r="I50" s="41" t="s">
        <v>372</v>
      </c>
      <c r="K50" s="42" t="s">
        <v>373</v>
      </c>
      <c r="L50" s="42" t="s">
        <v>374</v>
      </c>
      <c r="M50" s="42" t="s">
        <v>375</v>
      </c>
      <c r="N50" s="42" t="s">
        <v>376</v>
      </c>
      <c r="P50" t="str">
        <f t="shared" ref="P50:P76" si="8">CONCATENATE(I50,G50,K50)</f>
        <v>='Custom Well'!AZ`$15</v>
      </c>
      <c r="Q50" t="str">
        <f t="shared" si="2"/>
        <v>='Custom Well'!AZ`$16</v>
      </c>
      <c r="R50" t="str">
        <f t="shared" si="3"/>
        <v>='Custom Well'!AZ`$17</v>
      </c>
      <c r="S50" t="str">
        <f t="shared" si="4"/>
        <v>='Custom Well'!AZ`$18</v>
      </c>
    </row>
    <row r="51" spans="1:19" x14ac:dyDescent="0.25">
      <c r="B51" t="s">
        <v>40</v>
      </c>
      <c r="E51" t="s">
        <v>39</v>
      </c>
      <c r="F51" s="70">
        <v>7</v>
      </c>
      <c r="G51" s="40" t="str">
        <f t="shared" si="7"/>
        <v>BA</v>
      </c>
      <c r="I51" s="41" t="s">
        <v>372</v>
      </c>
      <c r="K51" s="42" t="s">
        <v>373</v>
      </c>
      <c r="L51" s="42" t="s">
        <v>374</v>
      </c>
      <c r="M51" s="42" t="s">
        <v>375</v>
      </c>
      <c r="N51" s="42" t="s">
        <v>376</v>
      </c>
      <c r="P51" t="str">
        <f t="shared" si="8"/>
        <v>='Custom Well'!BA`$15</v>
      </c>
      <c r="Q51" t="str">
        <f t="shared" si="2"/>
        <v>='Custom Well'!BA`$16</v>
      </c>
      <c r="R51" t="str">
        <f t="shared" si="3"/>
        <v>='Custom Well'!BA`$17</v>
      </c>
      <c r="S51" t="str">
        <f t="shared" si="4"/>
        <v>='Custom Well'!BA`$18</v>
      </c>
    </row>
    <row r="52" spans="1:19" x14ac:dyDescent="0.25">
      <c r="B52" t="s">
        <v>40</v>
      </c>
      <c r="E52" t="s">
        <v>40</v>
      </c>
      <c r="F52" s="66">
        <v>1</v>
      </c>
      <c r="G52" s="40" t="str">
        <f t="shared" si="7"/>
        <v>BB</v>
      </c>
      <c r="I52" s="41" t="s">
        <v>372</v>
      </c>
      <c r="K52" s="42" t="s">
        <v>373</v>
      </c>
      <c r="L52" s="42" t="s">
        <v>374</v>
      </c>
      <c r="M52" s="42" t="s">
        <v>375</v>
      </c>
      <c r="N52" s="42" t="s">
        <v>376</v>
      </c>
      <c r="P52" t="str">
        <f t="shared" si="8"/>
        <v>='Custom Well'!BB`$15</v>
      </c>
      <c r="Q52" t="str">
        <f t="shared" si="2"/>
        <v>='Custom Well'!BB`$16</v>
      </c>
      <c r="R52" t="str">
        <f t="shared" si="3"/>
        <v>='Custom Well'!BB`$17</v>
      </c>
      <c r="S52" t="str">
        <f t="shared" si="4"/>
        <v>='Custom Well'!BB`$18</v>
      </c>
    </row>
    <row r="53" spans="1:19" x14ac:dyDescent="0.25">
      <c r="B53" t="s">
        <v>40</v>
      </c>
      <c r="E53" t="s">
        <v>41</v>
      </c>
      <c r="F53" s="68">
        <v>2</v>
      </c>
      <c r="G53" s="40" t="str">
        <f t="shared" si="7"/>
        <v>BC</v>
      </c>
      <c r="I53" s="41" t="s">
        <v>372</v>
      </c>
      <c r="K53" s="42" t="s">
        <v>373</v>
      </c>
      <c r="L53" s="42" t="s">
        <v>374</v>
      </c>
      <c r="M53" s="42" t="s">
        <v>375</v>
      </c>
      <c r="N53" s="42" t="s">
        <v>376</v>
      </c>
      <c r="P53" t="str">
        <f t="shared" si="8"/>
        <v>='Custom Well'!BC`$15</v>
      </c>
      <c r="Q53" t="str">
        <f t="shared" si="2"/>
        <v>='Custom Well'!BC`$16</v>
      </c>
      <c r="R53" t="str">
        <f t="shared" si="3"/>
        <v>='Custom Well'!BC`$17</v>
      </c>
      <c r="S53" t="str">
        <f t="shared" si="4"/>
        <v>='Custom Well'!BC`$18</v>
      </c>
    </row>
    <row r="54" spans="1:19" x14ac:dyDescent="0.25">
      <c r="B54" t="s">
        <v>40</v>
      </c>
      <c r="E54" t="s">
        <v>42</v>
      </c>
      <c r="F54" s="68">
        <v>3</v>
      </c>
      <c r="G54" s="40" t="str">
        <f t="shared" si="7"/>
        <v>BD</v>
      </c>
      <c r="I54" s="41" t="s">
        <v>372</v>
      </c>
      <c r="K54" s="42" t="s">
        <v>373</v>
      </c>
      <c r="L54" s="42" t="s">
        <v>374</v>
      </c>
      <c r="M54" s="42" t="s">
        <v>375</v>
      </c>
      <c r="N54" s="42" t="s">
        <v>376</v>
      </c>
      <c r="P54" t="str">
        <f t="shared" si="8"/>
        <v>='Custom Well'!BD`$15</v>
      </c>
      <c r="Q54" t="str">
        <f t="shared" si="2"/>
        <v>='Custom Well'!BD`$16</v>
      </c>
      <c r="R54" t="str">
        <f t="shared" si="3"/>
        <v>='Custom Well'!BD`$17</v>
      </c>
      <c r="S54" t="str">
        <f t="shared" si="4"/>
        <v>='Custom Well'!BD`$18</v>
      </c>
    </row>
    <row r="55" spans="1:19" x14ac:dyDescent="0.25">
      <c r="B55" t="s">
        <v>40</v>
      </c>
      <c r="E55" t="s">
        <v>43</v>
      </c>
      <c r="F55" s="68">
        <v>4</v>
      </c>
      <c r="G55" s="40" t="str">
        <f t="shared" si="7"/>
        <v>BE</v>
      </c>
      <c r="I55" s="41" t="s">
        <v>372</v>
      </c>
      <c r="K55" s="42" t="s">
        <v>373</v>
      </c>
      <c r="L55" s="42" t="s">
        <v>374</v>
      </c>
      <c r="M55" s="42" t="s">
        <v>375</v>
      </c>
      <c r="N55" s="42" t="s">
        <v>376</v>
      </c>
      <c r="P55" t="str">
        <f t="shared" si="8"/>
        <v>='Custom Well'!BE`$15</v>
      </c>
      <c r="Q55" t="str">
        <f t="shared" si="2"/>
        <v>='Custom Well'!BE`$16</v>
      </c>
      <c r="R55" t="str">
        <f t="shared" si="3"/>
        <v>='Custom Well'!BE`$17</v>
      </c>
      <c r="S55" t="str">
        <f t="shared" si="4"/>
        <v>='Custom Well'!BE`$18</v>
      </c>
    </row>
    <row r="56" spans="1:19" x14ac:dyDescent="0.25">
      <c r="B56" t="s">
        <v>40</v>
      </c>
      <c r="E56" t="s">
        <v>44</v>
      </c>
      <c r="F56" s="68">
        <v>5</v>
      </c>
      <c r="G56" s="40" t="str">
        <f t="shared" si="7"/>
        <v>BF</v>
      </c>
      <c r="I56" s="41" t="s">
        <v>372</v>
      </c>
      <c r="K56" s="42" t="s">
        <v>373</v>
      </c>
      <c r="L56" s="42" t="s">
        <v>374</v>
      </c>
      <c r="M56" s="42" t="s">
        <v>375</v>
      </c>
      <c r="N56" s="42" t="s">
        <v>376</v>
      </c>
      <c r="P56" t="str">
        <f t="shared" si="8"/>
        <v>='Custom Well'!BF`$15</v>
      </c>
      <c r="Q56" t="str">
        <f t="shared" si="2"/>
        <v>='Custom Well'!BF`$16</v>
      </c>
      <c r="R56" t="str">
        <f t="shared" si="3"/>
        <v>='Custom Well'!BF`$17</v>
      </c>
      <c r="S56" t="str">
        <f t="shared" si="4"/>
        <v>='Custom Well'!BF`$18</v>
      </c>
    </row>
    <row r="57" spans="1:19" x14ac:dyDescent="0.25">
      <c r="B57" t="s">
        <v>40</v>
      </c>
      <c r="E57" t="s">
        <v>45</v>
      </c>
      <c r="F57" s="68">
        <v>6</v>
      </c>
      <c r="G57" s="40" t="str">
        <f t="shared" si="7"/>
        <v>BG</v>
      </c>
      <c r="I57" s="41" t="s">
        <v>372</v>
      </c>
      <c r="K57" s="42" t="s">
        <v>373</v>
      </c>
      <c r="L57" s="42" t="s">
        <v>374</v>
      </c>
      <c r="M57" s="42" t="s">
        <v>375</v>
      </c>
      <c r="N57" s="42" t="s">
        <v>376</v>
      </c>
      <c r="P57" t="str">
        <f t="shared" si="8"/>
        <v>='Custom Well'!BG`$15</v>
      </c>
      <c r="Q57" t="str">
        <f t="shared" si="2"/>
        <v>='Custom Well'!BG`$16</v>
      </c>
      <c r="R57" t="str">
        <f t="shared" si="3"/>
        <v>='Custom Well'!BG`$17</v>
      </c>
      <c r="S57" t="str">
        <f t="shared" si="4"/>
        <v>='Custom Well'!BG`$18</v>
      </c>
    </row>
    <row r="58" spans="1:19" x14ac:dyDescent="0.25">
      <c r="B58" t="s">
        <v>40</v>
      </c>
      <c r="E58" t="s">
        <v>282</v>
      </c>
      <c r="F58" s="70">
        <v>7</v>
      </c>
      <c r="G58" s="40" t="str">
        <f t="shared" si="7"/>
        <v>BH</v>
      </c>
      <c r="I58" s="41" t="s">
        <v>372</v>
      </c>
      <c r="K58" s="42" t="s">
        <v>373</v>
      </c>
      <c r="L58" s="42" t="s">
        <v>374</v>
      </c>
      <c r="M58" s="42" t="s">
        <v>375</v>
      </c>
      <c r="N58" s="42" t="s">
        <v>376</v>
      </c>
      <c r="P58" t="str">
        <f t="shared" si="8"/>
        <v>='Custom Well'!BH`$15</v>
      </c>
      <c r="Q58" t="str">
        <f t="shared" si="2"/>
        <v>='Custom Well'!BH`$16</v>
      </c>
      <c r="R58" t="str">
        <f t="shared" si="3"/>
        <v>='Custom Well'!BH`$17</v>
      </c>
      <c r="S58" t="str">
        <f t="shared" si="4"/>
        <v>='Custom Well'!BH`$18</v>
      </c>
    </row>
    <row r="59" spans="1:19" x14ac:dyDescent="0.25">
      <c r="B59" t="s">
        <v>40</v>
      </c>
      <c r="E59" t="s">
        <v>283</v>
      </c>
      <c r="F59" s="66">
        <v>1</v>
      </c>
      <c r="G59" s="40" t="str">
        <f t="shared" si="7"/>
        <v>BI</v>
      </c>
      <c r="I59" s="41" t="s">
        <v>372</v>
      </c>
      <c r="K59" s="42" t="s">
        <v>373</v>
      </c>
      <c r="L59" s="42" t="s">
        <v>374</v>
      </c>
      <c r="M59" s="42" t="s">
        <v>375</v>
      </c>
      <c r="N59" s="42" t="s">
        <v>376</v>
      </c>
      <c r="P59" t="str">
        <f t="shared" si="8"/>
        <v>='Custom Well'!BI`$15</v>
      </c>
      <c r="Q59" t="str">
        <f t="shared" si="2"/>
        <v>='Custom Well'!BI`$16</v>
      </c>
      <c r="R59" t="str">
        <f t="shared" si="3"/>
        <v>='Custom Well'!BI`$17</v>
      </c>
      <c r="S59" t="str">
        <f t="shared" si="4"/>
        <v>='Custom Well'!BI`$18</v>
      </c>
    </row>
    <row r="60" spans="1:19" x14ac:dyDescent="0.25">
      <c r="B60" t="s">
        <v>40</v>
      </c>
      <c r="E60" t="s">
        <v>284</v>
      </c>
      <c r="F60" s="68">
        <v>2</v>
      </c>
      <c r="G60" s="40" t="str">
        <f t="shared" si="7"/>
        <v>BJ</v>
      </c>
      <c r="I60" s="41" t="s">
        <v>372</v>
      </c>
      <c r="K60" s="42" t="s">
        <v>373</v>
      </c>
      <c r="L60" s="42" t="s">
        <v>374</v>
      </c>
      <c r="M60" s="42" t="s">
        <v>375</v>
      </c>
      <c r="N60" s="42" t="s">
        <v>376</v>
      </c>
      <c r="P60" t="str">
        <f t="shared" si="8"/>
        <v>='Custom Well'!BJ`$15</v>
      </c>
      <c r="Q60" t="str">
        <f t="shared" si="2"/>
        <v>='Custom Well'!BJ`$16</v>
      </c>
      <c r="R60" t="str">
        <f t="shared" si="3"/>
        <v>='Custom Well'!BJ`$17</v>
      </c>
      <c r="S60" t="str">
        <f t="shared" si="4"/>
        <v>='Custom Well'!BJ`$18</v>
      </c>
    </row>
    <row r="61" spans="1:19" x14ac:dyDescent="0.25">
      <c r="B61" t="s">
        <v>40</v>
      </c>
      <c r="E61" t="s">
        <v>285</v>
      </c>
      <c r="F61" s="68">
        <v>3</v>
      </c>
      <c r="G61" s="40" t="str">
        <f t="shared" si="7"/>
        <v>BK</v>
      </c>
      <c r="I61" s="41" t="s">
        <v>372</v>
      </c>
      <c r="K61" s="42" t="s">
        <v>373</v>
      </c>
      <c r="L61" s="42" t="s">
        <v>374</v>
      </c>
      <c r="M61" s="42" t="s">
        <v>375</v>
      </c>
      <c r="N61" s="42" t="s">
        <v>376</v>
      </c>
      <c r="P61" t="str">
        <f t="shared" si="8"/>
        <v>='Custom Well'!BK`$15</v>
      </c>
      <c r="Q61" t="str">
        <f t="shared" si="2"/>
        <v>='Custom Well'!BK`$16</v>
      </c>
      <c r="R61" t="str">
        <f t="shared" si="3"/>
        <v>='Custom Well'!BK`$17</v>
      </c>
      <c r="S61" t="str">
        <f t="shared" si="4"/>
        <v>='Custom Well'!BK`$18</v>
      </c>
    </row>
    <row r="62" spans="1:19" x14ac:dyDescent="0.25">
      <c r="B62" t="s">
        <v>40</v>
      </c>
      <c r="E62" t="s">
        <v>286</v>
      </c>
      <c r="F62" s="68">
        <v>4</v>
      </c>
      <c r="G62" s="40" t="str">
        <f t="shared" si="7"/>
        <v>BL</v>
      </c>
      <c r="I62" s="41" t="s">
        <v>372</v>
      </c>
      <c r="K62" s="42" t="s">
        <v>373</v>
      </c>
      <c r="L62" s="42" t="s">
        <v>374</v>
      </c>
      <c r="M62" s="42" t="s">
        <v>375</v>
      </c>
      <c r="N62" s="42" t="s">
        <v>376</v>
      </c>
      <c r="P62" t="str">
        <f t="shared" si="8"/>
        <v>='Custom Well'!BL`$15</v>
      </c>
      <c r="Q62" t="str">
        <f t="shared" si="2"/>
        <v>='Custom Well'!BL`$16</v>
      </c>
      <c r="R62" t="str">
        <f t="shared" si="3"/>
        <v>='Custom Well'!BL`$17</v>
      </c>
      <c r="S62" t="str">
        <f t="shared" si="4"/>
        <v>='Custom Well'!BL`$18</v>
      </c>
    </row>
    <row r="63" spans="1:19" x14ac:dyDescent="0.25">
      <c r="B63" t="s">
        <v>40</v>
      </c>
      <c r="E63" t="s">
        <v>287</v>
      </c>
      <c r="F63" s="68">
        <v>5</v>
      </c>
      <c r="G63" s="40" t="str">
        <f t="shared" si="7"/>
        <v>BM</v>
      </c>
      <c r="I63" s="41" t="s">
        <v>372</v>
      </c>
      <c r="K63" s="42" t="s">
        <v>373</v>
      </c>
      <c r="L63" s="42" t="s">
        <v>374</v>
      </c>
      <c r="M63" s="42" t="s">
        <v>375</v>
      </c>
      <c r="N63" s="42" t="s">
        <v>376</v>
      </c>
      <c r="P63" t="str">
        <f t="shared" si="8"/>
        <v>='Custom Well'!BM`$15</v>
      </c>
      <c r="Q63" t="str">
        <f t="shared" si="2"/>
        <v>='Custom Well'!BM`$16</v>
      </c>
      <c r="R63" t="str">
        <f t="shared" si="3"/>
        <v>='Custom Well'!BM`$17</v>
      </c>
      <c r="S63" t="str">
        <f t="shared" si="4"/>
        <v>='Custom Well'!BM`$18</v>
      </c>
    </row>
    <row r="64" spans="1:19" x14ac:dyDescent="0.25">
      <c r="B64" t="s">
        <v>40</v>
      </c>
      <c r="E64" t="s">
        <v>288</v>
      </c>
      <c r="F64" s="68">
        <v>6</v>
      </c>
      <c r="G64" s="40" t="str">
        <f t="shared" si="7"/>
        <v>BN</v>
      </c>
      <c r="I64" s="41" t="s">
        <v>372</v>
      </c>
      <c r="K64" s="42" t="s">
        <v>373</v>
      </c>
      <c r="L64" s="42" t="s">
        <v>374</v>
      </c>
      <c r="M64" s="42" t="s">
        <v>375</v>
      </c>
      <c r="N64" s="42" t="s">
        <v>376</v>
      </c>
      <c r="P64" t="str">
        <f t="shared" si="8"/>
        <v>='Custom Well'!BN`$15</v>
      </c>
      <c r="Q64" t="str">
        <f t="shared" si="2"/>
        <v>='Custom Well'!BN`$16</v>
      </c>
      <c r="R64" t="str">
        <f t="shared" si="3"/>
        <v>='Custom Well'!BN`$17</v>
      </c>
      <c r="S64" t="str">
        <f t="shared" si="4"/>
        <v>='Custom Well'!BN`$18</v>
      </c>
    </row>
    <row r="65" spans="2:19" x14ac:dyDescent="0.25">
      <c r="B65" t="s">
        <v>40</v>
      </c>
      <c r="E65" t="s">
        <v>289</v>
      </c>
      <c r="F65" s="70">
        <v>7</v>
      </c>
      <c r="G65" s="40" t="str">
        <f t="shared" si="7"/>
        <v>BO</v>
      </c>
      <c r="I65" s="41" t="s">
        <v>372</v>
      </c>
      <c r="K65" s="42" t="s">
        <v>373</v>
      </c>
      <c r="L65" s="42" t="s">
        <v>374</v>
      </c>
      <c r="M65" s="42" t="s">
        <v>375</v>
      </c>
      <c r="N65" s="42" t="s">
        <v>376</v>
      </c>
      <c r="P65" t="str">
        <f t="shared" si="8"/>
        <v>='Custom Well'!BO`$15</v>
      </c>
      <c r="Q65" t="str">
        <f t="shared" si="2"/>
        <v>='Custom Well'!BO`$16</v>
      </c>
      <c r="R65" t="str">
        <f t="shared" si="3"/>
        <v>='Custom Well'!BO`$17</v>
      </c>
      <c r="S65" t="str">
        <f t="shared" si="4"/>
        <v>='Custom Well'!BO`$18</v>
      </c>
    </row>
    <row r="66" spans="2:19" x14ac:dyDescent="0.25">
      <c r="B66" t="s">
        <v>40</v>
      </c>
      <c r="E66" t="s">
        <v>290</v>
      </c>
      <c r="F66" s="66">
        <v>1</v>
      </c>
      <c r="G66" s="40" t="str">
        <f t="shared" si="7"/>
        <v>BP</v>
      </c>
      <c r="I66" s="41" t="s">
        <v>372</v>
      </c>
      <c r="K66" s="42" t="s">
        <v>373</v>
      </c>
      <c r="L66" s="42" t="s">
        <v>374</v>
      </c>
      <c r="M66" s="42" t="s">
        <v>375</v>
      </c>
      <c r="N66" s="42" t="s">
        <v>376</v>
      </c>
      <c r="P66" t="str">
        <f t="shared" si="8"/>
        <v>='Custom Well'!BP`$15</v>
      </c>
      <c r="Q66" t="str">
        <f t="shared" si="2"/>
        <v>='Custom Well'!BP`$16</v>
      </c>
      <c r="R66" t="str">
        <f t="shared" si="3"/>
        <v>='Custom Well'!BP`$17</v>
      </c>
      <c r="S66" t="str">
        <f t="shared" si="4"/>
        <v>='Custom Well'!BP`$18</v>
      </c>
    </row>
    <row r="67" spans="2:19" x14ac:dyDescent="0.25">
      <c r="B67" t="s">
        <v>40</v>
      </c>
      <c r="E67" t="s">
        <v>291</v>
      </c>
      <c r="F67" s="68">
        <v>2</v>
      </c>
      <c r="G67" s="40" t="str">
        <f t="shared" si="7"/>
        <v>BQ</v>
      </c>
      <c r="I67" s="41" t="s">
        <v>372</v>
      </c>
      <c r="K67" s="42" t="s">
        <v>373</v>
      </c>
      <c r="L67" s="42" t="s">
        <v>374</v>
      </c>
      <c r="M67" s="42" t="s">
        <v>375</v>
      </c>
      <c r="N67" s="42" t="s">
        <v>376</v>
      </c>
      <c r="P67" t="str">
        <f t="shared" si="8"/>
        <v>='Custom Well'!BQ`$15</v>
      </c>
      <c r="Q67" t="str">
        <f t="shared" si="2"/>
        <v>='Custom Well'!BQ`$16</v>
      </c>
      <c r="R67" t="str">
        <f t="shared" si="3"/>
        <v>='Custom Well'!BQ`$17</v>
      </c>
      <c r="S67" t="str">
        <f t="shared" si="4"/>
        <v>='Custom Well'!BQ`$18</v>
      </c>
    </row>
    <row r="68" spans="2:19" x14ac:dyDescent="0.25">
      <c r="B68" t="s">
        <v>40</v>
      </c>
      <c r="E68" t="s">
        <v>292</v>
      </c>
      <c r="F68" s="68">
        <v>3</v>
      </c>
      <c r="G68" s="40" t="str">
        <f t="shared" si="7"/>
        <v>BR</v>
      </c>
      <c r="I68" s="41" t="s">
        <v>372</v>
      </c>
      <c r="K68" s="42" t="s">
        <v>373</v>
      </c>
      <c r="L68" s="42" t="s">
        <v>374</v>
      </c>
      <c r="M68" s="42" t="s">
        <v>375</v>
      </c>
      <c r="N68" s="42" t="s">
        <v>376</v>
      </c>
      <c r="P68" t="str">
        <f t="shared" si="8"/>
        <v>='Custom Well'!BR`$15</v>
      </c>
      <c r="Q68" t="str">
        <f t="shared" ref="Q68:Q85" si="9">CONCATENATE(I68,G68,L68)</f>
        <v>='Custom Well'!BR`$16</v>
      </c>
      <c r="R68" t="str">
        <f t="shared" ref="R68:R85" si="10">CONCATENATE(I68,G68,M68)</f>
        <v>='Custom Well'!BR`$17</v>
      </c>
      <c r="S68" t="str">
        <f t="shared" ref="S68:S85" si="11">CONCATENATE(I68,G68,N68)</f>
        <v>='Custom Well'!BR`$18</v>
      </c>
    </row>
    <row r="69" spans="2:19" x14ac:dyDescent="0.25">
      <c r="B69" t="s">
        <v>40</v>
      </c>
      <c r="E69" t="s">
        <v>293</v>
      </c>
      <c r="F69" s="68">
        <v>4</v>
      </c>
      <c r="G69" s="40" t="str">
        <f t="shared" si="7"/>
        <v>BS</v>
      </c>
      <c r="I69" s="41" t="s">
        <v>372</v>
      </c>
      <c r="K69" s="42" t="s">
        <v>373</v>
      </c>
      <c r="L69" s="42" t="s">
        <v>374</v>
      </c>
      <c r="M69" s="42" t="s">
        <v>375</v>
      </c>
      <c r="N69" s="42" t="s">
        <v>376</v>
      </c>
      <c r="P69" t="str">
        <f t="shared" si="8"/>
        <v>='Custom Well'!BS`$15</v>
      </c>
      <c r="Q69" t="str">
        <f t="shared" si="9"/>
        <v>='Custom Well'!BS`$16</v>
      </c>
      <c r="R69" t="str">
        <f t="shared" si="10"/>
        <v>='Custom Well'!BS`$17</v>
      </c>
      <c r="S69" t="str">
        <f t="shared" si="11"/>
        <v>='Custom Well'!BS`$18</v>
      </c>
    </row>
    <row r="70" spans="2:19" x14ac:dyDescent="0.25">
      <c r="B70" t="s">
        <v>40</v>
      </c>
      <c r="E70" t="s">
        <v>294</v>
      </c>
      <c r="F70" s="68">
        <v>5</v>
      </c>
      <c r="G70" s="40" t="str">
        <f t="shared" si="7"/>
        <v>BT</v>
      </c>
      <c r="I70" s="41" t="s">
        <v>372</v>
      </c>
      <c r="K70" s="42" t="s">
        <v>373</v>
      </c>
      <c r="L70" s="42" t="s">
        <v>374</v>
      </c>
      <c r="M70" s="42" t="s">
        <v>375</v>
      </c>
      <c r="N70" s="42" t="s">
        <v>376</v>
      </c>
      <c r="P70" t="str">
        <f t="shared" si="8"/>
        <v>='Custom Well'!BT`$15</v>
      </c>
      <c r="Q70" t="str">
        <f t="shared" si="9"/>
        <v>='Custom Well'!BT`$16</v>
      </c>
      <c r="R70" t="str">
        <f t="shared" si="10"/>
        <v>='Custom Well'!BT`$17</v>
      </c>
      <c r="S70" t="str">
        <f t="shared" si="11"/>
        <v>='Custom Well'!BT`$18</v>
      </c>
    </row>
    <row r="71" spans="2:19" x14ac:dyDescent="0.25">
      <c r="B71" t="s">
        <v>40</v>
      </c>
      <c r="E71" t="s">
        <v>295</v>
      </c>
      <c r="F71" s="68">
        <v>6</v>
      </c>
      <c r="G71" s="40" t="str">
        <f t="shared" si="7"/>
        <v>BU</v>
      </c>
      <c r="I71" s="41" t="s">
        <v>372</v>
      </c>
      <c r="K71" s="42" t="s">
        <v>373</v>
      </c>
      <c r="L71" s="42" t="s">
        <v>374</v>
      </c>
      <c r="M71" s="42" t="s">
        <v>375</v>
      </c>
      <c r="N71" s="42" t="s">
        <v>376</v>
      </c>
      <c r="P71" t="str">
        <f t="shared" si="8"/>
        <v>='Custom Well'!BU`$15</v>
      </c>
      <c r="Q71" t="str">
        <f t="shared" si="9"/>
        <v>='Custom Well'!BU`$16</v>
      </c>
      <c r="R71" t="str">
        <f t="shared" si="10"/>
        <v>='Custom Well'!BU`$17</v>
      </c>
      <c r="S71" t="str">
        <f t="shared" si="11"/>
        <v>='Custom Well'!BU`$18</v>
      </c>
    </row>
    <row r="72" spans="2:19" x14ac:dyDescent="0.25">
      <c r="B72" t="s">
        <v>40</v>
      </c>
      <c r="E72" t="s">
        <v>296</v>
      </c>
      <c r="F72" s="70">
        <v>7</v>
      </c>
      <c r="G72" s="40" t="str">
        <f t="shared" si="7"/>
        <v>BV</v>
      </c>
      <c r="I72" s="41" t="s">
        <v>372</v>
      </c>
      <c r="K72" s="42" t="s">
        <v>373</v>
      </c>
      <c r="L72" s="42" t="s">
        <v>374</v>
      </c>
      <c r="M72" s="42" t="s">
        <v>375</v>
      </c>
      <c r="N72" s="42" t="s">
        <v>376</v>
      </c>
      <c r="P72" t="str">
        <f t="shared" si="8"/>
        <v>='Custom Well'!BV`$15</v>
      </c>
      <c r="Q72" t="str">
        <f t="shared" si="9"/>
        <v>='Custom Well'!BV`$16</v>
      </c>
      <c r="R72" t="str">
        <f t="shared" si="10"/>
        <v>='Custom Well'!BV`$17</v>
      </c>
      <c r="S72" t="str">
        <f t="shared" si="11"/>
        <v>='Custom Well'!BV`$18</v>
      </c>
    </row>
    <row r="73" spans="2:19" x14ac:dyDescent="0.25">
      <c r="B73" t="s">
        <v>40</v>
      </c>
      <c r="E73" t="s">
        <v>297</v>
      </c>
      <c r="F73" s="66">
        <v>1</v>
      </c>
      <c r="G73" s="40" t="str">
        <f t="shared" si="7"/>
        <v>BW</v>
      </c>
      <c r="I73" s="41" t="s">
        <v>372</v>
      </c>
      <c r="K73" s="42" t="s">
        <v>373</v>
      </c>
      <c r="L73" s="42" t="s">
        <v>374</v>
      </c>
      <c r="M73" s="42" t="s">
        <v>375</v>
      </c>
      <c r="N73" s="42" t="s">
        <v>376</v>
      </c>
      <c r="P73" t="str">
        <f t="shared" si="8"/>
        <v>='Custom Well'!BW`$15</v>
      </c>
      <c r="Q73" t="str">
        <f t="shared" si="9"/>
        <v>='Custom Well'!BW`$16</v>
      </c>
      <c r="R73" t="str">
        <f t="shared" si="10"/>
        <v>='Custom Well'!BW`$17</v>
      </c>
      <c r="S73" t="str">
        <f t="shared" si="11"/>
        <v>='Custom Well'!BW`$18</v>
      </c>
    </row>
    <row r="74" spans="2:19" x14ac:dyDescent="0.25">
      <c r="B74" t="s">
        <v>40</v>
      </c>
      <c r="E74" t="s">
        <v>298</v>
      </c>
      <c r="F74" s="68">
        <v>2</v>
      </c>
      <c r="G74" s="40" t="str">
        <f t="shared" si="7"/>
        <v>BX</v>
      </c>
      <c r="I74" s="41" t="s">
        <v>372</v>
      </c>
      <c r="K74" s="42" t="s">
        <v>373</v>
      </c>
      <c r="L74" s="42" t="s">
        <v>374</v>
      </c>
      <c r="M74" s="42" t="s">
        <v>375</v>
      </c>
      <c r="N74" s="42" t="s">
        <v>376</v>
      </c>
      <c r="P74" t="str">
        <f t="shared" si="8"/>
        <v>='Custom Well'!BX`$15</v>
      </c>
      <c r="Q74" t="str">
        <f t="shared" si="9"/>
        <v>='Custom Well'!BX`$16</v>
      </c>
      <c r="R74" t="str">
        <f t="shared" si="10"/>
        <v>='Custom Well'!BX`$17</v>
      </c>
      <c r="S74" t="str">
        <f t="shared" si="11"/>
        <v>='Custom Well'!BX`$18</v>
      </c>
    </row>
    <row r="75" spans="2:19" x14ac:dyDescent="0.25">
      <c r="B75" t="s">
        <v>40</v>
      </c>
      <c r="E75" t="s">
        <v>299</v>
      </c>
      <c r="F75" s="68">
        <v>3</v>
      </c>
      <c r="G75" s="40" t="str">
        <f t="shared" si="7"/>
        <v>BY</v>
      </c>
      <c r="I75" s="41" t="s">
        <v>372</v>
      </c>
      <c r="K75" s="42" t="s">
        <v>373</v>
      </c>
      <c r="L75" s="42" t="s">
        <v>374</v>
      </c>
      <c r="M75" s="42" t="s">
        <v>375</v>
      </c>
      <c r="N75" s="42" t="s">
        <v>376</v>
      </c>
      <c r="P75" t="str">
        <f t="shared" si="8"/>
        <v>='Custom Well'!BY`$15</v>
      </c>
      <c r="Q75" t="str">
        <f t="shared" si="9"/>
        <v>='Custom Well'!BY`$16</v>
      </c>
      <c r="R75" t="str">
        <f t="shared" si="10"/>
        <v>='Custom Well'!BY`$17</v>
      </c>
      <c r="S75" t="str">
        <f t="shared" si="11"/>
        <v>='Custom Well'!BY`$18</v>
      </c>
    </row>
    <row r="76" spans="2:19" x14ac:dyDescent="0.25">
      <c r="B76" t="s">
        <v>40</v>
      </c>
      <c r="E76" t="s">
        <v>300</v>
      </c>
      <c r="F76" s="68">
        <v>4</v>
      </c>
      <c r="G76" s="40" t="str">
        <f t="shared" si="7"/>
        <v>BZ</v>
      </c>
      <c r="I76" s="41" t="s">
        <v>372</v>
      </c>
      <c r="K76" s="42" t="s">
        <v>373</v>
      </c>
      <c r="L76" s="42" t="s">
        <v>374</v>
      </c>
      <c r="M76" s="42" t="s">
        <v>375</v>
      </c>
      <c r="N76" s="42" t="s">
        <v>376</v>
      </c>
      <c r="P76" t="str">
        <f t="shared" si="8"/>
        <v>='Custom Well'!BZ`$15</v>
      </c>
      <c r="Q76" t="str">
        <f t="shared" si="9"/>
        <v>='Custom Well'!BZ`$16</v>
      </c>
      <c r="R76" t="str">
        <f t="shared" si="10"/>
        <v>='Custom Well'!BZ`$17</v>
      </c>
      <c r="S76" t="str">
        <f t="shared" si="11"/>
        <v>='Custom Well'!BZ`$18</v>
      </c>
    </row>
    <row r="77" spans="2:19" x14ac:dyDescent="0.25">
      <c r="C77" s="40" t="s">
        <v>41</v>
      </c>
      <c r="E77" t="s">
        <v>39</v>
      </c>
      <c r="F77" s="68">
        <v>5</v>
      </c>
      <c r="G77" s="40" t="str">
        <f t="shared" ref="G77:G99" si="12">CONCATENATE(A77,B77,C77,D77,E77)</f>
        <v>CA</v>
      </c>
      <c r="I77" s="41" t="s">
        <v>372</v>
      </c>
      <c r="K77" s="42" t="s">
        <v>373</v>
      </c>
      <c r="L77" s="42" t="s">
        <v>374</v>
      </c>
      <c r="M77" s="42" t="s">
        <v>375</v>
      </c>
      <c r="N77" s="42" t="s">
        <v>376</v>
      </c>
      <c r="P77" t="str">
        <f t="shared" ref="P77:P85" si="13">CONCATENATE(I77,G77,K77)</f>
        <v>='Custom Well'!CA`$15</v>
      </c>
      <c r="Q77" t="str">
        <f t="shared" si="9"/>
        <v>='Custom Well'!CA`$16</v>
      </c>
      <c r="R77" t="str">
        <f t="shared" si="10"/>
        <v>='Custom Well'!CA`$17</v>
      </c>
      <c r="S77" t="str">
        <f t="shared" si="11"/>
        <v>='Custom Well'!CA`$18</v>
      </c>
    </row>
    <row r="78" spans="2:19" x14ac:dyDescent="0.25">
      <c r="C78" s="40" t="s">
        <v>41</v>
      </c>
      <c r="E78" t="s">
        <v>40</v>
      </c>
      <c r="F78" s="68">
        <v>6</v>
      </c>
      <c r="G78" s="40" t="str">
        <f t="shared" si="12"/>
        <v>CB</v>
      </c>
      <c r="I78" s="41" t="s">
        <v>372</v>
      </c>
      <c r="K78" s="42" t="s">
        <v>373</v>
      </c>
      <c r="L78" s="42" t="s">
        <v>374</v>
      </c>
      <c r="M78" s="42" t="s">
        <v>375</v>
      </c>
      <c r="N78" s="42" t="s">
        <v>376</v>
      </c>
      <c r="P78" t="str">
        <f t="shared" si="13"/>
        <v>='Custom Well'!CB`$15</v>
      </c>
      <c r="Q78" t="str">
        <f t="shared" si="9"/>
        <v>='Custom Well'!CB`$16</v>
      </c>
      <c r="R78" t="str">
        <f t="shared" si="10"/>
        <v>='Custom Well'!CB`$17</v>
      </c>
      <c r="S78" t="str">
        <f t="shared" si="11"/>
        <v>='Custom Well'!CB`$18</v>
      </c>
    </row>
    <row r="79" spans="2:19" x14ac:dyDescent="0.25">
      <c r="C79" s="40" t="s">
        <v>41</v>
      </c>
      <c r="E79" t="s">
        <v>41</v>
      </c>
      <c r="F79" s="70">
        <v>7</v>
      </c>
      <c r="G79" s="40" t="str">
        <f t="shared" si="12"/>
        <v>CC</v>
      </c>
      <c r="I79" s="41" t="s">
        <v>372</v>
      </c>
      <c r="K79" s="42" t="s">
        <v>373</v>
      </c>
      <c r="L79" s="42" t="s">
        <v>374</v>
      </c>
      <c r="M79" s="42" t="s">
        <v>375</v>
      </c>
      <c r="N79" s="42" t="s">
        <v>376</v>
      </c>
      <c r="P79" t="str">
        <f t="shared" si="13"/>
        <v>='Custom Well'!CC`$15</v>
      </c>
      <c r="Q79" t="str">
        <f t="shared" si="9"/>
        <v>='Custom Well'!CC`$16</v>
      </c>
      <c r="R79" t="str">
        <f t="shared" si="10"/>
        <v>='Custom Well'!CC`$17</v>
      </c>
      <c r="S79" t="str">
        <f t="shared" si="11"/>
        <v>='Custom Well'!CC`$18</v>
      </c>
    </row>
    <row r="80" spans="2:19" x14ac:dyDescent="0.25">
      <c r="C80" s="40" t="s">
        <v>41</v>
      </c>
      <c r="E80" t="s">
        <v>42</v>
      </c>
      <c r="F80" s="66">
        <v>1</v>
      </c>
      <c r="G80" s="40" t="str">
        <f t="shared" si="12"/>
        <v>CD</v>
      </c>
      <c r="I80" s="41" t="s">
        <v>372</v>
      </c>
      <c r="K80" s="42" t="s">
        <v>373</v>
      </c>
      <c r="L80" s="42" t="s">
        <v>374</v>
      </c>
      <c r="M80" s="42" t="s">
        <v>375</v>
      </c>
      <c r="N80" s="42" t="s">
        <v>376</v>
      </c>
      <c r="P80" t="str">
        <f t="shared" si="13"/>
        <v>='Custom Well'!CD`$15</v>
      </c>
      <c r="Q80" t="str">
        <f t="shared" si="9"/>
        <v>='Custom Well'!CD`$16</v>
      </c>
      <c r="R80" t="str">
        <f t="shared" si="10"/>
        <v>='Custom Well'!CD`$17</v>
      </c>
      <c r="S80" t="str">
        <f t="shared" si="11"/>
        <v>='Custom Well'!CD`$18</v>
      </c>
    </row>
    <row r="81" spans="3:19" x14ac:dyDescent="0.25">
      <c r="C81" s="40" t="s">
        <v>41</v>
      </c>
      <c r="E81" t="s">
        <v>43</v>
      </c>
      <c r="F81" s="68">
        <v>2</v>
      </c>
      <c r="G81" s="40" t="str">
        <f t="shared" si="12"/>
        <v>CE</v>
      </c>
      <c r="I81" s="41" t="s">
        <v>372</v>
      </c>
      <c r="K81" s="42" t="s">
        <v>373</v>
      </c>
      <c r="L81" s="42" t="s">
        <v>374</v>
      </c>
      <c r="M81" s="42" t="s">
        <v>375</v>
      </c>
      <c r="N81" s="42" t="s">
        <v>376</v>
      </c>
      <c r="P81" t="str">
        <f t="shared" si="13"/>
        <v>='Custom Well'!CE`$15</v>
      </c>
      <c r="Q81" t="str">
        <f t="shared" si="9"/>
        <v>='Custom Well'!CE`$16</v>
      </c>
      <c r="R81" t="str">
        <f t="shared" si="10"/>
        <v>='Custom Well'!CE`$17</v>
      </c>
      <c r="S81" t="str">
        <f t="shared" si="11"/>
        <v>='Custom Well'!CE`$18</v>
      </c>
    </row>
    <row r="82" spans="3:19" x14ac:dyDescent="0.25">
      <c r="C82" s="40" t="s">
        <v>41</v>
      </c>
      <c r="E82" t="s">
        <v>44</v>
      </c>
      <c r="F82" s="68">
        <v>3</v>
      </c>
      <c r="G82" s="40" t="str">
        <f t="shared" si="12"/>
        <v>CF</v>
      </c>
      <c r="I82" s="41" t="s">
        <v>372</v>
      </c>
      <c r="K82" s="42" t="s">
        <v>373</v>
      </c>
      <c r="L82" s="42" t="s">
        <v>374</v>
      </c>
      <c r="M82" s="42" t="s">
        <v>375</v>
      </c>
      <c r="N82" s="42" t="s">
        <v>376</v>
      </c>
      <c r="P82" t="str">
        <f t="shared" si="13"/>
        <v>='Custom Well'!CF`$15</v>
      </c>
      <c r="Q82" t="str">
        <f t="shared" si="9"/>
        <v>='Custom Well'!CF`$16</v>
      </c>
      <c r="R82" t="str">
        <f t="shared" si="10"/>
        <v>='Custom Well'!CF`$17</v>
      </c>
      <c r="S82" t="str">
        <f t="shared" si="11"/>
        <v>='Custom Well'!CF`$18</v>
      </c>
    </row>
    <row r="83" spans="3:19" x14ac:dyDescent="0.25">
      <c r="C83" s="40" t="s">
        <v>41</v>
      </c>
      <c r="E83" t="s">
        <v>45</v>
      </c>
      <c r="F83" s="68">
        <v>4</v>
      </c>
      <c r="G83" s="40" t="str">
        <f t="shared" si="12"/>
        <v>CG</v>
      </c>
      <c r="I83" s="41" t="s">
        <v>372</v>
      </c>
      <c r="K83" s="42" t="s">
        <v>373</v>
      </c>
      <c r="L83" s="42" t="s">
        <v>374</v>
      </c>
      <c r="M83" s="42" t="s">
        <v>375</v>
      </c>
      <c r="N83" s="42" t="s">
        <v>376</v>
      </c>
      <c r="P83" t="str">
        <f t="shared" si="13"/>
        <v>='Custom Well'!CG`$15</v>
      </c>
      <c r="Q83" t="str">
        <f t="shared" si="9"/>
        <v>='Custom Well'!CG`$16</v>
      </c>
      <c r="R83" t="str">
        <f t="shared" si="10"/>
        <v>='Custom Well'!CG`$17</v>
      </c>
      <c r="S83" t="str">
        <f t="shared" si="11"/>
        <v>='Custom Well'!CG`$18</v>
      </c>
    </row>
    <row r="84" spans="3:19" x14ac:dyDescent="0.25">
      <c r="C84" s="40" t="s">
        <v>41</v>
      </c>
      <c r="E84" t="s">
        <v>282</v>
      </c>
      <c r="F84" s="68">
        <v>5</v>
      </c>
      <c r="G84" s="40" t="str">
        <f t="shared" si="12"/>
        <v>CH</v>
      </c>
      <c r="I84" s="41" t="s">
        <v>372</v>
      </c>
      <c r="K84" s="42" t="s">
        <v>373</v>
      </c>
      <c r="L84" s="42" t="s">
        <v>374</v>
      </c>
      <c r="M84" s="42" t="s">
        <v>375</v>
      </c>
      <c r="N84" s="42" t="s">
        <v>376</v>
      </c>
      <c r="P84" t="str">
        <f t="shared" si="13"/>
        <v>='Custom Well'!CH`$15</v>
      </c>
      <c r="Q84" t="str">
        <f t="shared" si="9"/>
        <v>='Custom Well'!CH`$16</v>
      </c>
      <c r="R84" t="str">
        <f t="shared" si="10"/>
        <v>='Custom Well'!CH`$17</v>
      </c>
      <c r="S84" t="str">
        <f t="shared" si="11"/>
        <v>='Custom Well'!CH`$18</v>
      </c>
    </row>
    <row r="85" spans="3:19" x14ac:dyDescent="0.25">
      <c r="C85" s="40" t="s">
        <v>41</v>
      </c>
      <c r="E85" t="s">
        <v>283</v>
      </c>
      <c r="F85" s="68">
        <v>6</v>
      </c>
      <c r="G85" s="40" t="str">
        <f t="shared" si="12"/>
        <v>CI</v>
      </c>
      <c r="I85" s="41" t="s">
        <v>372</v>
      </c>
      <c r="K85" s="42" t="s">
        <v>373</v>
      </c>
      <c r="L85" s="42" t="s">
        <v>374</v>
      </c>
      <c r="M85" s="42" t="s">
        <v>375</v>
      </c>
      <c r="N85" s="42" t="s">
        <v>376</v>
      </c>
      <c r="P85" t="str">
        <f t="shared" si="13"/>
        <v>='Custom Well'!CI`$15</v>
      </c>
      <c r="Q85" t="str">
        <f t="shared" si="9"/>
        <v>='Custom Well'!CI`$16</v>
      </c>
      <c r="R85" t="str">
        <f t="shared" si="10"/>
        <v>='Custom Well'!CI`$17</v>
      </c>
      <c r="S85" t="str">
        <f t="shared" si="11"/>
        <v>='Custom Well'!CI`$18</v>
      </c>
    </row>
    <row r="86" spans="3:19" x14ac:dyDescent="0.25">
      <c r="C86" s="40" t="s">
        <v>41</v>
      </c>
      <c r="E86" t="s">
        <v>284</v>
      </c>
      <c r="F86" s="70">
        <v>7</v>
      </c>
      <c r="G86" s="40" t="str">
        <f t="shared" si="12"/>
        <v>CJ</v>
      </c>
      <c r="I86" s="41" t="s">
        <v>372</v>
      </c>
      <c r="K86" s="42" t="s">
        <v>373</v>
      </c>
      <c r="L86" s="42" t="s">
        <v>374</v>
      </c>
      <c r="M86" s="42" t="s">
        <v>375</v>
      </c>
      <c r="N86" s="42" t="s">
        <v>376</v>
      </c>
    </row>
    <row r="87" spans="3:19" x14ac:dyDescent="0.25">
      <c r="C87" s="40" t="s">
        <v>41</v>
      </c>
      <c r="E87" t="s">
        <v>285</v>
      </c>
      <c r="F87" s="66">
        <v>1</v>
      </c>
      <c r="G87" s="40" t="str">
        <f t="shared" si="12"/>
        <v>CK</v>
      </c>
      <c r="I87" s="41" t="s">
        <v>372</v>
      </c>
      <c r="K87" s="42" t="s">
        <v>373</v>
      </c>
      <c r="L87" s="42" t="s">
        <v>374</v>
      </c>
      <c r="M87" s="42" t="s">
        <v>375</v>
      </c>
      <c r="N87" s="42" t="s">
        <v>376</v>
      </c>
    </row>
    <row r="88" spans="3:19" x14ac:dyDescent="0.25">
      <c r="C88" s="40" t="s">
        <v>41</v>
      </c>
      <c r="E88" t="s">
        <v>286</v>
      </c>
      <c r="F88" s="68">
        <v>2</v>
      </c>
      <c r="G88" s="40" t="str">
        <f t="shared" si="12"/>
        <v>CL</v>
      </c>
      <c r="I88" s="41" t="s">
        <v>372</v>
      </c>
      <c r="K88" s="42" t="s">
        <v>373</v>
      </c>
      <c r="L88" s="42" t="s">
        <v>374</v>
      </c>
      <c r="M88" s="42" t="s">
        <v>375</v>
      </c>
      <c r="N88" s="42" t="s">
        <v>376</v>
      </c>
    </row>
    <row r="89" spans="3:19" x14ac:dyDescent="0.25">
      <c r="C89" s="40" t="s">
        <v>41</v>
      </c>
      <c r="E89" t="s">
        <v>287</v>
      </c>
      <c r="F89" s="68">
        <v>3</v>
      </c>
      <c r="G89" s="40" t="str">
        <f t="shared" si="12"/>
        <v>CM</v>
      </c>
      <c r="I89" s="41" t="s">
        <v>372</v>
      </c>
      <c r="K89" s="42" t="s">
        <v>373</v>
      </c>
      <c r="L89" s="42" t="s">
        <v>374</v>
      </c>
      <c r="M89" s="42" t="s">
        <v>375</v>
      </c>
      <c r="N89" s="42" t="s">
        <v>376</v>
      </c>
    </row>
    <row r="90" spans="3:19" x14ac:dyDescent="0.25">
      <c r="C90" s="40" t="s">
        <v>41</v>
      </c>
      <c r="E90" t="s">
        <v>288</v>
      </c>
      <c r="F90" s="68">
        <v>4</v>
      </c>
      <c r="G90" s="40" t="str">
        <f t="shared" si="12"/>
        <v>CN</v>
      </c>
      <c r="I90" s="41" t="s">
        <v>372</v>
      </c>
      <c r="K90" s="42" t="s">
        <v>373</v>
      </c>
      <c r="L90" s="42" t="s">
        <v>374</v>
      </c>
      <c r="M90" s="42" t="s">
        <v>375</v>
      </c>
      <c r="N90" s="42" t="s">
        <v>376</v>
      </c>
    </row>
    <row r="91" spans="3:19" x14ac:dyDescent="0.25">
      <c r="C91" s="40" t="s">
        <v>41</v>
      </c>
      <c r="E91" t="s">
        <v>289</v>
      </c>
      <c r="F91" s="68">
        <v>5</v>
      </c>
      <c r="G91" s="40" t="str">
        <f t="shared" si="12"/>
        <v>CO</v>
      </c>
      <c r="I91" s="41" t="s">
        <v>372</v>
      </c>
      <c r="K91" s="42" t="s">
        <v>373</v>
      </c>
      <c r="L91" s="42" t="s">
        <v>374</v>
      </c>
      <c r="M91" s="42" t="s">
        <v>375</v>
      </c>
      <c r="N91" s="42" t="s">
        <v>376</v>
      </c>
    </row>
    <row r="92" spans="3:19" x14ac:dyDescent="0.25">
      <c r="C92" s="40" t="s">
        <v>41</v>
      </c>
      <c r="E92" t="s">
        <v>290</v>
      </c>
      <c r="F92" s="68">
        <v>6</v>
      </c>
      <c r="G92" s="40" t="str">
        <f t="shared" si="12"/>
        <v>CP</v>
      </c>
      <c r="I92" s="41" t="s">
        <v>372</v>
      </c>
      <c r="K92" s="42" t="s">
        <v>373</v>
      </c>
      <c r="L92" s="42" t="s">
        <v>374</v>
      </c>
      <c r="M92" s="42" t="s">
        <v>375</v>
      </c>
      <c r="N92" s="42" t="s">
        <v>376</v>
      </c>
    </row>
    <row r="93" spans="3:19" x14ac:dyDescent="0.25">
      <c r="C93" s="40" t="s">
        <v>41</v>
      </c>
      <c r="E93" t="s">
        <v>291</v>
      </c>
      <c r="F93" s="70">
        <v>7</v>
      </c>
      <c r="G93" s="40" t="str">
        <f t="shared" si="12"/>
        <v>CQ</v>
      </c>
      <c r="I93" s="41" t="s">
        <v>372</v>
      </c>
      <c r="K93" s="42" t="s">
        <v>373</v>
      </c>
      <c r="L93" s="42" t="s">
        <v>374</v>
      </c>
      <c r="M93" s="42" t="s">
        <v>375</v>
      </c>
      <c r="N93" s="42" t="s">
        <v>376</v>
      </c>
    </row>
    <row r="94" spans="3:19" x14ac:dyDescent="0.25">
      <c r="C94" s="40" t="s">
        <v>41</v>
      </c>
      <c r="E94" t="s">
        <v>292</v>
      </c>
      <c r="F94" s="66">
        <v>1</v>
      </c>
      <c r="G94" s="40" t="str">
        <f t="shared" si="12"/>
        <v>CR</v>
      </c>
      <c r="I94" s="41" t="s">
        <v>372</v>
      </c>
      <c r="K94" s="42" t="s">
        <v>373</v>
      </c>
      <c r="L94" s="42" t="s">
        <v>374</v>
      </c>
      <c r="M94" s="42" t="s">
        <v>375</v>
      </c>
      <c r="N94" s="42" t="s">
        <v>376</v>
      </c>
    </row>
    <row r="95" spans="3:19" x14ac:dyDescent="0.25">
      <c r="C95" s="40" t="s">
        <v>41</v>
      </c>
      <c r="E95" t="s">
        <v>293</v>
      </c>
      <c r="F95" s="68">
        <v>2</v>
      </c>
      <c r="G95" s="40" t="str">
        <f t="shared" si="12"/>
        <v>CS</v>
      </c>
      <c r="I95" s="41" t="s">
        <v>372</v>
      </c>
      <c r="K95" s="42" t="s">
        <v>373</v>
      </c>
      <c r="L95" s="42" t="s">
        <v>374</v>
      </c>
      <c r="M95" s="42" t="s">
        <v>375</v>
      </c>
      <c r="N95" s="42" t="s">
        <v>376</v>
      </c>
    </row>
    <row r="96" spans="3:19" x14ac:dyDescent="0.25">
      <c r="C96" s="40" t="s">
        <v>41</v>
      </c>
      <c r="E96" t="s">
        <v>294</v>
      </c>
      <c r="F96" s="68">
        <v>3</v>
      </c>
      <c r="G96" s="40" t="str">
        <f t="shared" si="12"/>
        <v>CT</v>
      </c>
      <c r="I96" s="41" t="s">
        <v>372</v>
      </c>
      <c r="K96" s="42" t="s">
        <v>373</v>
      </c>
      <c r="L96" s="42" t="s">
        <v>374</v>
      </c>
      <c r="M96" s="42" t="s">
        <v>375</v>
      </c>
      <c r="N96" s="42" t="s">
        <v>376</v>
      </c>
    </row>
    <row r="97" spans="3:14" x14ac:dyDescent="0.25">
      <c r="C97" s="40" t="s">
        <v>41</v>
      </c>
      <c r="E97" t="s">
        <v>295</v>
      </c>
      <c r="F97" s="68">
        <v>4</v>
      </c>
      <c r="G97" s="40" t="str">
        <f t="shared" si="12"/>
        <v>CU</v>
      </c>
      <c r="I97" s="41" t="s">
        <v>372</v>
      </c>
      <c r="K97" s="42" t="s">
        <v>373</v>
      </c>
      <c r="L97" s="42" t="s">
        <v>374</v>
      </c>
      <c r="M97" s="42" t="s">
        <v>375</v>
      </c>
      <c r="N97" s="42" t="s">
        <v>376</v>
      </c>
    </row>
    <row r="98" spans="3:14" x14ac:dyDescent="0.25">
      <c r="C98" s="40" t="s">
        <v>41</v>
      </c>
      <c r="E98" t="s">
        <v>296</v>
      </c>
      <c r="F98" s="68">
        <v>5</v>
      </c>
      <c r="G98" s="40" t="str">
        <f t="shared" si="12"/>
        <v>CV</v>
      </c>
      <c r="I98" s="41" t="s">
        <v>372</v>
      </c>
      <c r="K98" s="42" t="s">
        <v>373</v>
      </c>
      <c r="L98" s="42" t="s">
        <v>374</v>
      </c>
      <c r="M98" s="42" t="s">
        <v>375</v>
      </c>
      <c r="N98" s="42" t="s">
        <v>376</v>
      </c>
    </row>
    <row r="99" spans="3:14" x14ac:dyDescent="0.25">
      <c r="C99" s="40" t="s">
        <v>41</v>
      </c>
      <c r="E99" t="s">
        <v>297</v>
      </c>
      <c r="F99" s="68">
        <v>6</v>
      </c>
      <c r="G99" s="40" t="str">
        <f t="shared" si="12"/>
        <v>CW</v>
      </c>
      <c r="I99" s="41" t="s">
        <v>372</v>
      </c>
      <c r="K99" s="42" t="s">
        <v>373</v>
      </c>
      <c r="L99" s="42" t="s">
        <v>374</v>
      </c>
      <c r="M99" s="42" t="s">
        <v>375</v>
      </c>
      <c r="N99" s="42" t="s">
        <v>376</v>
      </c>
    </row>
    <row r="100" spans="3:14" x14ac:dyDescent="0.25">
      <c r="C100" s="40" t="s">
        <v>41</v>
      </c>
      <c r="E100" t="s">
        <v>298</v>
      </c>
      <c r="F100" s="70">
        <v>7</v>
      </c>
      <c r="G100" s="40" t="str">
        <f t="shared" ref="G100:G154" si="14">CONCATENATE(A100,B100,C100,D100,E100)</f>
        <v>CX</v>
      </c>
      <c r="I100" s="41" t="s">
        <v>372</v>
      </c>
      <c r="K100" s="42" t="s">
        <v>373</v>
      </c>
      <c r="L100" s="42" t="s">
        <v>374</v>
      </c>
      <c r="M100" s="42" t="s">
        <v>375</v>
      </c>
      <c r="N100" s="42" t="s">
        <v>376</v>
      </c>
    </row>
    <row r="101" spans="3:14" x14ac:dyDescent="0.25">
      <c r="C101" s="40" t="s">
        <v>41</v>
      </c>
      <c r="E101" t="s">
        <v>299</v>
      </c>
      <c r="F101" s="66">
        <v>1</v>
      </c>
      <c r="G101" s="40" t="str">
        <f t="shared" si="14"/>
        <v>CY</v>
      </c>
      <c r="I101" s="41" t="s">
        <v>372</v>
      </c>
      <c r="K101" s="42" t="s">
        <v>373</v>
      </c>
      <c r="L101" s="42" t="s">
        <v>374</v>
      </c>
      <c r="M101" s="42" t="s">
        <v>375</v>
      </c>
      <c r="N101" s="42" t="s">
        <v>376</v>
      </c>
    </row>
    <row r="102" spans="3:14" x14ac:dyDescent="0.25">
      <c r="C102" s="40" t="s">
        <v>41</v>
      </c>
      <c r="E102" t="s">
        <v>300</v>
      </c>
      <c r="F102" s="68">
        <v>2</v>
      </c>
      <c r="G102" s="40" t="str">
        <f t="shared" si="14"/>
        <v>CZ</v>
      </c>
      <c r="I102" s="41" t="s">
        <v>372</v>
      </c>
      <c r="K102" s="42" t="s">
        <v>373</v>
      </c>
      <c r="L102" s="42" t="s">
        <v>374</v>
      </c>
      <c r="M102" s="42" t="s">
        <v>375</v>
      </c>
      <c r="N102" s="42" t="s">
        <v>376</v>
      </c>
    </row>
    <row r="103" spans="3:14" x14ac:dyDescent="0.25">
      <c r="C103" s="40" t="s">
        <v>41</v>
      </c>
      <c r="E103" t="s">
        <v>39</v>
      </c>
      <c r="F103" s="68">
        <v>3</v>
      </c>
      <c r="G103" s="40" t="str">
        <f t="shared" si="14"/>
        <v>CA</v>
      </c>
      <c r="I103" s="41" t="s">
        <v>372</v>
      </c>
      <c r="K103" s="42" t="s">
        <v>373</v>
      </c>
      <c r="L103" s="42" t="s">
        <v>374</v>
      </c>
      <c r="M103" s="42" t="s">
        <v>375</v>
      </c>
      <c r="N103" s="42" t="s">
        <v>376</v>
      </c>
    </row>
    <row r="104" spans="3:14" x14ac:dyDescent="0.25">
      <c r="C104" s="40" t="s">
        <v>41</v>
      </c>
      <c r="E104" t="s">
        <v>40</v>
      </c>
      <c r="F104" s="68">
        <v>4</v>
      </c>
      <c r="G104" s="40" t="str">
        <f t="shared" si="14"/>
        <v>CB</v>
      </c>
      <c r="I104" s="41" t="s">
        <v>372</v>
      </c>
      <c r="K104" s="42" t="s">
        <v>373</v>
      </c>
      <c r="L104" s="42" t="s">
        <v>374</v>
      </c>
      <c r="M104" s="42" t="s">
        <v>375</v>
      </c>
      <c r="N104" s="42" t="s">
        <v>376</v>
      </c>
    </row>
    <row r="105" spans="3:14" x14ac:dyDescent="0.25">
      <c r="C105" s="40" t="s">
        <v>41</v>
      </c>
      <c r="E105" t="s">
        <v>41</v>
      </c>
      <c r="F105" s="68">
        <v>5</v>
      </c>
      <c r="G105" s="40" t="str">
        <f t="shared" si="14"/>
        <v>CC</v>
      </c>
      <c r="I105" s="41" t="s">
        <v>372</v>
      </c>
      <c r="K105" s="42" t="s">
        <v>373</v>
      </c>
      <c r="L105" s="42" t="s">
        <v>374</v>
      </c>
      <c r="M105" s="42" t="s">
        <v>375</v>
      </c>
      <c r="N105" s="42" t="s">
        <v>376</v>
      </c>
    </row>
    <row r="106" spans="3:14" x14ac:dyDescent="0.25">
      <c r="C106" s="40" t="s">
        <v>41</v>
      </c>
      <c r="E106" t="s">
        <v>42</v>
      </c>
      <c r="F106" s="68">
        <v>6</v>
      </c>
      <c r="G106" s="40" t="str">
        <f t="shared" si="14"/>
        <v>CD</v>
      </c>
      <c r="I106" s="41" t="s">
        <v>372</v>
      </c>
      <c r="K106" s="42" t="s">
        <v>373</v>
      </c>
      <c r="L106" s="42" t="s">
        <v>374</v>
      </c>
      <c r="M106" s="42" t="s">
        <v>375</v>
      </c>
      <c r="N106" s="42" t="s">
        <v>376</v>
      </c>
    </row>
    <row r="107" spans="3:14" x14ac:dyDescent="0.25">
      <c r="C107" s="40" t="s">
        <v>41</v>
      </c>
      <c r="E107" t="s">
        <v>43</v>
      </c>
      <c r="F107" s="70">
        <v>7</v>
      </c>
      <c r="G107" s="40" t="str">
        <f t="shared" si="14"/>
        <v>CE</v>
      </c>
      <c r="I107" s="41" t="s">
        <v>372</v>
      </c>
      <c r="K107" s="42" t="s">
        <v>373</v>
      </c>
      <c r="L107" s="42" t="s">
        <v>374</v>
      </c>
      <c r="M107" s="42" t="s">
        <v>375</v>
      </c>
      <c r="N107" s="42" t="s">
        <v>376</v>
      </c>
    </row>
    <row r="108" spans="3:14" x14ac:dyDescent="0.25">
      <c r="C108" s="40" t="s">
        <v>41</v>
      </c>
      <c r="E108" t="s">
        <v>44</v>
      </c>
      <c r="F108" s="66">
        <v>1</v>
      </c>
      <c r="G108" s="40" t="str">
        <f t="shared" si="14"/>
        <v>CF</v>
      </c>
      <c r="I108" s="41" t="s">
        <v>372</v>
      </c>
      <c r="K108" s="42" t="s">
        <v>373</v>
      </c>
      <c r="L108" s="42" t="s">
        <v>374</v>
      </c>
      <c r="M108" s="42" t="s">
        <v>375</v>
      </c>
      <c r="N108" s="42" t="s">
        <v>376</v>
      </c>
    </row>
    <row r="109" spans="3:14" x14ac:dyDescent="0.25">
      <c r="C109" s="40" t="s">
        <v>41</v>
      </c>
      <c r="E109" t="s">
        <v>45</v>
      </c>
      <c r="F109" s="68">
        <v>2</v>
      </c>
      <c r="G109" s="40" t="str">
        <f t="shared" si="14"/>
        <v>CG</v>
      </c>
      <c r="I109" s="41" t="s">
        <v>372</v>
      </c>
      <c r="K109" s="42" t="s">
        <v>373</v>
      </c>
      <c r="L109" s="42" t="s">
        <v>374</v>
      </c>
      <c r="M109" s="42" t="s">
        <v>375</v>
      </c>
      <c r="N109" s="42" t="s">
        <v>376</v>
      </c>
    </row>
    <row r="110" spans="3:14" x14ac:dyDescent="0.25">
      <c r="C110" s="40" t="s">
        <v>41</v>
      </c>
      <c r="E110" t="s">
        <v>282</v>
      </c>
      <c r="F110" s="68">
        <v>3</v>
      </c>
      <c r="G110" s="40" t="str">
        <f t="shared" si="14"/>
        <v>CH</v>
      </c>
      <c r="I110" s="41" t="s">
        <v>372</v>
      </c>
      <c r="K110" s="42" t="s">
        <v>373</v>
      </c>
      <c r="L110" s="42" t="s">
        <v>374</v>
      </c>
      <c r="M110" s="42" t="s">
        <v>375</v>
      </c>
      <c r="N110" s="42" t="s">
        <v>376</v>
      </c>
    </row>
    <row r="111" spans="3:14" x14ac:dyDescent="0.25">
      <c r="C111" s="40" t="s">
        <v>41</v>
      </c>
      <c r="E111" t="s">
        <v>283</v>
      </c>
      <c r="F111" s="68">
        <v>4</v>
      </c>
      <c r="G111" s="40" t="str">
        <f t="shared" si="14"/>
        <v>CI</v>
      </c>
      <c r="I111" s="41" t="s">
        <v>372</v>
      </c>
      <c r="K111" s="42" t="s">
        <v>373</v>
      </c>
      <c r="L111" s="42" t="s">
        <v>374</v>
      </c>
      <c r="M111" s="42" t="s">
        <v>375</v>
      </c>
      <c r="N111" s="42" t="s">
        <v>376</v>
      </c>
    </row>
    <row r="112" spans="3:14" x14ac:dyDescent="0.25">
      <c r="C112" s="40" t="s">
        <v>41</v>
      </c>
      <c r="E112" t="s">
        <v>284</v>
      </c>
      <c r="F112" s="68">
        <v>5</v>
      </c>
      <c r="G112" s="40" t="str">
        <f t="shared" si="14"/>
        <v>CJ</v>
      </c>
      <c r="I112" s="41" t="s">
        <v>372</v>
      </c>
      <c r="K112" s="42" t="s">
        <v>373</v>
      </c>
      <c r="L112" s="42" t="s">
        <v>374</v>
      </c>
      <c r="M112" s="42" t="s">
        <v>375</v>
      </c>
      <c r="N112" s="42" t="s">
        <v>376</v>
      </c>
    </row>
    <row r="113" spans="3:9" x14ac:dyDescent="0.25">
      <c r="C113" s="40" t="s">
        <v>41</v>
      </c>
      <c r="E113" t="s">
        <v>285</v>
      </c>
      <c r="F113" s="68">
        <v>6</v>
      </c>
      <c r="G113" s="40" t="str">
        <f t="shared" si="14"/>
        <v>CK</v>
      </c>
      <c r="I113" s="41" t="s">
        <v>372</v>
      </c>
    </row>
    <row r="114" spans="3:9" x14ac:dyDescent="0.25">
      <c r="C114" s="40" t="s">
        <v>41</v>
      </c>
      <c r="E114" t="s">
        <v>286</v>
      </c>
      <c r="F114" s="70">
        <v>7</v>
      </c>
      <c r="G114" s="40" t="str">
        <f t="shared" si="14"/>
        <v>CL</v>
      </c>
      <c r="I114" s="41" t="s">
        <v>372</v>
      </c>
    </row>
    <row r="115" spans="3:9" x14ac:dyDescent="0.25">
      <c r="C115" s="40" t="s">
        <v>41</v>
      </c>
      <c r="E115" t="s">
        <v>287</v>
      </c>
      <c r="F115" s="66">
        <v>1</v>
      </c>
      <c r="G115" s="40" t="str">
        <f t="shared" si="14"/>
        <v>CM</v>
      </c>
      <c r="I115" s="41" t="s">
        <v>372</v>
      </c>
    </row>
    <row r="116" spans="3:9" x14ac:dyDescent="0.25">
      <c r="C116" s="40" t="s">
        <v>41</v>
      </c>
      <c r="E116" t="s">
        <v>288</v>
      </c>
      <c r="F116" s="68">
        <v>2</v>
      </c>
      <c r="G116" s="40" t="str">
        <f t="shared" si="14"/>
        <v>CN</v>
      </c>
      <c r="I116" s="41" t="s">
        <v>372</v>
      </c>
    </row>
    <row r="117" spans="3:9" x14ac:dyDescent="0.25">
      <c r="C117" s="40" t="s">
        <v>41</v>
      </c>
      <c r="E117" t="s">
        <v>289</v>
      </c>
      <c r="F117" s="68">
        <v>3</v>
      </c>
      <c r="G117" s="40" t="str">
        <f t="shared" si="14"/>
        <v>CO</v>
      </c>
      <c r="I117" s="41" t="s">
        <v>372</v>
      </c>
    </row>
    <row r="118" spans="3:9" x14ac:dyDescent="0.25">
      <c r="C118" s="40" t="s">
        <v>41</v>
      </c>
      <c r="E118" t="s">
        <v>290</v>
      </c>
      <c r="F118" s="68">
        <v>4</v>
      </c>
      <c r="G118" s="40" t="str">
        <f t="shared" si="14"/>
        <v>CP</v>
      </c>
      <c r="I118" s="41" t="s">
        <v>372</v>
      </c>
    </row>
    <row r="119" spans="3:9" x14ac:dyDescent="0.25">
      <c r="C119" s="40" t="s">
        <v>41</v>
      </c>
      <c r="E119" t="s">
        <v>291</v>
      </c>
      <c r="F119" s="68">
        <v>5</v>
      </c>
      <c r="G119" s="40" t="str">
        <f t="shared" si="14"/>
        <v>CQ</v>
      </c>
      <c r="I119" s="41" t="s">
        <v>372</v>
      </c>
    </row>
    <row r="120" spans="3:9" x14ac:dyDescent="0.25">
      <c r="C120" s="40" t="s">
        <v>41</v>
      </c>
      <c r="E120" t="s">
        <v>292</v>
      </c>
      <c r="F120" s="68">
        <v>6</v>
      </c>
      <c r="G120" s="40" t="str">
        <f t="shared" si="14"/>
        <v>CR</v>
      </c>
      <c r="I120" s="41" t="s">
        <v>372</v>
      </c>
    </row>
    <row r="121" spans="3:9" x14ac:dyDescent="0.25">
      <c r="C121" s="40" t="s">
        <v>41</v>
      </c>
      <c r="E121" t="s">
        <v>293</v>
      </c>
      <c r="F121" s="70">
        <v>7</v>
      </c>
      <c r="G121" s="40" t="str">
        <f t="shared" si="14"/>
        <v>CS</v>
      </c>
      <c r="I121" s="41" t="s">
        <v>372</v>
      </c>
    </row>
    <row r="122" spans="3:9" x14ac:dyDescent="0.25">
      <c r="C122" s="40" t="s">
        <v>41</v>
      </c>
      <c r="E122" t="s">
        <v>294</v>
      </c>
      <c r="F122" s="66">
        <v>1</v>
      </c>
      <c r="G122" s="40" t="str">
        <f t="shared" si="14"/>
        <v>CT</v>
      </c>
      <c r="I122" s="41" t="s">
        <v>372</v>
      </c>
    </row>
    <row r="123" spans="3:9" x14ac:dyDescent="0.25">
      <c r="C123" s="40" t="s">
        <v>41</v>
      </c>
      <c r="E123" t="s">
        <v>295</v>
      </c>
      <c r="F123" s="68">
        <v>2</v>
      </c>
      <c r="G123" s="40" t="str">
        <f t="shared" si="14"/>
        <v>CU</v>
      </c>
      <c r="I123" s="41" t="s">
        <v>372</v>
      </c>
    </row>
    <row r="124" spans="3:9" x14ac:dyDescent="0.25">
      <c r="C124" s="40" t="s">
        <v>41</v>
      </c>
      <c r="E124" t="s">
        <v>296</v>
      </c>
      <c r="F124" s="68">
        <v>3</v>
      </c>
      <c r="G124" s="40" t="str">
        <f t="shared" si="14"/>
        <v>CV</v>
      </c>
      <c r="I124" s="41" t="s">
        <v>372</v>
      </c>
    </row>
    <row r="125" spans="3:9" x14ac:dyDescent="0.25">
      <c r="C125" s="40" t="s">
        <v>41</v>
      </c>
      <c r="E125" t="s">
        <v>297</v>
      </c>
      <c r="F125" s="68">
        <v>4</v>
      </c>
      <c r="G125" s="40" t="str">
        <f t="shared" si="14"/>
        <v>CW</v>
      </c>
      <c r="I125" s="41" t="s">
        <v>372</v>
      </c>
    </row>
    <row r="126" spans="3:9" x14ac:dyDescent="0.25">
      <c r="C126" s="40" t="s">
        <v>41</v>
      </c>
      <c r="E126" t="s">
        <v>298</v>
      </c>
      <c r="F126" s="68">
        <v>5</v>
      </c>
      <c r="G126" s="40" t="str">
        <f t="shared" si="14"/>
        <v>CX</v>
      </c>
      <c r="I126" s="41" t="s">
        <v>372</v>
      </c>
    </row>
    <row r="127" spans="3:9" x14ac:dyDescent="0.25">
      <c r="C127" s="40" t="s">
        <v>41</v>
      </c>
      <c r="E127" t="s">
        <v>299</v>
      </c>
      <c r="F127" s="68">
        <v>6</v>
      </c>
      <c r="G127" s="40" t="str">
        <f t="shared" si="14"/>
        <v>CY</v>
      </c>
      <c r="I127" s="41" t="s">
        <v>372</v>
      </c>
    </row>
    <row r="128" spans="3:9" x14ac:dyDescent="0.25">
      <c r="C128" s="40" t="s">
        <v>41</v>
      </c>
      <c r="E128" t="s">
        <v>300</v>
      </c>
      <c r="F128" s="70">
        <v>7</v>
      </c>
      <c r="G128" s="40" t="str">
        <f t="shared" si="14"/>
        <v>CZ</v>
      </c>
      <c r="I128" s="41" t="s">
        <v>372</v>
      </c>
    </row>
    <row r="129" spans="3:10" x14ac:dyDescent="0.25">
      <c r="C129" s="40" t="s">
        <v>41</v>
      </c>
      <c r="E129" t="s">
        <v>39</v>
      </c>
      <c r="F129" s="66">
        <v>1</v>
      </c>
      <c r="G129" s="40" t="str">
        <f t="shared" si="14"/>
        <v>CA</v>
      </c>
      <c r="I129" s="41" t="s">
        <v>372</v>
      </c>
    </row>
    <row r="130" spans="3:10" x14ac:dyDescent="0.25">
      <c r="C130" s="40" t="s">
        <v>41</v>
      </c>
      <c r="E130" t="s">
        <v>40</v>
      </c>
      <c r="F130" s="68">
        <v>2</v>
      </c>
      <c r="G130" s="40" t="str">
        <f t="shared" si="14"/>
        <v>CB</v>
      </c>
      <c r="I130" s="41" t="s">
        <v>372</v>
      </c>
    </row>
    <row r="131" spans="3:10" x14ac:dyDescent="0.25">
      <c r="C131" s="40" t="s">
        <v>41</v>
      </c>
      <c r="E131" t="s">
        <v>41</v>
      </c>
      <c r="F131" s="68">
        <v>3</v>
      </c>
      <c r="G131" s="40" t="str">
        <f t="shared" si="14"/>
        <v>CC</v>
      </c>
      <c r="I131" s="41" t="s">
        <v>372</v>
      </c>
    </row>
    <row r="132" spans="3:10" x14ac:dyDescent="0.25">
      <c r="C132" s="40" t="s">
        <v>41</v>
      </c>
      <c r="E132" t="s">
        <v>42</v>
      </c>
      <c r="F132" s="68">
        <v>4</v>
      </c>
      <c r="G132" s="40" t="str">
        <f t="shared" si="14"/>
        <v>CD</v>
      </c>
      <c r="I132" s="41" t="s">
        <v>372</v>
      </c>
    </row>
    <row r="133" spans="3:10" x14ac:dyDescent="0.25">
      <c r="C133" s="40" t="s">
        <v>41</v>
      </c>
      <c r="E133" t="s">
        <v>43</v>
      </c>
      <c r="F133" s="68">
        <v>5</v>
      </c>
      <c r="G133" s="40" t="str">
        <f t="shared" si="14"/>
        <v>CE</v>
      </c>
      <c r="I133" s="41" t="s">
        <v>372</v>
      </c>
    </row>
    <row r="134" spans="3:10" x14ac:dyDescent="0.25">
      <c r="C134" s="40" t="s">
        <v>41</v>
      </c>
      <c r="E134" t="s">
        <v>44</v>
      </c>
      <c r="F134" s="68">
        <v>6</v>
      </c>
      <c r="G134" s="40" t="str">
        <f t="shared" si="14"/>
        <v>CF</v>
      </c>
      <c r="I134" s="41" t="s">
        <v>372</v>
      </c>
    </row>
    <row r="135" spans="3:10" x14ac:dyDescent="0.25">
      <c r="C135" s="40" t="s">
        <v>41</v>
      </c>
      <c r="E135" t="s">
        <v>45</v>
      </c>
      <c r="F135" s="70">
        <v>7</v>
      </c>
      <c r="G135" s="40" t="str">
        <f t="shared" si="14"/>
        <v>CG</v>
      </c>
      <c r="I135" s="41" t="s">
        <v>372</v>
      </c>
    </row>
    <row r="136" spans="3:10" x14ac:dyDescent="0.25">
      <c r="C136" s="40" t="s">
        <v>41</v>
      </c>
      <c r="E136" t="s">
        <v>282</v>
      </c>
      <c r="F136" s="66">
        <v>1</v>
      </c>
      <c r="G136" s="40" t="str">
        <f t="shared" si="14"/>
        <v>CH</v>
      </c>
      <c r="I136" s="41" t="s">
        <v>372</v>
      </c>
    </row>
    <row r="137" spans="3:10" x14ac:dyDescent="0.25">
      <c r="C137" s="40" t="s">
        <v>41</v>
      </c>
      <c r="E137" t="s">
        <v>283</v>
      </c>
      <c r="F137" s="68">
        <v>2</v>
      </c>
      <c r="G137" s="40" t="str">
        <f t="shared" si="14"/>
        <v>CI</v>
      </c>
      <c r="I137" s="41" t="s">
        <v>372</v>
      </c>
    </row>
    <row r="138" spans="3:10" x14ac:dyDescent="0.25">
      <c r="C138" s="40" t="s">
        <v>41</v>
      </c>
      <c r="E138" t="s">
        <v>284</v>
      </c>
      <c r="F138" s="68">
        <v>3</v>
      </c>
      <c r="G138" s="40" t="str">
        <f t="shared" si="14"/>
        <v>CJ</v>
      </c>
      <c r="I138" s="41" t="s">
        <v>372</v>
      </c>
    </row>
    <row r="139" spans="3:10" x14ac:dyDescent="0.25">
      <c r="C139" s="40" t="s">
        <v>41</v>
      </c>
      <c r="E139" t="s">
        <v>285</v>
      </c>
      <c r="F139" s="68"/>
      <c r="G139" s="40" t="str">
        <f t="shared" si="14"/>
        <v>CK</v>
      </c>
      <c r="I139" s="41" t="s">
        <v>372</v>
      </c>
    </row>
    <row r="140" spans="3:10" x14ac:dyDescent="0.25">
      <c r="C140" s="40" t="s">
        <v>41</v>
      </c>
      <c r="E140" t="s">
        <v>286</v>
      </c>
      <c r="F140" s="68"/>
      <c r="G140" s="40" t="str">
        <f t="shared" si="14"/>
        <v>CL</v>
      </c>
      <c r="I140" s="41" t="s">
        <v>372</v>
      </c>
    </row>
    <row r="141" spans="3:10" x14ac:dyDescent="0.25">
      <c r="C141" s="40" t="s">
        <v>41</v>
      </c>
      <c r="E141" t="s">
        <v>287</v>
      </c>
      <c r="F141" s="68"/>
      <c r="G141" s="40" t="str">
        <f t="shared" si="14"/>
        <v>CM</v>
      </c>
      <c r="I141" s="41" t="s">
        <v>372</v>
      </c>
    </row>
    <row r="142" spans="3:10" x14ac:dyDescent="0.25">
      <c r="C142" s="40" t="s">
        <v>41</v>
      </c>
      <c r="E142" t="s">
        <v>288</v>
      </c>
      <c r="F142" s="70"/>
      <c r="G142" s="40" t="str">
        <f t="shared" si="14"/>
        <v>CN</v>
      </c>
      <c r="I142" s="41" t="s">
        <v>372</v>
      </c>
      <c r="J142" t="s">
        <v>43</v>
      </c>
    </row>
    <row r="143" spans="3:10" x14ac:dyDescent="0.25">
      <c r="C143" s="40" t="s">
        <v>41</v>
      </c>
      <c r="E143" t="s">
        <v>289</v>
      </c>
      <c r="F143" s="66"/>
      <c r="G143" s="40" t="str">
        <f t="shared" si="14"/>
        <v>CO</v>
      </c>
      <c r="I143" s="41" t="s">
        <v>372</v>
      </c>
      <c r="J143" t="s">
        <v>43</v>
      </c>
    </row>
    <row r="144" spans="3:10" x14ac:dyDescent="0.25">
      <c r="C144" s="40" t="s">
        <v>41</v>
      </c>
      <c r="E144" t="s">
        <v>290</v>
      </c>
      <c r="F144" s="68"/>
      <c r="G144" s="40" t="str">
        <f t="shared" si="14"/>
        <v>CP</v>
      </c>
      <c r="I144" s="41" t="s">
        <v>372</v>
      </c>
      <c r="J144" t="s">
        <v>43</v>
      </c>
    </row>
    <row r="145" spans="3:10" x14ac:dyDescent="0.25">
      <c r="C145" s="40" t="s">
        <v>41</v>
      </c>
      <c r="E145" t="s">
        <v>291</v>
      </c>
      <c r="F145" s="68"/>
      <c r="G145" s="40" t="str">
        <f t="shared" si="14"/>
        <v>CQ</v>
      </c>
      <c r="I145" s="41" t="s">
        <v>372</v>
      </c>
      <c r="J145" t="s">
        <v>43</v>
      </c>
    </row>
    <row r="146" spans="3:10" x14ac:dyDescent="0.25">
      <c r="C146" s="40" t="s">
        <v>41</v>
      </c>
      <c r="E146" t="s">
        <v>292</v>
      </c>
      <c r="F146" s="68"/>
      <c r="G146" s="40" t="str">
        <f t="shared" si="14"/>
        <v>CR</v>
      </c>
      <c r="I146" s="41" t="s">
        <v>372</v>
      </c>
      <c r="J146" t="s">
        <v>43</v>
      </c>
    </row>
    <row r="147" spans="3:10" x14ac:dyDescent="0.25">
      <c r="C147" s="40" t="s">
        <v>41</v>
      </c>
      <c r="E147" t="s">
        <v>293</v>
      </c>
      <c r="F147" s="68"/>
      <c r="G147" s="40" t="str">
        <f t="shared" si="14"/>
        <v>CS</v>
      </c>
      <c r="I147" s="41" t="s">
        <v>372</v>
      </c>
      <c r="J147" t="s">
        <v>43</v>
      </c>
    </row>
    <row r="148" spans="3:10" x14ac:dyDescent="0.25">
      <c r="C148" s="40" t="s">
        <v>41</v>
      </c>
      <c r="E148" t="s">
        <v>294</v>
      </c>
      <c r="F148" s="68"/>
      <c r="G148" s="40" t="str">
        <f t="shared" si="14"/>
        <v>CT</v>
      </c>
      <c r="I148" s="41" t="s">
        <v>372</v>
      </c>
      <c r="J148" t="s">
        <v>43</v>
      </c>
    </row>
    <row r="149" spans="3:10" x14ac:dyDescent="0.25">
      <c r="C149" s="40" t="s">
        <v>41</v>
      </c>
      <c r="E149" t="s">
        <v>295</v>
      </c>
      <c r="F149" s="70"/>
      <c r="G149" s="40" t="str">
        <f t="shared" si="14"/>
        <v>CU</v>
      </c>
      <c r="I149" s="41" t="s">
        <v>372</v>
      </c>
      <c r="J149" t="s">
        <v>43</v>
      </c>
    </row>
    <row r="150" spans="3:10" x14ac:dyDescent="0.25">
      <c r="C150" s="40" t="s">
        <v>41</v>
      </c>
      <c r="E150" t="s">
        <v>296</v>
      </c>
      <c r="G150" s="40" t="str">
        <f t="shared" si="14"/>
        <v>CV</v>
      </c>
      <c r="I150" s="41" t="s">
        <v>372</v>
      </c>
      <c r="J150" t="s">
        <v>43</v>
      </c>
    </row>
    <row r="151" spans="3:10" x14ac:dyDescent="0.25">
      <c r="C151" s="40" t="s">
        <v>41</v>
      </c>
      <c r="E151" t="s">
        <v>297</v>
      </c>
      <c r="G151" s="40" t="str">
        <f t="shared" si="14"/>
        <v>CW</v>
      </c>
      <c r="I151" s="41" t="s">
        <v>372</v>
      </c>
      <c r="J151" t="s">
        <v>43</v>
      </c>
    </row>
    <row r="152" spans="3:10" x14ac:dyDescent="0.25">
      <c r="C152" s="40" t="s">
        <v>41</v>
      </c>
      <c r="E152" t="s">
        <v>298</v>
      </c>
      <c r="G152" s="40" t="str">
        <f t="shared" si="14"/>
        <v>CX</v>
      </c>
      <c r="I152" s="41" t="s">
        <v>372</v>
      </c>
      <c r="J152" t="s">
        <v>43</v>
      </c>
    </row>
    <row r="153" spans="3:10" x14ac:dyDescent="0.25">
      <c r="C153" s="40" t="s">
        <v>41</v>
      </c>
      <c r="E153" t="s">
        <v>299</v>
      </c>
      <c r="G153" s="40" t="str">
        <f t="shared" si="14"/>
        <v>CY</v>
      </c>
      <c r="I153" s="41" t="s">
        <v>372</v>
      </c>
      <c r="J153" t="s">
        <v>43</v>
      </c>
    </row>
    <row r="154" spans="3:10" x14ac:dyDescent="0.25">
      <c r="C154" s="40" t="s">
        <v>41</v>
      </c>
      <c r="E154" t="s">
        <v>300</v>
      </c>
      <c r="G154" s="40" t="str">
        <f t="shared" si="14"/>
        <v>CZ</v>
      </c>
      <c r="I154" s="41" t="s">
        <v>372</v>
      </c>
      <c r="J154" t="s">
        <v>43</v>
      </c>
    </row>
  </sheetData>
  <sortState ref="A1:A511">
    <sortCondition descending="1" ref="A1"/>
  </sortState>
  <customSheetViews>
    <customSheetView guid="{84F0FDFB-72A1-4214-8B2B-A048953E297B}">
      <pageMargins left="0.7" right="0.7" top="0.75" bottom="0.75" header="0.3" footer="0.3"/>
      <pageSetup orientation="portrait" horizontalDpi="4294967293" verticalDpi="0" r:id="rId1"/>
    </customSheetView>
  </customSheetViews>
  <pageMargins left="0.7" right="0.7" top="0.75" bottom="0.75" header="0.3" footer="0.3"/>
  <pageSetup orientation="portrait" horizontalDpi="4294967293" verticalDpi="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657"/>
  <sheetViews>
    <sheetView workbookViewId="0">
      <selection activeCell="Q2" sqref="Q2"/>
    </sheetView>
  </sheetViews>
  <sheetFormatPr defaultRowHeight="15" x14ac:dyDescent="0.25"/>
  <cols>
    <col min="1" max="1" width="12.85546875" bestFit="1" customWidth="1"/>
    <col min="2" max="2" width="16.28515625" bestFit="1" customWidth="1"/>
    <col min="3" max="3" width="5.28515625" bestFit="1" customWidth="1"/>
    <col min="4" max="5" width="10.42578125" bestFit="1" customWidth="1"/>
    <col min="7" max="7" width="16.28515625" bestFit="1" customWidth="1"/>
    <col min="11" max="11" width="10" bestFit="1" customWidth="1"/>
    <col min="12" max="12" width="10.42578125" bestFit="1" customWidth="1"/>
    <col min="14" max="14" width="12.7109375" bestFit="1" customWidth="1"/>
    <col min="15" max="15" width="11.5703125" bestFit="1" customWidth="1"/>
    <col min="16" max="16" width="11.42578125" bestFit="1" customWidth="1"/>
    <col min="17" max="17" width="14.85546875" bestFit="1" customWidth="1"/>
  </cols>
  <sheetData>
    <row r="1" spans="1:20" x14ac:dyDescent="0.25">
      <c r="A1" s="13" t="str">
        <f>'Base Data'!A1</f>
        <v>Base Number</v>
      </c>
      <c r="B1" s="13" t="str">
        <f>'Base Data'!B1</f>
        <v>Base Designation</v>
      </c>
      <c r="C1" s="13" t="str">
        <f>'Base Data'!C1</f>
        <v>Type</v>
      </c>
      <c r="D1" s="13" t="str">
        <f>'Base Data'!D1</f>
        <v>BaseHoleX</v>
      </c>
      <c r="E1" s="13" t="str">
        <f>'Base Data'!E1</f>
        <v>BaseHoleY</v>
      </c>
      <c r="F1" s="13" t="str">
        <f>'Base Data'!F1</f>
        <v>Row1</v>
      </c>
      <c r="G1" s="13" t="str">
        <f>'Base Data'!G1</f>
        <v>Row2</v>
      </c>
      <c r="H1" s="13" t="str">
        <f>'Base Data'!H1</f>
        <v>Row3</v>
      </c>
      <c r="I1" s="13" t="str">
        <f>'Base Data'!I1</f>
        <v>Row4</v>
      </c>
      <c r="J1" s="13" t="str">
        <f>'Base Data'!J1</f>
        <v>Row5</v>
      </c>
      <c r="K1" s="13" t="s">
        <v>277</v>
      </c>
      <c r="L1" s="13" t="s">
        <v>167</v>
      </c>
      <c r="M1" s="13" t="s">
        <v>329</v>
      </c>
      <c r="N1" s="13" t="s">
        <v>368</v>
      </c>
      <c r="O1" s="13" t="s">
        <v>369</v>
      </c>
      <c r="P1" s="13" t="s">
        <v>370</v>
      </c>
      <c r="Q1" s="13" t="s">
        <v>371</v>
      </c>
      <c r="T1">
        <f>'Base Data'!X2</f>
        <v>8</v>
      </c>
    </row>
    <row r="2" spans="1:20" x14ac:dyDescent="0.25">
      <c r="A2" s="13">
        <f>'Base Data'!A2</f>
        <v>1</v>
      </c>
      <c r="B2" s="13" t="str">
        <f>'Base Data'!B2</f>
        <v>1A</v>
      </c>
      <c r="C2" s="13" t="str">
        <f>'Base Data'!C2</f>
        <v>well</v>
      </c>
      <c r="D2" s="13">
        <f>'Base Data'!D2</f>
        <v>1.91</v>
      </c>
      <c r="E2" s="13">
        <f>'Base Data'!E2</f>
        <v>1.73</v>
      </c>
      <c r="F2" s="13">
        <f>'Base Data'!F2</f>
        <v>12</v>
      </c>
      <c r="G2" s="13">
        <f>'Base Data'!G2</f>
        <v>0</v>
      </c>
      <c r="H2" s="13">
        <f>'Base Data'!H2</f>
        <v>0</v>
      </c>
      <c r="I2" s="13">
        <f>'Base Data'!I2</f>
        <v>0</v>
      </c>
      <c r="J2" s="13">
        <f>'Base Data'!J2</f>
        <v>0</v>
      </c>
      <c r="K2" s="13">
        <f>'Base Data'!K2</f>
        <v>0.7</v>
      </c>
      <c r="L2" s="13">
        <f>'Base Data'!L2</f>
        <v>1.5</v>
      </c>
      <c r="M2" s="13" t="str">
        <f>'Base Data'!M2</f>
        <v>full</v>
      </c>
      <c r="N2" s="13">
        <f>'Base Data'!N2</f>
        <v>24</v>
      </c>
      <c r="O2" s="13">
        <f>'Base Data'!O2</f>
        <v>72</v>
      </c>
      <c r="P2" s="13">
        <f>'Base Data'!P2</f>
        <v>0</v>
      </c>
      <c r="Q2" s="13">
        <f>'Base Data'!Q2</f>
        <v>24</v>
      </c>
    </row>
    <row r="3" spans="1:20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</row>
    <row r="4" spans="1:20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</row>
    <row r="5" spans="1:20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</row>
    <row r="6" spans="1:20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</row>
    <row r="7" spans="1:20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</row>
    <row r="8" spans="1:20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</row>
    <row r="9" spans="1:20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</row>
    <row r="10" spans="1:20" x14ac:dyDescent="0.25">
      <c r="A10" s="13">
        <f>'Base Data'!A3</f>
        <v>2</v>
      </c>
      <c r="B10" s="13" t="str">
        <f>'Base Data'!B3</f>
        <v>1B</v>
      </c>
      <c r="C10" s="13" t="str">
        <f>'Base Data'!C3</f>
        <v>Box</v>
      </c>
      <c r="D10" s="13">
        <f>'Base Data'!D3</f>
        <v>89.11</v>
      </c>
      <c r="E10" s="13">
        <f>'Base Data'!E3</f>
        <v>1.73</v>
      </c>
      <c r="F10" s="13">
        <f>'Base Data'!F3</f>
        <v>12</v>
      </c>
      <c r="G10" s="13">
        <f>'Base Data'!G3</f>
        <v>0</v>
      </c>
      <c r="H10" s="13">
        <f>'Base Data'!H3</f>
        <v>0</v>
      </c>
      <c r="I10" s="13">
        <f>'Base Data'!I3</f>
        <v>0</v>
      </c>
      <c r="J10" s="13">
        <f>'Base Data'!J3</f>
        <v>0</v>
      </c>
      <c r="K10" s="13">
        <f>'Base Data'!K3</f>
        <v>0.7</v>
      </c>
      <c r="L10" s="13">
        <f>'Base Data'!L3</f>
        <v>1.5</v>
      </c>
      <c r="M10" s="13">
        <f>'Base Data'!M3</f>
        <v>1</v>
      </c>
      <c r="N10" s="13" t="str">
        <f>'Base Data'!N3</f>
        <v/>
      </c>
      <c r="O10" s="13" t="str">
        <f>'Base Data'!O3</f>
        <v/>
      </c>
      <c r="P10" s="13" t="str">
        <f>'Base Data'!P3</f>
        <v/>
      </c>
      <c r="Q10" s="13" t="str">
        <f>'Base Data'!Q3</f>
        <v/>
      </c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</row>
    <row r="13" spans="1:20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</row>
    <row r="14" spans="1:20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</row>
    <row r="15" spans="1:20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</row>
    <row r="16" spans="1:20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</row>
    <row r="17" spans="1:17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</row>
    <row r="18" spans="1:17" x14ac:dyDescent="0.25">
      <c r="A18" s="13">
        <f>'Base Data'!A4</f>
        <v>3</v>
      </c>
      <c r="B18" s="13" t="str">
        <f>'Base Data'!B4</f>
        <v>1C</v>
      </c>
      <c r="C18" s="13" t="str">
        <f>'Base Data'!C4</f>
        <v>box</v>
      </c>
      <c r="D18" s="13">
        <f>'Base Data'!D4</f>
        <v>175.71</v>
      </c>
      <c r="E18" s="13">
        <f>'Base Data'!E4</f>
        <v>1.73</v>
      </c>
      <c r="F18" s="13">
        <f>'Base Data'!F4</f>
        <v>12</v>
      </c>
      <c r="G18" s="13">
        <f>'Base Data'!G4</f>
        <v>12</v>
      </c>
      <c r="H18" s="13">
        <f>'Base Data'!H4</f>
        <v>0</v>
      </c>
      <c r="I18" s="13">
        <f>'Base Data'!I4</f>
        <v>0</v>
      </c>
      <c r="J18" s="13">
        <f>'Base Data'!J4</f>
        <v>0</v>
      </c>
      <c r="K18" s="13">
        <f>'Base Data'!K4</f>
        <v>0.7</v>
      </c>
      <c r="L18" s="13">
        <f>'Base Data'!L4</f>
        <v>1.5</v>
      </c>
      <c r="M18" s="13">
        <f>'Base Data'!M4</f>
        <v>2</v>
      </c>
      <c r="N18" s="13" t="str">
        <f>'Base Data'!N4</f>
        <v/>
      </c>
      <c r="O18" s="13" t="str">
        <f>'Base Data'!O4</f>
        <v/>
      </c>
      <c r="P18" s="13" t="str">
        <f>'Base Data'!P4</f>
        <v/>
      </c>
      <c r="Q18" s="13" t="str">
        <f>'Base Data'!Q4</f>
        <v/>
      </c>
    </row>
    <row r="19" spans="1:17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</row>
    <row r="20" spans="1:17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</row>
    <row r="21" spans="1:17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</row>
    <row r="22" spans="1:17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</row>
    <row r="23" spans="1:17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</row>
    <row r="24" spans="1:17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</row>
    <row r="25" spans="1:17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</row>
    <row r="26" spans="1:17" x14ac:dyDescent="0.25">
      <c r="A26" s="13">
        <f>'Base Data'!A5</f>
        <v>4</v>
      </c>
      <c r="B26" s="13" t="str">
        <f>'Base Data'!B5</f>
        <v>1D</v>
      </c>
      <c r="C26" s="13" t="str">
        <f>'Base Data'!C5</f>
        <v>box</v>
      </c>
      <c r="D26" s="13">
        <f>'Base Data'!D5</f>
        <v>262.71000000000004</v>
      </c>
      <c r="E26" s="13">
        <f>'Base Data'!E5</f>
        <v>1.73</v>
      </c>
      <c r="F26" s="13">
        <f>'Base Data'!F5</f>
        <v>12</v>
      </c>
      <c r="G26" s="13">
        <f>'Base Data'!G5</f>
        <v>12</v>
      </c>
      <c r="H26" s="13">
        <f>'Base Data'!H5</f>
        <v>12</v>
      </c>
      <c r="I26" s="13">
        <f>'Base Data'!I5</f>
        <v>0</v>
      </c>
      <c r="J26" s="13">
        <f>'Base Data'!J5</f>
        <v>0</v>
      </c>
      <c r="K26" s="13">
        <f>'Base Data'!K5</f>
        <v>0.7</v>
      </c>
      <c r="L26" s="13">
        <f>'Base Data'!L5</f>
        <v>1.5</v>
      </c>
      <c r="M26" s="13">
        <f>'Base Data'!M5</f>
        <v>3</v>
      </c>
      <c r="N26" s="13" t="str">
        <f>'Base Data'!N5</f>
        <v/>
      </c>
      <c r="O26" s="13" t="str">
        <f>'Base Data'!O5</f>
        <v/>
      </c>
      <c r="P26" s="13" t="str">
        <f>'Base Data'!P5</f>
        <v/>
      </c>
      <c r="Q26" s="13" t="str">
        <f>'Base Data'!Q5</f>
        <v/>
      </c>
    </row>
    <row r="27" spans="1:17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</row>
    <row r="28" spans="1:17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</row>
    <row r="29" spans="1:17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</row>
    <row r="30" spans="1:17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</row>
    <row r="31" spans="1:17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</row>
    <row r="32" spans="1:17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</row>
    <row r="33" spans="1:17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</row>
    <row r="34" spans="1:17" x14ac:dyDescent="0.25">
      <c r="A34" s="13">
        <f>'Base Data'!A6</f>
        <v>5</v>
      </c>
      <c r="B34" s="13" t="str">
        <f>'Base Data'!B6</f>
        <v>1E</v>
      </c>
      <c r="C34" s="13" t="str">
        <f>'Base Data'!C6</f>
        <v>box</v>
      </c>
      <c r="D34" s="13">
        <f>'Base Data'!D6</f>
        <v>349.11</v>
      </c>
      <c r="E34" s="13">
        <f>'Base Data'!E6</f>
        <v>1.73</v>
      </c>
      <c r="F34" s="13">
        <f>'Base Data'!F6</f>
        <v>12</v>
      </c>
      <c r="G34" s="13">
        <f>'Base Data'!G6</f>
        <v>12</v>
      </c>
      <c r="H34" s="13">
        <f>'Base Data'!H6</f>
        <v>12</v>
      </c>
      <c r="I34" s="13">
        <f>'Base Data'!I6</f>
        <v>12</v>
      </c>
      <c r="J34" s="13">
        <f>'Base Data'!J6</f>
        <v>12</v>
      </c>
      <c r="K34" s="13">
        <f>'Base Data'!K6</f>
        <v>0.7</v>
      </c>
      <c r="L34" s="13">
        <f>'Base Data'!L6</f>
        <v>1.5</v>
      </c>
      <c r="M34" s="13">
        <f>'Base Data'!M6</f>
        <v>4</v>
      </c>
      <c r="N34" s="13" t="str">
        <f>'Base Data'!N6</f>
        <v/>
      </c>
      <c r="O34" s="13" t="str">
        <f>'Base Data'!O6</f>
        <v/>
      </c>
      <c r="P34" s="13" t="str">
        <f>'Base Data'!P6</f>
        <v/>
      </c>
      <c r="Q34" s="13" t="str">
        <f>'Base Data'!Q6</f>
        <v/>
      </c>
    </row>
    <row r="35" spans="1:17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</row>
    <row r="36" spans="1:17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</row>
    <row r="37" spans="1:17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</row>
    <row r="38" spans="1:17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</row>
    <row r="39" spans="1:17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</row>
    <row r="40" spans="1:17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</row>
    <row r="41" spans="1:17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</row>
    <row r="42" spans="1:17" x14ac:dyDescent="0.25">
      <c r="A42" s="13">
        <f>'Base Data'!A7</f>
        <v>6</v>
      </c>
      <c r="B42" s="13" t="str">
        <f>'Base Data'!B7</f>
        <v>1F</v>
      </c>
      <c r="C42" s="13">
        <f>'Base Data'!C7</f>
        <v>0</v>
      </c>
      <c r="D42" s="13">
        <f>'Base Data'!D7</f>
        <v>435.71000000000004</v>
      </c>
      <c r="E42" s="13">
        <f>'Base Data'!E7</f>
        <v>1.73</v>
      </c>
      <c r="F42" s="13">
        <f>'Base Data'!F7</f>
        <v>0</v>
      </c>
      <c r="G42" s="13">
        <f>'Base Data'!G7</f>
        <v>0</v>
      </c>
      <c r="H42" s="13">
        <f>'Base Data'!H7</f>
        <v>0</v>
      </c>
      <c r="I42" s="13">
        <f>'Base Data'!I7</f>
        <v>0</v>
      </c>
      <c r="J42" s="13">
        <f>'Base Data'!J7</f>
        <v>0</v>
      </c>
      <c r="K42" s="13" t="str">
        <f>'Base Data'!K7</f>
        <v/>
      </c>
      <c r="L42" s="13" t="str">
        <f>'Base Data'!L7</f>
        <v/>
      </c>
      <c r="M42" s="13">
        <f>'Base Data'!M7</f>
        <v>0</v>
      </c>
      <c r="N42" s="13" t="str">
        <f>'Base Data'!N7</f>
        <v/>
      </c>
      <c r="O42" s="13" t="str">
        <f>'Base Data'!O7</f>
        <v/>
      </c>
      <c r="P42" s="13" t="str">
        <f>'Base Data'!P7</f>
        <v/>
      </c>
      <c r="Q42" s="13" t="str">
        <f>'Base Data'!Q7</f>
        <v/>
      </c>
    </row>
    <row r="43" spans="1:17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</row>
    <row r="44" spans="1:17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</row>
    <row r="45" spans="1:17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</row>
    <row r="46" spans="1:17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</row>
    <row r="47" spans="1:17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</row>
    <row r="48" spans="1:17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</row>
    <row r="49" spans="1:17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</row>
    <row r="50" spans="1:17" x14ac:dyDescent="0.25">
      <c r="A50" s="13">
        <f>'Base Data'!A8</f>
        <v>7</v>
      </c>
      <c r="B50" s="13" t="str">
        <f>'Base Data'!B8</f>
        <v>1G</v>
      </c>
      <c r="C50" s="13">
        <f>'Base Data'!C8</f>
        <v>0</v>
      </c>
      <c r="D50" s="13">
        <f>'Base Data'!D8</f>
        <v>522.61</v>
      </c>
      <c r="E50" s="13">
        <f>'Base Data'!E8</f>
        <v>1.73</v>
      </c>
      <c r="F50" s="13">
        <f>'Base Data'!F8</f>
        <v>0</v>
      </c>
      <c r="G50" s="13">
        <f>'Base Data'!G8</f>
        <v>0</v>
      </c>
      <c r="H50" s="13">
        <f>'Base Data'!H8</f>
        <v>0</v>
      </c>
      <c r="I50" s="13">
        <f>'Base Data'!I8</f>
        <v>0</v>
      </c>
      <c r="J50" s="13">
        <f>'Base Data'!J8</f>
        <v>0</v>
      </c>
      <c r="K50" s="13" t="str">
        <f>'Base Data'!K8</f>
        <v/>
      </c>
      <c r="L50" s="13" t="str">
        <f>'Base Data'!L8</f>
        <v/>
      </c>
      <c r="M50" s="13">
        <f>'Base Data'!M8</f>
        <v>0</v>
      </c>
      <c r="N50" s="13" t="str">
        <f>'Base Data'!N8</f>
        <v/>
      </c>
      <c r="O50" s="13" t="str">
        <f>'Base Data'!O8</f>
        <v/>
      </c>
      <c r="P50" s="13" t="str">
        <f>'Base Data'!P8</f>
        <v/>
      </c>
      <c r="Q50" s="13" t="str">
        <f>'Base Data'!Q8</f>
        <v/>
      </c>
    </row>
    <row r="51" spans="1:17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</row>
    <row r="52" spans="1:17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</row>
    <row r="53" spans="1:17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</row>
    <row r="54" spans="1:17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</row>
    <row r="55" spans="1:17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</row>
    <row r="56" spans="1:17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</row>
    <row r="57" spans="1:17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</row>
    <row r="58" spans="1:17" x14ac:dyDescent="0.25">
      <c r="A58" s="13">
        <f>'Base Data'!A9</f>
        <v>8</v>
      </c>
      <c r="B58" s="13" t="str">
        <f>'Base Data'!B9</f>
        <v>2A</v>
      </c>
      <c r="C58" s="13">
        <f>'Base Data'!C9</f>
        <v>0</v>
      </c>
      <c r="D58" s="13">
        <f>'Base Data'!D9</f>
        <v>1.91</v>
      </c>
      <c r="E58" s="13">
        <f>'Base Data'!E9</f>
        <v>38.229999999999997</v>
      </c>
      <c r="F58" s="13">
        <f>'Base Data'!F9</f>
        <v>0</v>
      </c>
      <c r="G58" s="13">
        <f>'Base Data'!G9</f>
        <v>0</v>
      </c>
      <c r="H58" s="13">
        <f>'Base Data'!H9</f>
        <v>0</v>
      </c>
      <c r="I58" s="13">
        <f>'Base Data'!I9</f>
        <v>0</v>
      </c>
      <c r="J58" s="13">
        <f>'Base Data'!J9</f>
        <v>0</v>
      </c>
      <c r="K58" s="13" t="str">
        <f>'Base Data'!K9</f>
        <v/>
      </c>
      <c r="L58" s="13" t="str">
        <f>'Base Data'!L9</f>
        <v/>
      </c>
      <c r="M58" s="13">
        <f>'Base Data'!M9</f>
        <v>0</v>
      </c>
      <c r="N58" s="13" t="str">
        <f>'Base Data'!N9</f>
        <v/>
      </c>
      <c r="O58" s="13" t="str">
        <f>'Base Data'!O9</f>
        <v/>
      </c>
      <c r="P58" s="13" t="str">
        <f>'Base Data'!P9</f>
        <v/>
      </c>
      <c r="Q58" s="13" t="str">
        <f>'Base Data'!Q9</f>
        <v/>
      </c>
    </row>
    <row r="59" spans="1:17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</row>
    <row r="60" spans="1:17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</row>
    <row r="61" spans="1:17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</row>
    <row r="62" spans="1:17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</row>
    <row r="63" spans="1:17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</row>
    <row r="64" spans="1:17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</row>
    <row r="65" spans="1:17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</row>
    <row r="66" spans="1:17" x14ac:dyDescent="0.25">
      <c r="A66" s="13">
        <f>'Base Data'!A10</f>
        <v>9</v>
      </c>
      <c r="B66" s="13" t="str">
        <f>'Base Data'!B10</f>
        <v>2B</v>
      </c>
      <c r="C66" s="13">
        <f>'Base Data'!C10</f>
        <v>0</v>
      </c>
      <c r="D66" s="13">
        <f>'Base Data'!D10</f>
        <v>89.11</v>
      </c>
      <c r="E66" s="13">
        <f>'Base Data'!E10</f>
        <v>38.229999999999997</v>
      </c>
      <c r="F66" s="13">
        <f>'Base Data'!F10</f>
        <v>0</v>
      </c>
      <c r="G66" s="13">
        <f>'Base Data'!G10</f>
        <v>0</v>
      </c>
      <c r="H66" s="13">
        <f>'Base Data'!H10</f>
        <v>0</v>
      </c>
      <c r="I66" s="13">
        <f>'Base Data'!I10</f>
        <v>0</v>
      </c>
      <c r="J66" s="13">
        <f>'Base Data'!J10</f>
        <v>0</v>
      </c>
      <c r="K66" s="13" t="str">
        <f>'Base Data'!K10</f>
        <v/>
      </c>
      <c r="L66" s="13" t="str">
        <f>'Base Data'!L10</f>
        <v/>
      </c>
      <c r="M66" s="13">
        <f>'Base Data'!M10</f>
        <v>0</v>
      </c>
      <c r="N66" s="13" t="str">
        <f>'Base Data'!N10</f>
        <v/>
      </c>
      <c r="O66" s="13" t="str">
        <f>'Base Data'!O10</f>
        <v/>
      </c>
      <c r="P66" s="13" t="str">
        <f>'Base Data'!P10</f>
        <v/>
      </c>
      <c r="Q66" s="13" t="str">
        <f>'Base Data'!Q10</f>
        <v/>
      </c>
    </row>
    <row r="67" spans="1:17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</row>
    <row r="68" spans="1:17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</row>
    <row r="69" spans="1:17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</row>
    <row r="70" spans="1:17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</row>
    <row r="71" spans="1:17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</row>
    <row r="72" spans="1:17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</row>
    <row r="73" spans="1:17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</row>
    <row r="74" spans="1:17" x14ac:dyDescent="0.25">
      <c r="A74" s="13">
        <f>'Base Data'!A11</f>
        <v>10</v>
      </c>
      <c r="B74" s="13" t="str">
        <f>'Base Data'!B11</f>
        <v>2C</v>
      </c>
      <c r="C74" s="13">
        <f>'Base Data'!C11</f>
        <v>0</v>
      </c>
      <c r="D74" s="13">
        <f>'Base Data'!D11</f>
        <v>175.71</v>
      </c>
      <c r="E74" s="13">
        <f>'Base Data'!E11</f>
        <v>38.229999999999997</v>
      </c>
      <c r="F74" s="13">
        <f>'Base Data'!F11</f>
        <v>0</v>
      </c>
      <c r="G74" s="13">
        <f>'Base Data'!G11</f>
        <v>0</v>
      </c>
      <c r="H74" s="13">
        <f>'Base Data'!H11</f>
        <v>0</v>
      </c>
      <c r="I74" s="13">
        <f>'Base Data'!I11</f>
        <v>0</v>
      </c>
      <c r="J74" s="13">
        <f>'Base Data'!J11</f>
        <v>0</v>
      </c>
      <c r="K74" s="13" t="str">
        <f>'Base Data'!K11</f>
        <v/>
      </c>
      <c r="L74" s="13" t="str">
        <f>'Base Data'!L11</f>
        <v/>
      </c>
      <c r="M74" s="13">
        <f>'Base Data'!M11</f>
        <v>0</v>
      </c>
      <c r="N74" s="13" t="str">
        <f>'Base Data'!N11</f>
        <v/>
      </c>
      <c r="O74" s="13" t="str">
        <f>'Base Data'!O11</f>
        <v/>
      </c>
      <c r="P74" s="13" t="str">
        <f>'Base Data'!P11</f>
        <v/>
      </c>
      <c r="Q74" s="13" t="str">
        <f>'Base Data'!Q11</f>
        <v/>
      </c>
    </row>
    <row r="75" spans="1:17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</row>
    <row r="76" spans="1:17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</row>
    <row r="77" spans="1:17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</row>
    <row r="78" spans="1:17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</row>
    <row r="79" spans="1:17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</row>
    <row r="80" spans="1:17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</row>
    <row r="81" spans="1:17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</row>
    <row r="82" spans="1:17" x14ac:dyDescent="0.25">
      <c r="A82" s="13">
        <f>'Base Data'!A12</f>
        <v>11</v>
      </c>
      <c r="B82" s="13" t="str">
        <f>'Base Data'!B12</f>
        <v>2D</v>
      </c>
      <c r="C82" s="13">
        <f>'Base Data'!C12</f>
        <v>0</v>
      </c>
      <c r="D82" s="13">
        <f>'Base Data'!D12</f>
        <v>262.71000000000004</v>
      </c>
      <c r="E82" s="13">
        <f>'Base Data'!E12</f>
        <v>38.229999999999997</v>
      </c>
      <c r="F82" s="13">
        <f>'Base Data'!F12</f>
        <v>0</v>
      </c>
      <c r="G82" s="13">
        <f>'Base Data'!G12</f>
        <v>0</v>
      </c>
      <c r="H82" s="13">
        <f>'Base Data'!H12</f>
        <v>0</v>
      </c>
      <c r="I82" s="13">
        <f>'Base Data'!I12</f>
        <v>0</v>
      </c>
      <c r="J82" s="13">
        <f>'Base Data'!J12</f>
        <v>0</v>
      </c>
      <c r="K82" s="13" t="str">
        <f>'Base Data'!K12</f>
        <v/>
      </c>
      <c r="L82" s="13" t="str">
        <f>'Base Data'!L12</f>
        <v/>
      </c>
      <c r="M82" s="13">
        <f>'Base Data'!M12</f>
        <v>0</v>
      </c>
      <c r="N82" s="13" t="str">
        <f>'Base Data'!N12</f>
        <v/>
      </c>
      <c r="O82" s="13" t="str">
        <f>'Base Data'!O12</f>
        <v/>
      </c>
      <c r="P82" s="13" t="str">
        <f>'Base Data'!P12</f>
        <v/>
      </c>
      <c r="Q82" s="13" t="str">
        <f>'Base Data'!Q12</f>
        <v/>
      </c>
    </row>
    <row r="83" spans="1:17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</row>
    <row r="84" spans="1:17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</row>
    <row r="85" spans="1:17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</row>
    <row r="86" spans="1:17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</row>
    <row r="87" spans="1:17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</row>
    <row r="88" spans="1:17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</row>
    <row r="89" spans="1:17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</row>
    <row r="90" spans="1:17" x14ac:dyDescent="0.25">
      <c r="A90" s="13">
        <f>'Base Data'!A13</f>
        <v>12</v>
      </c>
      <c r="B90" s="13" t="str">
        <f>'Base Data'!B13</f>
        <v>2E</v>
      </c>
      <c r="C90" s="13">
        <f>'Base Data'!C13</f>
        <v>0</v>
      </c>
      <c r="D90" s="13">
        <f>'Base Data'!D13</f>
        <v>349.11</v>
      </c>
      <c r="E90" s="13">
        <f>'Base Data'!E13</f>
        <v>38.229999999999997</v>
      </c>
      <c r="F90" s="13">
        <f>'Base Data'!F13</f>
        <v>0</v>
      </c>
      <c r="G90" s="13">
        <f>'Base Data'!G13</f>
        <v>0</v>
      </c>
      <c r="H90" s="13">
        <f>'Base Data'!H13</f>
        <v>0</v>
      </c>
      <c r="I90" s="13">
        <f>'Base Data'!I13</f>
        <v>0</v>
      </c>
      <c r="J90" s="13">
        <f>'Base Data'!J13</f>
        <v>0</v>
      </c>
      <c r="K90" s="13" t="str">
        <f>'Base Data'!K13</f>
        <v/>
      </c>
      <c r="L90" s="13" t="str">
        <f>'Base Data'!L13</f>
        <v/>
      </c>
      <c r="M90" s="13">
        <f>'Base Data'!M13</f>
        <v>0</v>
      </c>
      <c r="N90" s="13" t="str">
        <f>'Base Data'!N13</f>
        <v/>
      </c>
      <c r="O90" s="13" t="str">
        <f>'Base Data'!O13</f>
        <v/>
      </c>
      <c r="P90" s="13" t="str">
        <f>'Base Data'!P13</f>
        <v/>
      </c>
      <c r="Q90" s="13" t="str">
        <f>'Base Data'!Q13</f>
        <v/>
      </c>
    </row>
    <row r="91" spans="1:17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</row>
    <row r="92" spans="1:17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</row>
    <row r="93" spans="1:17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</row>
    <row r="94" spans="1:17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</row>
    <row r="95" spans="1:17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</row>
    <row r="96" spans="1:17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</row>
    <row r="97" spans="1:17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</row>
    <row r="98" spans="1:17" x14ac:dyDescent="0.25">
      <c r="A98" s="13">
        <f>'Base Data'!A14</f>
        <v>13</v>
      </c>
      <c r="B98" s="13" t="str">
        <f>'Base Data'!B14</f>
        <v>2F</v>
      </c>
      <c r="C98" s="13">
        <f>'Base Data'!C14</f>
        <v>0</v>
      </c>
      <c r="D98" s="13">
        <f>'Base Data'!D14</f>
        <v>435.71000000000004</v>
      </c>
      <c r="E98" s="13">
        <f>'Base Data'!E14</f>
        <v>38.229999999999997</v>
      </c>
      <c r="F98" s="13">
        <f>'Base Data'!F14</f>
        <v>0</v>
      </c>
      <c r="G98" s="13">
        <f>'Base Data'!G14</f>
        <v>0</v>
      </c>
      <c r="H98" s="13">
        <f>'Base Data'!H14</f>
        <v>0</v>
      </c>
      <c r="I98" s="13">
        <f>'Base Data'!I14</f>
        <v>0</v>
      </c>
      <c r="J98" s="13">
        <f>'Base Data'!J14</f>
        <v>0</v>
      </c>
      <c r="K98" s="13" t="str">
        <f>'Base Data'!K14</f>
        <v/>
      </c>
      <c r="L98" s="13" t="str">
        <f>'Base Data'!L14</f>
        <v/>
      </c>
      <c r="M98" s="13">
        <f>'Base Data'!M14</f>
        <v>0</v>
      </c>
      <c r="N98" s="13" t="str">
        <f>'Base Data'!N14</f>
        <v/>
      </c>
      <c r="O98" s="13" t="str">
        <f>'Base Data'!O14</f>
        <v/>
      </c>
      <c r="P98" s="13" t="str">
        <f>'Base Data'!P14</f>
        <v/>
      </c>
      <c r="Q98" s="13" t="str">
        <f>'Base Data'!Q14</f>
        <v/>
      </c>
    </row>
    <row r="99" spans="1:17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</row>
    <row r="100" spans="1:17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</row>
    <row r="101" spans="1:17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</row>
    <row r="102" spans="1:17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</row>
    <row r="103" spans="1:17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</row>
    <row r="104" spans="1:17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</row>
    <row r="105" spans="1:17" x14ac:dyDescent="0.25">
      <c r="A105" s="13"/>
      <c r="B105" s="13"/>
      <c r="C105" s="13"/>
      <c r="D105" s="13"/>
      <c r="E105" s="13"/>
      <c r="F105" s="13"/>
      <c r="G105" s="13"/>
      <c r="H105" s="13"/>
      <c r="I105" s="13"/>
      <c r="J105" s="13"/>
    </row>
    <row r="106" spans="1:17" x14ac:dyDescent="0.25">
      <c r="A106" s="13">
        <f>'Base Data'!A15</f>
        <v>14</v>
      </c>
      <c r="B106" s="13" t="str">
        <f>'Base Data'!B15</f>
        <v>2G</v>
      </c>
      <c r="C106" s="13">
        <f>'Base Data'!C15</f>
        <v>0</v>
      </c>
      <c r="D106" s="13">
        <f>'Base Data'!D15</f>
        <v>522.61</v>
      </c>
      <c r="E106" s="13">
        <f>'Base Data'!E15</f>
        <v>38.229999999999997</v>
      </c>
      <c r="F106" s="13">
        <f>'Base Data'!F15</f>
        <v>0</v>
      </c>
      <c r="G106" s="13">
        <f>'Base Data'!G15</f>
        <v>0</v>
      </c>
      <c r="H106" s="13">
        <f>'Base Data'!H15</f>
        <v>0</v>
      </c>
      <c r="I106" s="13">
        <f>'Base Data'!I15</f>
        <v>0</v>
      </c>
      <c r="J106" s="13">
        <f>'Base Data'!J15</f>
        <v>0</v>
      </c>
      <c r="K106" s="13" t="str">
        <f>'Base Data'!K15</f>
        <v/>
      </c>
      <c r="L106" s="13" t="str">
        <f>'Base Data'!L15</f>
        <v/>
      </c>
      <c r="M106" s="13">
        <f>'Base Data'!M15</f>
        <v>0</v>
      </c>
      <c r="N106" s="13" t="str">
        <f>'Base Data'!N15</f>
        <v/>
      </c>
      <c r="O106" s="13" t="str">
        <f>'Base Data'!O15</f>
        <v/>
      </c>
      <c r="P106" s="13" t="str">
        <f>'Base Data'!P15</f>
        <v/>
      </c>
      <c r="Q106" s="13" t="str">
        <f>'Base Data'!Q15</f>
        <v/>
      </c>
    </row>
    <row r="107" spans="1:17" x14ac:dyDescent="0.25">
      <c r="A107" s="13"/>
      <c r="B107" s="13"/>
      <c r="C107" s="13"/>
      <c r="D107" s="13"/>
      <c r="E107" s="13"/>
      <c r="F107" s="13"/>
      <c r="G107" s="13"/>
      <c r="H107" s="13"/>
      <c r="I107" s="13"/>
      <c r="J107" s="13"/>
    </row>
    <row r="108" spans="1:17" x14ac:dyDescent="0.25">
      <c r="A108" s="13"/>
      <c r="B108" s="13"/>
      <c r="C108" s="13"/>
      <c r="D108" s="13"/>
      <c r="E108" s="13"/>
      <c r="F108" s="13"/>
      <c r="G108" s="13"/>
      <c r="H108" s="13"/>
      <c r="I108" s="13"/>
      <c r="J108" s="13"/>
    </row>
    <row r="109" spans="1:17" x14ac:dyDescent="0.25">
      <c r="A109" s="13"/>
      <c r="B109" s="13"/>
      <c r="C109" s="13"/>
      <c r="D109" s="13"/>
      <c r="E109" s="13"/>
      <c r="F109" s="13"/>
      <c r="G109" s="13"/>
      <c r="H109" s="13"/>
      <c r="I109" s="13"/>
      <c r="J109" s="13"/>
    </row>
    <row r="110" spans="1:17" x14ac:dyDescent="0.25">
      <c r="A110" s="13"/>
      <c r="B110" s="13"/>
      <c r="C110" s="13"/>
      <c r="D110" s="13"/>
      <c r="E110" s="13"/>
      <c r="F110" s="13"/>
      <c r="G110" s="13"/>
      <c r="H110" s="13"/>
      <c r="I110" s="13"/>
      <c r="J110" s="13"/>
    </row>
    <row r="111" spans="1:17" x14ac:dyDescent="0.25">
      <c r="A111" s="13"/>
      <c r="B111" s="13"/>
      <c r="C111" s="13"/>
      <c r="D111" s="13"/>
      <c r="E111" s="13"/>
      <c r="F111" s="13"/>
      <c r="G111" s="13"/>
      <c r="H111" s="13"/>
      <c r="I111" s="13"/>
      <c r="J111" s="13"/>
    </row>
    <row r="112" spans="1:17" x14ac:dyDescent="0.25">
      <c r="A112" s="13"/>
      <c r="B112" s="13"/>
      <c r="C112" s="13"/>
      <c r="D112" s="13"/>
      <c r="E112" s="13"/>
      <c r="F112" s="13"/>
      <c r="G112" s="13"/>
      <c r="H112" s="13"/>
      <c r="I112" s="13"/>
      <c r="J112" s="13"/>
    </row>
    <row r="113" spans="1:17" x14ac:dyDescent="0.25">
      <c r="A113" s="13"/>
      <c r="B113" s="13"/>
      <c r="C113" s="13"/>
      <c r="D113" s="13"/>
      <c r="E113" s="13"/>
      <c r="F113" s="13"/>
      <c r="G113" s="13"/>
      <c r="H113" s="13"/>
      <c r="I113" s="13"/>
      <c r="J113" s="13"/>
    </row>
    <row r="114" spans="1:17" x14ac:dyDescent="0.25">
      <c r="A114" s="13">
        <f>'Base Data'!A16</f>
        <v>15</v>
      </c>
      <c r="B114" s="13" t="str">
        <f>'Base Data'!B16</f>
        <v>3A</v>
      </c>
      <c r="C114" s="13">
        <f>'Base Data'!C16</f>
        <v>0</v>
      </c>
      <c r="D114" s="13">
        <f>'Base Data'!D16</f>
        <v>1.91</v>
      </c>
      <c r="E114" s="13">
        <f>'Base Data'!E16</f>
        <v>74.72</v>
      </c>
      <c r="F114" s="13">
        <f>'Base Data'!F16</f>
        <v>0</v>
      </c>
      <c r="G114" s="13">
        <f>'Base Data'!G16</f>
        <v>0</v>
      </c>
      <c r="H114" s="13">
        <f>'Base Data'!H16</f>
        <v>0</v>
      </c>
      <c r="I114" s="13">
        <f>'Base Data'!I16</f>
        <v>0</v>
      </c>
      <c r="J114" s="13">
        <f>'Base Data'!J16</f>
        <v>0</v>
      </c>
      <c r="K114" s="13" t="str">
        <f>'Base Data'!K16</f>
        <v/>
      </c>
      <c r="L114" s="13" t="str">
        <f>'Base Data'!L16</f>
        <v/>
      </c>
      <c r="M114" s="13">
        <f>'Base Data'!M16</f>
        <v>0</v>
      </c>
      <c r="N114" s="13" t="str">
        <f>'Base Data'!N16</f>
        <v/>
      </c>
      <c r="O114" s="13" t="str">
        <f>'Base Data'!O16</f>
        <v/>
      </c>
      <c r="P114" s="13" t="str">
        <f>'Base Data'!P16</f>
        <v/>
      </c>
      <c r="Q114" s="13" t="str">
        <f>'Base Data'!Q16</f>
        <v/>
      </c>
    </row>
    <row r="115" spans="1:17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</row>
    <row r="116" spans="1:17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</row>
    <row r="117" spans="1:17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</row>
    <row r="118" spans="1:17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</row>
    <row r="119" spans="1:17" x14ac:dyDescent="0.25">
      <c r="A119" s="13"/>
      <c r="B119" s="13"/>
      <c r="C119" s="13"/>
      <c r="D119" s="13"/>
      <c r="E119" s="13"/>
      <c r="F119" s="13"/>
      <c r="G119" s="13"/>
      <c r="H119" s="13"/>
      <c r="I119" s="13"/>
      <c r="J119" s="13"/>
    </row>
    <row r="120" spans="1:17" x14ac:dyDescent="0.25">
      <c r="A120" s="13"/>
      <c r="B120" s="13"/>
      <c r="C120" s="13"/>
      <c r="D120" s="13"/>
      <c r="E120" s="13"/>
      <c r="F120" s="13"/>
      <c r="G120" s="13"/>
      <c r="H120" s="13"/>
      <c r="I120" s="13"/>
      <c r="J120" s="13"/>
    </row>
    <row r="121" spans="1:17" x14ac:dyDescent="0.25">
      <c r="A121" s="13"/>
      <c r="B121" s="13"/>
      <c r="C121" s="13"/>
      <c r="D121" s="13"/>
      <c r="E121" s="13"/>
      <c r="F121" s="13"/>
      <c r="G121" s="13"/>
      <c r="H121" s="13"/>
      <c r="I121" s="13"/>
      <c r="J121" s="13"/>
    </row>
    <row r="122" spans="1:17" x14ac:dyDescent="0.25">
      <c r="A122" s="13">
        <f>'Base Data'!A17</f>
        <v>16</v>
      </c>
      <c r="B122" s="13" t="str">
        <f>'Base Data'!B17</f>
        <v>3B</v>
      </c>
      <c r="C122" s="13">
        <f>'Base Data'!C17</f>
        <v>0</v>
      </c>
      <c r="D122" s="13">
        <f>'Base Data'!D17</f>
        <v>89.11</v>
      </c>
      <c r="E122" s="13">
        <f>'Base Data'!E17</f>
        <v>74.72</v>
      </c>
      <c r="F122" s="13">
        <f>'Base Data'!F17</f>
        <v>0</v>
      </c>
      <c r="G122" s="13">
        <f>'Base Data'!G17</f>
        <v>0</v>
      </c>
      <c r="H122" s="13">
        <f>'Base Data'!H17</f>
        <v>0</v>
      </c>
      <c r="I122" s="13">
        <f>'Base Data'!I17</f>
        <v>0</v>
      </c>
      <c r="J122" s="13">
        <f>'Base Data'!J17</f>
        <v>0</v>
      </c>
      <c r="K122" s="13" t="str">
        <f>'Base Data'!K17</f>
        <v/>
      </c>
      <c r="L122" s="13" t="str">
        <f>'Base Data'!L17</f>
        <v/>
      </c>
      <c r="M122" s="13">
        <f>'Base Data'!M17</f>
        <v>0</v>
      </c>
      <c r="N122" s="13" t="str">
        <f>'Base Data'!N17</f>
        <v/>
      </c>
      <c r="O122" s="13" t="str">
        <f>'Base Data'!O17</f>
        <v/>
      </c>
      <c r="P122" s="13" t="str">
        <f>'Base Data'!P17</f>
        <v/>
      </c>
      <c r="Q122" s="13" t="str">
        <f>'Base Data'!Q17</f>
        <v/>
      </c>
    </row>
    <row r="123" spans="1:17" x14ac:dyDescent="0.25">
      <c r="A123" s="13"/>
      <c r="B123" s="13"/>
      <c r="C123" s="13"/>
      <c r="D123" s="13"/>
      <c r="E123" s="13"/>
      <c r="F123" s="13"/>
      <c r="G123" s="13"/>
      <c r="H123" s="13"/>
      <c r="I123" s="13"/>
      <c r="J123" s="13"/>
    </row>
    <row r="124" spans="1:17" x14ac:dyDescent="0.25">
      <c r="A124" s="13"/>
      <c r="B124" s="13"/>
      <c r="C124" s="13"/>
      <c r="D124" s="13"/>
      <c r="E124" s="13"/>
      <c r="F124" s="13"/>
      <c r="G124" s="13"/>
      <c r="H124" s="13"/>
      <c r="I124" s="13"/>
      <c r="J124" s="13"/>
    </row>
    <row r="125" spans="1:17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</row>
    <row r="126" spans="1:17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</row>
    <row r="127" spans="1:17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</row>
    <row r="128" spans="1:17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</row>
    <row r="129" spans="1:17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</row>
    <row r="130" spans="1:17" x14ac:dyDescent="0.25">
      <c r="A130" s="13">
        <f>'Base Data'!A18</f>
        <v>17</v>
      </c>
      <c r="B130" s="13" t="str">
        <f>'Base Data'!B18</f>
        <v>3C</v>
      </c>
      <c r="C130" s="13">
        <f>'Base Data'!C18</f>
        <v>0</v>
      </c>
      <c r="D130" s="13">
        <f>'Base Data'!D18</f>
        <v>175.71</v>
      </c>
      <c r="E130" s="13">
        <f>'Base Data'!E18</f>
        <v>74.72</v>
      </c>
      <c r="F130" s="13">
        <f>'Base Data'!F18</f>
        <v>0</v>
      </c>
      <c r="G130" s="13">
        <f>'Base Data'!G18</f>
        <v>0</v>
      </c>
      <c r="H130" s="13">
        <f>'Base Data'!H18</f>
        <v>0</v>
      </c>
      <c r="I130" s="13">
        <f>'Base Data'!I18</f>
        <v>0</v>
      </c>
      <c r="J130" s="13">
        <f>'Base Data'!J18</f>
        <v>0</v>
      </c>
      <c r="K130" s="13" t="str">
        <f>'Base Data'!K18</f>
        <v/>
      </c>
      <c r="L130" s="13" t="str">
        <f>'Base Data'!L18</f>
        <v/>
      </c>
      <c r="M130" s="13">
        <f>'Base Data'!M18</f>
        <v>0</v>
      </c>
      <c r="N130" s="13" t="str">
        <f>'Base Data'!N18</f>
        <v/>
      </c>
      <c r="O130" s="13" t="str">
        <f>'Base Data'!O18</f>
        <v/>
      </c>
      <c r="P130" s="13" t="str">
        <f>'Base Data'!P18</f>
        <v/>
      </c>
      <c r="Q130" s="13" t="str">
        <f>'Base Data'!Q18</f>
        <v/>
      </c>
    </row>
    <row r="131" spans="1:17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</row>
    <row r="132" spans="1:17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</row>
    <row r="133" spans="1:17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</row>
    <row r="134" spans="1:17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</row>
    <row r="135" spans="1:17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</row>
    <row r="136" spans="1:17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</row>
    <row r="137" spans="1:17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</row>
    <row r="138" spans="1:17" x14ac:dyDescent="0.25">
      <c r="A138" s="13">
        <f>'Base Data'!A19</f>
        <v>18</v>
      </c>
      <c r="B138" s="13" t="str">
        <f>'Base Data'!B19</f>
        <v>3D</v>
      </c>
      <c r="C138" s="13">
        <f>'Base Data'!C19</f>
        <v>0</v>
      </c>
      <c r="D138" s="13">
        <f>'Base Data'!D19</f>
        <v>262.71000000000004</v>
      </c>
      <c r="E138" s="13">
        <f>'Base Data'!E19</f>
        <v>74.72</v>
      </c>
      <c r="F138" s="13">
        <f>'Base Data'!F19</f>
        <v>0</v>
      </c>
      <c r="G138" s="13">
        <f>'Base Data'!G19</f>
        <v>0</v>
      </c>
      <c r="H138" s="13">
        <f>'Base Data'!H19</f>
        <v>0</v>
      </c>
      <c r="I138" s="13">
        <f>'Base Data'!I19</f>
        <v>0</v>
      </c>
      <c r="J138" s="13">
        <f>'Base Data'!J19</f>
        <v>0</v>
      </c>
      <c r="K138" s="13" t="str">
        <f>'Base Data'!K19</f>
        <v/>
      </c>
      <c r="L138" s="13" t="str">
        <f>'Base Data'!L19</f>
        <v/>
      </c>
      <c r="M138" s="13">
        <f>'Base Data'!M19</f>
        <v>0</v>
      </c>
      <c r="N138" s="13" t="str">
        <f>'Base Data'!N19</f>
        <v/>
      </c>
      <c r="O138" s="13" t="str">
        <f>'Base Data'!O19</f>
        <v/>
      </c>
      <c r="P138" s="13" t="str">
        <f>'Base Data'!P19</f>
        <v/>
      </c>
      <c r="Q138" s="13" t="str">
        <f>'Base Data'!Q19</f>
        <v/>
      </c>
    </row>
    <row r="139" spans="1:17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</row>
    <row r="140" spans="1:17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</row>
    <row r="141" spans="1:17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</row>
    <row r="142" spans="1:17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</row>
    <row r="143" spans="1:17" x14ac:dyDescent="0.25">
      <c r="A143" s="13"/>
      <c r="B143" s="13"/>
      <c r="C143" s="13"/>
      <c r="D143" s="13"/>
      <c r="E143" s="13"/>
      <c r="F143" s="13"/>
      <c r="G143" s="13"/>
      <c r="H143" s="13"/>
      <c r="I143" s="13"/>
      <c r="J143" s="13"/>
    </row>
    <row r="144" spans="1:17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</row>
    <row r="145" spans="1:17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</row>
    <row r="146" spans="1:17" x14ac:dyDescent="0.25">
      <c r="A146" s="13">
        <f>'Base Data'!A20</f>
        <v>19</v>
      </c>
      <c r="B146" s="13" t="str">
        <f>'Base Data'!B20</f>
        <v>3E</v>
      </c>
      <c r="C146" s="13">
        <f>'Base Data'!C20</f>
        <v>0</v>
      </c>
      <c r="D146" s="13">
        <f>'Base Data'!D20</f>
        <v>349.11</v>
      </c>
      <c r="E146" s="13">
        <f>'Base Data'!E20</f>
        <v>74.72</v>
      </c>
      <c r="F146" s="13">
        <f>'Base Data'!F20</f>
        <v>0</v>
      </c>
      <c r="G146" s="13">
        <f>'Base Data'!G20</f>
        <v>0</v>
      </c>
      <c r="H146" s="13">
        <f>'Base Data'!H20</f>
        <v>0</v>
      </c>
      <c r="I146" s="13">
        <f>'Base Data'!I20</f>
        <v>0</v>
      </c>
      <c r="J146" s="13">
        <f>'Base Data'!J20</f>
        <v>0</v>
      </c>
      <c r="K146" s="13" t="str">
        <f>'Base Data'!K20</f>
        <v/>
      </c>
      <c r="L146" s="13" t="str">
        <f>'Base Data'!L20</f>
        <v/>
      </c>
      <c r="M146" s="13">
        <f>'Base Data'!M20</f>
        <v>0</v>
      </c>
      <c r="N146" s="13" t="str">
        <f>'Base Data'!N20</f>
        <v/>
      </c>
      <c r="O146" s="13" t="str">
        <f>'Base Data'!O20</f>
        <v/>
      </c>
      <c r="P146" s="13" t="str">
        <f>'Base Data'!P20</f>
        <v/>
      </c>
      <c r="Q146" s="13" t="str">
        <f>'Base Data'!Q20</f>
        <v/>
      </c>
    </row>
    <row r="147" spans="1:17" x14ac:dyDescent="0.25">
      <c r="A147" s="13"/>
      <c r="B147" s="13"/>
      <c r="C147" s="13"/>
      <c r="D147" s="13"/>
      <c r="E147" s="13"/>
      <c r="F147" s="13"/>
      <c r="G147" s="13"/>
      <c r="H147" s="13"/>
      <c r="I147" s="13"/>
      <c r="J147" s="13"/>
    </row>
    <row r="148" spans="1:17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</row>
    <row r="149" spans="1:17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</row>
    <row r="150" spans="1:17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</row>
    <row r="151" spans="1:17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13"/>
    </row>
    <row r="152" spans="1:17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</row>
    <row r="153" spans="1:17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</row>
    <row r="154" spans="1:17" x14ac:dyDescent="0.25">
      <c r="A154" s="13">
        <f>'Base Data'!A21</f>
        <v>20</v>
      </c>
      <c r="B154" s="13" t="str">
        <f>'Base Data'!B21</f>
        <v>3F</v>
      </c>
      <c r="C154" s="13">
        <f>'Base Data'!C21</f>
        <v>0</v>
      </c>
      <c r="D154" s="13">
        <f>'Base Data'!D21</f>
        <v>435.71000000000004</v>
      </c>
      <c r="E154" s="13">
        <f>'Base Data'!E21</f>
        <v>74.72</v>
      </c>
      <c r="F154" s="13">
        <f>'Base Data'!F21</f>
        <v>0</v>
      </c>
      <c r="G154" s="13">
        <f>'Base Data'!G21</f>
        <v>0</v>
      </c>
      <c r="H154" s="13">
        <f>'Base Data'!H21</f>
        <v>0</v>
      </c>
      <c r="I154" s="13">
        <f>'Base Data'!I21</f>
        <v>0</v>
      </c>
      <c r="J154" s="13">
        <f>'Base Data'!J21</f>
        <v>0</v>
      </c>
      <c r="K154" s="13" t="str">
        <f>'Base Data'!K21</f>
        <v/>
      </c>
      <c r="L154" s="13" t="str">
        <f>'Base Data'!L21</f>
        <v/>
      </c>
      <c r="M154" s="13">
        <f>'Base Data'!M21</f>
        <v>0</v>
      </c>
      <c r="N154" s="13" t="str">
        <f>'Base Data'!N21</f>
        <v/>
      </c>
      <c r="O154" s="13" t="str">
        <f>'Base Data'!O21</f>
        <v/>
      </c>
      <c r="P154" s="13" t="str">
        <f>'Base Data'!P21</f>
        <v/>
      </c>
      <c r="Q154" s="13" t="str">
        <f>'Base Data'!Q21</f>
        <v/>
      </c>
    </row>
    <row r="155" spans="1:17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</row>
    <row r="156" spans="1:17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</row>
    <row r="157" spans="1:17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</row>
    <row r="158" spans="1:17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</row>
    <row r="159" spans="1:17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</row>
    <row r="160" spans="1:17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</row>
    <row r="161" spans="1:17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</row>
    <row r="162" spans="1:17" x14ac:dyDescent="0.25">
      <c r="A162" s="13">
        <f>'Base Data'!A22</f>
        <v>21</v>
      </c>
      <c r="B162" s="13" t="str">
        <f>'Base Data'!B22</f>
        <v>3G</v>
      </c>
      <c r="C162" s="13">
        <f>'Base Data'!C22</f>
        <v>0</v>
      </c>
      <c r="D162" s="13">
        <f>'Base Data'!D22</f>
        <v>522.61</v>
      </c>
      <c r="E162" s="13">
        <f>'Base Data'!E22</f>
        <v>74.72</v>
      </c>
      <c r="F162" s="13">
        <f>'Base Data'!F22</f>
        <v>0</v>
      </c>
      <c r="G162" s="13">
        <f>'Base Data'!G22</f>
        <v>0</v>
      </c>
      <c r="H162" s="13">
        <f>'Base Data'!H22</f>
        <v>0</v>
      </c>
      <c r="I162" s="13">
        <f>'Base Data'!I22</f>
        <v>0</v>
      </c>
      <c r="J162" s="13">
        <f>'Base Data'!J22</f>
        <v>0</v>
      </c>
      <c r="K162" s="13" t="str">
        <f>'Base Data'!K22</f>
        <v/>
      </c>
      <c r="L162" s="13" t="str">
        <f>'Base Data'!L22</f>
        <v/>
      </c>
      <c r="M162" s="13">
        <f>'Base Data'!M22</f>
        <v>0</v>
      </c>
      <c r="N162" s="13" t="str">
        <f>'Base Data'!N22</f>
        <v/>
      </c>
      <c r="O162" s="13" t="str">
        <f>'Base Data'!O22</f>
        <v/>
      </c>
      <c r="P162" s="13" t="str">
        <f>'Base Data'!P22</f>
        <v/>
      </c>
      <c r="Q162" s="13" t="str">
        <f>'Base Data'!Q22</f>
        <v/>
      </c>
    </row>
    <row r="163" spans="1:17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</row>
    <row r="164" spans="1:17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</row>
    <row r="165" spans="1:17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</row>
    <row r="166" spans="1:17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</row>
    <row r="167" spans="1:17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</row>
    <row r="168" spans="1:17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</row>
    <row r="169" spans="1:17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</row>
    <row r="170" spans="1:17" x14ac:dyDescent="0.25">
      <c r="A170" s="13">
        <f>'Base Data'!A23</f>
        <v>22</v>
      </c>
      <c r="B170" s="13" t="str">
        <f>'Base Data'!B23</f>
        <v>4A</v>
      </c>
      <c r="C170" s="13">
        <f>'Base Data'!C23</f>
        <v>0</v>
      </c>
      <c r="D170" s="13">
        <f>'Base Data'!D23</f>
        <v>1.5099999999999998</v>
      </c>
      <c r="E170" s="13">
        <f>'Base Data'!E23</f>
        <v>126.24000000000001</v>
      </c>
      <c r="F170" s="13">
        <f>'Base Data'!F23</f>
        <v>0</v>
      </c>
      <c r="G170" s="13">
        <f>'Base Data'!G23</f>
        <v>0</v>
      </c>
      <c r="H170" s="13">
        <f>'Base Data'!H23</f>
        <v>0</v>
      </c>
      <c r="I170" s="13">
        <f>'Base Data'!I23</f>
        <v>0</v>
      </c>
      <c r="J170" s="13">
        <f>'Base Data'!J23</f>
        <v>0</v>
      </c>
      <c r="K170" s="13" t="str">
        <f>'Base Data'!K23</f>
        <v/>
      </c>
      <c r="L170" s="13" t="str">
        <f>'Base Data'!L23</f>
        <v/>
      </c>
      <c r="M170" s="13">
        <f>'Base Data'!M23</f>
        <v>0</v>
      </c>
      <c r="N170" s="13" t="str">
        <f>'Base Data'!N23</f>
        <v/>
      </c>
      <c r="O170" s="13" t="str">
        <f>'Base Data'!O23</f>
        <v/>
      </c>
      <c r="P170" s="13" t="str">
        <f>'Base Data'!P23</f>
        <v/>
      </c>
      <c r="Q170" s="13" t="str">
        <f>'Base Data'!Q23</f>
        <v/>
      </c>
    </row>
    <row r="171" spans="1:17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</row>
    <row r="172" spans="1:17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</row>
    <row r="173" spans="1:17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</row>
    <row r="174" spans="1:17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</row>
    <row r="175" spans="1:17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</row>
    <row r="176" spans="1:17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</row>
    <row r="177" spans="1:17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</row>
    <row r="178" spans="1:17" x14ac:dyDescent="0.25">
      <c r="A178" s="13">
        <f>'Base Data'!A24</f>
        <v>23</v>
      </c>
      <c r="B178" s="13" t="str">
        <f>'Base Data'!B24</f>
        <v>4B</v>
      </c>
      <c r="C178" s="13">
        <f>'Base Data'!C24</f>
        <v>0</v>
      </c>
      <c r="D178" s="13">
        <f>'Base Data'!D24</f>
        <v>89.51</v>
      </c>
      <c r="E178" s="13">
        <f>'Base Data'!E24</f>
        <v>126.24000000000001</v>
      </c>
      <c r="F178" s="13">
        <f>'Base Data'!F24</f>
        <v>0</v>
      </c>
      <c r="G178" s="13">
        <f>'Base Data'!G24</f>
        <v>0</v>
      </c>
      <c r="H178" s="13">
        <f>'Base Data'!H24</f>
        <v>0</v>
      </c>
      <c r="I178" s="13">
        <f>'Base Data'!I24</f>
        <v>0</v>
      </c>
      <c r="J178" s="13">
        <f>'Base Data'!J24</f>
        <v>0</v>
      </c>
      <c r="K178" s="13" t="str">
        <f>'Base Data'!K24</f>
        <v/>
      </c>
      <c r="L178" s="13" t="str">
        <f>'Base Data'!L24</f>
        <v/>
      </c>
      <c r="M178" s="13">
        <f>'Base Data'!M24</f>
        <v>0</v>
      </c>
      <c r="N178" s="13" t="str">
        <f>'Base Data'!N24</f>
        <v/>
      </c>
      <c r="O178" s="13" t="str">
        <f>'Base Data'!O24</f>
        <v/>
      </c>
      <c r="P178" s="13" t="str">
        <f>'Base Data'!P24</f>
        <v/>
      </c>
      <c r="Q178" s="13" t="str">
        <f>'Base Data'!Q24</f>
        <v/>
      </c>
    </row>
    <row r="179" spans="1:17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</row>
    <row r="180" spans="1:17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</row>
    <row r="181" spans="1:17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</row>
    <row r="182" spans="1:17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</row>
    <row r="183" spans="1:17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</row>
    <row r="184" spans="1:17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</row>
    <row r="185" spans="1:17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</row>
    <row r="186" spans="1:17" x14ac:dyDescent="0.25">
      <c r="A186" s="13">
        <f>'Base Data'!A25</f>
        <v>24</v>
      </c>
      <c r="B186" s="13" t="str">
        <f>'Base Data'!B25</f>
        <v>4C</v>
      </c>
      <c r="C186" s="13">
        <f>'Base Data'!C25</f>
        <v>0</v>
      </c>
      <c r="D186" s="13">
        <f>'Base Data'!D25</f>
        <v>176.11</v>
      </c>
      <c r="E186" s="13">
        <f>'Base Data'!E25</f>
        <v>126.24000000000001</v>
      </c>
      <c r="F186" s="13">
        <f>'Base Data'!F25</f>
        <v>0</v>
      </c>
      <c r="G186" s="13">
        <f>'Base Data'!G25</f>
        <v>0</v>
      </c>
      <c r="H186" s="13">
        <f>'Base Data'!H25</f>
        <v>0</v>
      </c>
      <c r="I186" s="13">
        <f>'Base Data'!I25</f>
        <v>0</v>
      </c>
      <c r="J186" s="13">
        <f>'Base Data'!J25</f>
        <v>0</v>
      </c>
      <c r="K186" s="13" t="str">
        <f>'Base Data'!K25</f>
        <v/>
      </c>
      <c r="L186" s="13" t="str">
        <f>'Base Data'!L25</f>
        <v/>
      </c>
      <c r="M186" s="13">
        <f>'Base Data'!M25</f>
        <v>0</v>
      </c>
      <c r="N186" s="13" t="str">
        <f>'Base Data'!N25</f>
        <v/>
      </c>
      <c r="O186" s="13" t="str">
        <f>'Base Data'!O25</f>
        <v/>
      </c>
      <c r="P186" s="13" t="str">
        <f>'Base Data'!P25</f>
        <v/>
      </c>
      <c r="Q186" s="13" t="str">
        <f>'Base Data'!Q25</f>
        <v/>
      </c>
    </row>
    <row r="187" spans="1:17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</row>
    <row r="188" spans="1:17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</row>
    <row r="189" spans="1:17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</row>
    <row r="190" spans="1:17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</row>
    <row r="191" spans="1:17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</row>
    <row r="192" spans="1:17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7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</row>
    <row r="194" spans="1:17" x14ac:dyDescent="0.25">
      <c r="A194" s="13">
        <f>'Base Data'!A26</f>
        <v>25</v>
      </c>
      <c r="B194" s="13" t="str">
        <f>'Base Data'!B26</f>
        <v>4D</v>
      </c>
      <c r="C194" s="13">
        <f>'Base Data'!C26</f>
        <v>0</v>
      </c>
      <c r="D194" s="13">
        <f>'Base Data'!D26</f>
        <v>263.11</v>
      </c>
      <c r="E194" s="13">
        <f>'Base Data'!E26</f>
        <v>126.24000000000001</v>
      </c>
      <c r="F194" s="13">
        <f>'Base Data'!F26</f>
        <v>0</v>
      </c>
      <c r="G194" s="13">
        <f>'Base Data'!G26</f>
        <v>0</v>
      </c>
      <c r="H194" s="13">
        <f>'Base Data'!H26</f>
        <v>0</v>
      </c>
      <c r="I194" s="13">
        <f>'Base Data'!I26</f>
        <v>0</v>
      </c>
      <c r="J194" s="13">
        <f>'Base Data'!J26</f>
        <v>0</v>
      </c>
      <c r="K194" s="13" t="str">
        <f>'Base Data'!K26</f>
        <v/>
      </c>
      <c r="L194" s="13" t="str">
        <f>'Base Data'!L26</f>
        <v/>
      </c>
      <c r="M194" s="13">
        <f>'Base Data'!M26</f>
        <v>0</v>
      </c>
      <c r="N194" s="13" t="str">
        <f>'Base Data'!N26</f>
        <v/>
      </c>
      <c r="O194" s="13" t="str">
        <f>'Base Data'!O26</f>
        <v/>
      </c>
      <c r="P194" s="13" t="str">
        <f>'Base Data'!P26</f>
        <v/>
      </c>
      <c r="Q194" s="13" t="str">
        <f>'Base Data'!Q26</f>
        <v/>
      </c>
    </row>
    <row r="195" spans="1:17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</row>
    <row r="196" spans="1:17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</row>
    <row r="197" spans="1:17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</row>
    <row r="198" spans="1:17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7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</row>
    <row r="200" spans="1:17" x14ac:dyDescent="0.25">
      <c r="A200" s="13"/>
      <c r="B200" s="13"/>
      <c r="C200" s="13"/>
      <c r="D200" s="13"/>
      <c r="E200" s="13"/>
      <c r="F200" s="13"/>
      <c r="G200" s="13"/>
      <c r="H200" s="13"/>
      <c r="I200" s="13"/>
      <c r="J200" s="13"/>
    </row>
    <row r="201" spans="1:17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</row>
    <row r="202" spans="1:17" x14ac:dyDescent="0.25">
      <c r="A202" s="13">
        <f>'Base Data'!A27</f>
        <v>26</v>
      </c>
      <c r="B202" s="13" t="str">
        <f>'Base Data'!B27</f>
        <v>4E</v>
      </c>
      <c r="C202" s="13">
        <f>'Base Data'!C27</f>
        <v>0</v>
      </c>
      <c r="D202" s="13">
        <f>'Base Data'!D27</f>
        <v>349.51</v>
      </c>
      <c r="E202" s="13">
        <f>'Base Data'!E27</f>
        <v>126.24000000000001</v>
      </c>
      <c r="F202" s="13">
        <f>'Base Data'!F27</f>
        <v>0</v>
      </c>
      <c r="G202" s="13">
        <f>'Base Data'!G27</f>
        <v>0</v>
      </c>
      <c r="H202" s="13">
        <f>'Base Data'!H27</f>
        <v>0</v>
      </c>
      <c r="I202" s="13">
        <f>'Base Data'!I27</f>
        <v>0</v>
      </c>
      <c r="J202" s="13">
        <f>'Base Data'!J27</f>
        <v>0</v>
      </c>
      <c r="K202" s="13" t="str">
        <f>'Base Data'!K27</f>
        <v/>
      </c>
      <c r="L202" s="13" t="str">
        <f>'Base Data'!L27</f>
        <v/>
      </c>
      <c r="M202" s="13">
        <f>'Base Data'!M27</f>
        <v>0</v>
      </c>
      <c r="N202" s="13" t="str">
        <f>'Base Data'!N27</f>
        <v/>
      </c>
      <c r="O202" s="13" t="str">
        <f>'Base Data'!O27</f>
        <v/>
      </c>
      <c r="P202" s="13" t="str">
        <f>'Base Data'!P27</f>
        <v/>
      </c>
      <c r="Q202" s="13" t="str">
        <f>'Base Data'!Q27</f>
        <v/>
      </c>
    </row>
    <row r="203" spans="1:17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</row>
    <row r="204" spans="1:17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</row>
    <row r="205" spans="1:17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</row>
    <row r="206" spans="1:17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</row>
    <row r="207" spans="1:17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</row>
    <row r="208" spans="1:17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</row>
    <row r="209" spans="1:17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</row>
    <row r="210" spans="1:17" x14ac:dyDescent="0.25">
      <c r="A210" s="13">
        <f>'Base Data'!A28</f>
        <v>27</v>
      </c>
      <c r="B210" s="13" t="str">
        <f>'Base Data'!B28</f>
        <v>4F</v>
      </c>
      <c r="C210" s="13">
        <f>'Base Data'!C28</f>
        <v>0</v>
      </c>
      <c r="D210" s="13">
        <f>'Base Data'!D28</f>
        <v>436.11</v>
      </c>
      <c r="E210" s="13">
        <f>'Base Data'!E28</f>
        <v>126.24000000000001</v>
      </c>
      <c r="F210" s="13">
        <f>'Base Data'!F28</f>
        <v>0</v>
      </c>
      <c r="G210" s="13">
        <f>'Base Data'!G28</f>
        <v>0</v>
      </c>
      <c r="H210" s="13">
        <f>'Base Data'!H28</f>
        <v>0</v>
      </c>
      <c r="I210" s="13">
        <f>'Base Data'!I28</f>
        <v>0</v>
      </c>
      <c r="J210" s="13">
        <f>'Base Data'!J28</f>
        <v>0</v>
      </c>
      <c r="K210" s="13" t="str">
        <f>'Base Data'!K28</f>
        <v/>
      </c>
      <c r="L210" s="13" t="str">
        <f>'Base Data'!L28</f>
        <v/>
      </c>
      <c r="M210" s="13">
        <f>'Base Data'!M28</f>
        <v>0</v>
      </c>
      <c r="N210" s="13" t="str">
        <f>'Base Data'!N28</f>
        <v/>
      </c>
      <c r="O210" s="13" t="str">
        <f>'Base Data'!O28</f>
        <v/>
      </c>
      <c r="P210" s="13" t="str">
        <f>'Base Data'!P28</f>
        <v/>
      </c>
      <c r="Q210" s="13" t="str">
        <f>'Base Data'!Q28</f>
        <v/>
      </c>
    </row>
    <row r="211" spans="1:17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</row>
    <row r="212" spans="1:17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</row>
    <row r="213" spans="1:17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</row>
    <row r="214" spans="1:17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</row>
    <row r="215" spans="1:17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</row>
    <row r="216" spans="1:17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</row>
    <row r="217" spans="1:17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</row>
    <row r="218" spans="1:17" x14ac:dyDescent="0.25">
      <c r="A218" s="13">
        <f>'Base Data'!A29</f>
        <v>28</v>
      </c>
      <c r="B218" s="13" t="str">
        <f>'Base Data'!B29</f>
        <v>4G</v>
      </c>
      <c r="C218" s="13">
        <f>'Base Data'!C29</f>
        <v>0</v>
      </c>
      <c r="D218" s="13">
        <f>'Base Data'!D29</f>
        <v>523.01</v>
      </c>
      <c r="E218" s="13">
        <f>'Base Data'!E29</f>
        <v>126.24000000000001</v>
      </c>
      <c r="F218" s="13">
        <f>'Base Data'!F29</f>
        <v>0</v>
      </c>
      <c r="G218" s="13">
        <f>'Base Data'!G29</f>
        <v>0</v>
      </c>
      <c r="H218" s="13">
        <f>'Base Data'!H29</f>
        <v>0</v>
      </c>
      <c r="I218" s="13">
        <f>'Base Data'!I29</f>
        <v>0</v>
      </c>
      <c r="J218" s="13">
        <f>'Base Data'!J29</f>
        <v>0</v>
      </c>
      <c r="K218" s="13" t="str">
        <f>'Base Data'!K29</f>
        <v/>
      </c>
      <c r="L218" s="13" t="str">
        <f>'Base Data'!L29</f>
        <v/>
      </c>
      <c r="M218" s="13">
        <f>'Base Data'!M29</f>
        <v>0</v>
      </c>
      <c r="N218" s="13" t="str">
        <f>'Base Data'!N29</f>
        <v/>
      </c>
      <c r="O218" s="13" t="str">
        <f>'Base Data'!O29</f>
        <v/>
      </c>
      <c r="P218" s="13" t="str">
        <f>'Base Data'!P29</f>
        <v/>
      </c>
      <c r="Q218" s="13" t="str">
        <f>'Base Data'!Q29</f>
        <v/>
      </c>
    </row>
    <row r="219" spans="1:17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</row>
    <row r="220" spans="1:17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</row>
    <row r="221" spans="1:17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</row>
    <row r="222" spans="1:17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</row>
    <row r="223" spans="1:17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</row>
    <row r="224" spans="1:17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</row>
    <row r="225" spans="1:17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</row>
    <row r="226" spans="1:17" x14ac:dyDescent="0.25">
      <c r="A226" s="13">
        <f>'Base Data'!A30</f>
        <v>29</v>
      </c>
      <c r="B226" s="13" t="str">
        <f>'Base Data'!B30</f>
        <v>5A</v>
      </c>
      <c r="C226" s="13">
        <f>'Base Data'!C30</f>
        <v>0</v>
      </c>
      <c r="D226" s="13">
        <f>'Base Data'!D30</f>
        <v>1.5099999999999998</v>
      </c>
      <c r="E226" s="13">
        <f>'Base Data'!E30</f>
        <v>162.92999999999998</v>
      </c>
      <c r="F226" s="13">
        <f>'Base Data'!F30</f>
        <v>0</v>
      </c>
      <c r="G226" s="13">
        <f>'Base Data'!G30</f>
        <v>0</v>
      </c>
      <c r="H226" s="13">
        <f>'Base Data'!H30</f>
        <v>0</v>
      </c>
      <c r="I226" s="13">
        <f>'Base Data'!I30</f>
        <v>0</v>
      </c>
      <c r="J226" s="13">
        <f>'Base Data'!J30</f>
        <v>0</v>
      </c>
      <c r="K226" s="13" t="str">
        <f>'Base Data'!K30</f>
        <v/>
      </c>
      <c r="L226" s="13" t="str">
        <f>'Base Data'!L30</f>
        <v/>
      </c>
      <c r="M226" s="13">
        <f>'Base Data'!M30</f>
        <v>0</v>
      </c>
      <c r="N226" s="13" t="str">
        <f>'Base Data'!N30</f>
        <v/>
      </c>
      <c r="O226" s="13" t="str">
        <f>'Base Data'!O30</f>
        <v/>
      </c>
      <c r="P226" s="13" t="str">
        <f>'Base Data'!P30</f>
        <v/>
      </c>
      <c r="Q226" s="13" t="str">
        <f>'Base Data'!Q30</f>
        <v/>
      </c>
    </row>
    <row r="227" spans="1:17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</row>
    <row r="228" spans="1:17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</row>
    <row r="229" spans="1:17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</row>
    <row r="230" spans="1:17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</row>
    <row r="231" spans="1:17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</row>
    <row r="232" spans="1:17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</row>
    <row r="233" spans="1:17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</row>
    <row r="234" spans="1:17" x14ac:dyDescent="0.25">
      <c r="A234" s="13">
        <f>'Base Data'!A31</f>
        <v>30</v>
      </c>
      <c r="B234" s="13" t="str">
        <f>'Base Data'!B31</f>
        <v>5B</v>
      </c>
      <c r="C234" s="13">
        <f>'Base Data'!C31</f>
        <v>0</v>
      </c>
      <c r="D234" s="13">
        <f>'Base Data'!D31</f>
        <v>89.51</v>
      </c>
      <c r="E234" s="13">
        <f>'Base Data'!E31</f>
        <v>162.92999999999998</v>
      </c>
      <c r="F234" s="13">
        <f>'Base Data'!F31</f>
        <v>0</v>
      </c>
      <c r="G234" s="13">
        <f>'Base Data'!G31</f>
        <v>0</v>
      </c>
      <c r="H234" s="13">
        <f>'Base Data'!H31</f>
        <v>0</v>
      </c>
      <c r="I234" s="13">
        <f>'Base Data'!I31</f>
        <v>0</v>
      </c>
      <c r="J234" s="13">
        <f>'Base Data'!J31</f>
        <v>0</v>
      </c>
      <c r="K234" s="13" t="str">
        <f>'Base Data'!K31</f>
        <v/>
      </c>
      <c r="L234" s="13" t="str">
        <f>'Base Data'!L31</f>
        <v/>
      </c>
      <c r="M234" s="13">
        <f>'Base Data'!M31</f>
        <v>0</v>
      </c>
      <c r="N234" s="13" t="str">
        <f>'Base Data'!N31</f>
        <v/>
      </c>
      <c r="O234" s="13" t="str">
        <f>'Base Data'!O31</f>
        <v/>
      </c>
      <c r="P234" s="13" t="str">
        <f>'Base Data'!P31</f>
        <v/>
      </c>
      <c r="Q234" s="13" t="str">
        <f>'Base Data'!Q31</f>
        <v/>
      </c>
    </row>
    <row r="235" spans="1:17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</row>
    <row r="236" spans="1:17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</row>
    <row r="237" spans="1:17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</row>
    <row r="238" spans="1:17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</row>
    <row r="239" spans="1:17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</row>
    <row r="240" spans="1:17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</row>
    <row r="241" spans="1:17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</row>
    <row r="242" spans="1:17" x14ac:dyDescent="0.25">
      <c r="A242" s="13">
        <f>'Base Data'!A32</f>
        <v>31</v>
      </c>
      <c r="B242" s="13" t="str">
        <f>'Base Data'!B32</f>
        <v>5C</v>
      </c>
      <c r="C242" s="13">
        <f>'Base Data'!C32</f>
        <v>0</v>
      </c>
      <c r="D242" s="13">
        <f>'Base Data'!D32</f>
        <v>176.11</v>
      </c>
      <c r="E242" s="13">
        <f>'Base Data'!E32</f>
        <v>162.92999999999998</v>
      </c>
      <c r="F242" s="13">
        <f>'Base Data'!F32</f>
        <v>0</v>
      </c>
      <c r="G242" s="13">
        <f>'Base Data'!G32</f>
        <v>0</v>
      </c>
      <c r="H242" s="13">
        <f>'Base Data'!H32</f>
        <v>0</v>
      </c>
      <c r="I242" s="13">
        <f>'Base Data'!I32</f>
        <v>0</v>
      </c>
      <c r="J242" s="13">
        <f>'Base Data'!J32</f>
        <v>0</v>
      </c>
      <c r="K242" s="13" t="str">
        <f>'Base Data'!K32</f>
        <v/>
      </c>
      <c r="L242" s="13" t="str">
        <f>'Base Data'!L32</f>
        <v/>
      </c>
      <c r="M242" s="13">
        <f>'Base Data'!M32</f>
        <v>0</v>
      </c>
      <c r="N242" s="13" t="str">
        <f>'Base Data'!N32</f>
        <v/>
      </c>
      <c r="O242" s="13" t="str">
        <f>'Base Data'!O32</f>
        <v/>
      </c>
      <c r="P242" s="13" t="str">
        <f>'Base Data'!P32</f>
        <v/>
      </c>
      <c r="Q242" s="13" t="str">
        <f>'Base Data'!Q32</f>
        <v/>
      </c>
    </row>
    <row r="243" spans="1:17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</row>
    <row r="244" spans="1:17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</row>
    <row r="245" spans="1:17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</row>
    <row r="246" spans="1:17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</row>
    <row r="247" spans="1:17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</row>
    <row r="248" spans="1:17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</row>
    <row r="249" spans="1:17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</row>
    <row r="250" spans="1:17" x14ac:dyDescent="0.25">
      <c r="A250" s="13">
        <f>'Base Data'!A33</f>
        <v>32</v>
      </c>
      <c r="B250" s="13" t="str">
        <f>'Base Data'!B33</f>
        <v>5D</v>
      </c>
      <c r="C250" s="13">
        <f>'Base Data'!C33</f>
        <v>0</v>
      </c>
      <c r="D250" s="13">
        <f>'Base Data'!D33</f>
        <v>263.11</v>
      </c>
      <c r="E250" s="13">
        <f>'Base Data'!E33</f>
        <v>162.92999999999998</v>
      </c>
      <c r="F250" s="13">
        <f>'Base Data'!F33</f>
        <v>0</v>
      </c>
      <c r="G250" s="13">
        <f>'Base Data'!G33</f>
        <v>0</v>
      </c>
      <c r="H250" s="13">
        <f>'Base Data'!H33</f>
        <v>0</v>
      </c>
      <c r="I250" s="13">
        <f>'Base Data'!I33</f>
        <v>0</v>
      </c>
      <c r="J250" s="13">
        <f>'Base Data'!J33</f>
        <v>0</v>
      </c>
      <c r="K250" s="13" t="str">
        <f>'Base Data'!K33</f>
        <v/>
      </c>
      <c r="L250" s="13" t="str">
        <f>'Base Data'!L33</f>
        <v/>
      </c>
      <c r="M250" s="13">
        <f>'Base Data'!M33</f>
        <v>0</v>
      </c>
      <c r="N250" s="13" t="str">
        <f>'Base Data'!N33</f>
        <v/>
      </c>
      <c r="O250" s="13" t="str">
        <f>'Base Data'!O33</f>
        <v/>
      </c>
      <c r="P250" s="13" t="str">
        <f>'Base Data'!P33</f>
        <v/>
      </c>
      <c r="Q250" s="13" t="str">
        <f>'Base Data'!Q33</f>
        <v/>
      </c>
    </row>
    <row r="251" spans="1:17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</row>
    <row r="252" spans="1:17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</row>
    <row r="253" spans="1:17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</row>
    <row r="254" spans="1:17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</row>
    <row r="255" spans="1:17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</row>
    <row r="256" spans="1:17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</row>
    <row r="257" spans="1:17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</row>
    <row r="258" spans="1:17" x14ac:dyDescent="0.25">
      <c r="A258" s="13">
        <f>'Base Data'!A34</f>
        <v>33</v>
      </c>
      <c r="B258" s="13" t="str">
        <f>'Base Data'!B34</f>
        <v>5E</v>
      </c>
      <c r="C258" s="13">
        <f>'Base Data'!C34</f>
        <v>0</v>
      </c>
      <c r="D258" s="13">
        <f>'Base Data'!D34</f>
        <v>349.51</v>
      </c>
      <c r="E258" s="13">
        <f>'Base Data'!E34</f>
        <v>162.92999999999998</v>
      </c>
      <c r="F258" s="13">
        <f>'Base Data'!F34</f>
        <v>0</v>
      </c>
      <c r="G258" s="13">
        <f>'Base Data'!G34</f>
        <v>0</v>
      </c>
      <c r="H258" s="13">
        <f>'Base Data'!H34</f>
        <v>0</v>
      </c>
      <c r="I258" s="13">
        <f>'Base Data'!I34</f>
        <v>0</v>
      </c>
      <c r="J258" s="13">
        <f>'Base Data'!J34</f>
        <v>0</v>
      </c>
      <c r="K258" s="13" t="str">
        <f>'Base Data'!K34</f>
        <v/>
      </c>
      <c r="L258" s="13" t="str">
        <f>'Base Data'!L34</f>
        <v/>
      </c>
      <c r="M258" s="13">
        <f>'Base Data'!M34</f>
        <v>0</v>
      </c>
      <c r="N258" s="13" t="str">
        <f>'Base Data'!N34</f>
        <v/>
      </c>
      <c r="O258" s="13" t="str">
        <f>'Base Data'!O34</f>
        <v/>
      </c>
      <c r="P258" s="13" t="str">
        <f>'Base Data'!P34</f>
        <v/>
      </c>
      <c r="Q258" s="13" t="str">
        <f>'Base Data'!Q34</f>
        <v/>
      </c>
    </row>
    <row r="259" spans="1:17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</row>
    <row r="260" spans="1:17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</row>
    <row r="261" spans="1:17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</row>
    <row r="262" spans="1:17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</row>
    <row r="263" spans="1:17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</row>
    <row r="264" spans="1:17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</row>
    <row r="265" spans="1:17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</row>
    <row r="266" spans="1:17" x14ac:dyDescent="0.25">
      <c r="A266" s="13">
        <f>'Base Data'!A35</f>
        <v>34</v>
      </c>
      <c r="B266" s="13" t="str">
        <f>'Base Data'!B35</f>
        <v>5F</v>
      </c>
      <c r="C266" s="13">
        <f>'Base Data'!C35</f>
        <v>0</v>
      </c>
      <c r="D266" s="13">
        <f>'Base Data'!D35</f>
        <v>436.11</v>
      </c>
      <c r="E266" s="13">
        <f>'Base Data'!E35</f>
        <v>162.92999999999998</v>
      </c>
      <c r="F266" s="13">
        <f>'Base Data'!F35</f>
        <v>0</v>
      </c>
      <c r="G266" s="13">
        <f>'Base Data'!G35</f>
        <v>0</v>
      </c>
      <c r="H266" s="13">
        <f>'Base Data'!H35</f>
        <v>0</v>
      </c>
      <c r="I266" s="13">
        <f>'Base Data'!I35</f>
        <v>0</v>
      </c>
      <c r="J266" s="13">
        <f>'Base Data'!J35</f>
        <v>0</v>
      </c>
      <c r="K266" s="13" t="str">
        <f>'Base Data'!K35</f>
        <v/>
      </c>
      <c r="L266" s="13" t="str">
        <f>'Base Data'!L35</f>
        <v/>
      </c>
      <c r="M266" s="13">
        <f>'Base Data'!M35</f>
        <v>0</v>
      </c>
      <c r="N266" s="13" t="str">
        <f>'Base Data'!N35</f>
        <v/>
      </c>
      <c r="O266" s="13" t="str">
        <f>'Base Data'!O35</f>
        <v/>
      </c>
      <c r="P266" s="13" t="str">
        <f>'Base Data'!P35</f>
        <v/>
      </c>
      <c r="Q266" s="13" t="str">
        <f>'Base Data'!Q35</f>
        <v/>
      </c>
    </row>
    <row r="267" spans="1:17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</row>
    <row r="268" spans="1:17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</row>
    <row r="269" spans="1:17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</row>
    <row r="270" spans="1:17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</row>
    <row r="271" spans="1:17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</row>
    <row r="272" spans="1:17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</row>
    <row r="273" spans="1:17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</row>
    <row r="274" spans="1:17" x14ac:dyDescent="0.25">
      <c r="A274" s="13">
        <f>'Base Data'!A36</f>
        <v>35</v>
      </c>
      <c r="B274" s="13" t="str">
        <f>'Base Data'!B36</f>
        <v>5G</v>
      </c>
      <c r="C274" s="13">
        <f>'Base Data'!C36</f>
        <v>0</v>
      </c>
      <c r="D274" s="13">
        <f>'Base Data'!D36</f>
        <v>523.01</v>
      </c>
      <c r="E274" s="13">
        <f>'Base Data'!E36</f>
        <v>162.92999999999998</v>
      </c>
      <c r="F274" s="13">
        <f>'Base Data'!F36</f>
        <v>0</v>
      </c>
      <c r="G274" s="13">
        <f>'Base Data'!G36</f>
        <v>0</v>
      </c>
      <c r="H274" s="13">
        <f>'Base Data'!H36</f>
        <v>0</v>
      </c>
      <c r="I274" s="13">
        <f>'Base Data'!I36</f>
        <v>0</v>
      </c>
      <c r="J274" s="13">
        <f>'Base Data'!J36</f>
        <v>0</v>
      </c>
      <c r="K274" s="13" t="str">
        <f>'Base Data'!K36</f>
        <v/>
      </c>
      <c r="L274" s="13" t="str">
        <f>'Base Data'!L36</f>
        <v/>
      </c>
      <c r="M274" s="13">
        <f>'Base Data'!M36</f>
        <v>0</v>
      </c>
      <c r="N274" s="13" t="str">
        <f>'Base Data'!N36</f>
        <v/>
      </c>
      <c r="O274" s="13" t="str">
        <f>'Base Data'!O36</f>
        <v/>
      </c>
      <c r="P274" s="13" t="str">
        <f>'Base Data'!P36</f>
        <v/>
      </c>
      <c r="Q274" s="13" t="str">
        <f>'Base Data'!Q36</f>
        <v/>
      </c>
    </row>
    <row r="275" spans="1:17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</row>
    <row r="276" spans="1:17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</row>
    <row r="277" spans="1:17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</row>
    <row r="278" spans="1:17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</row>
    <row r="279" spans="1:17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</row>
    <row r="280" spans="1:17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</row>
    <row r="281" spans="1:17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</row>
    <row r="282" spans="1:17" x14ac:dyDescent="0.25">
      <c r="A282" s="13">
        <f>'Base Data'!A37</f>
        <v>36</v>
      </c>
      <c r="B282" s="13" t="str">
        <f>'Base Data'!B37</f>
        <v>6A</v>
      </c>
      <c r="C282" s="13">
        <f>'Base Data'!C37</f>
        <v>0</v>
      </c>
      <c r="D282" s="13">
        <f>'Base Data'!D37</f>
        <v>1.5099999999999998</v>
      </c>
      <c r="E282" s="13">
        <f>'Base Data'!E37</f>
        <v>199.47</v>
      </c>
      <c r="F282" s="13">
        <f>'Base Data'!F37</f>
        <v>0</v>
      </c>
      <c r="G282" s="13">
        <f>'Base Data'!G37</f>
        <v>0</v>
      </c>
      <c r="H282" s="13">
        <f>'Base Data'!H37</f>
        <v>0</v>
      </c>
      <c r="I282" s="13">
        <f>'Base Data'!I37</f>
        <v>0</v>
      </c>
      <c r="J282" s="13">
        <f>'Base Data'!J37</f>
        <v>0</v>
      </c>
      <c r="K282" s="13" t="str">
        <f>'Base Data'!K37</f>
        <v/>
      </c>
      <c r="L282" s="13" t="str">
        <f>'Base Data'!L37</f>
        <v/>
      </c>
      <c r="M282" s="13">
        <f>'Base Data'!M37</f>
        <v>0</v>
      </c>
      <c r="N282" s="13" t="str">
        <f>'Base Data'!N37</f>
        <v/>
      </c>
      <c r="O282" s="13" t="str">
        <f>'Base Data'!O37</f>
        <v/>
      </c>
      <c r="P282" s="13" t="str">
        <f>'Base Data'!P37</f>
        <v/>
      </c>
      <c r="Q282" s="13" t="str">
        <f>'Base Data'!Q37</f>
        <v/>
      </c>
    </row>
    <row r="283" spans="1:17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</row>
    <row r="284" spans="1:17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</row>
    <row r="285" spans="1:17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</row>
    <row r="286" spans="1:17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</row>
    <row r="287" spans="1:17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</row>
    <row r="288" spans="1:17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</row>
    <row r="289" spans="1:17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</row>
    <row r="290" spans="1:17" x14ac:dyDescent="0.25">
      <c r="A290" s="13">
        <f>'Base Data'!A38</f>
        <v>37</v>
      </c>
      <c r="B290" s="13" t="str">
        <f>'Base Data'!B38</f>
        <v>6B</v>
      </c>
      <c r="C290" s="13">
        <f>'Base Data'!C38</f>
        <v>0</v>
      </c>
      <c r="D290" s="13">
        <f>'Base Data'!D38</f>
        <v>89.51</v>
      </c>
      <c r="E290" s="13">
        <f>'Base Data'!E38</f>
        <v>199.47</v>
      </c>
      <c r="F290" s="13">
        <f>'Base Data'!F38</f>
        <v>0</v>
      </c>
      <c r="G290" s="13">
        <f>'Base Data'!G38</f>
        <v>0</v>
      </c>
      <c r="H290" s="13">
        <f>'Base Data'!H38</f>
        <v>0</v>
      </c>
      <c r="I290" s="13">
        <f>'Base Data'!I38</f>
        <v>0</v>
      </c>
      <c r="J290" s="13">
        <f>'Base Data'!J38</f>
        <v>0</v>
      </c>
      <c r="K290" s="13" t="str">
        <f>'Base Data'!K38</f>
        <v/>
      </c>
      <c r="L290" s="13" t="str">
        <f>'Base Data'!L38</f>
        <v/>
      </c>
      <c r="M290" s="13">
        <f>'Base Data'!M38</f>
        <v>0</v>
      </c>
      <c r="N290" s="13" t="str">
        <f>'Base Data'!N38</f>
        <v/>
      </c>
      <c r="O290" s="13" t="str">
        <f>'Base Data'!O38</f>
        <v/>
      </c>
      <c r="P290" s="13" t="str">
        <f>'Base Data'!P38</f>
        <v/>
      </c>
      <c r="Q290" s="13" t="str">
        <f>'Base Data'!Q38</f>
        <v/>
      </c>
    </row>
    <row r="291" spans="1:17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</row>
    <row r="292" spans="1:17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</row>
    <row r="293" spans="1:17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</row>
    <row r="294" spans="1:17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</row>
    <row r="295" spans="1:17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</row>
    <row r="296" spans="1:17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</row>
    <row r="297" spans="1:17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</row>
    <row r="298" spans="1:17" x14ac:dyDescent="0.25">
      <c r="A298" s="13">
        <f>'Base Data'!A39</f>
        <v>38</v>
      </c>
      <c r="B298" s="13" t="str">
        <f>'Base Data'!B39</f>
        <v>6C</v>
      </c>
      <c r="C298" s="13">
        <f>'Base Data'!C39</f>
        <v>0</v>
      </c>
      <c r="D298" s="13">
        <f>'Base Data'!D39</f>
        <v>176.11</v>
      </c>
      <c r="E298" s="13">
        <f>'Base Data'!E39</f>
        <v>199.47</v>
      </c>
      <c r="F298" s="13">
        <f>'Base Data'!F39</f>
        <v>0</v>
      </c>
      <c r="G298" s="13">
        <f>'Base Data'!G39</f>
        <v>0</v>
      </c>
      <c r="H298" s="13">
        <f>'Base Data'!H39</f>
        <v>0</v>
      </c>
      <c r="I298" s="13">
        <f>'Base Data'!I39</f>
        <v>0</v>
      </c>
      <c r="J298" s="13">
        <f>'Base Data'!J39</f>
        <v>0</v>
      </c>
      <c r="K298" s="13" t="str">
        <f>'Base Data'!K39</f>
        <v/>
      </c>
      <c r="L298" s="13" t="str">
        <f>'Base Data'!L39</f>
        <v/>
      </c>
      <c r="M298" s="13">
        <f>'Base Data'!M39</f>
        <v>0</v>
      </c>
      <c r="N298" s="13" t="str">
        <f>'Base Data'!N39</f>
        <v/>
      </c>
      <c r="O298" s="13" t="str">
        <f>'Base Data'!O39</f>
        <v/>
      </c>
      <c r="P298" s="13" t="str">
        <f>'Base Data'!P39</f>
        <v/>
      </c>
      <c r="Q298" s="13" t="str">
        <f>'Base Data'!Q39</f>
        <v/>
      </c>
    </row>
    <row r="299" spans="1:17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</row>
    <row r="300" spans="1:17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</row>
    <row r="301" spans="1:17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</row>
    <row r="302" spans="1:17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</row>
    <row r="303" spans="1:17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</row>
    <row r="304" spans="1:17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</row>
    <row r="305" spans="1:17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</row>
    <row r="306" spans="1:17" x14ac:dyDescent="0.25">
      <c r="A306" s="13">
        <f>'Base Data'!A40</f>
        <v>39</v>
      </c>
      <c r="B306" s="13" t="str">
        <f>'Base Data'!B40</f>
        <v>6D</v>
      </c>
      <c r="C306" s="13">
        <f>'Base Data'!C40</f>
        <v>0</v>
      </c>
      <c r="D306" s="13">
        <f>'Base Data'!D40</f>
        <v>263.11</v>
      </c>
      <c r="E306" s="13">
        <f>'Base Data'!E40</f>
        <v>199.47</v>
      </c>
      <c r="F306" s="13">
        <f>'Base Data'!F40</f>
        <v>0</v>
      </c>
      <c r="G306" s="13">
        <f>'Base Data'!G40</f>
        <v>0</v>
      </c>
      <c r="H306" s="13">
        <f>'Base Data'!H40</f>
        <v>0</v>
      </c>
      <c r="I306" s="13">
        <f>'Base Data'!I40</f>
        <v>0</v>
      </c>
      <c r="J306" s="13">
        <f>'Base Data'!J40</f>
        <v>0</v>
      </c>
      <c r="K306" s="13" t="str">
        <f>'Base Data'!K40</f>
        <v/>
      </c>
      <c r="L306" s="13" t="str">
        <f>'Base Data'!L40</f>
        <v/>
      </c>
      <c r="M306" s="13">
        <f>'Base Data'!M40</f>
        <v>0</v>
      </c>
      <c r="N306" s="13" t="str">
        <f>'Base Data'!N40</f>
        <v/>
      </c>
      <c r="O306" s="13" t="str">
        <f>'Base Data'!O40</f>
        <v/>
      </c>
      <c r="P306" s="13" t="str">
        <f>'Base Data'!P40</f>
        <v/>
      </c>
      <c r="Q306" s="13" t="str">
        <f>'Base Data'!Q40</f>
        <v/>
      </c>
    </row>
    <row r="307" spans="1:17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</row>
    <row r="308" spans="1:17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</row>
    <row r="309" spans="1:17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</row>
    <row r="310" spans="1:17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</row>
    <row r="311" spans="1:17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</row>
    <row r="312" spans="1:17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</row>
    <row r="313" spans="1:17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</row>
    <row r="314" spans="1:17" x14ac:dyDescent="0.25">
      <c r="A314" s="13">
        <f>'Base Data'!A41</f>
        <v>40</v>
      </c>
      <c r="B314" s="13" t="str">
        <f>'Base Data'!B41</f>
        <v>6E</v>
      </c>
      <c r="C314" s="13">
        <f>'Base Data'!C41</f>
        <v>0</v>
      </c>
      <c r="D314" s="13">
        <f>'Base Data'!D41</f>
        <v>349.51</v>
      </c>
      <c r="E314" s="13">
        <f>'Base Data'!E41</f>
        <v>199.47</v>
      </c>
      <c r="F314" s="13">
        <f>'Base Data'!F41</f>
        <v>0</v>
      </c>
      <c r="G314" s="13">
        <f>'Base Data'!G41</f>
        <v>0</v>
      </c>
      <c r="H314" s="13">
        <f>'Base Data'!H41</f>
        <v>0</v>
      </c>
      <c r="I314" s="13">
        <f>'Base Data'!I41</f>
        <v>0</v>
      </c>
      <c r="J314" s="13">
        <f>'Base Data'!J41</f>
        <v>0</v>
      </c>
      <c r="K314" s="13" t="str">
        <f>'Base Data'!K41</f>
        <v/>
      </c>
      <c r="L314" s="13" t="str">
        <f>'Base Data'!L41</f>
        <v/>
      </c>
      <c r="M314" s="13">
        <f>'Base Data'!M41</f>
        <v>0</v>
      </c>
      <c r="N314" s="13" t="str">
        <f>'Base Data'!N41</f>
        <v/>
      </c>
      <c r="O314" s="13" t="str">
        <f>'Base Data'!O41</f>
        <v/>
      </c>
      <c r="P314" s="13" t="str">
        <f>'Base Data'!P41</f>
        <v/>
      </c>
      <c r="Q314" s="13" t="str">
        <f>'Base Data'!Q41</f>
        <v/>
      </c>
    </row>
    <row r="315" spans="1:17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</row>
    <row r="316" spans="1:17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</row>
    <row r="317" spans="1:17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</row>
    <row r="318" spans="1:17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</row>
    <row r="319" spans="1:17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</row>
    <row r="320" spans="1:17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</row>
    <row r="321" spans="1:17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</row>
    <row r="322" spans="1:17" x14ac:dyDescent="0.25">
      <c r="A322" s="13">
        <f>'Base Data'!A42</f>
        <v>41</v>
      </c>
      <c r="B322" s="13" t="str">
        <f>'Base Data'!B42</f>
        <v>6F</v>
      </c>
      <c r="C322" s="13">
        <f>'Base Data'!C42</f>
        <v>0</v>
      </c>
      <c r="D322" s="13">
        <f>'Base Data'!D42</f>
        <v>436.11</v>
      </c>
      <c r="E322" s="13">
        <f>'Base Data'!E42</f>
        <v>199.47</v>
      </c>
      <c r="F322" s="13">
        <f>'Base Data'!F42</f>
        <v>0</v>
      </c>
      <c r="G322" s="13">
        <f>'Base Data'!G42</f>
        <v>0</v>
      </c>
      <c r="H322" s="13">
        <f>'Base Data'!H42</f>
        <v>0</v>
      </c>
      <c r="I322" s="13">
        <f>'Base Data'!I42</f>
        <v>0</v>
      </c>
      <c r="J322" s="13">
        <f>'Base Data'!J42</f>
        <v>0</v>
      </c>
      <c r="K322" s="13" t="str">
        <f>'Base Data'!K42</f>
        <v/>
      </c>
      <c r="L322" s="13" t="str">
        <f>'Base Data'!L42</f>
        <v/>
      </c>
      <c r="M322" s="13">
        <f>'Base Data'!M42</f>
        <v>0</v>
      </c>
      <c r="N322" s="13" t="str">
        <f>'Base Data'!N42</f>
        <v/>
      </c>
      <c r="O322" s="13" t="str">
        <f>'Base Data'!O42</f>
        <v/>
      </c>
      <c r="P322" s="13" t="str">
        <f>'Base Data'!P42</f>
        <v/>
      </c>
      <c r="Q322" s="13" t="str">
        <f>'Base Data'!Q42</f>
        <v/>
      </c>
    </row>
    <row r="323" spans="1:17" x14ac:dyDescent="0.25">
      <c r="A323" s="13"/>
      <c r="B323" s="13"/>
      <c r="C323" s="13"/>
      <c r="D323" s="13"/>
      <c r="E323" s="13"/>
      <c r="F323" s="13"/>
      <c r="G323" s="13"/>
      <c r="H323" s="13"/>
      <c r="I323" s="13"/>
      <c r="J323" s="13"/>
    </row>
    <row r="324" spans="1:17" x14ac:dyDescent="0.25">
      <c r="A324" s="13"/>
      <c r="B324" s="13"/>
      <c r="C324" s="13"/>
      <c r="D324" s="13"/>
      <c r="E324" s="13"/>
      <c r="F324" s="13"/>
      <c r="G324" s="13"/>
      <c r="H324" s="13"/>
      <c r="I324" s="13"/>
      <c r="J324" s="13"/>
    </row>
    <row r="325" spans="1:17" x14ac:dyDescent="0.25">
      <c r="A325" s="13"/>
      <c r="B325" s="13"/>
      <c r="C325" s="13"/>
      <c r="D325" s="13"/>
      <c r="E325" s="13"/>
      <c r="F325" s="13"/>
      <c r="G325" s="13"/>
      <c r="H325" s="13"/>
      <c r="I325" s="13"/>
      <c r="J325" s="13"/>
    </row>
    <row r="326" spans="1:17" x14ac:dyDescent="0.25">
      <c r="A326" s="13"/>
      <c r="B326" s="13"/>
      <c r="C326" s="13"/>
      <c r="D326" s="13"/>
      <c r="E326" s="13"/>
      <c r="F326" s="13"/>
      <c r="G326" s="13"/>
      <c r="H326" s="13"/>
      <c r="I326" s="13"/>
      <c r="J326" s="13"/>
    </row>
    <row r="327" spans="1:17" x14ac:dyDescent="0.25">
      <c r="A327" s="13"/>
      <c r="B327" s="13"/>
      <c r="C327" s="13"/>
      <c r="D327" s="13"/>
      <c r="E327" s="13"/>
      <c r="F327" s="13"/>
      <c r="G327" s="13"/>
      <c r="H327" s="13"/>
      <c r="I327" s="13"/>
      <c r="J327" s="13"/>
    </row>
    <row r="328" spans="1:17" x14ac:dyDescent="0.25">
      <c r="A328" s="13"/>
      <c r="B328" s="13"/>
      <c r="C328" s="13"/>
      <c r="D328" s="13"/>
      <c r="E328" s="13"/>
      <c r="F328" s="13"/>
      <c r="G328" s="13"/>
      <c r="H328" s="13"/>
      <c r="I328" s="13"/>
      <c r="J328" s="13"/>
    </row>
    <row r="329" spans="1:17" x14ac:dyDescent="0.25">
      <c r="A329" s="13"/>
      <c r="B329" s="13"/>
      <c r="C329" s="13"/>
      <c r="D329" s="13"/>
      <c r="E329" s="13"/>
      <c r="F329" s="13"/>
      <c r="G329" s="13"/>
      <c r="H329" s="13"/>
      <c r="I329" s="13"/>
      <c r="J329" s="13"/>
    </row>
    <row r="330" spans="1:17" x14ac:dyDescent="0.25">
      <c r="A330" s="13">
        <f>'Base Data'!A43</f>
        <v>42</v>
      </c>
      <c r="B330" s="13" t="str">
        <f>'Base Data'!B43</f>
        <v>6G</v>
      </c>
      <c r="C330" s="13">
        <f>'Base Data'!C43</f>
        <v>0</v>
      </c>
      <c r="D330" s="13">
        <f>'Base Data'!D43</f>
        <v>523.01</v>
      </c>
      <c r="E330" s="13">
        <f>'Base Data'!E43</f>
        <v>199.47</v>
      </c>
      <c r="F330" s="13">
        <f>'Base Data'!F43</f>
        <v>0</v>
      </c>
      <c r="G330" s="13">
        <f>'Base Data'!G43</f>
        <v>0</v>
      </c>
      <c r="H330" s="13">
        <f>'Base Data'!H43</f>
        <v>0</v>
      </c>
      <c r="I330" s="13">
        <f>'Base Data'!I43</f>
        <v>0</v>
      </c>
      <c r="J330" s="13">
        <f>'Base Data'!J43</f>
        <v>0</v>
      </c>
      <c r="K330" s="13" t="str">
        <f>'Base Data'!K43</f>
        <v/>
      </c>
      <c r="L330" s="13" t="str">
        <f>'Base Data'!L43</f>
        <v/>
      </c>
      <c r="M330" s="13">
        <f>'Base Data'!M43</f>
        <v>0</v>
      </c>
      <c r="N330" s="13" t="str">
        <f>'Base Data'!N43</f>
        <v/>
      </c>
      <c r="O330" s="13" t="str">
        <f>'Base Data'!O43</f>
        <v/>
      </c>
      <c r="P330" s="13" t="str">
        <f>'Base Data'!P43</f>
        <v/>
      </c>
      <c r="Q330" s="13" t="str">
        <f>'Base Data'!Q43</f>
        <v/>
      </c>
    </row>
    <row r="331" spans="1:17" x14ac:dyDescent="0.25">
      <c r="A331" s="13"/>
      <c r="B331" s="13"/>
      <c r="C331" s="13"/>
      <c r="D331" s="13"/>
      <c r="E331" s="13"/>
      <c r="F331" s="13"/>
      <c r="G331" s="13"/>
      <c r="H331" s="13"/>
      <c r="I331" s="13"/>
      <c r="J331" s="13"/>
    </row>
    <row r="332" spans="1:17" x14ac:dyDescent="0.25">
      <c r="A332" s="13"/>
      <c r="B332" s="13"/>
      <c r="C332" s="13"/>
      <c r="D332" s="13"/>
      <c r="E332" s="13"/>
      <c r="F332" s="13"/>
      <c r="G332" s="13"/>
      <c r="H332" s="13"/>
      <c r="I332" s="13"/>
      <c r="J332" s="13"/>
    </row>
    <row r="333" spans="1:17" x14ac:dyDescent="0.25">
      <c r="A333" s="13"/>
      <c r="B333" s="13"/>
      <c r="C333" s="13"/>
      <c r="D333" s="13"/>
      <c r="E333" s="13"/>
      <c r="F333" s="13"/>
      <c r="G333" s="13"/>
      <c r="H333" s="13"/>
      <c r="I333" s="13"/>
      <c r="J333" s="13"/>
    </row>
    <row r="334" spans="1:17" x14ac:dyDescent="0.25">
      <c r="A334" s="13"/>
      <c r="B334" s="13"/>
      <c r="C334" s="13"/>
      <c r="D334" s="13"/>
      <c r="E334" s="13"/>
      <c r="F334" s="13"/>
      <c r="G334" s="13"/>
      <c r="H334" s="13"/>
      <c r="I334" s="13"/>
      <c r="J334" s="13"/>
    </row>
    <row r="335" spans="1:17" x14ac:dyDescent="0.25">
      <c r="A335" s="13"/>
      <c r="B335" s="13"/>
      <c r="C335" s="13"/>
      <c r="D335" s="13"/>
      <c r="E335" s="13"/>
      <c r="F335" s="13"/>
      <c r="G335" s="13"/>
      <c r="H335" s="13"/>
      <c r="I335" s="13"/>
      <c r="J335" s="13"/>
    </row>
    <row r="336" spans="1:17" x14ac:dyDescent="0.25">
      <c r="A336" s="13"/>
      <c r="B336" s="13"/>
      <c r="C336" s="13"/>
      <c r="D336" s="13"/>
      <c r="E336" s="13"/>
      <c r="F336" s="13"/>
      <c r="G336" s="13"/>
      <c r="H336" s="13"/>
      <c r="I336" s="13"/>
      <c r="J336" s="13"/>
    </row>
    <row r="337" spans="1:17" x14ac:dyDescent="0.25">
      <c r="A337" s="13"/>
      <c r="B337" s="13"/>
      <c r="C337" s="13"/>
      <c r="D337" s="13"/>
      <c r="E337" s="13"/>
      <c r="F337" s="13"/>
      <c r="G337" s="13"/>
      <c r="H337" s="13"/>
      <c r="I337" s="13"/>
      <c r="J337" s="13"/>
    </row>
    <row r="338" spans="1:17" x14ac:dyDescent="0.25">
      <c r="A338" s="13">
        <f>'Base Data'!A44</f>
        <v>43</v>
      </c>
      <c r="B338" s="13" t="str">
        <f>'Base Data'!B44</f>
        <v>7A</v>
      </c>
      <c r="C338" s="13">
        <f>'Base Data'!C44</f>
        <v>0</v>
      </c>
      <c r="D338" s="13">
        <f>'Base Data'!D44</f>
        <v>1.71</v>
      </c>
      <c r="E338" s="13">
        <f>'Base Data'!E44</f>
        <v>251.42999999999998</v>
      </c>
      <c r="F338" s="13">
        <f>'Base Data'!F44</f>
        <v>0</v>
      </c>
      <c r="G338" s="13">
        <f>'Base Data'!G44</f>
        <v>0</v>
      </c>
      <c r="H338" s="13">
        <f>'Base Data'!H44</f>
        <v>0</v>
      </c>
      <c r="I338" s="13">
        <f>'Base Data'!I44</f>
        <v>0</v>
      </c>
      <c r="J338" s="13">
        <f>'Base Data'!J44</f>
        <v>0</v>
      </c>
      <c r="K338" s="13" t="str">
        <f>'Base Data'!K44</f>
        <v/>
      </c>
      <c r="L338" s="13" t="str">
        <f>'Base Data'!L44</f>
        <v/>
      </c>
      <c r="M338" s="13">
        <f>'Base Data'!M44</f>
        <v>0</v>
      </c>
      <c r="N338" s="13" t="str">
        <f>'Base Data'!N44</f>
        <v/>
      </c>
      <c r="O338" s="13" t="str">
        <f>'Base Data'!O44</f>
        <v/>
      </c>
      <c r="P338" s="13" t="str">
        <f>'Base Data'!P44</f>
        <v/>
      </c>
      <c r="Q338" s="13" t="str">
        <f>'Base Data'!Q44</f>
        <v/>
      </c>
    </row>
    <row r="339" spans="1:17" x14ac:dyDescent="0.25">
      <c r="A339" s="13"/>
      <c r="B339" s="13"/>
      <c r="C339" s="13"/>
      <c r="D339" s="13"/>
      <c r="E339" s="13"/>
      <c r="F339" s="13"/>
      <c r="G339" s="13"/>
      <c r="H339" s="13"/>
      <c r="I339" s="13"/>
      <c r="J339" s="13"/>
    </row>
    <row r="340" spans="1:17" x14ac:dyDescent="0.25">
      <c r="A340" s="13"/>
      <c r="B340" s="13"/>
      <c r="C340" s="13"/>
      <c r="D340" s="13"/>
      <c r="E340" s="13"/>
      <c r="F340" s="13"/>
      <c r="G340" s="13"/>
      <c r="H340" s="13"/>
      <c r="I340" s="13"/>
      <c r="J340" s="13"/>
    </row>
    <row r="341" spans="1:17" x14ac:dyDescent="0.25">
      <c r="A341" s="13"/>
      <c r="B341" s="13"/>
      <c r="C341" s="13"/>
      <c r="D341" s="13"/>
      <c r="E341" s="13"/>
      <c r="F341" s="13"/>
      <c r="G341" s="13"/>
      <c r="H341" s="13"/>
      <c r="I341" s="13"/>
      <c r="J341" s="13"/>
    </row>
    <row r="342" spans="1:17" x14ac:dyDescent="0.25">
      <c r="A342" s="13"/>
      <c r="B342" s="13"/>
      <c r="C342" s="13"/>
      <c r="D342" s="13"/>
      <c r="E342" s="13"/>
      <c r="F342" s="13"/>
      <c r="G342" s="13"/>
      <c r="H342" s="13"/>
      <c r="I342" s="13"/>
      <c r="J342" s="13"/>
    </row>
    <row r="343" spans="1:17" x14ac:dyDescent="0.25">
      <c r="A343" s="13"/>
      <c r="B343" s="13"/>
      <c r="C343" s="13"/>
      <c r="D343" s="13"/>
      <c r="E343" s="13"/>
      <c r="F343" s="13"/>
      <c r="G343" s="13"/>
      <c r="H343" s="13"/>
      <c r="I343" s="13"/>
      <c r="J343" s="13"/>
    </row>
    <row r="344" spans="1:17" x14ac:dyDescent="0.25">
      <c r="A344" s="13"/>
      <c r="B344" s="13"/>
      <c r="C344" s="13"/>
      <c r="D344" s="13"/>
      <c r="E344" s="13"/>
      <c r="F344" s="13"/>
      <c r="G344" s="13"/>
      <c r="H344" s="13"/>
      <c r="I344" s="13"/>
      <c r="J344" s="13"/>
    </row>
    <row r="345" spans="1:17" x14ac:dyDescent="0.25">
      <c r="A345" s="13"/>
      <c r="B345" s="13"/>
      <c r="C345" s="13"/>
      <c r="D345" s="13"/>
      <c r="E345" s="13"/>
      <c r="F345" s="13"/>
      <c r="G345" s="13"/>
      <c r="H345" s="13"/>
      <c r="I345" s="13"/>
      <c r="J345" s="13"/>
    </row>
    <row r="346" spans="1:17" x14ac:dyDescent="0.25">
      <c r="A346" s="13">
        <f>'Base Data'!A45</f>
        <v>44</v>
      </c>
      <c r="B346" s="13" t="str">
        <f>'Base Data'!B45</f>
        <v>7B</v>
      </c>
      <c r="C346" s="13">
        <f>'Base Data'!C45</f>
        <v>0</v>
      </c>
      <c r="D346" s="13">
        <f>'Base Data'!D45</f>
        <v>89.31</v>
      </c>
      <c r="E346" s="13">
        <f>'Base Data'!E45</f>
        <v>251.42999999999998</v>
      </c>
      <c r="F346" s="13">
        <f>'Base Data'!F45</f>
        <v>0</v>
      </c>
      <c r="G346" s="13">
        <f>'Base Data'!G45</f>
        <v>0</v>
      </c>
      <c r="H346" s="13">
        <f>'Base Data'!H45</f>
        <v>0</v>
      </c>
      <c r="I346" s="13">
        <f>'Base Data'!I45</f>
        <v>0</v>
      </c>
      <c r="J346" s="13">
        <f>'Base Data'!J45</f>
        <v>0</v>
      </c>
      <c r="K346" s="13" t="str">
        <f>'Base Data'!K45</f>
        <v/>
      </c>
      <c r="L346" s="13" t="str">
        <f>'Base Data'!L45</f>
        <v/>
      </c>
      <c r="M346" s="13">
        <f>'Base Data'!M45</f>
        <v>0</v>
      </c>
      <c r="N346" s="13" t="str">
        <f>'Base Data'!N45</f>
        <v/>
      </c>
      <c r="O346" s="13" t="str">
        <f>'Base Data'!O45</f>
        <v/>
      </c>
      <c r="P346" s="13" t="str">
        <f>'Base Data'!P45</f>
        <v/>
      </c>
      <c r="Q346" s="13" t="str">
        <f>'Base Data'!Q45</f>
        <v/>
      </c>
    </row>
    <row r="347" spans="1:17" x14ac:dyDescent="0.25">
      <c r="A347" s="13"/>
      <c r="B347" s="13"/>
      <c r="C347" s="13"/>
      <c r="D347" s="13"/>
      <c r="E347" s="13"/>
      <c r="F347" s="13"/>
      <c r="G347" s="13"/>
      <c r="H347" s="13"/>
      <c r="I347" s="13"/>
      <c r="J347" s="13"/>
    </row>
    <row r="348" spans="1:17" x14ac:dyDescent="0.25">
      <c r="A348" s="13"/>
      <c r="B348" s="13"/>
      <c r="C348" s="13"/>
      <c r="D348" s="13"/>
      <c r="E348" s="13"/>
      <c r="F348" s="13"/>
      <c r="G348" s="13"/>
      <c r="H348" s="13"/>
      <c r="I348" s="13"/>
      <c r="J348" s="13"/>
    </row>
    <row r="349" spans="1:17" x14ac:dyDescent="0.25">
      <c r="A349" s="13"/>
      <c r="B349" s="13"/>
      <c r="C349" s="13"/>
      <c r="D349" s="13"/>
      <c r="E349" s="13"/>
      <c r="F349" s="13"/>
      <c r="G349" s="13"/>
      <c r="H349" s="13"/>
      <c r="I349" s="13"/>
      <c r="J349" s="13"/>
    </row>
    <row r="350" spans="1:17" x14ac:dyDescent="0.25">
      <c r="A350" s="13"/>
      <c r="B350" s="13"/>
      <c r="C350" s="13"/>
      <c r="D350" s="13"/>
      <c r="E350" s="13"/>
      <c r="F350" s="13"/>
      <c r="G350" s="13"/>
      <c r="H350" s="13"/>
      <c r="I350" s="13"/>
      <c r="J350" s="13"/>
    </row>
    <row r="351" spans="1:17" x14ac:dyDescent="0.25">
      <c r="A351" s="13"/>
      <c r="B351" s="13"/>
      <c r="C351" s="13"/>
      <c r="D351" s="13"/>
      <c r="E351" s="13"/>
      <c r="F351" s="13"/>
      <c r="G351" s="13"/>
      <c r="H351" s="13"/>
      <c r="I351" s="13"/>
      <c r="J351" s="13"/>
    </row>
    <row r="352" spans="1:17" x14ac:dyDescent="0.25">
      <c r="A352" s="13"/>
      <c r="B352" s="13"/>
      <c r="C352" s="13"/>
      <c r="D352" s="13"/>
      <c r="E352" s="13"/>
      <c r="F352" s="13"/>
      <c r="G352" s="13"/>
      <c r="H352" s="13"/>
      <c r="I352" s="13"/>
      <c r="J352" s="13"/>
    </row>
    <row r="353" spans="1:17" x14ac:dyDescent="0.25">
      <c r="A353" s="13"/>
      <c r="B353" s="13"/>
      <c r="C353" s="13"/>
      <c r="D353" s="13"/>
      <c r="E353" s="13"/>
      <c r="F353" s="13"/>
      <c r="G353" s="13"/>
      <c r="H353" s="13"/>
      <c r="I353" s="13"/>
      <c r="J353" s="13"/>
    </row>
    <row r="354" spans="1:17" x14ac:dyDescent="0.25">
      <c r="A354" s="13">
        <f>'Base Data'!A46</f>
        <v>45</v>
      </c>
      <c r="B354" s="13" t="str">
        <f>'Base Data'!B46</f>
        <v>7C</v>
      </c>
      <c r="C354" s="13">
        <f>'Base Data'!C46</f>
        <v>0</v>
      </c>
      <c r="D354" s="13">
        <f>'Base Data'!D46</f>
        <v>175.91</v>
      </c>
      <c r="E354" s="13">
        <f>'Base Data'!E46</f>
        <v>251.42999999999998</v>
      </c>
      <c r="F354" s="13">
        <f>'Base Data'!F46</f>
        <v>0</v>
      </c>
      <c r="G354" s="13">
        <f>'Base Data'!G46</f>
        <v>0</v>
      </c>
      <c r="H354" s="13">
        <f>'Base Data'!H46</f>
        <v>0</v>
      </c>
      <c r="I354" s="13">
        <f>'Base Data'!I46</f>
        <v>0</v>
      </c>
      <c r="J354" s="13">
        <f>'Base Data'!J46</f>
        <v>0</v>
      </c>
      <c r="K354" s="13" t="str">
        <f>'Base Data'!K46</f>
        <v/>
      </c>
      <c r="L354" s="13" t="str">
        <f>'Base Data'!L46</f>
        <v/>
      </c>
      <c r="M354" s="13">
        <f>'Base Data'!M46</f>
        <v>0</v>
      </c>
      <c r="N354" s="13" t="str">
        <f>'Base Data'!N46</f>
        <v/>
      </c>
      <c r="O354" s="13" t="str">
        <f>'Base Data'!O46</f>
        <v/>
      </c>
      <c r="P354" s="13" t="str">
        <f>'Base Data'!P46</f>
        <v/>
      </c>
      <c r="Q354" s="13" t="str">
        <f>'Base Data'!Q46</f>
        <v/>
      </c>
    </row>
    <row r="355" spans="1:17" x14ac:dyDescent="0.25">
      <c r="A355" s="13"/>
      <c r="B355" s="13"/>
      <c r="C355" s="13"/>
      <c r="D355" s="13"/>
      <c r="E355" s="13"/>
      <c r="F355" s="13"/>
      <c r="G355" s="13"/>
      <c r="H355" s="13"/>
      <c r="I355" s="13"/>
      <c r="J355" s="13"/>
    </row>
    <row r="356" spans="1:17" x14ac:dyDescent="0.25">
      <c r="A356" s="13"/>
      <c r="B356" s="13"/>
      <c r="C356" s="13"/>
      <c r="D356" s="13"/>
      <c r="E356" s="13"/>
      <c r="F356" s="13"/>
      <c r="G356" s="13"/>
      <c r="H356" s="13"/>
      <c r="I356" s="13"/>
      <c r="J356" s="13"/>
    </row>
    <row r="357" spans="1:17" x14ac:dyDescent="0.25">
      <c r="A357" s="13"/>
      <c r="B357" s="13"/>
      <c r="C357" s="13"/>
      <c r="D357" s="13"/>
      <c r="E357" s="13"/>
      <c r="F357" s="13"/>
      <c r="G357" s="13"/>
      <c r="H357" s="13"/>
      <c r="I357" s="13"/>
      <c r="J357" s="13"/>
    </row>
    <row r="358" spans="1:17" x14ac:dyDescent="0.25">
      <c r="A358" s="13"/>
      <c r="B358" s="13"/>
      <c r="C358" s="13"/>
      <c r="D358" s="13"/>
      <c r="E358" s="13"/>
      <c r="F358" s="13"/>
      <c r="G358" s="13"/>
      <c r="H358" s="13"/>
      <c r="I358" s="13"/>
      <c r="J358" s="13"/>
    </row>
    <row r="359" spans="1:17" x14ac:dyDescent="0.25">
      <c r="A359" s="13"/>
      <c r="B359" s="13"/>
      <c r="C359" s="13"/>
      <c r="D359" s="13"/>
      <c r="E359" s="13"/>
      <c r="F359" s="13"/>
      <c r="G359" s="13"/>
      <c r="H359" s="13"/>
      <c r="I359" s="13"/>
      <c r="J359" s="13"/>
    </row>
    <row r="360" spans="1:17" x14ac:dyDescent="0.25">
      <c r="A360" s="13"/>
      <c r="B360" s="13"/>
      <c r="C360" s="13"/>
      <c r="D360" s="13"/>
      <c r="E360" s="13"/>
      <c r="F360" s="13"/>
      <c r="G360" s="13"/>
      <c r="H360" s="13"/>
      <c r="I360" s="13"/>
      <c r="J360" s="13"/>
    </row>
    <row r="361" spans="1:17" x14ac:dyDescent="0.25">
      <c r="A361" s="13"/>
      <c r="B361" s="13"/>
      <c r="C361" s="13"/>
      <c r="D361" s="13"/>
      <c r="E361" s="13"/>
      <c r="F361" s="13"/>
      <c r="G361" s="13"/>
      <c r="H361" s="13"/>
      <c r="I361" s="13"/>
      <c r="J361" s="13"/>
    </row>
    <row r="362" spans="1:17" x14ac:dyDescent="0.25">
      <c r="A362" s="13">
        <f>'Base Data'!A47</f>
        <v>46</v>
      </c>
      <c r="B362" s="13" t="str">
        <f>'Base Data'!B47</f>
        <v>7D</v>
      </c>
      <c r="C362" s="13">
        <f>'Base Data'!C47</f>
        <v>0</v>
      </c>
      <c r="D362" s="13">
        <f>'Base Data'!D47</f>
        <v>262.91000000000003</v>
      </c>
      <c r="E362" s="13">
        <f>'Base Data'!E47</f>
        <v>251.42999999999998</v>
      </c>
      <c r="F362" s="13">
        <f>'Base Data'!F47</f>
        <v>0</v>
      </c>
      <c r="G362" s="13">
        <f>'Base Data'!G47</f>
        <v>0</v>
      </c>
      <c r="H362" s="13">
        <f>'Base Data'!H47</f>
        <v>0</v>
      </c>
      <c r="I362" s="13">
        <f>'Base Data'!I47</f>
        <v>0</v>
      </c>
      <c r="J362" s="13">
        <f>'Base Data'!J47</f>
        <v>0</v>
      </c>
      <c r="K362" s="13" t="str">
        <f>'Base Data'!K47</f>
        <v/>
      </c>
      <c r="L362" s="13" t="str">
        <f>'Base Data'!L47</f>
        <v/>
      </c>
      <c r="M362" s="13">
        <f>'Base Data'!M47</f>
        <v>0</v>
      </c>
      <c r="N362" s="13" t="str">
        <f>'Base Data'!N47</f>
        <v/>
      </c>
      <c r="O362" s="13" t="str">
        <f>'Base Data'!O47</f>
        <v/>
      </c>
      <c r="P362" s="13" t="str">
        <f>'Base Data'!P47</f>
        <v/>
      </c>
      <c r="Q362" s="13" t="str">
        <f>'Base Data'!Q47</f>
        <v/>
      </c>
    </row>
    <row r="363" spans="1:17" x14ac:dyDescent="0.25">
      <c r="A363" s="13"/>
      <c r="B363" s="13"/>
      <c r="C363" s="13"/>
      <c r="D363" s="13"/>
      <c r="E363" s="13"/>
      <c r="F363" s="13"/>
      <c r="G363" s="13"/>
      <c r="H363" s="13"/>
      <c r="I363" s="13"/>
      <c r="J363" s="13"/>
    </row>
    <row r="364" spans="1:17" x14ac:dyDescent="0.25">
      <c r="A364" s="13"/>
      <c r="B364" s="13"/>
      <c r="C364" s="13"/>
      <c r="D364" s="13"/>
      <c r="E364" s="13"/>
      <c r="F364" s="13"/>
      <c r="G364" s="13"/>
      <c r="H364" s="13"/>
      <c r="I364" s="13"/>
      <c r="J364" s="13"/>
    </row>
    <row r="365" spans="1:17" x14ac:dyDescent="0.25">
      <c r="A365" s="13"/>
      <c r="B365" s="13"/>
      <c r="C365" s="13"/>
      <c r="D365" s="13"/>
      <c r="E365" s="13"/>
      <c r="F365" s="13"/>
      <c r="G365" s="13"/>
      <c r="H365" s="13"/>
      <c r="I365" s="13"/>
      <c r="J365" s="13"/>
    </row>
    <row r="366" spans="1:17" x14ac:dyDescent="0.25">
      <c r="A366" s="13"/>
      <c r="B366" s="13"/>
      <c r="C366" s="13"/>
      <c r="D366" s="13"/>
      <c r="E366" s="13"/>
      <c r="F366" s="13"/>
      <c r="G366" s="13"/>
      <c r="H366" s="13"/>
      <c r="I366" s="13"/>
      <c r="J366" s="13"/>
    </row>
    <row r="367" spans="1:17" x14ac:dyDescent="0.25">
      <c r="A367" s="13"/>
      <c r="B367" s="13"/>
      <c r="C367" s="13"/>
      <c r="D367" s="13"/>
      <c r="E367" s="13"/>
      <c r="F367" s="13"/>
      <c r="G367" s="13"/>
      <c r="H367" s="13"/>
      <c r="I367" s="13"/>
      <c r="J367" s="13"/>
    </row>
    <row r="368" spans="1:17" x14ac:dyDescent="0.25">
      <c r="A368" s="13"/>
      <c r="B368" s="13"/>
      <c r="C368" s="13"/>
      <c r="D368" s="13"/>
      <c r="E368" s="13"/>
      <c r="F368" s="13"/>
      <c r="G368" s="13"/>
      <c r="H368" s="13"/>
      <c r="I368" s="13"/>
      <c r="J368" s="13"/>
    </row>
    <row r="369" spans="1:17" x14ac:dyDescent="0.25">
      <c r="A369" s="13"/>
      <c r="B369" s="13"/>
      <c r="C369" s="13"/>
      <c r="D369" s="13"/>
      <c r="E369" s="13"/>
      <c r="F369" s="13"/>
      <c r="G369" s="13"/>
      <c r="H369" s="13"/>
      <c r="I369" s="13"/>
      <c r="J369" s="13"/>
    </row>
    <row r="370" spans="1:17" x14ac:dyDescent="0.25">
      <c r="A370" s="13">
        <f>'Base Data'!A48</f>
        <v>47</v>
      </c>
      <c r="B370" s="13" t="str">
        <f>'Base Data'!B48</f>
        <v>7E</v>
      </c>
      <c r="C370" s="13">
        <f>'Base Data'!C48</f>
        <v>0</v>
      </c>
      <c r="D370" s="13">
        <f>'Base Data'!D48</f>
        <v>349.31</v>
      </c>
      <c r="E370" s="13">
        <f>'Base Data'!E48</f>
        <v>251.42999999999998</v>
      </c>
      <c r="F370" s="13">
        <f>'Base Data'!F48</f>
        <v>0</v>
      </c>
      <c r="G370" s="13">
        <f>'Base Data'!G48</f>
        <v>0</v>
      </c>
      <c r="H370" s="13">
        <f>'Base Data'!H48</f>
        <v>0</v>
      </c>
      <c r="I370" s="13">
        <f>'Base Data'!I48</f>
        <v>0</v>
      </c>
      <c r="J370" s="13">
        <f>'Base Data'!J48</f>
        <v>0</v>
      </c>
      <c r="K370" s="13" t="str">
        <f>'Base Data'!K48</f>
        <v/>
      </c>
      <c r="L370" s="13" t="str">
        <f>'Base Data'!L48</f>
        <v/>
      </c>
      <c r="M370" s="13">
        <f>'Base Data'!M48</f>
        <v>0</v>
      </c>
      <c r="N370" s="13" t="str">
        <f>'Base Data'!N48</f>
        <v/>
      </c>
      <c r="O370" s="13" t="str">
        <f>'Base Data'!O48</f>
        <v/>
      </c>
      <c r="P370" s="13" t="str">
        <f>'Base Data'!P48</f>
        <v/>
      </c>
      <c r="Q370" s="13" t="str">
        <f>'Base Data'!Q48</f>
        <v/>
      </c>
    </row>
    <row r="371" spans="1:17" x14ac:dyDescent="0.25">
      <c r="A371" s="13"/>
      <c r="B371" s="13"/>
      <c r="C371" s="13"/>
      <c r="D371" s="13"/>
      <c r="E371" s="13"/>
      <c r="F371" s="13"/>
      <c r="G371" s="13"/>
      <c r="H371" s="13"/>
      <c r="I371" s="13"/>
      <c r="J371" s="13"/>
    </row>
    <row r="372" spans="1:17" x14ac:dyDescent="0.25">
      <c r="A372" s="13"/>
      <c r="B372" s="13"/>
      <c r="C372" s="13"/>
      <c r="D372" s="13"/>
      <c r="E372" s="13"/>
      <c r="F372" s="13"/>
      <c r="G372" s="13"/>
      <c r="H372" s="13"/>
      <c r="I372" s="13"/>
      <c r="J372" s="13"/>
    </row>
    <row r="373" spans="1:17" x14ac:dyDescent="0.25">
      <c r="A373" s="13"/>
      <c r="B373" s="13"/>
      <c r="C373" s="13"/>
      <c r="D373" s="13"/>
      <c r="E373" s="13"/>
      <c r="F373" s="13"/>
      <c r="G373" s="13"/>
      <c r="H373" s="13"/>
      <c r="I373" s="13"/>
      <c r="J373" s="13"/>
    </row>
    <row r="374" spans="1:17" x14ac:dyDescent="0.25">
      <c r="A374" s="13"/>
      <c r="B374" s="13"/>
      <c r="C374" s="13"/>
      <c r="D374" s="13"/>
      <c r="E374" s="13"/>
      <c r="F374" s="13"/>
      <c r="G374" s="13"/>
      <c r="H374" s="13"/>
      <c r="I374" s="13"/>
      <c r="J374" s="13"/>
    </row>
    <row r="375" spans="1:17" x14ac:dyDescent="0.25">
      <c r="A375" s="13"/>
      <c r="B375" s="13"/>
      <c r="C375" s="13"/>
      <c r="D375" s="13"/>
      <c r="E375" s="13"/>
      <c r="F375" s="13"/>
      <c r="G375" s="13"/>
      <c r="H375" s="13"/>
      <c r="I375" s="13"/>
      <c r="J375" s="13"/>
    </row>
    <row r="376" spans="1:17" x14ac:dyDescent="0.25">
      <c r="A376" s="13"/>
      <c r="B376" s="13"/>
      <c r="C376" s="13"/>
      <c r="D376" s="13"/>
      <c r="E376" s="13"/>
      <c r="F376" s="13"/>
      <c r="G376" s="13"/>
      <c r="H376" s="13"/>
      <c r="I376" s="13"/>
      <c r="J376" s="13"/>
    </row>
    <row r="377" spans="1:17" x14ac:dyDescent="0.25">
      <c r="A377" s="13"/>
      <c r="B377" s="13"/>
      <c r="C377" s="13"/>
      <c r="D377" s="13"/>
      <c r="E377" s="13"/>
      <c r="F377" s="13"/>
      <c r="G377" s="13"/>
      <c r="H377" s="13"/>
      <c r="I377" s="13"/>
      <c r="J377" s="13"/>
    </row>
    <row r="378" spans="1:17" x14ac:dyDescent="0.25">
      <c r="A378" s="13">
        <f>'Base Data'!A49</f>
        <v>48</v>
      </c>
      <c r="B378" s="13" t="str">
        <f>'Base Data'!B49</f>
        <v>7F</v>
      </c>
      <c r="C378" s="13">
        <f>'Base Data'!C49</f>
        <v>0</v>
      </c>
      <c r="D378" s="13">
        <f>'Base Data'!D49</f>
        <v>435.91</v>
      </c>
      <c r="E378" s="13">
        <f>'Base Data'!E49</f>
        <v>251.42999999999998</v>
      </c>
      <c r="F378" s="13">
        <f>'Base Data'!F49</f>
        <v>0</v>
      </c>
      <c r="G378" s="13">
        <f>'Base Data'!G49</f>
        <v>0</v>
      </c>
      <c r="H378" s="13">
        <f>'Base Data'!H49</f>
        <v>0</v>
      </c>
      <c r="I378" s="13">
        <f>'Base Data'!I49</f>
        <v>0</v>
      </c>
      <c r="J378" s="13">
        <f>'Base Data'!J49</f>
        <v>0</v>
      </c>
      <c r="K378" s="13" t="str">
        <f>'Base Data'!K49</f>
        <v/>
      </c>
      <c r="L378" s="13" t="str">
        <f>'Base Data'!L49</f>
        <v/>
      </c>
      <c r="M378" s="13">
        <f>'Base Data'!M49</f>
        <v>0</v>
      </c>
      <c r="N378" s="13" t="str">
        <f>'Base Data'!N49</f>
        <v/>
      </c>
      <c r="O378" s="13" t="str">
        <f>'Base Data'!O49</f>
        <v/>
      </c>
      <c r="P378" s="13" t="str">
        <f>'Base Data'!P49</f>
        <v/>
      </c>
      <c r="Q378" s="13" t="str">
        <f>'Base Data'!Q49</f>
        <v/>
      </c>
    </row>
    <row r="379" spans="1:17" x14ac:dyDescent="0.25">
      <c r="A379" s="13"/>
      <c r="B379" s="13"/>
      <c r="C379" s="13"/>
      <c r="D379" s="13"/>
      <c r="E379" s="13"/>
      <c r="F379" s="13"/>
      <c r="G379" s="13"/>
      <c r="H379" s="13"/>
      <c r="I379" s="13"/>
      <c r="J379" s="13"/>
    </row>
    <row r="380" spans="1:17" x14ac:dyDescent="0.25">
      <c r="A380" s="13"/>
      <c r="B380" s="13"/>
      <c r="C380" s="13"/>
      <c r="D380" s="13"/>
      <c r="E380" s="13"/>
      <c r="F380" s="13"/>
      <c r="G380" s="13"/>
      <c r="H380" s="13"/>
      <c r="I380" s="13"/>
      <c r="J380" s="13"/>
    </row>
    <row r="381" spans="1:17" x14ac:dyDescent="0.25">
      <c r="A381" s="13"/>
      <c r="B381" s="13"/>
      <c r="C381" s="13"/>
      <c r="D381" s="13"/>
      <c r="E381" s="13"/>
      <c r="F381" s="13"/>
      <c r="G381" s="13"/>
      <c r="H381" s="13"/>
      <c r="I381" s="13"/>
      <c r="J381" s="13"/>
    </row>
    <row r="382" spans="1:17" x14ac:dyDescent="0.25">
      <c r="A382" s="13"/>
      <c r="B382" s="13"/>
      <c r="C382" s="13"/>
      <c r="D382" s="13"/>
      <c r="E382" s="13"/>
      <c r="F382" s="13"/>
      <c r="G382" s="13"/>
      <c r="H382" s="13"/>
      <c r="I382" s="13"/>
      <c r="J382" s="13"/>
    </row>
    <row r="383" spans="1:17" x14ac:dyDescent="0.25">
      <c r="A383" s="13"/>
      <c r="B383" s="13"/>
      <c r="C383" s="13"/>
      <c r="D383" s="13"/>
      <c r="E383" s="13"/>
      <c r="F383" s="13"/>
      <c r="G383" s="13"/>
      <c r="H383" s="13"/>
      <c r="I383" s="13"/>
      <c r="J383" s="13"/>
    </row>
    <row r="384" spans="1:17" x14ac:dyDescent="0.25">
      <c r="A384" s="13"/>
      <c r="B384" s="13"/>
      <c r="C384" s="13"/>
      <c r="D384" s="13"/>
      <c r="E384" s="13"/>
      <c r="F384" s="13"/>
      <c r="G384" s="13"/>
      <c r="H384" s="13"/>
      <c r="I384" s="13"/>
      <c r="J384" s="13"/>
    </row>
    <row r="385" spans="1:17" x14ac:dyDescent="0.25">
      <c r="A385" s="13"/>
      <c r="B385" s="13"/>
      <c r="C385" s="13"/>
      <c r="D385" s="13"/>
      <c r="E385" s="13"/>
      <c r="F385" s="13"/>
      <c r="G385" s="13"/>
      <c r="H385" s="13"/>
      <c r="I385" s="13"/>
      <c r="J385" s="13"/>
    </row>
    <row r="386" spans="1:17" x14ac:dyDescent="0.25">
      <c r="A386" s="13">
        <f>'Base Data'!A50</f>
        <v>49</v>
      </c>
      <c r="B386" s="13" t="str">
        <f>'Base Data'!B50</f>
        <v>7G</v>
      </c>
      <c r="C386" s="13">
        <f>'Base Data'!C50</f>
        <v>0</v>
      </c>
      <c r="D386" s="13">
        <f>'Base Data'!D50</f>
        <v>522.81000000000006</v>
      </c>
      <c r="E386" s="13">
        <f>'Base Data'!E50</f>
        <v>251.42999999999998</v>
      </c>
      <c r="F386" s="13">
        <f>'Base Data'!F50</f>
        <v>0</v>
      </c>
      <c r="G386" s="13">
        <f>'Base Data'!G50</f>
        <v>0</v>
      </c>
      <c r="H386" s="13">
        <f>'Base Data'!H50</f>
        <v>0</v>
      </c>
      <c r="I386" s="13">
        <f>'Base Data'!I50</f>
        <v>0</v>
      </c>
      <c r="J386" s="13">
        <f>'Base Data'!J50</f>
        <v>0</v>
      </c>
      <c r="K386" s="13" t="str">
        <f>'Base Data'!K50</f>
        <v/>
      </c>
      <c r="L386" s="13" t="str">
        <f>'Base Data'!L50</f>
        <v/>
      </c>
      <c r="M386" s="13">
        <f>'Base Data'!M50</f>
        <v>0</v>
      </c>
      <c r="N386" s="13" t="str">
        <f>'Base Data'!N50</f>
        <v/>
      </c>
      <c r="O386" s="13" t="str">
        <f>'Base Data'!O50</f>
        <v/>
      </c>
      <c r="P386" s="13" t="str">
        <f>'Base Data'!P50</f>
        <v/>
      </c>
      <c r="Q386" s="13" t="str">
        <f>'Base Data'!Q50</f>
        <v/>
      </c>
    </row>
    <row r="387" spans="1:17" x14ac:dyDescent="0.25">
      <c r="A387" s="13"/>
      <c r="B387" s="13"/>
      <c r="C387" s="13"/>
      <c r="D387" s="13"/>
      <c r="E387" s="13"/>
      <c r="F387" s="13"/>
      <c r="G387" s="13"/>
      <c r="H387" s="13"/>
      <c r="I387" s="13"/>
      <c r="J387" s="13"/>
    </row>
    <row r="388" spans="1:17" x14ac:dyDescent="0.25">
      <c r="A388" s="13"/>
      <c r="B388" s="13"/>
      <c r="C388" s="13"/>
      <c r="D388" s="13"/>
      <c r="E388" s="13"/>
      <c r="F388" s="13"/>
      <c r="G388" s="13"/>
      <c r="H388" s="13"/>
      <c r="I388" s="13"/>
      <c r="J388" s="13"/>
    </row>
    <row r="389" spans="1:17" x14ac:dyDescent="0.25">
      <c r="A389" s="13"/>
      <c r="B389" s="13"/>
      <c r="C389" s="13"/>
      <c r="D389" s="13"/>
      <c r="E389" s="13"/>
      <c r="F389" s="13"/>
      <c r="G389" s="13"/>
      <c r="H389" s="13"/>
      <c r="I389" s="13"/>
      <c r="J389" s="13"/>
    </row>
    <row r="390" spans="1:17" x14ac:dyDescent="0.25">
      <c r="A390" s="13"/>
      <c r="B390" s="13"/>
      <c r="C390" s="13"/>
      <c r="D390" s="13"/>
      <c r="E390" s="13"/>
      <c r="F390" s="13"/>
      <c r="G390" s="13"/>
      <c r="H390" s="13"/>
      <c r="I390" s="13"/>
      <c r="J390" s="13"/>
    </row>
    <row r="391" spans="1:17" x14ac:dyDescent="0.25">
      <c r="A391" s="13"/>
      <c r="B391" s="13"/>
      <c r="C391" s="13"/>
      <c r="D391" s="13"/>
      <c r="E391" s="13"/>
      <c r="F391" s="13"/>
      <c r="G391" s="13"/>
      <c r="H391" s="13"/>
      <c r="I391" s="13"/>
      <c r="J391" s="13"/>
    </row>
    <row r="392" spans="1:17" x14ac:dyDescent="0.25">
      <c r="A392" s="13"/>
      <c r="B392" s="13"/>
      <c r="C392" s="13"/>
      <c r="D392" s="13"/>
      <c r="E392" s="13"/>
      <c r="F392" s="13"/>
      <c r="G392" s="13"/>
      <c r="H392" s="13"/>
      <c r="I392" s="13"/>
      <c r="J392" s="13"/>
    </row>
    <row r="393" spans="1:17" x14ac:dyDescent="0.25">
      <c r="A393" s="13"/>
      <c r="B393" s="13"/>
      <c r="C393" s="13"/>
      <c r="D393" s="13"/>
      <c r="E393" s="13"/>
      <c r="F393" s="13"/>
      <c r="G393" s="13"/>
      <c r="H393" s="13"/>
      <c r="I393" s="13"/>
      <c r="J393" s="13"/>
    </row>
    <row r="394" spans="1:17" x14ac:dyDescent="0.25">
      <c r="A394" s="13">
        <f>'Base Data'!A51</f>
        <v>50</v>
      </c>
      <c r="B394" s="13" t="str">
        <f>'Base Data'!B51</f>
        <v>8A</v>
      </c>
      <c r="C394" s="13">
        <f>'Base Data'!C51</f>
        <v>0</v>
      </c>
      <c r="D394" s="13">
        <f>'Base Data'!D51</f>
        <v>1.71</v>
      </c>
      <c r="E394" s="13">
        <f>'Base Data'!E51</f>
        <v>288.23</v>
      </c>
      <c r="F394" s="13">
        <f>'Base Data'!F51</f>
        <v>0</v>
      </c>
      <c r="G394" s="13">
        <f>'Base Data'!G51</f>
        <v>0</v>
      </c>
      <c r="H394" s="13">
        <f>'Base Data'!H51</f>
        <v>0</v>
      </c>
      <c r="I394" s="13">
        <f>'Base Data'!I51</f>
        <v>0</v>
      </c>
      <c r="J394" s="13">
        <f>'Base Data'!J51</f>
        <v>0</v>
      </c>
      <c r="K394" s="13" t="str">
        <f>'Base Data'!K51</f>
        <v/>
      </c>
      <c r="L394" s="13" t="str">
        <f>'Base Data'!L51</f>
        <v/>
      </c>
      <c r="M394" s="13">
        <f>'Base Data'!M51</f>
        <v>0</v>
      </c>
      <c r="N394" s="13" t="str">
        <f>'Base Data'!N51</f>
        <v/>
      </c>
      <c r="O394" s="13" t="str">
        <f>'Base Data'!O51</f>
        <v/>
      </c>
      <c r="P394" s="13" t="str">
        <f>'Base Data'!P51</f>
        <v/>
      </c>
      <c r="Q394" s="13" t="str">
        <f>'Base Data'!Q51</f>
        <v/>
      </c>
    </row>
    <row r="395" spans="1:17" x14ac:dyDescent="0.25">
      <c r="A395" s="13"/>
      <c r="B395" s="13"/>
      <c r="C395" s="13"/>
      <c r="D395" s="13"/>
      <c r="E395" s="13"/>
      <c r="F395" s="13"/>
      <c r="G395" s="13"/>
      <c r="H395" s="13"/>
      <c r="I395" s="13"/>
      <c r="J395" s="13"/>
    </row>
    <row r="396" spans="1:17" x14ac:dyDescent="0.25">
      <c r="A396" s="13"/>
      <c r="B396" s="13"/>
      <c r="C396" s="13"/>
      <c r="D396" s="13"/>
      <c r="E396" s="13"/>
      <c r="F396" s="13"/>
      <c r="G396" s="13"/>
      <c r="H396" s="13"/>
      <c r="I396" s="13"/>
      <c r="J396" s="13"/>
    </row>
    <row r="397" spans="1:17" x14ac:dyDescent="0.25">
      <c r="A397" s="13"/>
      <c r="B397" s="13"/>
      <c r="C397" s="13"/>
      <c r="D397" s="13"/>
      <c r="E397" s="13"/>
      <c r="F397" s="13"/>
      <c r="G397" s="13"/>
      <c r="H397" s="13"/>
      <c r="I397" s="13"/>
      <c r="J397" s="13"/>
    </row>
    <row r="398" spans="1:17" x14ac:dyDescent="0.25">
      <c r="A398" s="13"/>
      <c r="B398" s="13"/>
      <c r="C398" s="13"/>
      <c r="D398" s="13"/>
      <c r="E398" s="13"/>
      <c r="F398" s="13"/>
      <c r="G398" s="13"/>
      <c r="H398" s="13"/>
      <c r="I398" s="13"/>
      <c r="J398" s="13"/>
    </row>
    <row r="399" spans="1:17" x14ac:dyDescent="0.25">
      <c r="A399" s="13"/>
      <c r="B399" s="13"/>
      <c r="C399" s="13"/>
      <c r="D399" s="13"/>
      <c r="E399" s="13"/>
      <c r="F399" s="13"/>
      <c r="G399" s="13"/>
      <c r="H399" s="13"/>
      <c r="I399" s="13"/>
      <c r="J399" s="13"/>
    </row>
    <row r="400" spans="1:17" x14ac:dyDescent="0.25">
      <c r="A400" s="13"/>
      <c r="B400" s="13"/>
      <c r="C400" s="13"/>
      <c r="D400" s="13"/>
      <c r="E400" s="13"/>
      <c r="F400" s="13"/>
      <c r="G400" s="13"/>
      <c r="H400" s="13"/>
      <c r="I400" s="13"/>
      <c r="J400" s="13"/>
    </row>
    <row r="401" spans="1:17" x14ac:dyDescent="0.25">
      <c r="A401" s="13"/>
      <c r="B401" s="13"/>
      <c r="C401" s="13"/>
      <c r="D401" s="13"/>
      <c r="E401" s="13"/>
      <c r="F401" s="13"/>
      <c r="G401" s="13"/>
      <c r="H401" s="13"/>
      <c r="I401" s="13"/>
      <c r="J401" s="13"/>
    </row>
    <row r="402" spans="1:17" x14ac:dyDescent="0.25">
      <c r="A402" s="13">
        <f>'Base Data'!A52</f>
        <v>51</v>
      </c>
      <c r="B402" s="13" t="str">
        <f>'Base Data'!B52</f>
        <v>8B</v>
      </c>
      <c r="C402" s="13">
        <f>'Base Data'!C52</f>
        <v>0</v>
      </c>
      <c r="D402" s="13">
        <f>'Base Data'!D52</f>
        <v>89.31</v>
      </c>
      <c r="E402" s="13">
        <f>'Base Data'!E52</f>
        <v>288.23</v>
      </c>
      <c r="F402" s="13">
        <f>'Base Data'!F52</f>
        <v>0</v>
      </c>
      <c r="G402" s="13">
        <f>'Base Data'!G52</f>
        <v>0</v>
      </c>
      <c r="H402" s="13">
        <f>'Base Data'!H52</f>
        <v>0</v>
      </c>
      <c r="I402" s="13">
        <f>'Base Data'!I52</f>
        <v>0</v>
      </c>
      <c r="J402" s="13">
        <f>'Base Data'!J52</f>
        <v>0</v>
      </c>
      <c r="K402" s="13" t="str">
        <f>'Base Data'!K52</f>
        <v/>
      </c>
      <c r="L402" s="13" t="str">
        <f>'Base Data'!L52</f>
        <v/>
      </c>
      <c r="M402" s="13">
        <f>'Base Data'!M52</f>
        <v>0</v>
      </c>
      <c r="N402" s="13" t="str">
        <f>'Base Data'!N52</f>
        <v/>
      </c>
      <c r="O402" s="13" t="str">
        <f>'Base Data'!O52</f>
        <v/>
      </c>
      <c r="P402" s="13" t="str">
        <f>'Base Data'!P52</f>
        <v/>
      </c>
      <c r="Q402" s="13" t="str">
        <f>'Base Data'!Q52</f>
        <v/>
      </c>
    </row>
    <row r="403" spans="1:17" x14ac:dyDescent="0.25">
      <c r="A403" s="13"/>
      <c r="B403" s="13"/>
      <c r="C403" s="13"/>
      <c r="D403" s="13"/>
      <c r="E403" s="13"/>
      <c r="F403" s="13"/>
      <c r="G403" s="13"/>
      <c r="H403" s="13"/>
      <c r="I403" s="13"/>
      <c r="J403" s="13"/>
    </row>
    <row r="404" spans="1:17" x14ac:dyDescent="0.25">
      <c r="A404" s="13"/>
      <c r="B404" s="13"/>
      <c r="C404" s="13"/>
      <c r="D404" s="13"/>
      <c r="E404" s="13"/>
      <c r="F404" s="13"/>
      <c r="G404" s="13"/>
      <c r="H404" s="13"/>
      <c r="I404" s="13"/>
      <c r="J404" s="13"/>
    </row>
    <row r="405" spans="1:17" x14ac:dyDescent="0.25">
      <c r="A405" s="13"/>
      <c r="B405" s="13"/>
      <c r="C405" s="13"/>
      <c r="D405" s="13"/>
      <c r="E405" s="13"/>
      <c r="F405" s="13"/>
      <c r="G405" s="13"/>
      <c r="H405" s="13"/>
      <c r="I405" s="13"/>
      <c r="J405" s="13"/>
    </row>
    <row r="406" spans="1:17" x14ac:dyDescent="0.25">
      <c r="A406" s="13"/>
      <c r="B406" s="13"/>
      <c r="C406" s="13"/>
      <c r="D406" s="13"/>
      <c r="E406" s="13"/>
      <c r="F406" s="13"/>
      <c r="G406" s="13"/>
      <c r="H406" s="13"/>
      <c r="I406" s="13"/>
      <c r="J406" s="13"/>
    </row>
    <row r="407" spans="1:17" x14ac:dyDescent="0.25">
      <c r="A407" s="13"/>
      <c r="B407" s="13"/>
      <c r="C407" s="13"/>
      <c r="D407" s="13"/>
      <c r="E407" s="13"/>
      <c r="F407" s="13"/>
      <c r="G407" s="13"/>
      <c r="H407" s="13"/>
      <c r="I407" s="13"/>
      <c r="J407" s="13"/>
    </row>
    <row r="408" spans="1:17" x14ac:dyDescent="0.25">
      <c r="A408" s="13"/>
      <c r="B408" s="13"/>
      <c r="C408" s="13"/>
      <c r="D408" s="13"/>
      <c r="E408" s="13"/>
      <c r="F408" s="13"/>
      <c r="G408" s="13"/>
      <c r="H408" s="13"/>
      <c r="I408" s="13"/>
      <c r="J408" s="13"/>
    </row>
    <row r="409" spans="1:17" x14ac:dyDescent="0.25">
      <c r="A409" s="13"/>
      <c r="B409" s="13"/>
      <c r="C409" s="13"/>
      <c r="D409" s="13"/>
      <c r="E409" s="13"/>
      <c r="F409" s="13"/>
      <c r="G409" s="13"/>
      <c r="H409" s="13"/>
      <c r="I409" s="13"/>
      <c r="J409" s="13"/>
    </row>
    <row r="410" spans="1:17" x14ac:dyDescent="0.25">
      <c r="A410" s="13">
        <f>'Base Data'!A53</f>
        <v>52</v>
      </c>
      <c r="B410" s="13" t="str">
        <f>'Base Data'!B53</f>
        <v>8C</v>
      </c>
      <c r="C410" s="13">
        <f>'Base Data'!C53</f>
        <v>0</v>
      </c>
      <c r="D410" s="13">
        <f>'Base Data'!D53</f>
        <v>175.91</v>
      </c>
      <c r="E410" s="13">
        <f>'Base Data'!E53</f>
        <v>288.23</v>
      </c>
      <c r="F410" s="13">
        <f>'Base Data'!F53</f>
        <v>0</v>
      </c>
      <c r="G410" s="13">
        <f>'Base Data'!G53</f>
        <v>0</v>
      </c>
      <c r="H410" s="13">
        <f>'Base Data'!H53</f>
        <v>0</v>
      </c>
      <c r="I410" s="13">
        <f>'Base Data'!I53</f>
        <v>0</v>
      </c>
      <c r="J410" s="13">
        <f>'Base Data'!J53</f>
        <v>0</v>
      </c>
      <c r="K410" s="13" t="str">
        <f>'Base Data'!K53</f>
        <v/>
      </c>
      <c r="L410" s="13" t="str">
        <f>'Base Data'!L53</f>
        <v/>
      </c>
      <c r="M410" s="13">
        <f>'Base Data'!M53</f>
        <v>0</v>
      </c>
      <c r="N410" s="13" t="str">
        <f>'Base Data'!N53</f>
        <v/>
      </c>
      <c r="O410" s="13" t="str">
        <f>'Base Data'!O53</f>
        <v/>
      </c>
      <c r="P410" s="13" t="str">
        <f>'Base Data'!P53</f>
        <v/>
      </c>
      <c r="Q410" s="13" t="str">
        <f>'Base Data'!Q53</f>
        <v/>
      </c>
    </row>
    <row r="411" spans="1:17" x14ac:dyDescent="0.25">
      <c r="A411" s="13"/>
      <c r="B411" s="13"/>
      <c r="C411" s="13"/>
      <c r="D411" s="13"/>
      <c r="E411" s="13"/>
      <c r="F411" s="13"/>
      <c r="G411" s="13"/>
      <c r="H411" s="13"/>
      <c r="I411" s="13"/>
      <c r="J411" s="13"/>
    </row>
    <row r="412" spans="1:17" x14ac:dyDescent="0.25">
      <c r="A412" s="13"/>
      <c r="B412" s="13"/>
      <c r="C412" s="13"/>
      <c r="D412" s="13"/>
      <c r="E412" s="13"/>
      <c r="F412" s="13"/>
      <c r="G412" s="13"/>
      <c r="H412" s="13"/>
      <c r="I412" s="13"/>
      <c r="J412" s="13"/>
    </row>
    <row r="413" spans="1:17" x14ac:dyDescent="0.25">
      <c r="A413" s="13"/>
      <c r="B413" s="13"/>
      <c r="C413" s="13"/>
      <c r="D413" s="13"/>
      <c r="E413" s="13"/>
      <c r="F413" s="13"/>
      <c r="G413" s="13"/>
      <c r="H413" s="13"/>
      <c r="I413" s="13"/>
      <c r="J413" s="13"/>
    </row>
    <row r="414" spans="1:17" x14ac:dyDescent="0.25">
      <c r="A414" s="13"/>
      <c r="B414" s="13"/>
      <c r="C414" s="13"/>
      <c r="D414" s="13"/>
      <c r="E414" s="13"/>
      <c r="F414" s="13"/>
      <c r="G414" s="13"/>
      <c r="H414" s="13"/>
      <c r="I414" s="13"/>
      <c r="J414" s="13"/>
    </row>
    <row r="415" spans="1:17" x14ac:dyDescent="0.25">
      <c r="A415" s="13"/>
      <c r="B415" s="13"/>
      <c r="C415" s="13"/>
      <c r="D415" s="13"/>
      <c r="E415" s="13"/>
      <c r="F415" s="13"/>
      <c r="G415" s="13"/>
      <c r="H415" s="13"/>
      <c r="I415" s="13"/>
      <c r="J415" s="13"/>
    </row>
    <row r="416" spans="1:17" x14ac:dyDescent="0.25">
      <c r="A416" s="13"/>
      <c r="B416" s="13"/>
      <c r="C416" s="13"/>
      <c r="D416" s="13"/>
      <c r="E416" s="13"/>
      <c r="F416" s="13"/>
      <c r="G416" s="13"/>
      <c r="H416" s="13"/>
      <c r="I416" s="13"/>
      <c r="J416" s="13"/>
    </row>
    <row r="417" spans="1:17" x14ac:dyDescent="0.25">
      <c r="A417" s="13"/>
      <c r="B417" s="13"/>
      <c r="C417" s="13"/>
      <c r="D417" s="13"/>
      <c r="E417" s="13"/>
      <c r="F417" s="13"/>
      <c r="G417" s="13"/>
      <c r="H417" s="13"/>
      <c r="I417" s="13"/>
      <c r="J417" s="13"/>
    </row>
    <row r="418" spans="1:17" x14ac:dyDescent="0.25">
      <c r="A418" s="13">
        <f>'Base Data'!A54</f>
        <v>53</v>
      </c>
      <c r="B418" s="13" t="str">
        <f>'Base Data'!B54</f>
        <v>8D</v>
      </c>
      <c r="C418" s="13">
        <f>'Base Data'!C54</f>
        <v>0</v>
      </c>
      <c r="D418" s="13">
        <f>'Base Data'!D54</f>
        <v>262.91000000000003</v>
      </c>
      <c r="E418" s="13">
        <f>'Base Data'!E54</f>
        <v>288.23</v>
      </c>
      <c r="F418" s="13">
        <f>'Base Data'!F54</f>
        <v>0</v>
      </c>
      <c r="G418" s="13">
        <f>'Base Data'!G54</f>
        <v>0</v>
      </c>
      <c r="H418" s="13">
        <f>'Base Data'!H54</f>
        <v>0</v>
      </c>
      <c r="I418" s="13">
        <f>'Base Data'!I54</f>
        <v>0</v>
      </c>
      <c r="J418" s="13">
        <f>'Base Data'!J54</f>
        <v>0</v>
      </c>
      <c r="K418" s="13" t="str">
        <f>'Base Data'!K54</f>
        <v/>
      </c>
      <c r="L418" s="13" t="str">
        <f>'Base Data'!L54</f>
        <v/>
      </c>
      <c r="M418" s="13">
        <f>'Base Data'!M54</f>
        <v>0</v>
      </c>
      <c r="N418" s="13" t="str">
        <f>'Base Data'!N54</f>
        <v/>
      </c>
      <c r="O418" s="13" t="str">
        <f>'Base Data'!O54</f>
        <v/>
      </c>
      <c r="P418" s="13" t="str">
        <f>'Base Data'!P54</f>
        <v/>
      </c>
      <c r="Q418" s="13" t="str">
        <f>'Base Data'!Q54</f>
        <v/>
      </c>
    </row>
    <row r="419" spans="1:17" x14ac:dyDescent="0.25">
      <c r="A419" s="13"/>
      <c r="B419" s="13"/>
      <c r="C419" s="13"/>
      <c r="D419" s="13"/>
      <c r="E419" s="13"/>
      <c r="F419" s="13"/>
      <c r="G419" s="13"/>
      <c r="H419" s="13"/>
      <c r="I419" s="13"/>
      <c r="J419" s="13"/>
    </row>
    <row r="420" spans="1:17" x14ac:dyDescent="0.25">
      <c r="A420" s="13"/>
      <c r="B420" s="13"/>
      <c r="C420" s="13"/>
      <c r="D420" s="13"/>
      <c r="E420" s="13"/>
      <c r="F420" s="13"/>
      <c r="G420" s="13"/>
      <c r="H420" s="13"/>
      <c r="I420" s="13"/>
      <c r="J420" s="13"/>
    </row>
    <row r="421" spans="1:17" x14ac:dyDescent="0.25">
      <c r="A421" s="13"/>
      <c r="B421" s="13"/>
      <c r="C421" s="13"/>
      <c r="D421" s="13"/>
      <c r="E421" s="13"/>
      <c r="F421" s="13"/>
      <c r="G421" s="13"/>
      <c r="H421" s="13"/>
      <c r="I421" s="13"/>
      <c r="J421" s="13"/>
    </row>
    <row r="422" spans="1:17" x14ac:dyDescent="0.25">
      <c r="A422" s="13"/>
      <c r="B422" s="13"/>
      <c r="C422" s="13"/>
      <c r="D422" s="13"/>
      <c r="E422" s="13"/>
      <c r="F422" s="13"/>
      <c r="G422" s="13"/>
      <c r="H422" s="13"/>
      <c r="I422" s="13"/>
      <c r="J422" s="13"/>
    </row>
    <row r="423" spans="1:17" x14ac:dyDescent="0.25">
      <c r="A423" s="13"/>
      <c r="B423" s="13"/>
      <c r="C423" s="13"/>
      <c r="D423" s="13"/>
      <c r="E423" s="13"/>
      <c r="F423" s="13"/>
      <c r="G423" s="13"/>
      <c r="H423" s="13"/>
      <c r="I423" s="13"/>
      <c r="J423" s="13"/>
    </row>
    <row r="424" spans="1:17" x14ac:dyDescent="0.25">
      <c r="A424" s="13"/>
      <c r="B424" s="13"/>
      <c r="C424" s="13"/>
      <c r="D424" s="13"/>
      <c r="E424" s="13"/>
      <c r="F424" s="13"/>
      <c r="G424" s="13"/>
      <c r="H424" s="13"/>
      <c r="I424" s="13"/>
      <c r="J424" s="13"/>
    </row>
    <row r="425" spans="1:17" x14ac:dyDescent="0.25">
      <c r="A425" s="13"/>
      <c r="B425" s="13"/>
      <c r="C425" s="13"/>
      <c r="D425" s="13"/>
      <c r="E425" s="13"/>
      <c r="F425" s="13"/>
      <c r="G425" s="13"/>
      <c r="H425" s="13"/>
      <c r="I425" s="13"/>
      <c r="J425" s="13"/>
    </row>
    <row r="426" spans="1:17" x14ac:dyDescent="0.25">
      <c r="A426" s="13">
        <f>'Base Data'!A55</f>
        <v>54</v>
      </c>
      <c r="B426" s="13" t="str">
        <f>'Base Data'!B55</f>
        <v>8E</v>
      </c>
      <c r="C426" s="13">
        <f>'Base Data'!C55</f>
        <v>0</v>
      </c>
      <c r="D426" s="13">
        <f>'Base Data'!D55</f>
        <v>349.31</v>
      </c>
      <c r="E426" s="13">
        <f>'Base Data'!E55</f>
        <v>288.23</v>
      </c>
      <c r="F426" s="13">
        <f>'Base Data'!F55</f>
        <v>0</v>
      </c>
      <c r="G426" s="13">
        <f>'Base Data'!G55</f>
        <v>0</v>
      </c>
      <c r="H426" s="13">
        <f>'Base Data'!H55</f>
        <v>0</v>
      </c>
      <c r="I426" s="13">
        <f>'Base Data'!I55</f>
        <v>0</v>
      </c>
      <c r="J426" s="13">
        <f>'Base Data'!J55</f>
        <v>0</v>
      </c>
      <c r="K426" s="13" t="str">
        <f>'Base Data'!K55</f>
        <v/>
      </c>
      <c r="L426" s="13" t="str">
        <f>'Base Data'!L55</f>
        <v/>
      </c>
      <c r="M426" s="13">
        <f>'Base Data'!M55</f>
        <v>0</v>
      </c>
      <c r="N426" s="13" t="str">
        <f>'Base Data'!N55</f>
        <v/>
      </c>
      <c r="O426" s="13" t="str">
        <f>'Base Data'!O55</f>
        <v/>
      </c>
      <c r="P426" s="13" t="str">
        <f>'Base Data'!P55</f>
        <v/>
      </c>
      <c r="Q426" s="13" t="str">
        <f>'Base Data'!Q55</f>
        <v/>
      </c>
    </row>
    <row r="427" spans="1:17" x14ac:dyDescent="0.25">
      <c r="A427" s="13"/>
      <c r="B427" s="13"/>
      <c r="C427" s="13"/>
      <c r="D427" s="13"/>
      <c r="E427" s="13"/>
      <c r="F427" s="13"/>
      <c r="G427" s="13"/>
      <c r="H427" s="13"/>
      <c r="I427" s="13"/>
      <c r="J427" s="13"/>
    </row>
    <row r="428" spans="1:17" x14ac:dyDescent="0.25">
      <c r="A428" s="13"/>
      <c r="B428" s="13"/>
      <c r="C428" s="13"/>
      <c r="D428" s="13"/>
      <c r="E428" s="13"/>
      <c r="F428" s="13"/>
      <c r="G428" s="13"/>
      <c r="H428" s="13"/>
      <c r="I428" s="13"/>
      <c r="J428" s="13"/>
    </row>
    <row r="429" spans="1:17" x14ac:dyDescent="0.25">
      <c r="A429" s="13"/>
      <c r="B429" s="13"/>
      <c r="C429" s="13"/>
      <c r="D429" s="13"/>
      <c r="E429" s="13"/>
      <c r="F429" s="13"/>
      <c r="G429" s="13"/>
      <c r="H429" s="13"/>
      <c r="I429" s="13"/>
      <c r="J429" s="13"/>
    </row>
    <row r="430" spans="1:17" x14ac:dyDescent="0.25">
      <c r="A430" s="13"/>
      <c r="B430" s="13"/>
      <c r="C430" s="13"/>
      <c r="D430" s="13"/>
      <c r="E430" s="13"/>
      <c r="F430" s="13"/>
      <c r="G430" s="13"/>
      <c r="H430" s="13"/>
      <c r="I430" s="13"/>
      <c r="J430" s="13"/>
    </row>
    <row r="431" spans="1:17" x14ac:dyDescent="0.25">
      <c r="A431" s="13"/>
      <c r="B431" s="13"/>
      <c r="C431" s="13"/>
      <c r="D431" s="13"/>
      <c r="E431" s="13"/>
      <c r="F431" s="13"/>
      <c r="G431" s="13"/>
      <c r="H431" s="13"/>
      <c r="I431" s="13"/>
      <c r="J431" s="13"/>
    </row>
    <row r="432" spans="1:17" x14ac:dyDescent="0.25">
      <c r="A432" s="13"/>
      <c r="B432" s="13"/>
      <c r="C432" s="13"/>
      <c r="D432" s="13"/>
      <c r="E432" s="13"/>
      <c r="F432" s="13"/>
      <c r="G432" s="13"/>
      <c r="H432" s="13"/>
      <c r="I432" s="13"/>
      <c r="J432" s="13"/>
    </row>
    <row r="433" spans="1:17" x14ac:dyDescent="0.25">
      <c r="A433" s="13"/>
      <c r="B433" s="13"/>
      <c r="C433" s="13"/>
      <c r="D433" s="13"/>
      <c r="E433" s="13"/>
      <c r="F433" s="13"/>
      <c r="G433" s="13"/>
      <c r="H433" s="13"/>
      <c r="I433" s="13"/>
      <c r="J433" s="13"/>
    </row>
    <row r="434" spans="1:17" x14ac:dyDescent="0.25">
      <c r="A434" s="13">
        <f>'Base Data'!A56</f>
        <v>55</v>
      </c>
      <c r="B434" s="13" t="str">
        <f>'Base Data'!B56</f>
        <v>8F</v>
      </c>
      <c r="C434" s="13">
        <f>'Base Data'!C56</f>
        <v>0</v>
      </c>
      <c r="D434" s="13">
        <f>'Base Data'!D56</f>
        <v>435.91</v>
      </c>
      <c r="E434" s="13">
        <f>'Base Data'!E56</f>
        <v>288.23</v>
      </c>
      <c r="F434" s="13">
        <f>'Base Data'!F56</f>
        <v>0</v>
      </c>
      <c r="G434" s="13">
        <f>'Base Data'!G56</f>
        <v>0</v>
      </c>
      <c r="H434" s="13">
        <f>'Base Data'!H56</f>
        <v>0</v>
      </c>
      <c r="I434" s="13">
        <f>'Base Data'!I56</f>
        <v>0</v>
      </c>
      <c r="J434" s="13">
        <f>'Base Data'!J56</f>
        <v>0</v>
      </c>
      <c r="K434" s="13" t="str">
        <f>'Base Data'!K56</f>
        <v/>
      </c>
      <c r="L434" s="13" t="str">
        <f>'Base Data'!L56</f>
        <v/>
      </c>
      <c r="M434" s="13">
        <f>'Base Data'!M56</f>
        <v>0</v>
      </c>
      <c r="N434" s="13" t="str">
        <f>'Base Data'!N56</f>
        <v/>
      </c>
      <c r="O434" s="13" t="str">
        <f>'Base Data'!O56</f>
        <v/>
      </c>
      <c r="P434" s="13" t="str">
        <f>'Base Data'!P56</f>
        <v/>
      </c>
      <c r="Q434" s="13" t="str">
        <f>'Base Data'!Q56</f>
        <v/>
      </c>
    </row>
    <row r="435" spans="1:17" x14ac:dyDescent="0.25">
      <c r="A435" s="13"/>
      <c r="B435" s="13"/>
      <c r="C435" s="13"/>
      <c r="D435" s="13"/>
      <c r="E435" s="13"/>
      <c r="F435" s="13"/>
      <c r="G435" s="13"/>
      <c r="H435" s="13"/>
      <c r="I435" s="13"/>
      <c r="J435" s="13"/>
    </row>
    <row r="436" spans="1:17" x14ac:dyDescent="0.25">
      <c r="A436" s="13"/>
      <c r="B436" s="13"/>
      <c r="C436" s="13"/>
      <c r="D436" s="13"/>
      <c r="E436" s="13"/>
      <c r="F436" s="13"/>
      <c r="G436" s="13"/>
      <c r="H436" s="13"/>
      <c r="I436" s="13"/>
      <c r="J436" s="13"/>
    </row>
    <row r="437" spans="1:17" x14ac:dyDescent="0.25">
      <c r="A437" s="13"/>
      <c r="B437" s="13"/>
      <c r="C437" s="13"/>
      <c r="D437" s="13"/>
      <c r="E437" s="13"/>
      <c r="F437" s="13"/>
      <c r="G437" s="13"/>
      <c r="H437" s="13"/>
      <c r="I437" s="13"/>
      <c r="J437" s="13"/>
    </row>
    <row r="438" spans="1:17" x14ac:dyDescent="0.25">
      <c r="A438" s="13"/>
      <c r="B438" s="13"/>
      <c r="C438" s="13"/>
      <c r="D438" s="13"/>
      <c r="E438" s="13"/>
      <c r="F438" s="13"/>
      <c r="G438" s="13"/>
      <c r="H438" s="13"/>
      <c r="I438" s="13"/>
      <c r="J438" s="13"/>
    </row>
    <row r="439" spans="1:17" x14ac:dyDescent="0.25">
      <c r="A439" s="13"/>
      <c r="B439" s="13"/>
      <c r="C439" s="13"/>
      <c r="D439" s="13"/>
      <c r="E439" s="13"/>
      <c r="F439" s="13"/>
      <c r="G439" s="13"/>
      <c r="H439" s="13"/>
      <c r="I439" s="13"/>
      <c r="J439" s="13"/>
    </row>
    <row r="440" spans="1:17" x14ac:dyDescent="0.25">
      <c r="A440" s="13"/>
      <c r="B440" s="13"/>
      <c r="C440" s="13"/>
      <c r="D440" s="13"/>
      <c r="E440" s="13"/>
      <c r="F440" s="13"/>
      <c r="G440" s="13"/>
      <c r="H440" s="13"/>
      <c r="I440" s="13"/>
      <c r="J440" s="13"/>
    </row>
    <row r="441" spans="1:17" x14ac:dyDescent="0.25">
      <c r="A441" s="13"/>
      <c r="B441" s="13"/>
      <c r="C441" s="13"/>
      <c r="D441" s="13"/>
      <c r="E441" s="13"/>
      <c r="F441" s="13"/>
      <c r="G441" s="13"/>
      <c r="H441" s="13"/>
      <c r="I441" s="13"/>
      <c r="J441" s="13"/>
    </row>
    <row r="442" spans="1:17" x14ac:dyDescent="0.25">
      <c r="A442" s="13">
        <f>'Base Data'!A57</f>
        <v>56</v>
      </c>
      <c r="B442" s="13" t="str">
        <f>'Base Data'!B57</f>
        <v>8G</v>
      </c>
      <c r="C442" s="13">
        <f>'Base Data'!C57</f>
        <v>0</v>
      </c>
      <c r="D442" s="13">
        <f>'Base Data'!D57</f>
        <v>522.81000000000006</v>
      </c>
      <c r="E442" s="13">
        <f>'Base Data'!E57</f>
        <v>288.23</v>
      </c>
      <c r="F442" s="13">
        <f>'Base Data'!F57</f>
        <v>0</v>
      </c>
      <c r="G442" s="13">
        <f>'Base Data'!G57</f>
        <v>0</v>
      </c>
      <c r="H442" s="13">
        <f>'Base Data'!H57</f>
        <v>0</v>
      </c>
      <c r="I442" s="13">
        <f>'Base Data'!I57</f>
        <v>0</v>
      </c>
      <c r="J442" s="13">
        <f>'Base Data'!J57</f>
        <v>0</v>
      </c>
      <c r="K442" s="13" t="str">
        <f>'Base Data'!K57</f>
        <v/>
      </c>
      <c r="L442" s="13" t="str">
        <f>'Base Data'!L57</f>
        <v/>
      </c>
      <c r="M442" s="13">
        <f>'Base Data'!M57</f>
        <v>0</v>
      </c>
      <c r="N442" s="13" t="str">
        <f>'Base Data'!N57</f>
        <v/>
      </c>
      <c r="O442" s="13" t="str">
        <f>'Base Data'!O57</f>
        <v/>
      </c>
      <c r="P442" s="13" t="str">
        <f>'Base Data'!P57</f>
        <v/>
      </c>
      <c r="Q442" s="13" t="str">
        <f>'Base Data'!Q57</f>
        <v/>
      </c>
    </row>
    <row r="443" spans="1:17" x14ac:dyDescent="0.25">
      <c r="A443" s="13"/>
      <c r="B443" s="13"/>
      <c r="C443" s="13"/>
      <c r="D443" s="13"/>
      <c r="E443" s="13"/>
      <c r="F443" s="13"/>
      <c r="G443" s="13"/>
      <c r="H443" s="13"/>
      <c r="I443" s="13"/>
      <c r="J443" s="13"/>
    </row>
    <row r="444" spans="1:17" x14ac:dyDescent="0.25">
      <c r="A444" s="13"/>
      <c r="B444" s="13"/>
      <c r="C444" s="13"/>
      <c r="D444" s="13"/>
      <c r="E444" s="13"/>
      <c r="F444" s="13"/>
      <c r="G444" s="13"/>
      <c r="H444" s="13"/>
      <c r="I444" s="13"/>
      <c r="J444" s="13"/>
    </row>
    <row r="445" spans="1:17" x14ac:dyDescent="0.25">
      <c r="A445" s="13"/>
      <c r="B445" s="13"/>
      <c r="C445" s="13"/>
      <c r="D445" s="13"/>
      <c r="E445" s="13"/>
      <c r="F445" s="13"/>
      <c r="G445" s="13"/>
      <c r="H445" s="13"/>
      <c r="I445" s="13"/>
      <c r="J445" s="13"/>
    </row>
    <row r="446" spans="1:17" x14ac:dyDescent="0.25">
      <c r="A446" s="13"/>
      <c r="B446" s="13"/>
      <c r="C446" s="13"/>
      <c r="D446" s="13"/>
      <c r="E446" s="13"/>
      <c r="F446" s="13"/>
      <c r="G446" s="13"/>
      <c r="H446" s="13"/>
      <c r="I446" s="13"/>
      <c r="J446" s="13"/>
    </row>
    <row r="447" spans="1:17" x14ac:dyDescent="0.25">
      <c r="A447" s="13"/>
      <c r="B447" s="13"/>
      <c r="C447" s="13"/>
      <c r="D447" s="13"/>
      <c r="E447" s="13"/>
      <c r="F447" s="13"/>
      <c r="G447" s="13"/>
      <c r="H447" s="13"/>
      <c r="I447" s="13"/>
      <c r="J447" s="13"/>
    </row>
    <row r="448" spans="1:17" x14ac:dyDescent="0.25">
      <c r="A448" s="13"/>
      <c r="B448" s="13"/>
      <c r="C448" s="13"/>
      <c r="D448" s="13"/>
      <c r="E448" s="13"/>
      <c r="F448" s="13"/>
      <c r="G448" s="13"/>
      <c r="H448" s="13"/>
      <c r="I448" s="13"/>
      <c r="J448" s="13"/>
    </row>
    <row r="449" spans="1:17" x14ac:dyDescent="0.25">
      <c r="A449" s="13"/>
      <c r="B449" s="13"/>
      <c r="C449" s="13"/>
      <c r="D449" s="13"/>
      <c r="E449" s="13"/>
      <c r="F449" s="13"/>
      <c r="G449" s="13"/>
      <c r="H449" s="13"/>
      <c r="I449" s="13"/>
      <c r="J449" s="13"/>
    </row>
    <row r="450" spans="1:17" x14ac:dyDescent="0.25">
      <c r="A450" s="13">
        <f>'Base Data'!A58</f>
        <v>57</v>
      </c>
      <c r="B450" s="13" t="str">
        <f>'Base Data'!B58</f>
        <v>9A</v>
      </c>
      <c r="C450" s="13">
        <f>'Base Data'!C58</f>
        <v>0</v>
      </c>
      <c r="D450" s="13">
        <f>'Base Data'!D58</f>
        <v>1.71</v>
      </c>
      <c r="E450" s="13">
        <f>'Base Data'!E58</f>
        <v>324.72000000000003</v>
      </c>
      <c r="F450" s="13">
        <f>'Base Data'!F58</f>
        <v>0</v>
      </c>
      <c r="G450" s="13">
        <f>'Base Data'!G58</f>
        <v>0</v>
      </c>
      <c r="H450" s="13">
        <f>'Base Data'!H58</f>
        <v>0</v>
      </c>
      <c r="I450" s="13">
        <f>'Base Data'!I58</f>
        <v>0</v>
      </c>
      <c r="J450" s="13">
        <f>'Base Data'!J58</f>
        <v>0</v>
      </c>
      <c r="K450" s="13" t="str">
        <f>'Base Data'!K58</f>
        <v/>
      </c>
      <c r="L450" s="13" t="str">
        <f>'Base Data'!L58</f>
        <v/>
      </c>
      <c r="M450" s="13">
        <f>'Base Data'!M58</f>
        <v>0</v>
      </c>
      <c r="N450" s="13" t="str">
        <f>'Base Data'!N58</f>
        <v/>
      </c>
      <c r="O450" s="13" t="str">
        <f>'Base Data'!O58</f>
        <v/>
      </c>
      <c r="P450" s="13" t="str">
        <f>'Base Data'!P58</f>
        <v/>
      </c>
      <c r="Q450" s="13" t="str">
        <f>'Base Data'!Q58</f>
        <v/>
      </c>
    </row>
    <row r="451" spans="1:17" x14ac:dyDescent="0.25">
      <c r="A451" s="13"/>
      <c r="B451" s="13"/>
      <c r="C451" s="13"/>
      <c r="D451" s="13"/>
      <c r="E451" s="13"/>
      <c r="F451" s="13"/>
      <c r="G451" s="13"/>
      <c r="H451" s="13"/>
      <c r="I451" s="13"/>
      <c r="J451" s="13"/>
    </row>
    <row r="452" spans="1:17" x14ac:dyDescent="0.25">
      <c r="A452" s="13"/>
      <c r="B452" s="13"/>
      <c r="C452" s="13"/>
      <c r="D452" s="13"/>
      <c r="E452" s="13"/>
      <c r="F452" s="13"/>
      <c r="G452" s="13"/>
      <c r="H452" s="13"/>
      <c r="I452" s="13"/>
      <c r="J452" s="13"/>
    </row>
    <row r="453" spans="1:17" x14ac:dyDescent="0.25">
      <c r="A453" s="13"/>
      <c r="B453" s="13"/>
      <c r="C453" s="13"/>
      <c r="D453" s="13"/>
      <c r="E453" s="13"/>
      <c r="F453" s="13"/>
      <c r="G453" s="13"/>
      <c r="H453" s="13"/>
      <c r="I453" s="13"/>
      <c r="J453" s="13"/>
    </row>
    <row r="454" spans="1:17" x14ac:dyDescent="0.25">
      <c r="A454" s="13"/>
      <c r="B454" s="13"/>
      <c r="C454" s="13"/>
      <c r="D454" s="13"/>
      <c r="E454" s="13"/>
      <c r="F454" s="13"/>
      <c r="G454" s="13"/>
      <c r="H454" s="13"/>
      <c r="I454" s="13"/>
      <c r="J454" s="13"/>
    </row>
    <row r="455" spans="1:17" x14ac:dyDescent="0.25">
      <c r="A455" s="13"/>
      <c r="B455" s="13"/>
      <c r="C455" s="13"/>
      <c r="D455" s="13"/>
      <c r="E455" s="13"/>
      <c r="F455" s="13"/>
      <c r="G455" s="13"/>
      <c r="H455" s="13"/>
      <c r="I455" s="13"/>
      <c r="J455" s="13"/>
    </row>
    <row r="456" spans="1:17" x14ac:dyDescent="0.25">
      <c r="A456" s="13"/>
      <c r="B456" s="13"/>
      <c r="C456" s="13"/>
      <c r="D456" s="13"/>
      <c r="E456" s="13"/>
      <c r="F456" s="13"/>
      <c r="G456" s="13"/>
      <c r="H456" s="13"/>
      <c r="I456" s="13"/>
      <c r="J456" s="13"/>
    </row>
    <row r="457" spans="1:17" x14ac:dyDescent="0.25">
      <c r="A457" s="13"/>
      <c r="B457" s="13"/>
      <c r="C457" s="13"/>
      <c r="D457" s="13"/>
      <c r="E457" s="13"/>
      <c r="F457" s="13"/>
      <c r="G457" s="13"/>
      <c r="H457" s="13"/>
      <c r="I457" s="13"/>
      <c r="J457" s="13"/>
    </row>
    <row r="458" spans="1:17" x14ac:dyDescent="0.25">
      <c r="A458" s="13">
        <f>'Base Data'!A59</f>
        <v>58</v>
      </c>
      <c r="B458" s="13" t="str">
        <f>'Base Data'!B59</f>
        <v>9B</v>
      </c>
      <c r="C458" s="13">
        <f>'Base Data'!C59</f>
        <v>0</v>
      </c>
      <c r="D458" s="13">
        <f>'Base Data'!D59</f>
        <v>89.31</v>
      </c>
      <c r="E458" s="13">
        <f>'Base Data'!E59</f>
        <v>324.72000000000003</v>
      </c>
      <c r="F458" s="13">
        <f>'Base Data'!F59</f>
        <v>0</v>
      </c>
      <c r="G458" s="13">
        <f>'Base Data'!G59</f>
        <v>0</v>
      </c>
      <c r="H458" s="13">
        <f>'Base Data'!H59</f>
        <v>0</v>
      </c>
      <c r="I458" s="13">
        <f>'Base Data'!I59</f>
        <v>0</v>
      </c>
      <c r="J458" s="13">
        <f>'Base Data'!J59</f>
        <v>0</v>
      </c>
      <c r="K458" s="13" t="str">
        <f>'Base Data'!K59</f>
        <v/>
      </c>
      <c r="L458" s="13" t="str">
        <f>'Base Data'!L59</f>
        <v/>
      </c>
      <c r="M458" s="13">
        <f>'Base Data'!M59</f>
        <v>0</v>
      </c>
      <c r="N458" s="13" t="str">
        <f>'Base Data'!N59</f>
        <v/>
      </c>
      <c r="O458" s="13" t="str">
        <f>'Base Data'!O59</f>
        <v/>
      </c>
      <c r="P458" s="13" t="str">
        <f>'Base Data'!P59</f>
        <v/>
      </c>
      <c r="Q458" s="13" t="str">
        <f>'Base Data'!Q59</f>
        <v/>
      </c>
    </row>
    <row r="459" spans="1:17" x14ac:dyDescent="0.25">
      <c r="A459" s="13"/>
      <c r="B459" s="13"/>
      <c r="C459" s="13"/>
      <c r="D459" s="13"/>
      <c r="E459" s="13"/>
      <c r="F459" s="13"/>
      <c r="G459" s="13"/>
      <c r="H459" s="13"/>
      <c r="I459" s="13"/>
      <c r="J459" s="13"/>
    </row>
    <row r="460" spans="1:17" x14ac:dyDescent="0.25">
      <c r="A460" s="13"/>
      <c r="B460" s="13"/>
      <c r="C460" s="13"/>
      <c r="D460" s="13"/>
      <c r="E460" s="13"/>
      <c r="F460" s="13"/>
      <c r="G460" s="13"/>
      <c r="H460" s="13"/>
      <c r="I460" s="13"/>
      <c r="J460" s="13"/>
    </row>
    <row r="461" spans="1:17" x14ac:dyDescent="0.25">
      <c r="A461" s="13"/>
      <c r="B461" s="13"/>
      <c r="C461" s="13"/>
      <c r="D461" s="13"/>
      <c r="E461" s="13"/>
      <c r="F461" s="13"/>
      <c r="G461" s="13"/>
      <c r="H461" s="13"/>
      <c r="I461" s="13"/>
      <c r="J461" s="13"/>
    </row>
    <row r="462" spans="1:17" x14ac:dyDescent="0.25">
      <c r="A462" s="13"/>
      <c r="B462" s="13"/>
      <c r="C462" s="13"/>
      <c r="D462" s="13"/>
      <c r="E462" s="13"/>
      <c r="F462" s="13"/>
      <c r="G462" s="13"/>
      <c r="H462" s="13"/>
      <c r="I462" s="13"/>
      <c r="J462" s="13"/>
    </row>
    <row r="463" spans="1:17" x14ac:dyDescent="0.25">
      <c r="A463" s="13"/>
      <c r="B463" s="13"/>
      <c r="C463" s="13"/>
      <c r="D463" s="13"/>
      <c r="E463" s="13"/>
      <c r="F463" s="13"/>
      <c r="G463" s="13"/>
      <c r="H463" s="13"/>
      <c r="I463" s="13"/>
      <c r="J463" s="13"/>
    </row>
    <row r="464" spans="1:17" x14ac:dyDescent="0.25">
      <c r="A464" s="13"/>
      <c r="B464" s="13"/>
      <c r="C464" s="13"/>
      <c r="D464" s="13"/>
      <c r="E464" s="13"/>
      <c r="F464" s="13"/>
      <c r="G464" s="13"/>
      <c r="H464" s="13"/>
      <c r="I464" s="13"/>
      <c r="J464" s="13"/>
    </row>
    <row r="465" spans="1:17" x14ac:dyDescent="0.25">
      <c r="A465" s="13"/>
      <c r="B465" s="13"/>
      <c r="C465" s="13"/>
      <c r="D465" s="13"/>
      <c r="E465" s="13"/>
      <c r="F465" s="13"/>
      <c r="G465" s="13"/>
      <c r="H465" s="13"/>
      <c r="I465" s="13"/>
      <c r="J465" s="13"/>
    </row>
    <row r="466" spans="1:17" x14ac:dyDescent="0.25">
      <c r="A466" s="13">
        <f>'Base Data'!A60</f>
        <v>59</v>
      </c>
      <c r="B466" s="13" t="str">
        <f>'Base Data'!B60</f>
        <v>9C</v>
      </c>
      <c r="C466" s="13">
        <f>'Base Data'!C60</f>
        <v>0</v>
      </c>
      <c r="D466" s="13">
        <f>'Base Data'!D60</f>
        <v>175.91</v>
      </c>
      <c r="E466" s="13">
        <f>'Base Data'!E60</f>
        <v>324.72000000000003</v>
      </c>
      <c r="F466" s="13">
        <f>'Base Data'!F60</f>
        <v>0</v>
      </c>
      <c r="G466" s="13">
        <f>'Base Data'!G60</f>
        <v>0</v>
      </c>
      <c r="H466" s="13">
        <f>'Base Data'!H60</f>
        <v>0</v>
      </c>
      <c r="I466" s="13">
        <f>'Base Data'!I60</f>
        <v>0</v>
      </c>
      <c r="J466" s="13">
        <f>'Base Data'!J60</f>
        <v>0</v>
      </c>
      <c r="K466" s="13" t="str">
        <f>'Base Data'!K60</f>
        <v/>
      </c>
      <c r="L466" s="13" t="str">
        <f>'Base Data'!L60</f>
        <v/>
      </c>
      <c r="M466" s="13">
        <f>'Base Data'!M60</f>
        <v>0</v>
      </c>
      <c r="N466" s="13" t="str">
        <f>'Base Data'!N60</f>
        <v/>
      </c>
      <c r="O466" s="13" t="str">
        <f>'Base Data'!O60</f>
        <v/>
      </c>
      <c r="P466" s="13" t="str">
        <f>'Base Data'!P60</f>
        <v/>
      </c>
      <c r="Q466" s="13" t="str">
        <f>'Base Data'!Q60</f>
        <v/>
      </c>
    </row>
    <row r="467" spans="1:17" x14ac:dyDescent="0.25">
      <c r="A467" s="13"/>
      <c r="B467" s="13"/>
      <c r="C467" s="13"/>
      <c r="D467" s="13"/>
      <c r="E467" s="13"/>
      <c r="F467" s="13"/>
      <c r="G467" s="13"/>
      <c r="H467" s="13"/>
      <c r="I467" s="13"/>
      <c r="J467" s="13"/>
    </row>
    <row r="468" spans="1:17" x14ac:dyDescent="0.25">
      <c r="A468" s="13"/>
      <c r="B468" s="13"/>
      <c r="C468" s="13"/>
      <c r="D468" s="13"/>
      <c r="E468" s="13"/>
      <c r="F468" s="13"/>
      <c r="G468" s="13"/>
      <c r="H468" s="13"/>
      <c r="I468" s="13"/>
      <c r="J468" s="13"/>
    </row>
    <row r="469" spans="1:17" x14ac:dyDescent="0.25">
      <c r="A469" s="13"/>
      <c r="B469" s="13"/>
      <c r="C469" s="13"/>
      <c r="D469" s="13"/>
      <c r="E469" s="13"/>
      <c r="F469" s="13"/>
      <c r="G469" s="13"/>
      <c r="H469" s="13"/>
      <c r="I469" s="13"/>
      <c r="J469" s="13"/>
    </row>
    <row r="470" spans="1:17" x14ac:dyDescent="0.25">
      <c r="A470" s="13"/>
      <c r="B470" s="13"/>
      <c r="C470" s="13"/>
      <c r="D470" s="13"/>
      <c r="E470" s="13"/>
      <c r="F470" s="13"/>
      <c r="G470" s="13"/>
      <c r="H470" s="13"/>
      <c r="I470" s="13"/>
      <c r="J470" s="13"/>
    </row>
    <row r="471" spans="1:17" x14ac:dyDescent="0.25">
      <c r="A471" s="13"/>
      <c r="B471" s="13"/>
      <c r="C471" s="13"/>
      <c r="D471" s="13"/>
      <c r="E471" s="13"/>
      <c r="F471" s="13"/>
      <c r="G471" s="13"/>
      <c r="H471" s="13"/>
      <c r="I471" s="13"/>
      <c r="J471" s="13"/>
    </row>
    <row r="472" spans="1:17" x14ac:dyDescent="0.25">
      <c r="A472" s="13"/>
      <c r="B472" s="13"/>
      <c r="C472" s="13"/>
      <c r="D472" s="13"/>
      <c r="E472" s="13"/>
      <c r="F472" s="13"/>
      <c r="G472" s="13"/>
      <c r="H472" s="13"/>
      <c r="I472" s="13"/>
      <c r="J472" s="13"/>
    </row>
    <row r="473" spans="1:17" x14ac:dyDescent="0.25">
      <c r="A473" s="13"/>
      <c r="B473" s="13"/>
      <c r="C473" s="13"/>
      <c r="D473" s="13"/>
      <c r="E473" s="13"/>
      <c r="F473" s="13"/>
      <c r="G473" s="13"/>
      <c r="H473" s="13"/>
      <c r="I473" s="13"/>
      <c r="J473" s="13"/>
    </row>
    <row r="474" spans="1:17" x14ac:dyDescent="0.25">
      <c r="A474" s="13">
        <f>'Base Data'!A61</f>
        <v>60</v>
      </c>
      <c r="B474" s="13" t="str">
        <f>'Base Data'!B61</f>
        <v>9D</v>
      </c>
      <c r="C474" s="13">
        <f>'Base Data'!C61</f>
        <v>0</v>
      </c>
      <c r="D474" s="13">
        <f>'Base Data'!D61</f>
        <v>262.91000000000003</v>
      </c>
      <c r="E474" s="13">
        <f>'Base Data'!E61</f>
        <v>324.72000000000003</v>
      </c>
      <c r="F474" s="13">
        <f>'Base Data'!F61</f>
        <v>0</v>
      </c>
      <c r="G474" s="13">
        <f>'Base Data'!G61</f>
        <v>0</v>
      </c>
      <c r="H474" s="13">
        <f>'Base Data'!H61</f>
        <v>0</v>
      </c>
      <c r="I474" s="13">
        <f>'Base Data'!I61</f>
        <v>0</v>
      </c>
      <c r="J474" s="13">
        <f>'Base Data'!J61</f>
        <v>0</v>
      </c>
      <c r="K474" s="13" t="str">
        <f>'Base Data'!K61</f>
        <v/>
      </c>
      <c r="L474" s="13" t="str">
        <f>'Base Data'!L61</f>
        <v/>
      </c>
      <c r="M474" s="13">
        <f>'Base Data'!M61</f>
        <v>0</v>
      </c>
      <c r="N474" s="13" t="str">
        <f>'Base Data'!N61</f>
        <v/>
      </c>
      <c r="O474" s="13" t="str">
        <f>'Base Data'!O61</f>
        <v/>
      </c>
      <c r="P474" s="13" t="str">
        <f>'Base Data'!P61</f>
        <v/>
      </c>
      <c r="Q474" s="13" t="str">
        <f>'Base Data'!Q61</f>
        <v/>
      </c>
    </row>
    <row r="475" spans="1:17" x14ac:dyDescent="0.25">
      <c r="A475" s="13"/>
      <c r="B475" s="13"/>
      <c r="C475" s="13"/>
      <c r="D475" s="13"/>
      <c r="E475" s="13"/>
      <c r="F475" s="13"/>
      <c r="G475" s="13"/>
      <c r="H475" s="13"/>
      <c r="I475" s="13"/>
      <c r="J475" s="13"/>
    </row>
    <row r="476" spans="1:17" x14ac:dyDescent="0.25">
      <c r="A476" s="13"/>
      <c r="B476" s="13"/>
      <c r="C476" s="13"/>
      <c r="D476" s="13"/>
      <c r="E476" s="13"/>
      <c r="F476" s="13"/>
      <c r="G476" s="13"/>
      <c r="H476" s="13"/>
      <c r="I476" s="13"/>
      <c r="J476" s="13"/>
    </row>
    <row r="477" spans="1:17" x14ac:dyDescent="0.25">
      <c r="A477" s="13"/>
      <c r="B477" s="13"/>
      <c r="C477" s="13"/>
      <c r="D477" s="13"/>
      <c r="E477" s="13"/>
      <c r="F477" s="13"/>
      <c r="G477" s="13"/>
      <c r="H477" s="13"/>
      <c r="I477" s="13"/>
      <c r="J477" s="13"/>
    </row>
    <row r="478" spans="1:17" x14ac:dyDescent="0.25">
      <c r="A478" s="13"/>
      <c r="B478" s="13"/>
      <c r="C478" s="13"/>
      <c r="D478" s="13"/>
      <c r="E478" s="13"/>
      <c r="F478" s="13"/>
      <c r="G478" s="13"/>
      <c r="H478" s="13"/>
      <c r="I478" s="13"/>
      <c r="J478" s="13"/>
    </row>
    <row r="479" spans="1:17" x14ac:dyDescent="0.25">
      <c r="A479" s="13"/>
      <c r="B479" s="13"/>
      <c r="C479" s="13"/>
      <c r="D479" s="13"/>
      <c r="E479" s="13"/>
      <c r="F479" s="13"/>
      <c r="G479" s="13"/>
      <c r="H479" s="13"/>
      <c r="I479" s="13"/>
      <c r="J479" s="13"/>
    </row>
    <row r="480" spans="1:17" x14ac:dyDescent="0.25">
      <c r="A480" s="13"/>
      <c r="B480" s="13"/>
      <c r="C480" s="13"/>
      <c r="D480" s="13"/>
      <c r="E480" s="13"/>
      <c r="F480" s="13"/>
      <c r="G480" s="13"/>
      <c r="H480" s="13"/>
      <c r="I480" s="13"/>
      <c r="J480" s="13"/>
    </row>
    <row r="481" spans="1:17" x14ac:dyDescent="0.25">
      <c r="A481" s="13"/>
      <c r="B481" s="13"/>
      <c r="C481" s="13"/>
      <c r="D481" s="13"/>
      <c r="E481" s="13"/>
      <c r="F481" s="13"/>
      <c r="G481" s="13"/>
      <c r="H481" s="13"/>
      <c r="I481" s="13"/>
      <c r="J481" s="13"/>
    </row>
    <row r="482" spans="1:17" x14ac:dyDescent="0.25">
      <c r="A482" s="13">
        <f>'Base Data'!A62</f>
        <v>61</v>
      </c>
      <c r="B482" s="13" t="str">
        <f>'Base Data'!B62</f>
        <v>9E</v>
      </c>
      <c r="C482" s="13">
        <f>'Base Data'!C62</f>
        <v>0</v>
      </c>
      <c r="D482" s="13">
        <f>'Base Data'!D62</f>
        <v>349.31</v>
      </c>
      <c r="E482" s="13">
        <f>'Base Data'!E62</f>
        <v>324.72000000000003</v>
      </c>
      <c r="F482" s="13">
        <f>'Base Data'!F62</f>
        <v>0</v>
      </c>
      <c r="G482" s="13">
        <f>'Base Data'!G62</f>
        <v>0</v>
      </c>
      <c r="H482" s="13">
        <f>'Base Data'!H62</f>
        <v>0</v>
      </c>
      <c r="I482" s="13">
        <f>'Base Data'!I62</f>
        <v>0</v>
      </c>
      <c r="J482" s="13">
        <f>'Base Data'!J62</f>
        <v>0</v>
      </c>
      <c r="K482" s="13" t="str">
        <f>'Base Data'!K62</f>
        <v/>
      </c>
      <c r="L482" s="13" t="str">
        <f>'Base Data'!L62</f>
        <v/>
      </c>
      <c r="M482" s="13">
        <f>'Base Data'!M62</f>
        <v>0</v>
      </c>
      <c r="N482" s="13" t="str">
        <f>'Base Data'!N62</f>
        <v/>
      </c>
      <c r="O482" s="13" t="str">
        <f>'Base Data'!O62</f>
        <v/>
      </c>
      <c r="P482" s="13" t="str">
        <f>'Base Data'!P62</f>
        <v/>
      </c>
      <c r="Q482" s="13" t="str">
        <f>'Base Data'!Q62</f>
        <v/>
      </c>
    </row>
    <row r="483" spans="1:17" x14ac:dyDescent="0.25">
      <c r="A483" s="13"/>
      <c r="B483" s="13"/>
      <c r="C483" s="13"/>
      <c r="D483" s="13"/>
      <c r="E483" s="13"/>
      <c r="F483" s="13"/>
      <c r="G483" s="13"/>
      <c r="H483" s="13"/>
      <c r="I483" s="13"/>
      <c r="J483" s="13"/>
    </row>
    <row r="484" spans="1:17" x14ac:dyDescent="0.25">
      <c r="A484" s="13"/>
      <c r="B484" s="13"/>
      <c r="C484" s="13"/>
      <c r="D484" s="13"/>
      <c r="E484" s="13"/>
      <c r="F484" s="13"/>
      <c r="G484" s="13"/>
      <c r="H484" s="13"/>
      <c r="I484" s="13"/>
      <c r="J484" s="13"/>
    </row>
    <row r="485" spans="1:17" x14ac:dyDescent="0.25">
      <c r="A485" s="13"/>
      <c r="B485" s="13"/>
      <c r="C485" s="13"/>
      <c r="D485" s="13"/>
      <c r="E485" s="13"/>
      <c r="F485" s="13"/>
      <c r="G485" s="13"/>
      <c r="H485" s="13"/>
      <c r="I485" s="13"/>
      <c r="J485" s="13"/>
    </row>
    <row r="486" spans="1:17" x14ac:dyDescent="0.25">
      <c r="A486" s="13"/>
      <c r="B486" s="13"/>
      <c r="C486" s="13"/>
      <c r="D486" s="13"/>
      <c r="E486" s="13"/>
      <c r="F486" s="13"/>
      <c r="G486" s="13"/>
      <c r="H486" s="13"/>
      <c r="I486" s="13"/>
      <c r="J486" s="13"/>
    </row>
    <row r="487" spans="1:17" x14ac:dyDescent="0.25">
      <c r="A487" s="13"/>
      <c r="B487" s="13"/>
      <c r="C487" s="13"/>
      <c r="D487" s="13"/>
      <c r="E487" s="13"/>
      <c r="F487" s="13"/>
      <c r="G487" s="13"/>
      <c r="H487" s="13"/>
      <c r="I487" s="13"/>
      <c r="J487" s="13"/>
    </row>
    <row r="488" spans="1:17" x14ac:dyDescent="0.25">
      <c r="A488" s="13"/>
      <c r="B488" s="13"/>
      <c r="C488" s="13"/>
      <c r="D488" s="13"/>
      <c r="E488" s="13"/>
      <c r="F488" s="13"/>
      <c r="G488" s="13"/>
      <c r="H488" s="13"/>
      <c r="I488" s="13"/>
      <c r="J488" s="13"/>
    </row>
    <row r="489" spans="1:17" x14ac:dyDescent="0.25">
      <c r="A489" s="13"/>
      <c r="B489" s="13"/>
      <c r="C489" s="13"/>
      <c r="D489" s="13"/>
      <c r="E489" s="13"/>
      <c r="F489" s="13"/>
      <c r="G489" s="13"/>
      <c r="H489" s="13"/>
      <c r="I489" s="13"/>
      <c r="J489" s="13"/>
    </row>
    <row r="490" spans="1:17" x14ac:dyDescent="0.25">
      <c r="A490" s="13">
        <f>'Base Data'!A63</f>
        <v>62</v>
      </c>
      <c r="B490" s="13" t="str">
        <f>'Base Data'!B63</f>
        <v>9F</v>
      </c>
      <c r="C490" s="13">
        <f>'Base Data'!C63</f>
        <v>0</v>
      </c>
      <c r="D490" s="13">
        <f>'Base Data'!D63</f>
        <v>435.91</v>
      </c>
      <c r="E490" s="13">
        <f>'Base Data'!E63</f>
        <v>324.72000000000003</v>
      </c>
      <c r="F490" s="13">
        <f>'Base Data'!F63</f>
        <v>0</v>
      </c>
      <c r="G490" s="13">
        <f>'Base Data'!G63</f>
        <v>0</v>
      </c>
      <c r="H490" s="13">
        <f>'Base Data'!H63</f>
        <v>0</v>
      </c>
      <c r="I490" s="13">
        <f>'Base Data'!I63</f>
        <v>0</v>
      </c>
      <c r="J490" s="13">
        <f>'Base Data'!J63</f>
        <v>0</v>
      </c>
      <c r="K490" s="13" t="str">
        <f>'Base Data'!K63</f>
        <v/>
      </c>
      <c r="L490" s="13" t="str">
        <f>'Base Data'!L63</f>
        <v/>
      </c>
      <c r="M490" s="13">
        <f>'Base Data'!M63</f>
        <v>0</v>
      </c>
      <c r="N490" s="13" t="str">
        <f>'Base Data'!N63</f>
        <v/>
      </c>
      <c r="O490" s="13" t="str">
        <f>'Base Data'!O63</f>
        <v/>
      </c>
      <c r="P490" s="13" t="str">
        <f>'Base Data'!P63</f>
        <v/>
      </c>
      <c r="Q490" s="13" t="str">
        <f>'Base Data'!Q63</f>
        <v/>
      </c>
    </row>
    <row r="491" spans="1:17" x14ac:dyDescent="0.25">
      <c r="A491" s="13"/>
      <c r="B491" s="13"/>
      <c r="C491" s="13"/>
      <c r="D491" s="13"/>
      <c r="E491" s="13"/>
      <c r="F491" s="13"/>
      <c r="G491" s="13"/>
      <c r="H491" s="13"/>
      <c r="I491" s="13"/>
      <c r="J491" s="13"/>
    </row>
    <row r="492" spans="1:17" x14ac:dyDescent="0.25">
      <c r="A492" s="13"/>
      <c r="B492" s="13"/>
      <c r="C492" s="13"/>
      <c r="D492" s="13"/>
      <c r="E492" s="13"/>
      <c r="F492" s="13"/>
      <c r="G492" s="13"/>
      <c r="H492" s="13"/>
      <c r="I492" s="13"/>
      <c r="J492" s="13"/>
    </row>
    <row r="493" spans="1:17" x14ac:dyDescent="0.25">
      <c r="A493" s="13"/>
      <c r="B493" s="13"/>
      <c r="C493" s="13"/>
      <c r="D493" s="13"/>
      <c r="E493" s="13"/>
      <c r="F493" s="13"/>
      <c r="G493" s="13"/>
      <c r="H493" s="13"/>
      <c r="I493" s="13"/>
      <c r="J493" s="13"/>
    </row>
    <row r="494" spans="1:17" x14ac:dyDescent="0.25">
      <c r="A494" s="13"/>
      <c r="B494" s="13"/>
      <c r="C494" s="13"/>
      <c r="D494" s="13"/>
      <c r="E494" s="13"/>
      <c r="F494" s="13"/>
      <c r="G494" s="13"/>
      <c r="H494" s="13"/>
      <c r="I494" s="13"/>
      <c r="J494" s="13"/>
    </row>
    <row r="495" spans="1:17" x14ac:dyDescent="0.25">
      <c r="A495" s="13"/>
      <c r="B495" s="13"/>
      <c r="C495" s="13"/>
      <c r="D495" s="13"/>
      <c r="E495" s="13"/>
      <c r="F495" s="13"/>
      <c r="G495" s="13"/>
      <c r="H495" s="13"/>
      <c r="I495" s="13"/>
      <c r="J495" s="13"/>
    </row>
    <row r="496" spans="1:17" x14ac:dyDescent="0.25">
      <c r="A496" s="13"/>
      <c r="B496" s="13"/>
      <c r="C496" s="13"/>
      <c r="D496" s="13"/>
      <c r="E496" s="13"/>
      <c r="F496" s="13"/>
      <c r="G496" s="13"/>
      <c r="H496" s="13"/>
      <c r="I496" s="13"/>
      <c r="J496" s="13"/>
    </row>
    <row r="497" spans="1:17" x14ac:dyDescent="0.25">
      <c r="A497" s="13"/>
      <c r="B497" s="13"/>
      <c r="C497" s="13"/>
      <c r="D497" s="13"/>
      <c r="E497" s="13"/>
      <c r="F497" s="13"/>
      <c r="G497" s="13"/>
      <c r="H497" s="13"/>
      <c r="I497" s="13"/>
      <c r="J497" s="13"/>
    </row>
    <row r="498" spans="1:17" x14ac:dyDescent="0.25">
      <c r="A498" s="13">
        <f>'Base Data'!A64</f>
        <v>63</v>
      </c>
      <c r="B498" s="13" t="str">
        <f>'Base Data'!B64</f>
        <v>9G</v>
      </c>
      <c r="C498" s="13">
        <f>'Base Data'!C64</f>
        <v>0</v>
      </c>
      <c r="D498" s="13">
        <f>'Base Data'!D64</f>
        <v>522.81000000000006</v>
      </c>
      <c r="E498" s="13">
        <f>'Base Data'!E64</f>
        <v>324.72000000000003</v>
      </c>
      <c r="F498" s="13">
        <f>'Base Data'!F64</f>
        <v>0</v>
      </c>
      <c r="G498" s="13">
        <f>'Base Data'!G64</f>
        <v>0</v>
      </c>
      <c r="H498" s="13">
        <f>'Base Data'!H64</f>
        <v>0</v>
      </c>
      <c r="I498" s="13">
        <f>'Base Data'!I64</f>
        <v>0</v>
      </c>
      <c r="J498" s="13">
        <f>'Base Data'!J64</f>
        <v>0</v>
      </c>
      <c r="K498" s="13" t="str">
        <f>'Base Data'!K64</f>
        <v/>
      </c>
      <c r="L498" s="13" t="str">
        <f>'Base Data'!L64</f>
        <v/>
      </c>
      <c r="M498" s="13">
        <f>'Base Data'!M64</f>
        <v>0</v>
      </c>
      <c r="N498" s="13" t="str">
        <f>'Base Data'!N64</f>
        <v/>
      </c>
      <c r="O498" s="13" t="str">
        <f>'Base Data'!O64</f>
        <v/>
      </c>
      <c r="P498" s="13" t="str">
        <f>'Base Data'!P64</f>
        <v/>
      </c>
      <c r="Q498" s="13" t="str">
        <f>'Base Data'!Q64</f>
        <v/>
      </c>
    </row>
    <row r="499" spans="1:17" x14ac:dyDescent="0.25">
      <c r="A499" s="13"/>
      <c r="B499" s="13"/>
      <c r="C499" s="13"/>
      <c r="D499" s="13"/>
      <c r="E499" s="13"/>
      <c r="F499" s="13"/>
      <c r="G499" s="13"/>
      <c r="H499" s="13"/>
      <c r="I499" s="13"/>
      <c r="J499" s="13"/>
    </row>
    <row r="500" spans="1:17" x14ac:dyDescent="0.25">
      <c r="A500" s="13"/>
      <c r="B500" s="13"/>
      <c r="C500" s="13"/>
      <c r="D500" s="13"/>
      <c r="E500" s="13"/>
      <c r="F500" s="13"/>
      <c r="G500" s="13"/>
      <c r="H500" s="13"/>
      <c r="I500" s="13"/>
      <c r="J500" s="13"/>
    </row>
    <row r="501" spans="1:17" x14ac:dyDescent="0.25">
      <c r="A501" s="13"/>
      <c r="B501" s="13"/>
      <c r="C501" s="13"/>
      <c r="D501" s="13"/>
      <c r="E501" s="13"/>
      <c r="F501" s="13"/>
      <c r="G501" s="13"/>
      <c r="H501" s="13"/>
      <c r="I501" s="13"/>
      <c r="J501" s="13"/>
    </row>
    <row r="502" spans="1:17" x14ac:dyDescent="0.25">
      <c r="A502" s="13"/>
      <c r="B502" s="13"/>
      <c r="C502" s="13"/>
      <c r="D502" s="13"/>
      <c r="E502" s="13"/>
      <c r="F502" s="13"/>
      <c r="G502" s="13"/>
      <c r="H502" s="13"/>
      <c r="I502" s="13"/>
      <c r="J502" s="13"/>
    </row>
    <row r="503" spans="1:17" x14ac:dyDescent="0.25">
      <c r="A503" s="13"/>
      <c r="B503" s="13"/>
      <c r="C503" s="13"/>
      <c r="D503" s="13"/>
      <c r="E503" s="13"/>
      <c r="F503" s="13"/>
      <c r="G503" s="13"/>
      <c r="H503" s="13"/>
      <c r="I503" s="13"/>
      <c r="J503" s="13"/>
    </row>
    <row r="504" spans="1:17" x14ac:dyDescent="0.25">
      <c r="A504" s="13"/>
      <c r="B504" s="13"/>
      <c r="C504" s="13"/>
      <c r="D504" s="13"/>
      <c r="E504" s="13"/>
      <c r="F504" s="13"/>
      <c r="G504" s="13"/>
      <c r="H504" s="13"/>
      <c r="I504" s="13"/>
      <c r="J504" s="13"/>
    </row>
    <row r="505" spans="1:17" x14ac:dyDescent="0.25">
      <c r="A505" s="13"/>
      <c r="B505" s="13"/>
      <c r="C505" s="13"/>
      <c r="D505" s="13"/>
      <c r="E505" s="13"/>
      <c r="F505" s="13"/>
      <c r="G505" s="13"/>
      <c r="H505" s="13"/>
      <c r="I505" s="13"/>
      <c r="J505" s="13"/>
    </row>
    <row r="506" spans="1:17" x14ac:dyDescent="0.25">
      <c r="A506" s="13">
        <f>'Base Data'!A65</f>
        <v>64</v>
      </c>
      <c r="B506" s="13" t="str">
        <f>'Base Data'!B65</f>
        <v>10A</v>
      </c>
      <c r="C506" s="13">
        <f>'Base Data'!C65</f>
        <v>0</v>
      </c>
      <c r="D506" s="13">
        <f>'Base Data'!D65</f>
        <v>1.5099999999999998</v>
      </c>
      <c r="E506" s="13">
        <f>'Base Data'!E65</f>
        <v>376.43</v>
      </c>
      <c r="F506" s="13">
        <f>'Base Data'!F65</f>
        <v>0</v>
      </c>
      <c r="G506" s="13">
        <f>'Base Data'!G65</f>
        <v>0</v>
      </c>
      <c r="H506" s="13">
        <f>'Base Data'!H65</f>
        <v>0</v>
      </c>
      <c r="I506" s="13">
        <f>'Base Data'!I65</f>
        <v>0</v>
      </c>
      <c r="J506" s="13">
        <f>'Base Data'!J65</f>
        <v>0</v>
      </c>
      <c r="K506" s="13" t="str">
        <f>'Base Data'!K65</f>
        <v/>
      </c>
      <c r="L506" s="13" t="str">
        <f>'Base Data'!L65</f>
        <v/>
      </c>
      <c r="M506" s="13">
        <f>'Base Data'!M65</f>
        <v>0</v>
      </c>
      <c r="N506" s="13" t="str">
        <f>'Base Data'!N65</f>
        <v/>
      </c>
      <c r="O506" s="13" t="str">
        <f>'Base Data'!O65</f>
        <v/>
      </c>
      <c r="P506" s="13" t="str">
        <f>'Base Data'!P65</f>
        <v/>
      </c>
      <c r="Q506" s="13" t="str">
        <f>'Base Data'!Q65</f>
        <v/>
      </c>
    </row>
    <row r="507" spans="1:17" x14ac:dyDescent="0.25">
      <c r="A507" s="13"/>
      <c r="B507" s="13"/>
      <c r="C507" s="13"/>
      <c r="D507" s="13"/>
      <c r="E507" s="13"/>
      <c r="F507" s="13"/>
      <c r="G507" s="13"/>
      <c r="H507" s="13"/>
      <c r="I507" s="13"/>
      <c r="J507" s="13"/>
    </row>
    <row r="508" spans="1:17" x14ac:dyDescent="0.25">
      <c r="A508" s="13"/>
      <c r="B508" s="13"/>
      <c r="C508" s="13"/>
      <c r="D508" s="13"/>
      <c r="E508" s="13"/>
      <c r="F508" s="13"/>
      <c r="G508" s="13"/>
      <c r="H508" s="13"/>
      <c r="I508" s="13"/>
      <c r="J508" s="13"/>
    </row>
    <row r="509" spans="1:17" x14ac:dyDescent="0.25">
      <c r="A509" s="13"/>
      <c r="B509" s="13"/>
      <c r="C509" s="13"/>
      <c r="D509" s="13"/>
      <c r="E509" s="13"/>
      <c r="F509" s="13"/>
      <c r="G509" s="13"/>
      <c r="H509" s="13"/>
      <c r="I509" s="13"/>
      <c r="J509" s="13"/>
    </row>
    <row r="510" spans="1:17" x14ac:dyDescent="0.25">
      <c r="A510" s="13"/>
      <c r="B510" s="13"/>
      <c r="C510" s="13"/>
      <c r="D510" s="13"/>
      <c r="E510" s="13"/>
      <c r="F510" s="13"/>
      <c r="G510" s="13"/>
      <c r="H510" s="13"/>
      <c r="I510" s="13"/>
      <c r="J510" s="13"/>
    </row>
    <row r="511" spans="1:17" x14ac:dyDescent="0.25">
      <c r="A511" s="13"/>
      <c r="B511" s="13"/>
      <c r="C511" s="13"/>
      <c r="D511" s="13"/>
      <c r="E511" s="13"/>
      <c r="F511" s="13"/>
      <c r="G511" s="13"/>
      <c r="H511" s="13"/>
      <c r="I511" s="13"/>
      <c r="J511" s="13"/>
    </row>
    <row r="512" spans="1:17" x14ac:dyDescent="0.25">
      <c r="A512" s="13"/>
      <c r="B512" s="13"/>
      <c r="C512" s="13"/>
      <c r="D512" s="13"/>
      <c r="E512" s="13"/>
      <c r="F512" s="13"/>
      <c r="G512" s="13"/>
      <c r="H512" s="13"/>
      <c r="I512" s="13"/>
      <c r="J512" s="13"/>
    </row>
    <row r="513" spans="1:17" x14ac:dyDescent="0.25">
      <c r="A513" s="13"/>
      <c r="B513" s="13"/>
      <c r="C513" s="13"/>
      <c r="D513" s="13"/>
      <c r="E513" s="13"/>
      <c r="F513" s="13"/>
      <c r="G513" s="13"/>
      <c r="H513" s="13"/>
      <c r="I513" s="13"/>
      <c r="J513" s="13"/>
    </row>
    <row r="514" spans="1:17" x14ac:dyDescent="0.25">
      <c r="A514" s="13">
        <f>'Base Data'!A66</f>
        <v>65</v>
      </c>
      <c r="B514" s="13" t="str">
        <f>'Base Data'!B66</f>
        <v>10B</v>
      </c>
      <c r="C514" s="13">
        <f>'Base Data'!C66</f>
        <v>0</v>
      </c>
      <c r="D514" s="13">
        <f>'Base Data'!D66</f>
        <v>89.51</v>
      </c>
      <c r="E514" s="13">
        <f>'Base Data'!E66</f>
        <v>376.43</v>
      </c>
      <c r="F514" s="13">
        <f>'Base Data'!F66</f>
        <v>0</v>
      </c>
      <c r="G514" s="13">
        <f>'Base Data'!G66</f>
        <v>0</v>
      </c>
      <c r="H514" s="13">
        <f>'Base Data'!H66</f>
        <v>0</v>
      </c>
      <c r="I514" s="13">
        <f>'Base Data'!I66</f>
        <v>0</v>
      </c>
      <c r="J514" s="13">
        <f>'Base Data'!J66</f>
        <v>0</v>
      </c>
      <c r="K514" s="13" t="str">
        <f>'Base Data'!K66</f>
        <v/>
      </c>
      <c r="L514" s="13" t="str">
        <f>'Base Data'!L66</f>
        <v/>
      </c>
      <c r="M514" s="13">
        <f>'Base Data'!M66</f>
        <v>0</v>
      </c>
      <c r="N514" s="13" t="str">
        <f>'Base Data'!N66</f>
        <v/>
      </c>
      <c r="O514" s="13" t="str">
        <f>'Base Data'!O66</f>
        <v/>
      </c>
      <c r="P514" s="13" t="str">
        <f>'Base Data'!P66</f>
        <v/>
      </c>
      <c r="Q514" s="13" t="str">
        <f>'Base Data'!Q66</f>
        <v/>
      </c>
    </row>
    <row r="515" spans="1:17" x14ac:dyDescent="0.25">
      <c r="A515" s="13"/>
      <c r="B515" s="13"/>
      <c r="C515" s="13"/>
      <c r="D515" s="13"/>
      <c r="E515" s="13"/>
      <c r="F515" s="13"/>
      <c r="G515" s="13"/>
      <c r="H515" s="13"/>
      <c r="I515" s="13"/>
      <c r="J515" s="13"/>
    </row>
    <row r="516" spans="1:17" x14ac:dyDescent="0.25">
      <c r="A516" s="13"/>
      <c r="B516" s="13"/>
      <c r="C516" s="13"/>
      <c r="D516" s="13"/>
      <c r="E516" s="13"/>
      <c r="F516" s="13"/>
      <c r="G516" s="13"/>
      <c r="H516" s="13"/>
      <c r="I516" s="13"/>
      <c r="J516" s="13"/>
    </row>
    <row r="517" spans="1:17" x14ac:dyDescent="0.25">
      <c r="A517" s="13"/>
      <c r="B517" s="13"/>
      <c r="C517" s="13"/>
      <c r="D517" s="13"/>
      <c r="E517" s="13"/>
      <c r="F517" s="13"/>
      <c r="G517" s="13"/>
      <c r="H517" s="13"/>
      <c r="I517" s="13"/>
      <c r="J517" s="13"/>
    </row>
    <row r="518" spans="1:17" x14ac:dyDescent="0.25">
      <c r="A518" s="13"/>
      <c r="B518" s="13"/>
      <c r="C518" s="13"/>
      <c r="D518" s="13"/>
      <c r="E518" s="13"/>
      <c r="F518" s="13"/>
      <c r="G518" s="13"/>
      <c r="H518" s="13"/>
      <c r="I518" s="13"/>
      <c r="J518" s="13"/>
    </row>
    <row r="519" spans="1:17" x14ac:dyDescent="0.25">
      <c r="A519" s="13"/>
      <c r="B519" s="13"/>
      <c r="C519" s="13"/>
      <c r="D519" s="13"/>
      <c r="E519" s="13"/>
      <c r="F519" s="13"/>
      <c r="G519" s="13"/>
      <c r="H519" s="13"/>
      <c r="I519" s="13"/>
      <c r="J519" s="13"/>
    </row>
    <row r="520" spans="1:17" x14ac:dyDescent="0.25">
      <c r="A520" s="13"/>
      <c r="B520" s="13"/>
      <c r="C520" s="13"/>
      <c r="D520" s="13"/>
      <c r="E520" s="13"/>
      <c r="F520" s="13"/>
      <c r="G520" s="13"/>
      <c r="H520" s="13"/>
      <c r="I520" s="13"/>
      <c r="J520" s="13"/>
    </row>
    <row r="521" spans="1:17" x14ac:dyDescent="0.25">
      <c r="A521" s="13"/>
      <c r="B521" s="13"/>
      <c r="C521" s="13"/>
      <c r="D521" s="13"/>
      <c r="E521" s="13"/>
      <c r="F521" s="13"/>
      <c r="G521" s="13"/>
      <c r="H521" s="13"/>
      <c r="I521" s="13"/>
      <c r="J521" s="13"/>
    </row>
    <row r="522" spans="1:17" x14ac:dyDescent="0.25">
      <c r="A522" s="13">
        <f>'Base Data'!A67</f>
        <v>66</v>
      </c>
      <c r="B522" s="13" t="str">
        <f>'Base Data'!B67</f>
        <v>10C</v>
      </c>
      <c r="C522" s="13">
        <f>'Base Data'!C67</f>
        <v>0</v>
      </c>
      <c r="D522" s="13">
        <f>'Base Data'!D67</f>
        <v>176.11</v>
      </c>
      <c r="E522" s="13">
        <f>'Base Data'!E67</f>
        <v>376.43</v>
      </c>
      <c r="F522" s="13">
        <f>'Base Data'!F67</f>
        <v>0</v>
      </c>
      <c r="G522" s="13">
        <f>'Base Data'!G67</f>
        <v>0</v>
      </c>
      <c r="H522" s="13">
        <f>'Base Data'!H67</f>
        <v>0</v>
      </c>
      <c r="I522" s="13">
        <f>'Base Data'!I67</f>
        <v>0</v>
      </c>
      <c r="J522" s="13">
        <f>'Base Data'!J67</f>
        <v>0</v>
      </c>
      <c r="K522" s="13" t="str">
        <f>'Base Data'!K67</f>
        <v/>
      </c>
      <c r="L522" s="13" t="str">
        <f>'Base Data'!L67</f>
        <v/>
      </c>
      <c r="M522" s="13">
        <f>'Base Data'!M67</f>
        <v>0</v>
      </c>
      <c r="N522" s="13" t="str">
        <f>'Base Data'!N67</f>
        <v/>
      </c>
      <c r="O522" s="13" t="str">
        <f>'Base Data'!O67</f>
        <v/>
      </c>
      <c r="P522" s="13" t="str">
        <f>'Base Data'!P67</f>
        <v/>
      </c>
      <c r="Q522" s="13" t="str">
        <f>'Base Data'!Q67</f>
        <v/>
      </c>
    </row>
    <row r="523" spans="1:17" x14ac:dyDescent="0.25">
      <c r="A523" s="13"/>
      <c r="B523" s="13"/>
      <c r="C523" s="13"/>
      <c r="D523" s="13"/>
      <c r="E523" s="13"/>
      <c r="F523" s="13"/>
      <c r="G523" s="13"/>
      <c r="H523" s="13"/>
      <c r="I523" s="13"/>
      <c r="J523" s="13"/>
    </row>
    <row r="524" spans="1:17" x14ac:dyDescent="0.25">
      <c r="A524" s="13"/>
      <c r="B524" s="13"/>
      <c r="C524" s="13"/>
      <c r="D524" s="13"/>
      <c r="E524" s="13"/>
      <c r="F524" s="13"/>
      <c r="G524" s="13"/>
      <c r="H524" s="13"/>
      <c r="I524" s="13"/>
      <c r="J524" s="13"/>
    </row>
    <row r="525" spans="1:17" x14ac:dyDescent="0.25">
      <c r="A525" s="13"/>
      <c r="B525" s="13"/>
      <c r="C525" s="13"/>
      <c r="D525" s="13"/>
      <c r="E525" s="13"/>
      <c r="F525" s="13"/>
      <c r="G525" s="13"/>
      <c r="H525" s="13"/>
      <c r="I525" s="13"/>
      <c r="J525" s="13"/>
    </row>
    <row r="526" spans="1:17" x14ac:dyDescent="0.25">
      <c r="A526" s="13"/>
      <c r="B526" s="13"/>
      <c r="C526" s="13"/>
      <c r="D526" s="13"/>
      <c r="E526" s="13"/>
      <c r="F526" s="13"/>
      <c r="G526" s="13"/>
      <c r="H526" s="13"/>
      <c r="I526" s="13"/>
      <c r="J526" s="13"/>
    </row>
    <row r="527" spans="1:17" x14ac:dyDescent="0.25">
      <c r="A527" s="13"/>
      <c r="B527" s="13"/>
      <c r="C527" s="13"/>
      <c r="D527" s="13"/>
      <c r="E527" s="13"/>
      <c r="F527" s="13"/>
      <c r="G527" s="13"/>
      <c r="H527" s="13"/>
      <c r="I527" s="13"/>
      <c r="J527" s="13"/>
    </row>
    <row r="528" spans="1:17" x14ac:dyDescent="0.25">
      <c r="A528" s="13"/>
      <c r="B528" s="13"/>
      <c r="C528" s="13"/>
      <c r="D528" s="13"/>
      <c r="E528" s="13"/>
      <c r="F528" s="13"/>
      <c r="G528" s="13"/>
      <c r="H528" s="13"/>
      <c r="I528" s="13"/>
      <c r="J528" s="13"/>
    </row>
    <row r="529" spans="1:17" x14ac:dyDescent="0.25">
      <c r="A529" s="13"/>
      <c r="B529" s="13"/>
      <c r="C529" s="13"/>
      <c r="D529" s="13"/>
      <c r="E529" s="13"/>
      <c r="F529" s="13"/>
      <c r="G529" s="13"/>
      <c r="H529" s="13"/>
      <c r="I529" s="13"/>
      <c r="J529" s="13"/>
    </row>
    <row r="530" spans="1:17" x14ac:dyDescent="0.25">
      <c r="A530" s="13">
        <f>'Base Data'!A68</f>
        <v>67</v>
      </c>
      <c r="B530" s="13" t="str">
        <f>'Base Data'!B68</f>
        <v>10D</v>
      </c>
      <c r="C530" s="13">
        <f>'Base Data'!C68</f>
        <v>0</v>
      </c>
      <c r="D530" s="13">
        <f>'Base Data'!D68</f>
        <v>263.11</v>
      </c>
      <c r="E530" s="13">
        <f>'Base Data'!E68</f>
        <v>376.43</v>
      </c>
      <c r="F530" s="13">
        <f>'Base Data'!F68</f>
        <v>0</v>
      </c>
      <c r="G530" s="13">
        <f>'Base Data'!G68</f>
        <v>0</v>
      </c>
      <c r="H530" s="13">
        <f>'Base Data'!H68</f>
        <v>0</v>
      </c>
      <c r="I530" s="13">
        <f>'Base Data'!I68</f>
        <v>0</v>
      </c>
      <c r="J530" s="13">
        <f>'Base Data'!J68</f>
        <v>0</v>
      </c>
      <c r="K530" s="13" t="str">
        <f>'Base Data'!K68</f>
        <v/>
      </c>
      <c r="L530" s="13" t="str">
        <f>'Base Data'!L68</f>
        <v/>
      </c>
      <c r="M530" s="13">
        <f>'Base Data'!M68</f>
        <v>0</v>
      </c>
      <c r="N530" s="13" t="str">
        <f>'Base Data'!N68</f>
        <v/>
      </c>
      <c r="O530" s="13" t="str">
        <f>'Base Data'!O68</f>
        <v/>
      </c>
      <c r="P530" s="13" t="str">
        <f>'Base Data'!P68</f>
        <v/>
      </c>
      <c r="Q530" s="13" t="str">
        <f>'Base Data'!Q68</f>
        <v/>
      </c>
    </row>
    <row r="531" spans="1:17" x14ac:dyDescent="0.25">
      <c r="A531" s="13"/>
      <c r="B531" s="13"/>
      <c r="C531" s="13"/>
      <c r="D531" s="13"/>
      <c r="E531" s="13"/>
      <c r="F531" s="13"/>
      <c r="G531" s="13"/>
      <c r="H531" s="13"/>
      <c r="I531" s="13"/>
      <c r="J531" s="13"/>
    </row>
    <row r="532" spans="1:17" x14ac:dyDescent="0.25">
      <c r="A532" s="13"/>
      <c r="B532" s="13"/>
      <c r="C532" s="13"/>
      <c r="D532" s="13"/>
      <c r="E532" s="13"/>
      <c r="F532" s="13"/>
      <c r="G532" s="13"/>
      <c r="H532" s="13"/>
      <c r="I532" s="13"/>
      <c r="J532" s="13"/>
    </row>
    <row r="533" spans="1:17" x14ac:dyDescent="0.25">
      <c r="A533" s="13"/>
      <c r="B533" s="13"/>
      <c r="C533" s="13"/>
      <c r="D533" s="13"/>
      <c r="E533" s="13"/>
      <c r="F533" s="13"/>
      <c r="G533" s="13"/>
      <c r="H533" s="13"/>
      <c r="I533" s="13"/>
      <c r="J533" s="13"/>
    </row>
    <row r="534" spans="1:17" x14ac:dyDescent="0.25">
      <c r="A534" s="13"/>
      <c r="B534" s="13"/>
      <c r="C534" s="13"/>
      <c r="D534" s="13"/>
      <c r="E534" s="13"/>
      <c r="F534" s="13"/>
      <c r="G534" s="13"/>
      <c r="H534" s="13"/>
      <c r="I534" s="13"/>
      <c r="J534" s="13"/>
    </row>
    <row r="535" spans="1:17" x14ac:dyDescent="0.25">
      <c r="A535" s="13"/>
      <c r="B535" s="13"/>
      <c r="C535" s="13"/>
      <c r="D535" s="13"/>
      <c r="E535" s="13"/>
      <c r="F535" s="13"/>
      <c r="G535" s="13"/>
      <c r="H535" s="13"/>
      <c r="I535" s="13"/>
      <c r="J535" s="13"/>
    </row>
    <row r="536" spans="1:17" x14ac:dyDescent="0.25">
      <c r="A536" s="13"/>
      <c r="B536" s="13"/>
      <c r="C536" s="13"/>
      <c r="D536" s="13"/>
      <c r="E536" s="13"/>
      <c r="F536" s="13"/>
      <c r="G536" s="13"/>
      <c r="H536" s="13"/>
      <c r="I536" s="13"/>
      <c r="J536" s="13"/>
    </row>
    <row r="537" spans="1:17" x14ac:dyDescent="0.25">
      <c r="A537" s="13"/>
      <c r="B537" s="13"/>
      <c r="C537" s="13"/>
      <c r="D537" s="13"/>
      <c r="E537" s="13"/>
      <c r="F537" s="13"/>
      <c r="G537" s="13"/>
      <c r="H537" s="13"/>
      <c r="I537" s="13"/>
      <c r="J537" s="13"/>
    </row>
    <row r="538" spans="1:17" x14ac:dyDescent="0.25">
      <c r="A538" s="13">
        <f>'Base Data'!A69</f>
        <v>68</v>
      </c>
      <c r="B538" s="13" t="str">
        <f>'Base Data'!B69</f>
        <v>10E</v>
      </c>
      <c r="C538" s="13">
        <f>'Base Data'!C69</f>
        <v>0</v>
      </c>
      <c r="D538" s="13">
        <f>'Base Data'!D69</f>
        <v>349.51</v>
      </c>
      <c r="E538" s="13">
        <f>'Base Data'!E69</f>
        <v>376.43</v>
      </c>
      <c r="F538" s="13">
        <f>'Base Data'!F69</f>
        <v>0</v>
      </c>
      <c r="G538" s="13">
        <f>'Base Data'!G69</f>
        <v>0</v>
      </c>
      <c r="H538" s="13">
        <f>'Base Data'!H69</f>
        <v>0</v>
      </c>
      <c r="I538" s="13">
        <f>'Base Data'!I69</f>
        <v>0</v>
      </c>
      <c r="J538" s="13">
        <f>'Base Data'!J69</f>
        <v>0</v>
      </c>
      <c r="K538" s="13" t="str">
        <f>'Base Data'!K69</f>
        <v/>
      </c>
      <c r="L538" s="13" t="str">
        <f>'Base Data'!L69</f>
        <v/>
      </c>
      <c r="M538" s="13">
        <f>'Base Data'!M69</f>
        <v>0</v>
      </c>
      <c r="N538" s="13" t="str">
        <f>'Base Data'!N69</f>
        <v/>
      </c>
      <c r="O538" s="13" t="str">
        <f>'Base Data'!O69</f>
        <v/>
      </c>
      <c r="P538" s="13" t="str">
        <f>'Base Data'!P69</f>
        <v/>
      </c>
      <c r="Q538" s="13" t="str">
        <f>'Base Data'!Q69</f>
        <v/>
      </c>
    </row>
    <row r="539" spans="1:17" x14ac:dyDescent="0.25">
      <c r="A539" s="13"/>
      <c r="B539" s="13"/>
      <c r="C539" s="13"/>
      <c r="D539" s="13"/>
      <c r="E539" s="13"/>
      <c r="F539" s="13"/>
      <c r="G539" s="13"/>
      <c r="H539" s="13"/>
      <c r="I539" s="13"/>
      <c r="J539" s="13"/>
    </row>
    <row r="540" spans="1:17" x14ac:dyDescent="0.25">
      <c r="A540" s="13"/>
      <c r="B540" s="13"/>
      <c r="C540" s="13"/>
      <c r="D540" s="13"/>
      <c r="E540" s="13"/>
      <c r="F540" s="13"/>
      <c r="G540" s="13"/>
      <c r="H540" s="13"/>
      <c r="I540" s="13"/>
      <c r="J540" s="13"/>
    </row>
    <row r="541" spans="1:17" x14ac:dyDescent="0.25">
      <c r="A541" s="13"/>
      <c r="B541" s="13"/>
      <c r="C541" s="13"/>
      <c r="D541" s="13"/>
      <c r="E541" s="13"/>
      <c r="F541" s="13"/>
      <c r="G541" s="13"/>
      <c r="H541" s="13"/>
      <c r="I541" s="13"/>
      <c r="J541" s="13"/>
    </row>
    <row r="542" spans="1:17" x14ac:dyDescent="0.25">
      <c r="A542" s="13"/>
      <c r="B542" s="13"/>
      <c r="C542" s="13"/>
      <c r="D542" s="13"/>
      <c r="E542" s="13"/>
      <c r="F542" s="13"/>
      <c r="G542" s="13"/>
      <c r="H542" s="13"/>
      <c r="I542" s="13"/>
      <c r="J542" s="13"/>
    </row>
    <row r="543" spans="1:17" x14ac:dyDescent="0.25">
      <c r="A543" s="13"/>
      <c r="B543" s="13"/>
      <c r="C543" s="13"/>
      <c r="D543" s="13"/>
      <c r="E543" s="13"/>
      <c r="F543" s="13"/>
      <c r="G543" s="13"/>
      <c r="H543" s="13"/>
      <c r="I543" s="13"/>
      <c r="J543" s="13"/>
    </row>
    <row r="544" spans="1:17" x14ac:dyDescent="0.25">
      <c r="A544" s="13"/>
      <c r="B544" s="13"/>
      <c r="C544" s="13"/>
      <c r="D544" s="13"/>
      <c r="E544" s="13"/>
      <c r="F544" s="13"/>
      <c r="G544" s="13"/>
      <c r="H544" s="13"/>
      <c r="I544" s="13"/>
      <c r="J544" s="13"/>
    </row>
    <row r="545" spans="1:17" x14ac:dyDescent="0.25">
      <c r="A545" s="13"/>
      <c r="B545" s="13"/>
      <c r="C545" s="13"/>
      <c r="D545" s="13"/>
      <c r="E545" s="13"/>
      <c r="F545" s="13"/>
      <c r="G545" s="13"/>
      <c r="H545" s="13"/>
      <c r="I545" s="13"/>
      <c r="J545" s="13"/>
    </row>
    <row r="546" spans="1:17" x14ac:dyDescent="0.25">
      <c r="A546" s="13">
        <f>'Base Data'!A70</f>
        <v>69</v>
      </c>
      <c r="B546" s="13" t="str">
        <f>'Base Data'!B70</f>
        <v>10F</v>
      </c>
      <c r="C546" s="13">
        <f>'Base Data'!C70</f>
        <v>0</v>
      </c>
      <c r="D546" s="13">
        <f>'Base Data'!D70</f>
        <v>436.11</v>
      </c>
      <c r="E546" s="13">
        <f>'Base Data'!E70</f>
        <v>376.43</v>
      </c>
      <c r="F546" s="13">
        <f>'Base Data'!F70</f>
        <v>0</v>
      </c>
      <c r="G546" s="13">
        <f>'Base Data'!G70</f>
        <v>0</v>
      </c>
      <c r="H546" s="13">
        <f>'Base Data'!H70</f>
        <v>0</v>
      </c>
      <c r="I546" s="13">
        <f>'Base Data'!I70</f>
        <v>0</v>
      </c>
      <c r="J546" s="13">
        <f>'Base Data'!J70</f>
        <v>0</v>
      </c>
      <c r="K546" s="13" t="str">
        <f>'Base Data'!K70</f>
        <v/>
      </c>
      <c r="L546" s="13" t="str">
        <f>'Base Data'!L70</f>
        <v/>
      </c>
      <c r="M546" s="13">
        <f>'Base Data'!M70</f>
        <v>0</v>
      </c>
      <c r="N546" s="13" t="str">
        <f>'Base Data'!N70</f>
        <v/>
      </c>
      <c r="O546" s="13" t="str">
        <f>'Base Data'!O70</f>
        <v/>
      </c>
      <c r="P546" s="13" t="str">
        <f>'Base Data'!P70</f>
        <v/>
      </c>
      <c r="Q546" s="13" t="str">
        <f>'Base Data'!Q70</f>
        <v/>
      </c>
    </row>
    <row r="547" spans="1:17" x14ac:dyDescent="0.25">
      <c r="A547" s="13"/>
      <c r="B547" s="13"/>
      <c r="C547" s="13"/>
      <c r="D547" s="13"/>
      <c r="E547" s="13"/>
      <c r="F547" s="13"/>
      <c r="G547" s="13"/>
      <c r="H547" s="13"/>
      <c r="I547" s="13"/>
      <c r="J547" s="13"/>
    </row>
    <row r="548" spans="1:17" x14ac:dyDescent="0.25">
      <c r="A548" s="13"/>
      <c r="B548" s="13"/>
      <c r="C548" s="13"/>
      <c r="D548" s="13"/>
      <c r="E548" s="13"/>
      <c r="F548" s="13"/>
      <c r="G548" s="13"/>
      <c r="H548" s="13"/>
      <c r="I548" s="13"/>
      <c r="J548" s="13"/>
    </row>
    <row r="549" spans="1:17" x14ac:dyDescent="0.25">
      <c r="A549" s="13"/>
      <c r="B549" s="13"/>
      <c r="C549" s="13"/>
      <c r="D549" s="13"/>
      <c r="E549" s="13"/>
      <c r="F549" s="13"/>
      <c r="G549" s="13"/>
      <c r="H549" s="13"/>
      <c r="I549" s="13"/>
      <c r="J549" s="13"/>
    </row>
    <row r="550" spans="1:17" x14ac:dyDescent="0.25">
      <c r="A550" s="13"/>
      <c r="B550" s="13"/>
      <c r="C550" s="13"/>
      <c r="D550" s="13"/>
      <c r="E550" s="13"/>
      <c r="F550" s="13"/>
      <c r="G550" s="13"/>
      <c r="H550" s="13"/>
      <c r="I550" s="13"/>
      <c r="J550" s="13"/>
    </row>
    <row r="551" spans="1:17" x14ac:dyDescent="0.25">
      <c r="A551" s="13"/>
      <c r="B551" s="13"/>
      <c r="C551" s="13"/>
      <c r="D551" s="13"/>
      <c r="E551" s="13"/>
      <c r="F551" s="13"/>
      <c r="G551" s="13"/>
      <c r="H551" s="13"/>
      <c r="I551" s="13"/>
      <c r="J551" s="13"/>
    </row>
    <row r="552" spans="1:17" x14ac:dyDescent="0.25">
      <c r="A552" s="13"/>
      <c r="B552" s="13"/>
      <c r="C552" s="13"/>
      <c r="D552" s="13"/>
      <c r="E552" s="13"/>
      <c r="F552" s="13"/>
      <c r="G552" s="13"/>
      <c r="H552" s="13"/>
      <c r="I552" s="13"/>
      <c r="J552" s="13"/>
    </row>
    <row r="553" spans="1:17" x14ac:dyDescent="0.25">
      <c r="A553" s="13"/>
      <c r="B553" s="13"/>
      <c r="C553" s="13"/>
      <c r="D553" s="13"/>
      <c r="E553" s="13"/>
      <c r="F553" s="13"/>
      <c r="G553" s="13"/>
      <c r="H553" s="13"/>
      <c r="I553" s="13"/>
      <c r="J553" s="13"/>
    </row>
    <row r="554" spans="1:17" x14ac:dyDescent="0.25">
      <c r="A554" s="13">
        <f>'Base Data'!A71</f>
        <v>70</v>
      </c>
      <c r="B554" s="13" t="str">
        <f>'Base Data'!B71</f>
        <v>10G</v>
      </c>
      <c r="C554" s="13">
        <f>'Base Data'!C71</f>
        <v>0</v>
      </c>
      <c r="D554" s="13">
        <f>'Base Data'!D71</f>
        <v>523.01</v>
      </c>
      <c r="E554" s="13">
        <f>'Base Data'!E71</f>
        <v>376.43</v>
      </c>
      <c r="F554" s="13">
        <f>'Base Data'!F71</f>
        <v>0</v>
      </c>
      <c r="G554" s="13">
        <f>'Base Data'!G71</f>
        <v>0</v>
      </c>
      <c r="H554" s="13">
        <f>'Base Data'!H71</f>
        <v>0</v>
      </c>
      <c r="I554" s="13">
        <f>'Base Data'!I71</f>
        <v>0</v>
      </c>
      <c r="J554" s="13">
        <f>'Base Data'!J71</f>
        <v>0</v>
      </c>
      <c r="K554" s="13" t="str">
        <f>'Base Data'!K71</f>
        <v/>
      </c>
      <c r="L554" s="13" t="str">
        <f>'Base Data'!L71</f>
        <v/>
      </c>
      <c r="M554" s="13">
        <f>'Base Data'!M71</f>
        <v>0</v>
      </c>
      <c r="N554" s="13" t="str">
        <f>'Base Data'!N71</f>
        <v/>
      </c>
      <c r="O554" s="13" t="str">
        <f>'Base Data'!O71</f>
        <v/>
      </c>
      <c r="P554" s="13" t="str">
        <f>'Base Data'!P71</f>
        <v/>
      </c>
      <c r="Q554" s="13" t="str">
        <f>'Base Data'!Q71</f>
        <v/>
      </c>
    </row>
    <row r="555" spans="1:17" x14ac:dyDescent="0.25">
      <c r="A555" s="13"/>
      <c r="B555" s="13"/>
      <c r="C555" s="13"/>
      <c r="D555" s="13"/>
      <c r="E555" s="13"/>
      <c r="F555" s="13"/>
      <c r="G555" s="13"/>
      <c r="H555" s="13"/>
      <c r="I555" s="13"/>
      <c r="J555" s="13"/>
    </row>
    <row r="556" spans="1:17" x14ac:dyDescent="0.25">
      <c r="A556" s="13"/>
      <c r="B556" s="13"/>
      <c r="C556" s="13"/>
      <c r="D556" s="13"/>
      <c r="E556" s="13"/>
      <c r="F556" s="13"/>
      <c r="G556" s="13"/>
      <c r="H556" s="13"/>
      <c r="I556" s="13"/>
      <c r="J556" s="13"/>
    </row>
    <row r="557" spans="1:17" x14ac:dyDescent="0.25">
      <c r="A557" s="13"/>
      <c r="B557" s="13"/>
      <c r="C557" s="13"/>
      <c r="D557" s="13"/>
      <c r="E557" s="13"/>
      <c r="F557" s="13"/>
      <c r="G557" s="13"/>
      <c r="H557" s="13"/>
      <c r="I557" s="13"/>
      <c r="J557" s="13"/>
    </row>
    <row r="558" spans="1:17" x14ac:dyDescent="0.25">
      <c r="A558" s="13"/>
      <c r="B558" s="13"/>
      <c r="C558" s="13"/>
      <c r="D558" s="13"/>
      <c r="E558" s="13"/>
      <c r="F558" s="13"/>
      <c r="G558" s="13"/>
      <c r="H558" s="13"/>
      <c r="I558" s="13"/>
      <c r="J558" s="13"/>
    </row>
    <row r="559" spans="1:17" x14ac:dyDescent="0.25">
      <c r="A559" s="13"/>
      <c r="B559" s="13"/>
      <c r="C559" s="13"/>
      <c r="D559" s="13"/>
      <c r="E559" s="13"/>
      <c r="F559" s="13"/>
      <c r="G559" s="13"/>
      <c r="H559" s="13"/>
      <c r="I559" s="13"/>
      <c r="J559" s="13"/>
    </row>
    <row r="560" spans="1:17" x14ac:dyDescent="0.25">
      <c r="A560" s="13"/>
      <c r="B560" s="13"/>
      <c r="C560" s="13"/>
      <c r="D560" s="13"/>
      <c r="E560" s="13"/>
      <c r="F560" s="13"/>
      <c r="G560" s="13"/>
      <c r="H560" s="13"/>
      <c r="I560" s="13"/>
      <c r="J560" s="13"/>
    </row>
    <row r="561" spans="1:17" x14ac:dyDescent="0.25">
      <c r="A561" s="13"/>
      <c r="B561" s="13"/>
      <c r="C561" s="13"/>
      <c r="D561" s="13"/>
      <c r="E561" s="13"/>
      <c r="F561" s="13"/>
      <c r="G561" s="13"/>
      <c r="H561" s="13"/>
      <c r="I561" s="13"/>
      <c r="J561" s="13"/>
    </row>
    <row r="562" spans="1:17" x14ac:dyDescent="0.25">
      <c r="A562" s="13">
        <f>'Base Data'!A72</f>
        <v>71</v>
      </c>
      <c r="B562" s="13" t="str">
        <f>'Base Data'!B72</f>
        <v>11A</v>
      </c>
      <c r="C562" s="13">
        <f>'Base Data'!C72</f>
        <v>0</v>
      </c>
      <c r="D562" s="13">
        <f>'Base Data'!D72</f>
        <v>1.5099999999999998</v>
      </c>
      <c r="E562" s="13">
        <f>'Base Data'!E72</f>
        <v>412.93</v>
      </c>
      <c r="F562" s="13">
        <f>'Base Data'!F72</f>
        <v>0</v>
      </c>
      <c r="G562" s="13">
        <f>'Base Data'!G72</f>
        <v>0</v>
      </c>
      <c r="H562" s="13">
        <f>'Base Data'!H72</f>
        <v>0</v>
      </c>
      <c r="I562" s="13">
        <f>'Base Data'!I72</f>
        <v>0</v>
      </c>
      <c r="J562" s="13">
        <f>'Base Data'!J72</f>
        <v>0</v>
      </c>
      <c r="K562" s="13" t="str">
        <f>'Base Data'!K72</f>
        <v/>
      </c>
      <c r="L562" s="13" t="str">
        <f>'Base Data'!L72</f>
        <v/>
      </c>
      <c r="M562" s="13">
        <f>'Base Data'!M72</f>
        <v>0</v>
      </c>
      <c r="N562" s="13" t="str">
        <f>'Base Data'!N72</f>
        <v/>
      </c>
      <c r="O562" s="13" t="str">
        <f>'Base Data'!O72</f>
        <v/>
      </c>
      <c r="P562" s="13" t="str">
        <f>'Base Data'!P72</f>
        <v/>
      </c>
      <c r="Q562" s="13" t="str">
        <f>'Base Data'!Q72</f>
        <v/>
      </c>
    </row>
    <row r="563" spans="1:17" x14ac:dyDescent="0.25">
      <c r="A563" s="13"/>
      <c r="B563" s="13"/>
      <c r="C563" s="13"/>
      <c r="D563" s="13"/>
      <c r="E563" s="13"/>
      <c r="F563" s="13"/>
      <c r="G563" s="13"/>
      <c r="H563" s="13"/>
      <c r="I563" s="13"/>
      <c r="J563" s="13"/>
    </row>
    <row r="564" spans="1:17" x14ac:dyDescent="0.25">
      <c r="A564" s="13"/>
      <c r="B564" s="13"/>
      <c r="C564" s="13"/>
      <c r="D564" s="13"/>
      <c r="E564" s="13"/>
      <c r="F564" s="13"/>
      <c r="G564" s="13"/>
      <c r="H564" s="13"/>
      <c r="I564" s="13"/>
      <c r="J564" s="13"/>
    </row>
    <row r="565" spans="1:17" x14ac:dyDescent="0.25">
      <c r="A565" s="13"/>
      <c r="B565" s="13"/>
      <c r="C565" s="13"/>
      <c r="D565" s="13"/>
      <c r="E565" s="13"/>
      <c r="F565" s="13"/>
      <c r="G565" s="13"/>
      <c r="H565" s="13"/>
      <c r="I565" s="13"/>
      <c r="J565" s="13"/>
    </row>
    <row r="566" spans="1:17" x14ac:dyDescent="0.25">
      <c r="A566" s="13"/>
      <c r="B566" s="13"/>
      <c r="C566" s="13"/>
      <c r="D566" s="13"/>
      <c r="E566" s="13"/>
      <c r="F566" s="13"/>
      <c r="G566" s="13"/>
      <c r="H566" s="13"/>
      <c r="I566" s="13"/>
      <c r="J566" s="13"/>
    </row>
    <row r="567" spans="1:17" x14ac:dyDescent="0.25">
      <c r="A567" s="13"/>
      <c r="B567" s="13"/>
      <c r="C567" s="13"/>
      <c r="D567" s="13"/>
      <c r="E567" s="13"/>
      <c r="F567" s="13"/>
      <c r="G567" s="13"/>
      <c r="H567" s="13"/>
      <c r="I567" s="13"/>
      <c r="J567" s="13"/>
    </row>
    <row r="568" spans="1:17" x14ac:dyDescent="0.25">
      <c r="A568" s="13"/>
      <c r="B568" s="13"/>
      <c r="C568" s="13"/>
      <c r="D568" s="13"/>
      <c r="E568" s="13"/>
      <c r="F568" s="13"/>
      <c r="G568" s="13"/>
      <c r="H568" s="13"/>
      <c r="I568" s="13"/>
      <c r="J568" s="13"/>
    </row>
    <row r="569" spans="1:17" x14ac:dyDescent="0.25">
      <c r="A569" s="13"/>
      <c r="B569" s="13"/>
      <c r="C569" s="13"/>
      <c r="D569" s="13"/>
      <c r="E569" s="13"/>
      <c r="F569" s="13"/>
      <c r="G569" s="13"/>
      <c r="H569" s="13"/>
      <c r="I569" s="13"/>
      <c r="J569" s="13"/>
    </row>
    <row r="570" spans="1:17" x14ac:dyDescent="0.25">
      <c r="A570" s="13">
        <f>'Base Data'!A73</f>
        <v>72</v>
      </c>
      <c r="B570" s="13" t="str">
        <f>'Base Data'!B73</f>
        <v>11B</v>
      </c>
      <c r="C570" s="13">
        <f>'Base Data'!C73</f>
        <v>0</v>
      </c>
      <c r="D570" s="13">
        <f>'Base Data'!D73</f>
        <v>89.51</v>
      </c>
      <c r="E570" s="13">
        <f>'Base Data'!E73</f>
        <v>412.93</v>
      </c>
      <c r="F570" s="13">
        <f>'Base Data'!F73</f>
        <v>0</v>
      </c>
      <c r="G570" s="13">
        <f>'Base Data'!G73</f>
        <v>0</v>
      </c>
      <c r="H570" s="13">
        <f>'Base Data'!H73</f>
        <v>0</v>
      </c>
      <c r="I570" s="13">
        <f>'Base Data'!I73</f>
        <v>0</v>
      </c>
      <c r="J570" s="13">
        <f>'Base Data'!J73</f>
        <v>0</v>
      </c>
      <c r="K570" s="13" t="str">
        <f>'Base Data'!K73</f>
        <v/>
      </c>
      <c r="L570" s="13" t="str">
        <f>'Base Data'!L73</f>
        <v/>
      </c>
      <c r="M570" s="13">
        <f>'Base Data'!M73</f>
        <v>0</v>
      </c>
      <c r="N570" s="13" t="str">
        <f>'Base Data'!N73</f>
        <v/>
      </c>
      <c r="O570" s="13" t="str">
        <f>'Base Data'!O73</f>
        <v/>
      </c>
      <c r="P570" s="13" t="str">
        <f>'Base Data'!P73</f>
        <v/>
      </c>
      <c r="Q570" s="13" t="str">
        <f>'Base Data'!Q73</f>
        <v/>
      </c>
    </row>
    <row r="571" spans="1:17" x14ac:dyDescent="0.25">
      <c r="A571" s="13"/>
      <c r="B571" s="13"/>
      <c r="C571" s="13"/>
      <c r="D571" s="13"/>
      <c r="E571" s="13"/>
      <c r="F571" s="13"/>
      <c r="G571" s="13"/>
      <c r="H571" s="13"/>
      <c r="I571" s="13"/>
      <c r="J571" s="13"/>
    </row>
    <row r="572" spans="1:17" x14ac:dyDescent="0.25">
      <c r="A572" s="13"/>
      <c r="B572" s="13"/>
      <c r="C572" s="13"/>
      <c r="D572" s="13"/>
      <c r="E572" s="13"/>
      <c r="F572" s="13"/>
      <c r="G572" s="13"/>
      <c r="H572" s="13"/>
      <c r="I572" s="13"/>
      <c r="J572" s="13"/>
    </row>
    <row r="573" spans="1:17" x14ac:dyDescent="0.25">
      <c r="A573" s="13"/>
      <c r="B573" s="13"/>
      <c r="C573" s="13"/>
      <c r="D573" s="13"/>
      <c r="E573" s="13"/>
      <c r="F573" s="13"/>
      <c r="G573" s="13"/>
      <c r="H573" s="13"/>
      <c r="I573" s="13"/>
      <c r="J573" s="13"/>
    </row>
    <row r="574" spans="1:17" x14ac:dyDescent="0.25">
      <c r="A574" s="13"/>
      <c r="B574" s="13"/>
      <c r="C574" s="13"/>
      <c r="D574" s="13"/>
      <c r="E574" s="13"/>
      <c r="F574" s="13"/>
      <c r="G574" s="13"/>
      <c r="H574" s="13"/>
      <c r="I574" s="13"/>
      <c r="J574" s="13"/>
    </row>
    <row r="575" spans="1:17" x14ac:dyDescent="0.25">
      <c r="A575" s="13"/>
      <c r="B575" s="13"/>
      <c r="C575" s="13"/>
      <c r="D575" s="13"/>
      <c r="E575" s="13"/>
      <c r="F575" s="13"/>
      <c r="G575" s="13"/>
      <c r="H575" s="13"/>
      <c r="I575" s="13"/>
      <c r="J575" s="13"/>
    </row>
    <row r="576" spans="1:17" x14ac:dyDescent="0.25">
      <c r="A576" s="13"/>
      <c r="B576" s="13"/>
      <c r="C576" s="13"/>
      <c r="D576" s="13"/>
      <c r="E576" s="13"/>
      <c r="F576" s="13"/>
      <c r="G576" s="13"/>
      <c r="H576" s="13"/>
      <c r="I576" s="13"/>
      <c r="J576" s="13"/>
    </row>
    <row r="577" spans="1:17" x14ac:dyDescent="0.25">
      <c r="A577" s="13"/>
      <c r="B577" s="13"/>
      <c r="C577" s="13"/>
      <c r="D577" s="13"/>
      <c r="E577" s="13"/>
      <c r="F577" s="13"/>
      <c r="G577" s="13"/>
      <c r="H577" s="13"/>
      <c r="I577" s="13"/>
      <c r="J577" s="13"/>
    </row>
    <row r="578" spans="1:17" x14ac:dyDescent="0.25">
      <c r="A578" s="13">
        <f>'Base Data'!A74</f>
        <v>73</v>
      </c>
      <c r="B578" s="13" t="str">
        <f>'Base Data'!B74</f>
        <v>11C</v>
      </c>
      <c r="C578" s="13">
        <f>'Base Data'!C74</f>
        <v>0</v>
      </c>
      <c r="D578" s="13">
        <f>'Base Data'!D74</f>
        <v>176.11</v>
      </c>
      <c r="E578" s="13">
        <f>'Base Data'!E74</f>
        <v>412.93</v>
      </c>
      <c r="F578" s="13">
        <f>'Base Data'!F74</f>
        <v>0</v>
      </c>
      <c r="G578" s="13">
        <f>'Base Data'!G74</f>
        <v>0</v>
      </c>
      <c r="H578" s="13">
        <f>'Base Data'!H74</f>
        <v>0</v>
      </c>
      <c r="I578" s="13">
        <f>'Base Data'!I74</f>
        <v>0</v>
      </c>
      <c r="J578" s="13">
        <f>'Base Data'!J74</f>
        <v>0</v>
      </c>
      <c r="K578" s="13" t="str">
        <f>'Base Data'!K74</f>
        <v/>
      </c>
      <c r="L578" s="13" t="str">
        <f>'Base Data'!L74</f>
        <v/>
      </c>
      <c r="M578" s="13">
        <f>'Base Data'!M74</f>
        <v>0</v>
      </c>
      <c r="N578" s="13" t="str">
        <f>'Base Data'!N74</f>
        <v/>
      </c>
      <c r="O578" s="13" t="str">
        <f>'Base Data'!O74</f>
        <v/>
      </c>
      <c r="P578" s="13" t="str">
        <f>'Base Data'!P74</f>
        <v/>
      </c>
      <c r="Q578" s="13" t="str">
        <f>'Base Data'!Q74</f>
        <v/>
      </c>
    </row>
    <row r="579" spans="1:17" x14ac:dyDescent="0.25">
      <c r="A579" s="13"/>
      <c r="B579" s="13"/>
      <c r="C579" s="13"/>
      <c r="D579" s="13"/>
      <c r="E579" s="13"/>
      <c r="F579" s="13"/>
      <c r="G579" s="13"/>
      <c r="H579" s="13"/>
      <c r="I579" s="13"/>
      <c r="J579" s="13"/>
    </row>
    <row r="580" spans="1:17" x14ac:dyDescent="0.25">
      <c r="A580" s="13"/>
      <c r="B580" s="13"/>
      <c r="C580" s="13"/>
      <c r="D580" s="13"/>
      <c r="E580" s="13"/>
      <c r="F580" s="13"/>
      <c r="G580" s="13"/>
      <c r="H580" s="13"/>
      <c r="I580" s="13"/>
      <c r="J580" s="13"/>
    </row>
    <row r="581" spans="1:17" x14ac:dyDescent="0.25">
      <c r="A581" s="13"/>
      <c r="B581" s="13"/>
      <c r="C581" s="13"/>
      <c r="D581" s="13"/>
      <c r="E581" s="13"/>
      <c r="F581" s="13"/>
      <c r="G581" s="13"/>
      <c r="H581" s="13"/>
      <c r="I581" s="13"/>
      <c r="J581" s="13"/>
    </row>
    <row r="582" spans="1:17" x14ac:dyDescent="0.25">
      <c r="A582" s="13"/>
      <c r="B582" s="13"/>
      <c r="C582" s="13"/>
      <c r="D582" s="13"/>
      <c r="E582" s="13"/>
      <c r="F582" s="13"/>
      <c r="G582" s="13"/>
      <c r="H582" s="13"/>
      <c r="I582" s="13"/>
      <c r="J582" s="13"/>
    </row>
    <row r="583" spans="1:17" x14ac:dyDescent="0.25">
      <c r="A583" s="13"/>
      <c r="B583" s="13"/>
      <c r="C583" s="13"/>
      <c r="D583" s="13"/>
      <c r="E583" s="13"/>
      <c r="F583" s="13"/>
      <c r="G583" s="13"/>
      <c r="H583" s="13"/>
      <c r="I583" s="13"/>
      <c r="J583" s="13"/>
    </row>
    <row r="584" spans="1:17" x14ac:dyDescent="0.25">
      <c r="A584" s="13"/>
      <c r="B584" s="13"/>
      <c r="C584" s="13"/>
      <c r="D584" s="13"/>
      <c r="E584" s="13"/>
      <c r="F584" s="13"/>
      <c r="G584" s="13"/>
      <c r="H584" s="13"/>
      <c r="I584" s="13"/>
      <c r="J584" s="13"/>
    </row>
    <row r="585" spans="1:17" x14ac:dyDescent="0.25">
      <c r="A585" s="13"/>
      <c r="B585" s="13"/>
      <c r="C585" s="13"/>
      <c r="D585" s="13"/>
      <c r="E585" s="13"/>
      <c r="F585" s="13"/>
      <c r="G585" s="13"/>
      <c r="H585" s="13"/>
      <c r="I585" s="13"/>
      <c r="J585" s="13"/>
    </row>
    <row r="586" spans="1:17" x14ac:dyDescent="0.25">
      <c r="A586" s="13">
        <f>'Base Data'!A75</f>
        <v>74</v>
      </c>
      <c r="B586" s="13" t="str">
        <f>'Base Data'!B75</f>
        <v>11D</v>
      </c>
      <c r="C586" s="13">
        <f>'Base Data'!C75</f>
        <v>0</v>
      </c>
      <c r="D586" s="13">
        <f>'Base Data'!D75</f>
        <v>263.11</v>
      </c>
      <c r="E586" s="13">
        <f>'Base Data'!E75</f>
        <v>412.93</v>
      </c>
      <c r="F586" s="13">
        <f>'Base Data'!F75</f>
        <v>0</v>
      </c>
      <c r="G586" s="13">
        <f>'Base Data'!G75</f>
        <v>0</v>
      </c>
      <c r="H586" s="13">
        <f>'Base Data'!H75</f>
        <v>0</v>
      </c>
      <c r="I586" s="13">
        <f>'Base Data'!I75</f>
        <v>0</v>
      </c>
      <c r="J586" s="13">
        <f>'Base Data'!J75</f>
        <v>0</v>
      </c>
      <c r="K586" s="13" t="str">
        <f>'Base Data'!K75</f>
        <v/>
      </c>
      <c r="L586" s="13" t="str">
        <f>'Base Data'!L75</f>
        <v/>
      </c>
      <c r="M586" s="13">
        <f>'Base Data'!M75</f>
        <v>0</v>
      </c>
      <c r="N586" s="13" t="str">
        <f>'Base Data'!N75</f>
        <v/>
      </c>
      <c r="O586" s="13" t="str">
        <f>'Base Data'!O75</f>
        <v/>
      </c>
      <c r="P586" s="13" t="str">
        <f>'Base Data'!P75</f>
        <v/>
      </c>
      <c r="Q586" s="13" t="str">
        <f>'Base Data'!Q75</f>
        <v/>
      </c>
    </row>
    <row r="587" spans="1:17" x14ac:dyDescent="0.25">
      <c r="A587" s="13"/>
      <c r="B587" s="13"/>
      <c r="C587" s="13"/>
      <c r="D587" s="13"/>
      <c r="E587" s="13"/>
      <c r="F587" s="13"/>
      <c r="G587" s="13"/>
      <c r="H587" s="13"/>
      <c r="I587" s="13"/>
      <c r="J587" s="13"/>
    </row>
    <row r="588" spans="1:17" x14ac:dyDescent="0.25">
      <c r="A588" s="13"/>
      <c r="B588" s="13"/>
      <c r="C588" s="13"/>
      <c r="D588" s="13"/>
      <c r="E588" s="13"/>
      <c r="F588" s="13"/>
      <c r="G588" s="13"/>
      <c r="H588" s="13"/>
      <c r="I588" s="13"/>
      <c r="J588" s="13"/>
    </row>
    <row r="589" spans="1:17" x14ac:dyDescent="0.25">
      <c r="A589" s="13"/>
      <c r="B589" s="13"/>
      <c r="C589" s="13"/>
      <c r="D589" s="13"/>
      <c r="E589" s="13"/>
      <c r="F589" s="13"/>
      <c r="G589" s="13"/>
      <c r="H589" s="13"/>
      <c r="I589" s="13"/>
      <c r="J589" s="13"/>
    </row>
    <row r="590" spans="1:17" x14ac:dyDescent="0.25">
      <c r="A590" s="13"/>
      <c r="B590" s="13"/>
      <c r="C590" s="13"/>
      <c r="D590" s="13"/>
      <c r="E590" s="13"/>
      <c r="F590" s="13"/>
      <c r="G590" s="13"/>
      <c r="H590" s="13"/>
      <c r="I590" s="13"/>
      <c r="J590" s="13"/>
    </row>
    <row r="591" spans="1:17" x14ac:dyDescent="0.25">
      <c r="A591" s="13"/>
      <c r="B591" s="13"/>
      <c r="C591" s="13"/>
      <c r="D591" s="13"/>
      <c r="E591" s="13"/>
      <c r="F591" s="13"/>
      <c r="G591" s="13"/>
      <c r="H591" s="13"/>
      <c r="I591" s="13"/>
      <c r="J591" s="13"/>
    </row>
    <row r="592" spans="1:17" x14ac:dyDescent="0.25">
      <c r="A592" s="13"/>
      <c r="B592" s="13"/>
      <c r="C592" s="13"/>
      <c r="D592" s="13"/>
      <c r="E592" s="13"/>
      <c r="F592" s="13"/>
      <c r="G592" s="13"/>
      <c r="H592" s="13"/>
      <c r="I592" s="13"/>
      <c r="J592" s="13"/>
    </row>
    <row r="593" spans="1:17" x14ac:dyDescent="0.25">
      <c r="A593" s="13"/>
      <c r="B593" s="13"/>
      <c r="C593" s="13"/>
      <c r="D593" s="13"/>
      <c r="E593" s="13"/>
      <c r="F593" s="13"/>
      <c r="G593" s="13"/>
      <c r="H593" s="13"/>
      <c r="I593" s="13"/>
      <c r="J593" s="13"/>
    </row>
    <row r="594" spans="1:17" x14ac:dyDescent="0.25">
      <c r="A594" s="13">
        <f>'Base Data'!A76</f>
        <v>75</v>
      </c>
      <c r="B594" s="13" t="str">
        <f>'Base Data'!B76</f>
        <v>11E</v>
      </c>
      <c r="C594" s="13">
        <f>'Base Data'!C76</f>
        <v>0</v>
      </c>
      <c r="D594" s="13">
        <f>'Base Data'!D76</f>
        <v>349.51</v>
      </c>
      <c r="E594" s="13">
        <f>'Base Data'!E76</f>
        <v>412.93</v>
      </c>
      <c r="F594" s="13">
        <f>'Base Data'!F76</f>
        <v>0</v>
      </c>
      <c r="G594" s="13">
        <f>'Base Data'!G76</f>
        <v>0</v>
      </c>
      <c r="H594" s="13">
        <f>'Base Data'!H76</f>
        <v>0</v>
      </c>
      <c r="I594" s="13">
        <f>'Base Data'!I76</f>
        <v>0</v>
      </c>
      <c r="J594" s="13">
        <f>'Base Data'!J76</f>
        <v>0</v>
      </c>
      <c r="K594" s="13" t="str">
        <f>'Base Data'!K76</f>
        <v/>
      </c>
      <c r="L594" s="13" t="str">
        <f>'Base Data'!L76</f>
        <v/>
      </c>
      <c r="M594" s="13">
        <f>'Base Data'!M76</f>
        <v>0</v>
      </c>
      <c r="N594" s="13" t="str">
        <f>'Base Data'!N76</f>
        <v/>
      </c>
      <c r="O594" s="13" t="str">
        <f>'Base Data'!O76</f>
        <v/>
      </c>
      <c r="P594" s="13" t="str">
        <f>'Base Data'!P76</f>
        <v/>
      </c>
      <c r="Q594" s="13" t="str">
        <f>'Base Data'!Q76</f>
        <v/>
      </c>
    </row>
    <row r="595" spans="1:17" x14ac:dyDescent="0.25">
      <c r="A595" s="13"/>
      <c r="B595" s="13"/>
      <c r="C595" s="13"/>
      <c r="D595" s="13"/>
      <c r="E595" s="13"/>
      <c r="F595" s="13"/>
      <c r="G595" s="13"/>
      <c r="H595" s="13"/>
      <c r="I595" s="13"/>
      <c r="J595" s="13"/>
    </row>
    <row r="596" spans="1:17" x14ac:dyDescent="0.25">
      <c r="A596" s="13"/>
      <c r="B596" s="13"/>
      <c r="C596" s="13"/>
      <c r="D596" s="13"/>
      <c r="E596" s="13"/>
      <c r="F596" s="13"/>
      <c r="G596" s="13"/>
      <c r="H596" s="13"/>
      <c r="I596" s="13"/>
      <c r="J596" s="13"/>
    </row>
    <row r="597" spans="1:17" x14ac:dyDescent="0.25">
      <c r="A597" s="13"/>
      <c r="B597" s="13"/>
      <c r="C597" s="13"/>
      <c r="D597" s="13"/>
      <c r="E597" s="13"/>
      <c r="F597" s="13"/>
      <c r="G597" s="13"/>
      <c r="H597" s="13"/>
      <c r="I597" s="13"/>
      <c r="J597" s="13"/>
    </row>
    <row r="598" spans="1:17" x14ac:dyDescent="0.25">
      <c r="A598" s="13"/>
      <c r="B598" s="13"/>
      <c r="C598" s="13"/>
      <c r="D598" s="13"/>
      <c r="E598" s="13"/>
      <c r="F598" s="13"/>
      <c r="G598" s="13"/>
      <c r="H598" s="13"/>
      <c r="I598" s="13"/>
      <c r="J598" s="13"/>
    </row>
    <row r="599" spans="1:17" x14ac:dyDescent="0.25">
      <c r="A599" s="13"/>
      <c r="B599" s="13"/>
      <c r="C599" s="13"/>
      <c r="D599" s="13"/>
      <c r="E599" s="13"/>
      <c r="F599" s="13"/>
      <c r="G599" s="13"/>
      <c r="H599" s="13"/>
      <c r="I599" s="13"/>
      <c r="J599" s="13"/>
    </row>
    <row r="600" spans="1:17" x14ac:dyDescent="0.25">
      <c r="A600" s="13"/>
      <c r="B600" s="13"/>
      <c r="C600" s="13"/>
      <c r="D600" s="13"/>
      <c r="E600" s="13"/>
      <c r="F600" s="13"/>
      <c r="G600" s="13"/>
      <c r="H600" s="13"/>
      <c r="I600" s="13"/>
      <c r="J600" s="13"/>
    </row>
    <row r="601" spans="1:17" x14ac:dyDescent="0.25">
      <c r="A601" s="13"/>
      <c r="B601" s="13"/>
      <c r="C601" s="13"/>
      <c r="D601" s="13"/>
      <c r="E601" s="13"/>
      <c r="F601" s="13"/>
      <c r="G601" s="13"/>
      <c r="H601" s="13"/>
      <c r="I601" s="13"/>
      <c r="J601" s="13"/>
    </row>
    <row r="602" spans="1:17" x14ac:dyDescent="0.25">
      <c r="A602" s="13">
        <f>'Base Data'!A77</f>
        <v>76</v>
      </c>
      <c r="B602" s="13" t="str">
        <f>'Base Data'!B77</f>
        <v>11F</v>
      </c>
      <c r="C602" s="13">
        <f>'Base Data'!C77</f>
        <v>0</v>
      </c>
      <c r="D602" s="13">
        <f>'Base Data'!D77</f>
        <v>436.11</v>
      </c>
      <c r="E602" s="13">
        <f>'Base Data'!E77</f>
        <v>412.93</v>
      </c>
      <c r="F602" s="13">
        <f>'Base Data'!F77</f>
        <v>0</v>
      </c>
      <c r="G602" s="13">
        <f>'Base Data'!G77</f>
        <v>0</v>
      </c>
      <c r="H602" s="13">
        <f>'Base Data'!H77</f>
        <v>0</v>
      </c>
      <c r="I602" s="13">
        <f>'Base Data'!I77</f>
        <v>0</v>
      </c>
      <c r="J602" s="13">
        <f>'Base Data'!J77</f>
        <v>0</v>
      </c>
      <c r="K602" s="13" t="str">
        <f>'Base Data'!K77</f>
        <v/>
      </c>
      <c r="L602" s="13" t="str">
        <f>'Base Data'!L77</f>
        <v/>
      </c>
      <c r="M602" s="13">
        <f>'Base Data'!M77</f>
        <v>0</v>
      </c>
      <c r="N602" s="13" t="str">
        <f>'Base Data'!N77</f>
        <v/>
      </c>
      <c r="O602" s="13" t="str">
        <f>'Base Data'!O77</f>
        <v/>
      </c>
      <c r="P602" s="13" t="str">
        <f>'Base Data'!P77</f>
        <v/>
      </c>
      <c r="Q602" s="13" t="str">
        <f>'Base Data'!Q77</f>
        <v/>
      </c>
    </row>
    <row r="603" spans="1:17" x14ac:dyDescent="0.25">
      <c r="A603" s="13"/>
      <c r="B603" s="13"/>
      <c r="C603" s="13"/>
      <c r="D603" s="13"/>
      <c r="E603" s="13"/>
      <c r="F603" s="13"/>
      <c r="G603" s="13"/>
      <c r="H603" s="13"/>
      <c r="I603" s="13"/>
      <c r="J603" s="13"/>
    </row>
    <row r="604" spans="1:17" x14ac:dyDescent="0.25">
      <c r="A604" s="13"/>
      <c r="B604" s="13"/>
      <c r="C604" s="13"/>
      <c r="D604" s="13"/>
      <c r="E604" s="13"/>
      <c r="F604" s="13"/>
      <c r="G604" s="13"/>
      <c r="H604" s="13"/>
      <c r="I604" s="13"/>
      <c r="J604" s="13"/>
    </row>
    <row r="605" spans="1:17" x14ac:dyDescent="0.25">
      <c r="A605" s="13"/>
      <c r="B605" s="13"/>
      <c r="C605" s="13"/>
      <c r="D605" s="13"/>
      <c r="E605" s="13"/>
      <c r="F605" s="13"/>
      <c r="G605" s="13"/>
      <c r="H605" s="13"/>
      <c r="I605" s="13"/>
      <c r="J605" s="13"/>
    </row>
    <row r="606" spans="1:17" x14ac:dyDescent="0.25">
      <c r="A606" s="13"/>
      <c r="B606" s="13"/>
      <c r="C606" s="13"/>
      <c r="D606" s="13"/>
      <c r="E606" s="13"/>
      <c r="F606" s="13"/>
      <c r="G606" s="13"/>
      <c r="H606" s="13"/>
      <c r="I606" s="13"/>
      <c r="J606" s="13"/>
    </row>
    <row r="607" spans="1:17" x14ac:dyDescent="0.25">
      <c r="A607" s="13"/>
      <c r="B607" s="13"/>
      <c r="C607" s="13"/>
      <c r="D607" s="13"/>
      <c r="E607" s="13"/>
      <c r="F607" s="13"/>
      <c r="G607" s="13"/>
      <c r="H607" s="13"/>
      <c r="I607" s="13"/>
      <c r="J607" s="13"/>
    </row>
    <row r="608" spans="1:17" x14ac:dyDescent="0.25">
      <c r="A608" s="13"/>
      <c r="B608" s="13"/>
      <c r="C608" s="13"/>
      <c r="D608" s="13"/>
      <c r="E608" s="13"/>
      <c r="F608" s="13"/>
      <c r="G608" s="13"/>
      <c r="H608" s="13"/>
      <c r="I608" s="13"/>
      <c r="J608" s="13"/>
    </row>
    <row r="609" spans="1:17" x14ac:dyDescent="0.25">
      <c r="A609" s="13"/>
      <c r="B609" s="13"/>
      <c r="C609" s="13"/>
      <c r="D609" s="13"/>
      <c r="E609" s="13"/>
      <c r="F609" s="13"/>
      <c r="G609" s="13"/>
      <c r="H609" s="13"/>
      <c r="I609" s="13"/>
      <c r="J609" s="13"/>
    </row>
    <row r="610" spans="1:17" x14ac:dyDescent="0.25">
      <c r="A610" s="13">
        <f>'Base Data'!A78</f>
        <v>77</v>
      </c>
      <c r="B610" s="13" t="str">
        <f>'Base Data'!B78</f>
        <v>11G</v>
      </c>
      <c r="C610" s="13">
        <f>'Base Data'!C78</f>
        <v>0</v>
      </c>
      <c r="D610" s="13">
        <f>'Base Data'!D78</f>
        <v>523.01</v>
      </c>
      <c r="E610" s="13">
        <f>'Base Data'!E78</f>
        <v>412.93</v>
      </c>
      <c r="F610" s="13">
        <f>'Base Data'!F78</f>
        <v>0</v>
      </c>
      <c r="G610" s="13">
        <f>'Base Data'!G78</f>
        <v>0</v>
      </c>
      <c r="H610" s="13">
        <f>'Base Data'!H78</f>
        <v>0</v>
      </c>
      <c r="I610" s="13">
        <f>'Base Data'!I78</f>
        <v>0</v>
      </c>
      <c r="J610" s="13">
        <f>'Base Data'!J78</f>
        <v>0</v>
      </c>
      <c r="K610" s="13" t="str">
        <f>'Base Data'!K78</f>
        <v/>
      </c>
      <c r="L610" s="13" t="str">
        <f>'Base Data'!L78</f>
        <v/>
      </c>
      <c r="M610" s="13">
        <f>'Base Data'!M78</f>
        <v>0</v>
      </c>
      <c r="N610" s="13" t="str">
        <f>'Base Data'!N78</f>
        <v/>
      </c>
      <c r="O610" s="13" t="str">
        <f>'Base Data'!O78</f>
        <v/>
      </c>
      <c r="P610" s="13" t="str">
        <f>'Base Data'!P78</f>
        <v/>
      </c>
      <c r="Q610" s="13" t="str">
        <f>'Base Data'!Q78</f>
        <v/>
      </c>
    </row>
    <row r="611" spans="1:17" x14ac:dyDescent="0.25">
      <c r="A611" s="13"/>
      <c r="B611" s="13"/>
      <c r="C611" s="13"/>
      <c r="D611" s="13"/>
      <c r="E611" s="13"/>
      <c r="F611" s="13"/>
      <c r="G611" s="13"/>
      <c r="H611" s="13"/>
      <c r="I611" s="13"/>
      <c r="J611" s="13"/>
    </row>
    <row r="612" spans="1:17" x14ac:dyDescent="0.25">
      <c r="A612" s="13"/>
      <c r="B612" s="13"/>
      <c r="C612" s="13"/>
      <c r="D612" s="13"/>
      <c r="E612" s="13"/>
      <c r="F612" s="13"/>
      <c r="G612" s="13"/>
      <c r="H612" s="13"/>
      <c r="I612" s="13"/>
      <c r="J612" s="13"/>
    </row>
    <row r="613" spans="1:17" x14ac:dyDescent="0.25">
      <c r="A613" s="13"/>
      <c r="B613" s="13"/>
      <c r="C613" s="13"/>
      <c r="D613" s="13"/>
      <c r="E613" s="13"/>
      <c r="F613" s="13"/>
      <c r="G613" s="13"/>
      <c r="H613" s="13"/>
      <c r="I613" s="13"/>
      <c r="J613" s="13"/>
    </row>
    <row r="614" spans="1:17" x14ac:dyDescent="0.25">
      <c r="A614" s="13"/>
      <c r="B614" s="13"/>
      <c r="C614" s="13"/>
      <c r="D614" s="13"/>
      <c r="E614" s="13"/>
      <c r="F614" s="13"/>
      <c r="G614" s="13"/>
      <c r="H614" s="13"/>
      <c r="I614" s="13"/>
      <c r="J614" s="13"/>
    </row>
    <row r="615" spans="1:17" x14ac:dyDescent="0.25">
      <c r="A615" s="13"/>
      <c r="B615" s="13"/>
      <c r="C615" s="13"/>
      <c r="D615" s="13"/>
      <c r="E615" s="13"/>
      <c r="F615" s="13"/>
      <c r="G615" s="13"/>
      <c r="H615" s="13"/>
      <c r="I615" s="13"/>
      <c r="J615" s="13"/>
    </row>
    <row r="616" spans="1:17" x14ac:dyDescent="0.25">
      <c r="A616" s="13"/>
      <c r="B616" s="13"/>
      <c r="C616" s="13"/>
      <c r="D616" s="13"/>
      <c r="E616" s="13"/>
      <c r="F616" s="13"/>
      <c r="G616" s="13"/>
      <c r="H616" s="13"/>
      <c r="I616" s="13"/>
      <c r="J616" s="13"/>
    </row>
    <row r="617" spans="1:17" x14ac:dyDescent="0.25">
      <c r="A617" s="13"/>
      <c r="B617" s="13"/>
      <c r="C617" s="13"/>
      <c r="D617" s="13"/>
      <c r="E617" s="13"/>
      <c r="F617" s="13"/>
      <c r="G617" s="13"/>
      <c r="H617" s="13"/>
      <c r="I617" s="13"/>
      <c r="J617" s="13"/>
    </row>
    <row r="618" spans="1:17" x14ac:dyDescent="0.25">
      <c r="A618" s="13">
        <f>'Base Data'!A79</f>
        <v>78</v>
      </c>
      <c r="B618" s="13" t="str">
        <f>'Base Data'!B79</f>
        <v>12A</v>
      </c>
      <c r="C618" s="13">
        <f>'Base Data'!C79</f>
        <v>0</v>
      </c>
      <c r="D618" s="13">
        <f>'Base Data'!D79</f>
        <v>1.5099999999999998</v>
      </c>
      <c r="E618" s="13">
        <f>'Base Data'!E79</f>
        <v>449.53000000000003</v>
      </c>
      <c r="F618" s="13">
        <f>'Base Data'!F79</f>
        <v>0</v>
      </c>
      <c r="G618" s="13">
        <f>'Base Data'!G79</f>
        <v>0</v>
      </c>
      <c r="H618" s="13">
        <f>'Base Data'!H79</f>
        <v>0</v>
      </c>
      <c r="I618" s="13">
        <f>'Base Data'!I79</f>
        <v>0</v>
      </c>
      <c r="J618" s="13">
        <f>'Base Data'!J79</f>
        <v>0</v>
      </c>
      <c r="K618" s="13" t="str">
        <f>'Base Data'!K79</f>
        <v/>
      </c>
      <c r="L618" s="13" t="str">
        <f>'Base Data'!L79</f>
        <v/>
      </c>
      <c r="M618" s="13">
        <f>'Base Data'!M79</f>
        <v>0</v>
      </c>
      <c r="N618" s="13" t="str">
        <f>'Base Data'!N79</f>
        <v/>
      </c>
      <c r="O618" s="13" t="str">
        <f>'Base Data'!O79</f>
        <v/>
      </c>
      <c r="P618" s="13" t="str">
        <f>'Base Data'!P79</f>
        <v/>
      </c>
      <c r="Q618" s="13" t="str">
        <f>'Base Data'!Q79</f>
        <v/>
      </c>
    </row>
    <row r="619" spans="1:17" x14ac:dyDescent="0.25">
      <c r="A619" s="13"/>
      <c r="B619" s="13"/>
      <c r="C619" s="13"/>
      <c r="D619" s="13"/>
      <c r="E619" s="13"/>
      <c r="F619" s="13"/>
      <c r="G619" s="13"/>
      <c r="H619" s="13"/>
      <c r="I619" s="13"/>
      <c r="J619" s="13"/>
    </row>
    <row r="620" spans="1:17" x14ac:dyDescent="0.25">
      <c r="A620" s="13"/>
      <c r="B620" s="13"/>
      <c r="C620" s="13"/>
      <c r="D620" s="13"/>
      <c r="E620" s="13"/>
      <c r="F620" s="13"/>
      <c r="G620" s="13"/>
      <c r="H620" s="13"/>
      <c r="I620" s="13"/>
      <c r="J620" s="13"/>
    </row>
    <row r="621" spans="1:17" x14ac:dyDescent="0.25">
      <c r="A621" s="13"/>
      <c r="B621" s="13"/>
      <c r="C621" s="13"/>
      <c r="D621" s="13"/>
      <c r="E621" s="13"/>
      <c r="F621" s="13"/>
      <c r="G621" s="13"/>
      <c r="H621" s="13"/>
      <c r="I621" s="13"/>
      <c r="J621" s="13"/>
    </row>
    <row r="622" spans="1:17" x14ac:dyDescent="0.25">
      <c r="A622" s="13"/>
      <c r="B622" s="13"/>
      <c r="C622" s="13"/>
      <c r="D622" s="13"/>
      <c r="E622" s="13"/>
      <c r="F622" s="13"/>
      <c r="G622" s="13"/>
      <c r="H622" s="13"/>
      <c r="I622" s="13"/>
      <c r="J622" s="13"/>
    </row>
    <row r="623" spans="1:17" x14ac:dyDescent="0.25">
      <c r="A623" s="13"/>
      <c r="B623" s="13"/>
      <c r="C623" s="13"/>
      <c r="D623" s="13"/>
      <c r="E623" s="13"/>
      <c r="F623" s="13"/>
      <c r="G623" s="13"/>
      <c r="H623" s="13"/>
      <c r="I623" s="13"/>
      <c r="J623" s="13"/>
    </row>
    <row r="624" spans="1:17" x14ac:dyDescent="0.25">
      <c r="A624" s="13"/>
      <c r="B624" s="13"/>
      <c r="C624" s="13"/>
      <c r="D624" s="13"/>
      <c r="E624" s="13"/>
      <c r="F624" s="13"/>
      <c r="G624" s="13"/>
      <c r="H624" s="13"/>
      <c r="I624" s="13"/>
      <c r="J624" s="13"/>
    </row>
    <row r="625" spans="1:17" x14ac:dyDescent="0.25">
      <c r="A625" s="13"/>
      <c r="B625" s="13"/>
      <c r="C625" s="13"/>
      <c r="D625" s="13"/>
      <c r="E625" s="13"/>
      <c r="F625" s="13"/>
      <c r="G625" s="13"/>
      <c r="H625" s="13"/>
      <c r="I625" s="13"/>
      <c r="J625" s="13"/>
    </row>
    <row r="626" spans="1:17" x14ac:dyDescent="0.25">
      <c r="A626" s="13">
        <f>'Base Data'!A80</f>
        <v>79</v>
      </c>
      <c r="B626" s="13" t="str">
        <f>'Base Data'!B80</f>
        <v>12B</v>
      </c>
      <c r="C626" s="13">
        <f>'Base Data'!C80</f>
        <v>0</v>
      </c>
      <c r="D626" s="13">
        <f>'Base Data'!D80</f>
        <v>89.51</v>
      </c>
      <c r="E626" s="13">
        <f>'Base Data'!E80</f>
        <v>449.53000000000003</v>
      </c>
      <c r="F626" s="13">
        <f>'Base Data'!F80</f>
        <v>0</v>
      </c>
      <c r="G626" s="13">
        <f>'Base Data'!G80</f>
        <v>0</v>
      </c>
      <c r="H626" s="13">
        <f>'Base Data'!H80</f>
        <v>0</v>
      </c>
      <c r="I626" s="13">
        <f>'Base Data'!I80</f>
        <v>0</v>
      </c>
      <c r="J626" s="13">
        <f>'Base Data'!J80</f>
        <v>0</v>
      </c>
      <c r="K626" s="13" t="str">
        <f>'Base Data'!K80</f>
        <v/>
      </c>
      <c r="L626" s="13" t="str">
        <f>'Base Data'!L80</f>
        <v/>
      </c>
      <c r="M626" s="13">
        <f>'Base Data'!M80</f>
        <v>0</v>
      </c>
      <c r="N626" s="13" t="str">
        <f>'Base Data'!N80</f>
        <v/>
      </c>
      <c r="O626" s="13" t="str">
        <f>'Base Data'!O80</f>
        <v/>
      </c>
      <c r="P626" s="13" t="str">
        <f>'Base Data'!P80</f>
        <v/>
      </c>
      <c r="Q626" s="13" t="str">
        <f>'Base Data'!Q80</f>
        <v/>
      </c>
    </row>
    <row r="627" spans="1:17" x14ac:dyDescent="0.25">
      <c r="A627" s="13"/>
      <c r="B627" s="13"/>
      <c r="C627" s="13"/>
      <c r="D627" s="13"/>
      <c r="E627" s="13"/>
      <c r="F627" s="13"/>
      <c r="G627" s="13"/>
      <c r="H627" s="13"/>
      <c r="I627" s="13"/>
      <c r="J627" s="13"/>
    </row>
    <row r="628" spans="1:17" x14ac:dyDescent="0.25">
      <c r="A628" s="13"/>
      <c r="B628" s="13"/>
      <c r="C628" s="13"/>
      <c r="D628" s="13"/>
      <c r="E628" s="13"/>
      <c r="F628" s="13"/>
      <c r="G628" s="13"/>
      <c r="H628" s="13"/>
      <c r="I628" s="13"/>
      <c r="J628" s="13"/>
    </row>
    <row r="629" spans="1:17" x14ac:dyDescent="0.25">
      <c r="A629" s="13"/>
      <c r="B629" s="13"/>
      <c r="C629" s="13"/>
      <c r="D629" s="13"/>
      <c r="E629" s="13"/>
      <c r="F629" s="13"/>
      <c r="G629" s="13"/>
      <c r="H629" s="13"/>
      <c r="I629" s="13"/>
      <c r="J629" s="13"/>
    </row>
    <row r="630" spans="1:17" x14ac:dyDescent="0.25">
      <c r="A630" s="13"/>
      <c r="B630" s="13"/>
      <c r="C630" s="13"/>
      <c r="D630" s="13"/>
      <c r="E630" s="13"/>
      <c r="F630" s="13"/>
      <c r="G630" s="13"/>
      <c r="H630" s="13"/>
      <c r="I630" s="13"/>
      <c r="J630" s="13"/>
    </row>
    <row r="631" spans="1:17" x14ac:dyDescent="0.25">
      <c r="A631" s="13"/>
      <c r="B631" s="13"/>
      <c r="C631" s="13"/>
      <c r="D631" s="13"/>
      <c r="E631" s="13"/>
      <c r="F631" s="13"/>
      <c r="G631" s="13"/>
      <c r="H631" s="13"/>
      <c r="I631" s="13"/>
      <c r="J631" s="13"/>
    </row>
    <row r="632" spans="1:17" x14ac:dyDescent="0.25">
      <c r="A632" s="13"/>
      <c r="B632" s="13"/>
      <c r="C632" s="13"/>
      <c r="D632" s="13"/>
      <c r="E632" s="13"/>
      <c r="F632" s="13"/>
      <c r="G632" s="13"/>
      <c r="H632" s="13"/>
      <c r="I632" s="13"/>
      <c r="J632" s="13"/>
    </row>
    <row r="633" spans="1:17" x14ac:dyDescent="0.25">
      <c r="A633" s="13"/>
      <c r="B633" s="13"/>
      <c r="C633" s="13"/>
      <c r="D633" s="13"/>
      <c r="E633" s="13"/>
      <c r="F633" s="13"/>
      <c r="G633" s="13"/>
      <c r="H633" s="13"/>
      <c r="I633" s="13"/>
      <c r="J633" s="13"/>
    </row>
    <row r="634" spans="1:17" x14ac:dyDescent="0.25">
      <c r="A634" s="13">
        <f>'Base Data'!A81</f>
        <v>80</v>
      </c>
      <c r="B634" s="13" t="str">
        <f>'Base Data'!B81</f>
        <v>12C</v>
      </c>
      <c r="C634" s="13">
        <f>'Base Data'!C81</f>
        <v>0</v>
      </c>
      <c r="D634" s="13">
        <f>'Base Data'!D81</f>
        <v>176.11</v>
      </c>
      <c r="E634" s="13">
        <f>'Base Data'!E81</f>
        <v>449.53000000000003</v>
      </c>
      <c r="F634" s="13">
        <f>'Base Data'!F81</f>
        <v>0</v>
      </c>
      <c r="G634" s="13">
        <f>'Base Data'!G81</f>
        <v>0</v>
      </c>
      <c r="H634" s="13">
        <f>'Base Data'!H81</f>
        <v>0</v>
      </c>
      <c r="I634" s="13">
        <f>'Base Data'!I81</f>
        <v>0</v>
      </c>
      <c r="J634" s="13">
        <f>'Base Data'!J81</f>
        <v>0</v>
      </c>
      <c r="K634" s="13" t="str">
        <f>'Base Data'!K81</f>
        <v/>
      </c>
      <c r="L634" s="13" t="str">
        <f>'Base Data'!L81</f>
        <v/>
      </c>
      <c r="M634" s="13">
        <f>'Base Data'!M81</f>
        <v>0</v>
      </c>
      <c r="N634" s="13" t="str">
        <f>'Base Data'!N81</f>
        <v/>
      </c>
      <c r="O634" s="13" t="str">
        <f>'Base Data'!O81</f>
        <v/>
      </c>
      <c r="P634" s="13" t="str">
        <f>'Base Data'!P81</f>
        <v/>
      </c>
      <c r="Q634" s="13" t="str">
        <f>'Base Data'!Q81</f>
        <v/>
      </c>
    </row>
    <row r="635" spans="1:17" x14ac:dyDescent="0.25">
      <c r="A635" s="13"/>
      <c r="B635" s="13"/>
      <c r="C635" s="13"/>
      <c r="D635" s="13"/>
      <c r="E635" s="13"/>
      <c r="F635" s="13"/>
      <c r="G635" s="13"/>
      <c r="H635" s="13"/>
      <c r="I635" s="13"/>
      <c r="J635" s="13"/>
    </row>
    <row r="636" spans="1:17" x14ac:dyDescent="0.25">
      <c r="A636" s="13"/>
      <c r="B636" s="13"/>
      <c r="C636" s="13"/>
      <c r="D636" s="13"/>
      <c r="E636" s="13"/>
      <c r="F636" s="13"/>
      <c r="G636" s="13"/>
      <c r="H636" s="13"/>
      <c r="I636" s="13"/>
      <c r="J636" s="13"/>
    </row>
    <row r="637" spans="1:17" x14ac:dyDescent="0.25">
      <c r="A637" s="13"/>
      <c r="B637" s="13"/>
      <c r="C637" s="13"/>
      <c r="D637" s="13"/>
      <c r="E637" s="13"/>
      <c r="F637" s="13"/>
      <c r="G637" s="13"/>
      <c r="H637" s="13"/>
      <c r="I637" s="13"/>
      <c r="J637" s="13"/>
    </row>
    <row r="638" spans="1:17" x14ac:dyDescent="0.25">
      <c r="A638" s="13"/>
      <c r="B638" s="13"/>
      <c r="C638" s="13"/>
      <c r="D638" s="13"/>
      <c r="E638" s="13"/>
      <c r="F638" s="13"/>
      <c r="G638" s="13"/>
      <c r="H638" s="13"/>
      <c r="I638" s="13"/>
      <c r="J638" s="13"/>
    </row>
    <row r="639" spans="1:17" x14ac:dyDescent="0.25">
      <c r="A639" s="13"/>
      <c r="B639" s="13"/>
      <c r="C639" s="13"/>
      <c r="D639" s="13"/>
      <c r="E639" s="13"/>
      <c r="F639" s="13"/>
      <c r="G639" s="13"/>
      <c r="H639" s="13"/>
      <c r="I639" s="13"/>
      <c r="J639" s="13"/>
    </row>
    <row r="640" spans="1:17" x14ac:dyDescent="0.25">
      <c r="A640" s="13"/>
      <c r="B640" s="13"/>
      <c r="C640" s="13"/>
      <c r="D640" s="13"/>
      <c r="E640" s="13"/>
      <c r="F640" s="13"/>
      <c r="G640" s="13"/>
      <c r="H640" s="13"/>
      <c r="I640" s="13"/>
      <c r="J640" s="13"/>
    </row>
    <row r="641" spans="1:17" x14ac:dyDescent="0.25">
      <c r="A641" s="13"/>
      <c r="B641" s="13"/>
      <c r="C641" s="13"/>
      <c r="D641" s="13"/>
      <c r="E641" s="13"/>
      <c r="F641" s="13"/>
      <c r="G641" s="13"/>
      <c r="H641" s="13"/>
      <c r="I641" s="13"/>
      <c r="J641" s="13"/>
    </row>
    <row r="642" spans="1:17" x14ac:dyDescent="0.25">
      <c r="A642" s="13">
        <f>'Base Data'!A82</f>
        <v>81</v>
      </c>
      <c r="B642" s="13" t="str">
        <f>'Base Data'!B82</f>
        <v>12D</v>
      </c>
      <c r="C642" s="13">
        <f>'Base Data'!C82</f>
        <v>0</v>
      </c>
      <c r="D642" s="13">
        <f>'Base Data'!D82</f>
        <v>263.11</v>
      </c>
      <c r="E642" s="13">
        <f>'Base Data'!E82</f>
        <v>449.53000000000003</v>
      </c>
      <c r="F642" s="13">
        <f>'Base Data'!F82</f>
        <v>0</v>
      </c>
      <c r="G642" s="13">
        <f>'Base Data'!G82</f>
        <v>0</v>
      </c>
      <c r="H642" s="13">
        <f>'Base Data'!H82</f>
        <v>0</v>
      </c>
      <c r="I642" s="13">
        <f>'Base Data'!I82</f>
        <v>0</v>
      </c>
      <c r="J642" s="13">
        <f>'Base Data'!J82</f>
        <v>0</v>
      </c>
      <c r="K642" s="13" t="str">
        <f>'Base Data'!K82</f>
        <v/>
      </c>
      <c r="L642" s="13" t="str">
        <f>'Base Data'!L82</f>
        <v/>
      </c>
      <c r="M642" s="13">
        <f>'Base Data'!M82</f>
        <v>0</v>
      </c>
      <c r="N642" s="13" t="str">
        <f>'Base Data'!N82</f>
        <v/>
      </c>
      <c r="O642" s="13" t="str">
        <f>'Base Data'!O82</f>
        <v/>
      </c>
      <c r="P642" s="13" t="str">
        <f>'Base Data'!P82</f>
        <v/>
      </c>
      <c r="Q642" s="13" t="str">
        <f>'Base Data'!Q82</f>
        <v/>
      </c>
    </row>
    <row r="643" spans="1:17" x14ac:dyDescent="0.25">
      <c r="A643" s="13"/>
      <c r="B643" s="13"/>
      <c r="C643" s="13"/>
      <c r="D643" s="13"/>
      <c r="E643" s="13"/>
      <c r="F643" s="13"/>
      <c r="G643" s="13"/>
      <c r="H643" s="13"/>
      <c r="I643" s="13"/>
      <c r="J643" s="13"/>
    </row>
    <row r="644" spans="1:17" x14ac:dyDescent="0.25">
      <c r="A644" s="13"/>
      <c r="B644" s="13"/>
      <c r="C644" s="13"/>
      <c r="D644" s="13"/>
      <c r="E644" s="13"/>
      <c r="F644" s="13"/>
      <c r="G644" s="13"/>
      <c r="H644" s="13"/>
      <c r="I644" s="13"/>
      <c r="J644" s="13"/>
    </row>
    <row r="645" spans="1:17" x14ac:dyDescent="0.25">
      <c r="A645" s="13"/>
      <c r="B645" s="13"/>
      <c r="C645" s="13"/>
      <c r="D645" s="13"/>
      <c r="E645" s="13"/>
      <c r="F645" s="13"/>
      <c r="G645" s="13"/>
      <c r="H645" s="13"/>
      <c r="I645" s="13"/>
      <c r="J645" s="13"/>
    </row>
    <row r="646" spans="1:17" x14ac:dyDescent="0.25">
      <c r="A646" s="13"/>
      <c r="B646" s="13"/>
      <c r="C646" s="13"/>
      <c r="D646" s="13"/>
      <c r="E646" s="13"/>
      <c r="F646" s="13"/>
      <c r="G646" s="13"/>
      <c r="H646" s="13"/>
      <c r="I646" s="13"/>
      <c r="J646" s="13"/>
    </row>
    <row r="647" spans="1:17" x14ac:dyDescent="0.25">
      <c r="A647" s="13"/>
      <c r="B647" s="13"/>
      <c r="C647" s="13"/>
      <c r="D647" s="13"/>
      <c r="E647" s="13"/>
      <c r="F647" s="13"/>
      <c r="G647" s="13"/>
      <c r="H647" s="13"/>
      <c r="I647" s="13"/>
      <c r="J647" s="13"/>
    </row>
    <row r="648" spans="1:17" x14ac:dyDescent="0.25">
      <c r="A648" s="13"/>
      <c r="B648" s="13"/>
      <c r="C648" s="13"/>
      <c r="D648" s="13"/>
      <c r="E648" s="13"/>
      <c r="F648" s="13"/>
      <c r="G648" s="13"/>
      <c r="H648" s="13"/>
      <c r="I648" s="13"/>
      <c r="J648" s="13"/>
    </row>
    <row r="649" spans="1:17" x14ac:dyDescent="0.25">
      <c r="A649" s="13"/>
      <c r="B649" s="13"/>
      <c r="C649" s="13"/>
      <c r="D649" s="13"/>
      <c r="E649" s="13"/>
      <c r="F649" s="13"/>
      <c r="G649" s="13"/>
      <c r="H649" s="13"/>
      <c r="I649" s="13"/>
      <c r="J649" s="13"/>
    </row>
    <row r="650" spans="1:17" x14ac:dyDescent="0.25">
      <c r="A650" s="13">
        <f>'Base Data'!A83</f>
        <v>82</v>
      </c>
      <c r="B650" s="13" t="str">
        <f>'Base Data'!B83</f>
        <v>12E</v>
      </c>
      <c r="C650" s="13">
        <f>'Base Data'!C83</f>
        <v>0</v>
      </c>
      <c r="D650" s="13">
        <f>'Base Data'!D83</f>
        <v>349.51</v>
      </c>
      <c r="E650" s="13">
        <f>'Base Data'!E83</f>
        <v>449.53000000000003</v>
      </c>
      <c r="F650" s="13">
        <f>'Base Data'!F83</f>
        <v>0</v>
      </c>
      <c r="G650" s="13">
        <f>'Base Data'!G83</f>
        <v>0</v>
      </c>
      <c r="H650" s="13">
        <f>'Base Data'!H83</f>
        <v>0</v>
      </c>
      <c r="I650" s="13">
        <f>'Base Data'!I83</f>
        <v>0</v>
      </c>
      <c r="J650" s="13">
        <f>'Base Data'!J83</f>
        <v>0</v>
      </c>
      <c r="K650" s="13" t="str">
        <f>'Base Data'!K83</f>
        <v/>
      </c>
      <c r="L650" s="13" t="str">
        <f>'Base Data'!L83</f>
        <v/>
      </c>
      <c r="M650" s="13">
        <f>'Base Data'!M83</f>
        <v>0</v>
      </c>
      <c r="N650" s="13" t="str">
        <f>'Base Data'!N83</f>
        <v/>
      </c>
      <c r="O650" s="13" t="str">
        <f>'Base Data'!O83</f>
        <v/>
      </c>
      <c r="P650" s="13" t="str">
        <f>'Base Data'!P83</f>
        <v/>
      </c>
      <c r="Q650" s="13" t="str">
        <f>'Base Data'!Q83</f>
        <v/>
      </c>
    </row>
    <row r="651" spans="1:17" x14ac:dyDescent="0.25">
      <c r="A651" s="13"/>
      <c r="B651" s="13"/>
      <c r="C651" s="13"/>
      <c r="D651" s="13"/>
      <c r="E651" s="13"/>
      <c r="F651" s="13"/>
      <c r="G651" s="13"/>
      <c r="H651" s="13"/>
      <c r="I651" s="13"/>
      <c r="J651" s="13"/>
    </row>
    <row r="652" spans="1:17" x14ac:dyDescent="0.25">
      <c r="A652" s="13"/>
      <c r="B652" s="13"/>
      <c r="C652" s="13"/>
      <c r="D652" s="13"/>
      <c r="E652" s="13"/>
      <c r="F652" s="13"/>
      <c r="G652" s="13"/>
      <c r="H652" s="13"/>
      <c r="I652" s="13"/>
      <c r="J652" s="13"/>
    </row>
    <row r="653" spans="1:17" x14ac:dyDescent="0.25">
      <c r="A653" s="13"/>
      <c r="B653" s="13"/>
      <c r="C653" s="13"/>
      <c r="D653" s="13"/>
      <c r="E653" s="13"/>
      <c r="F653" s="13"/>
      <c r="G653" s="13"/>
      <c r="H653" s="13"/>
      <c r="I653" s="13"/>
      <c r="J653" s="13"/>
    </row>
    <row r="654" spans="1:17" x14ac:dyDescent="0.25">
      <c r="A654" s="13"/>
      <c r="B654" s="13"/>
      <c r="C654" s="13"/>
      <c r="D654" s="13"/>
      <c r="E654" s="13"/>
      <c r="F654" s="13"/>
      <c r="G654" s="13"/>
      <c r="H654" s="13"/>
      <c r="I654" s="13"/>
      <c r="J654" s="13"/>
    </row>
    <row r="655" spans="1:17" x14ac:dyDescent="0.25">
      <c r="A655" s="13"/>
      <c r="B655" s="13"/>
      <c r="C655" s="13"/>
      <c r="D655" s="13"/>
      <c r="E655" s="13"/>
      <c r="F655" s="13"/>
      <c r="G655" s="13"/>
      <c r="H655" s="13"/>
      <c r="I655" s="13"/>
      <c r="J655" s="13"/>
    </row>
    <row r="656" spans="1:17" x14ac:dyDescent="0.25">
      <c r="A656" s="13"/>
      <c r="B656" s="13"/>
      <c r="C656" s="13"/>
      <c r="D656" s="13"/>
      <c r="E656" s="13"/>
      <c r="F656" s="13"/>
      <c r="G656" s="13"/>
      <c r="H656" s="13"/>
      <c r="I656" s="13"/>
      <c r="J656" s="13"/>
    </row>
    <row r="657" spans="1:17" x14ac:dyDescent="0.25">
      <c r="A657" s="13"/>
      <c r="B657" s="13"/>
      <c r="C657" s="13"/>
      <c r="D657" s="13"/>
      <c r="E657" s="13"/>
      <c r="F657" s="13"/>
      <c r="G657" s="13"/>
      <c r="H657" s="13"/>
      <c r="I657" s="13"/>
      <c r="J657" s="13"/>
    </row>
    <row r="658" spans="1:17" x14ac:dyDescent="0.25">
      <c r="A658" s="13">
        <f>'Base Data'!A84</f>
        <v>83</v>
      </c>
      <c r="B658" s="13" t="str">
        <f>'Base Data'!B84</f>
        <v>12F</v>
      </c>
      <c r="C658" s="13">
        <f>'Base Data'!C84</f>
        <v>0</v>
      </c>
      <c r="D658" s="13">
        <f>'Base Data'!D84</f>
        <v>436.11</v>
      </c>
      <c r="E658" s="13">
        <f>'Base Data'!E84</f>
        <v>449.53000000000003</v>
      </c>
      <c r="F658" s="13">
        <f>'Base Data'!F84</f>
        <v>0</v>
      </c>
      <c r="G658" s="13">
        <f>'Base Data'!G84</f>
        <v>0</v>
      </c>
      <c r="H658" s="13">
        <f>'Base Data'!H84</f>
        <v>0</v>
      </c>
      <c r="I658" s="13">
        <f>'Base Data'!I84</f>
        <v>0</v>
      </c>
      <c r="J658" s="13">
        <f>'Base Data'!J84</f>
        <v>0</v>
      </c>
      <c r="K658" s="13" t="str">
        <f>'Base Data'!K84</f>
        <v/>
      </c>
      <c r="L658" s="13" t="str">
        <f>'Base Data'!L84</f>
        <v/>
      </c>
      <c r="M658" s="13">
        <f>'Base Data'!M84</f>
        <v>0</v>
      </c>
      <c r="N658" s="13" t="str">
        <f>'Base Data'!N84</f>
        <v/>
      </c>
      <c r="O658" s="13" t="str">
        <f>'Base Data'!O84</f>
        <v/>
      </c>
      <c r="P658" s="13" t="str">
        <f>'Base Data'!P84</f>
        <v/>
      </c>
      <c r="Q658" s="13" t="str">
        <f>'Base Data'!Q84</f>
        <v/>
      </c>
    </row>
    <row r="659" spans="1:17" x14ac:dyDescent="0.25">
      <c r="A659" s="13"/>
      <c r="B659" s="13"/>
      <c r="C659" s="13"/>
      <c r="D659" s="13"/>
      <c r="E659" s="13"/>
      <c r="F659" s="13"/>
      <c r="G659" s="13"/>
      <c r="H659" s="13"/>
      <c r="I659" s="13"/>
      <c r="J659" s="13"/>
    </row>
    <row r="660" spans="1:17" x14ac:dyDescent="0.25">
      <c r="A660" s="13"/>
      <c r="B660" s="13"/>
      <c r="C660" s="13"/>
      <c r="D660" s="13"/>
      <c r="E660" s="13"/>
      <c r="F660" s="13"/>
      <c r="G660" s="13"/>
      <c r="H660" s="13"/>
      <c r="I660" s="13"/>
      <c r="J660" s="13"/>
    </row>
    <row r="661" spans="1:17" x14ac:dyDescent="0.25">
      <c r="A661" s="13"/>
      <c r="B661" s="13"/>
      <c r="C661" s="13"/>
      <c r="D661" s="13"/>
      <c r="E661" s="13"/>
      <c r="F661" s="13"/>
      <c r="G661" s="13"/>
      <c r="H661" s="13"/>
      <c r="I661" s="13"/>
      <c r="J661" s="13"/>
    </row>
    <row r="662" spans="1:17" x14ac:dyDescent="0.25">
      <c r="A662" s="13"/>
      <c r="B662" s="13"/>
      <c r="C662" s="13"/>
      <c r="D662" s="13"/>
      <c r="E662" s="13"/>
      <c r="F662" s="13"/>
      <c r="G662" s="13"/>
      <c r="H662" s="13"/>
      <c r="I662" s="13"/>
      <c r="J662" s="13"/>
    </row>
    <row r="663" spans="1:17" x14ac:dyDescent="0.25">
      <c r="A663" s="13"/>
      <c r="B663" s="13"/>
      <c r="C663" s="13"/>
      <c r="D663" s="13"/>
      <c r="E663" s="13"/>
      <c r="F663" s="13"/>
      <c r="G663" s="13"/>
      <c r="H663" s="13"/>
      <c r="I663" s="13"/>
      <c r="J663" s="13"/>
    </row>
    <row r="664" spans="1:17" x14ac:dyDescent="0.25">
      <c r="A664" s="13"/>
      <c r="B664" s="13"/>
      <c r="C664" s="13"/>
      <c r="D664" s="13"/>
      <c r="E664" s="13"/>
      <c r="F664" s="13"/>
      <c r="G664" s="13"/>
      <c r="H664" s="13"/>
      <c r="I664" s="13"/>
      <c r="J664" s="13"/>
    </row>
    <row r="665" spans="1:17" x14ac:dyDescent="0.25">
      <c r="A665" s="13"/>
      <c r="B665" s="13"/>
      <c r="C665" s="13"/>
      <c r="D665" s="13"/>
      <c r="E665" s="13"/>
      <c r="F665" s="13"/>
      <c r="G665" s="13"/>
      <c r="H665" s="13"/>
      <c r="I665" s="13"/>
      <c r="J665" s="13"/>
    </row>
    <row r="666" spans="1:17" x14ac:dyDescent="0.25">
      <c r="A666" s="13">
        <f>'Base Data'!A85</f>
        <v>84</v>
      </c>
      <c r="B666" s="13" t="str">
        <f>'Base Data'!B85</f>
        <v>12G</v>
      </c>
      <c r="C666" s="13">
        <f>'Base Data'!C85</f>
        <v>0</v>
      </c>
      <c r="D666" s="13">
        <f>'Base Data'!D85</f>
        <v>523.01</v>
      </c>
      <c r="E666" s="13">
        <f>'Base Data'!E85</f>
        <v>449.53000000000003</v>
      </c>
      <c r="F666" s="13">
        <f>'Base Data'!F85</f>
        <v>0</v>
      </c>
      <c r="G666" s="13">
        <f>'Base Data'!G85</f>
        <v>0</v>
      </c>
      <c r="H666" s="13">
        <f>'Base Data'!H85</f>
        <v>0</v>
      </c>
      <c r="I666" s="13">
        <f>'Base Data'!I85</f>
        <v>0</v>
      </c>
      <c r="J666" s="13">
        <f>'Base Data'!J85</f>
        <v>0</v>
      </c>
      <c r="K666" s="13" t="str">
        <f>'Base Data'!K85</f>
        <v/>
      </c>
      <c r="L666" s="13" t="str">
        <f>'Base Data'!L85</f>
        <v/>
      </c>
      <c r="M666" s="13">
        <f>'Base Data'!M85</f>
        <v>0</v>
      </c>
    </row>
    <row r="667" spans="1:17" x14ac:dyDescent="0.25">
      <c r="A667" s="13"/>
      <c r="B667" s="13"/>
      <c r="C667" s="13"/>
      <c r="D667" s="13"/>
      <c r="E667" s="13"/>
      <c r="F667" s="13"/>
      <c r="G667" s="13"/>
      <c r="H667" s="13"/>
      <c r="I667" s="13"/>
      <c r="J667" s="13"/>
    </row>
    <row r="668" spans="1:17" x14ac:dyDescent="0.25">
      <c r="A668" s="13"/>
      <c r="B668" s="13"/>
      <c r="C668" s="13"/>
      <c r="D668" s="13"/>
      <c r="E668" s="13"/>
      <c r="F668" s="13"/>
      <c r="G668" s="13"/>
      <c r="H668" s="13"/>
      <c r="I668" s="13"/>
      <c r="J668" s="13"/>
    </row>
    <row r="669" spans="1:17" x14ac:dyDescent="0.25">
      <c r="A669" s="13"/>
      <c r="B669" s="13"/>
      <c r="C669" s="13"/>
      <c r="D669" s="13"/>
      <c r="E669" s="13"/>
      <c r="F669" s="13"/>
      <c r="G669" s="13"/>
      <c r="H669" s="13"/>
      <c r="I669" s="13"/>
      <c r="J669" s="13"/>
    </row>
    <row r="670" spans="1:17" x14ac:dyDescent="0.25">
      <c r="A670" s="13"/>
      <c r="B670" s="13"/>
      <c r="C670" s="13"/>
      <c r="D670" s="13"/>
      <c r="E670" s="13"/>
      <c r="F670" s="13"/>
      <c r="G670" s="13"/>
      <c r="H670" s="13"/>
      <c r="I670" s="13"/>
      <c r="J670" s="13"/>
    </row>
    <row r="671" spans="1:17" x14ac:dyDescent="0.25">
      <c r="A671" s="13"/>
      <c r="B671" s="13"/>
      <c r="C671" s="13"/>
      <c r="D671" s="13"/>
      <c r="E671" s="13"/>
      <c r="F671" s="13"/>
      <c r="G671" s="13"/>
      <c r="H671" s="13"/>
      <c r="I671" s="13"/>
      <c r="J671" s="13"/>
    </row>
    <row r="672" spans="1:17" x14ac:dyDescent="0.25">
      <c r="A672" s="13"/>
      <c r="B672" s="13"/>
      <c r="C672" s="13"/>
      <c r="D672" s="13"/>
      <c r="E672" s="13"/>
      <c r="F672" s="13"/>
      <c r="G672" s="13"/>
      <c r="H672" s="13"/>
      <c r="I672" s="13"/>
      <c r="J672" s="13"/>
    </row>
    <row r="673" spans="1:10" x14ac:dyDescent="0.25">
      <c r="A673" s="13"/>
      <c r="B673" s="13"/>
      <c r="C673" s="13"/>
      <c r="D673" s="13"/>
      <c r="E673" s="13"/>
      <c r="F673" s="13"/>
      <c r="G673" s="13"/>
      <c r="H673" s="13"/>
      <c r="I673" s="13"/>
      <c r="J673" s="13"/>
    </row>
    <row r="674" spans="1:10" x14ac:dyDescent="0.25">
      <c r="A674" s="13"/>
      <c r="B674" s="13"/>
      <c r="C674" s="13"/>
      <c r="D674" s="13"/>
      <c r="E674" s="13"/>
    </row>
    <row r="675" spans="1:10" x14ac:dyDescent="0.25">
      <c r="A675" s="13"/>
      <c r="B675" s="13"/>
      <c r="C675" s="13"/>
      <c r="D675" s="13"/>
      <c r="E675" s="13"/>
    </row>
    <row r="676" spans="1:10" x14ac:dyDescent="0.25">
      <c r="A676" s="13"/>
      <c r="B676" s="13"/>
      <c r="C676" s="13"/>
      <c r="D676" s="13"/>
      <c r="E676" s="13"/>
    </row>
    <row r="677" spans="1:10" x14ac:dyDescent="0.25">
      <c r="A677" s="13"/>
      <c r="B677" s="13"/>
      <c r="C677" s="13"/>
      <c r="D677" s="13"/>
      <c r="E677" s="13"/>
    </row>
    <row r="678" spans="1:10" x14ac:dyDescent="0.25">
      <c r="A678" s="13"/>
      <c r="B678" s="13"/>
      <c r="C678" s="13"/>
      <c r="D678" s="13"/>
      <c r="E678" s="13"/>
    </row>
    <row r="679" spans="1:10" x14ac:dyDescent="0.25">
      <c r="A679" s="13"/>
      <c r="B679" s="13"/>
      <c r="C679" s="13"/>
      <c r="D679" s="13"/>
      <c r="E679" s="13"/>
    </row>
    <row r="680" spans="1:10" x14ac:dyDescent="0.25">
      <c r="A680" s="13"/>
      <c r="B680" s="13"/>
      <c r="C680" s="13"/>
      <c r="D680" s="13"/>
      <c r="E680" s="13"/>
    </row>
    <row r="681" spans="1:10" x14ac:dyDescent="0.25">
      <c r="A681" s="13"/>
      <c r="B681" s="13"/>
      <c r="C681" s="13"/>
      <c r="D681" s="13"/>
      <c r="E681" s="13"/>
    </row>
    <row r="682" spans="1:10" x14ac:dyDescent="0.25">
      <c r="A682" s="13"/>
      <c r="B682" s="13"/>
      <c r="C682" s="13"/>
      <c r="D682" s="13"/>
      <c r="E682" s="13"/>
    </row>
    <row r="683" spans="1:10" x14ac:dyDescent="0.25">
      <c r="A683" s="13"/>
      <c r="B683" s="13"/>
      <c r="C683" s="13"/>
      <c r="D683" s="13"/>
      <c r="E683" s="13"/>
    </row>
    <row r="684" spans="1:10" x14ac:dyDescent="0.25">
      <c r="A684" s="13"/>
      <c r="B684" s="13"/>
      <c r="C684" s="13"/>
      <c r="D684" s="13"/>
      <c r="E684" s="13"/>
    </row>
    <row r="685" spans="1:10" x14ac:dyDescent="0.25">
      <c r="A685" s="13"/>
      <c r="B685" s="13"/>
      <c r="C685" s="13"/>
      <c r="D685" s="13"/>
      <c r="E685" s="13"/>
    </row>
    <row r="686" spans="1:10" x14ac:dyDescent="0.25">
      <c r="A686" s="13"/>
      <c r="B686" s="13"/>
      <c r="C686" s="13"/>
      <c r="D686" s="13"/>
      <c r="E686" s="13"/>
    </row>
    <row r="687" spans="1:10" x14ac:dyDescent="0.25">
      <c r="A687" s="13"/>
      <c r="B687" s="13"/>
      <c r="C687" s="13"/>
      <c r="D687" s="13"/>
      <c r="E687" s="13"/>
    </row>
    <row r="688" spans="1:10" x14ac:dyDescent="0.25">
      <c r="A688" s="13"/>
      <c r="B688" s="13"/>
      <c r="C688" s="13"/>
      <c r="D688" s="13"/>
      <c r="E688" s="13"/>
    </row>
    <row r="689" spans="1:5" x14ac:dyDescent="0.25">
      <c r="A689" s="13"/>
      <c r="B689" s="13"/>
      <c r="C689" s="13"/>
      <c r="D689" s="13"/>
      <c r="E689" s="13"/>
    </row>
    <row r="690" spans="1:5" x14ac:dyDescent="0.25">
      <c r="A690" s="13"/>
      <c r="B690" s="13"/>
      <c r="C690" s="13"/>
      <c r="D690" s="13"/>
      <c r="E690" s="13"/>
    </row>
    <row r="691" spans="1:5" x14ac:dyDescent="0.25">
      <c r="A691" s="13"/>
      <c r="B691" s="13"/>
      <c r="C691" s="13"/>
      <c r="D691" s="13"/>
      <c r="E691" s="13"/>
    </row>
    <row r="692" spans="1:5" x14ac:dyDescent="0.25">
      <c r="A692" s="13"/>
      <c r="B692" s="13"/>
      <c r="C692" s="13"/>
      <c r="D692" s="13"/>
      <c r="E692" s="13"/>
    </row>
    <row r="693" spans="1:5" x14ac:dyDescent="0.25">
      <c r="A693" s="13"/>
      <c r="B693" s="13"/>
      <c r="C693" s="13"/>
      <c r="D693" s="13"/>
      <c r="E693" s="13"/>
    </row>
    <row r="694" spans="1:5" x14ac:dyDescent="0.25">
      <c r="A694" s="13"/>
      <c r="B694" s="13"/>
      <c r="C694" s="13"/>
      <c r="D694" s="13"/>
      <c r="E694" s="13"/>
    </row>
    <row r="695" spans="1:5" x14ac:dyDescent="0.25">
      <c r="A695" s="13"/>
      <c r="B695" s="13"/>
      <c r="C695" s="13"/>
      <c r="D695" s="13"/>
      <c r="E695" s="13"/>
    </row>
    <row r="696" spans="1:5" x14ac:dyDescent="0.25">
      <c r="A696" s="13"/>
      <c r="B696" s="13"/>
      <c r="C696" s="13"/>
      <c r="D696" s="13"/>
      <c r="E696" s="13"/>
    </row>
    <row r="697" spans="1:5" x14ac:dyDescent="0.25">
      <c r="A697" s="13"/>
      <c r="B697" s="13"/>
      <c r="C697" s="13"/>
      <c r="D697" s="13"/>
      <c r="E697" s="13"/>
    </row>
    <row r="698" spans="1:5" x14ac:dyDescent="0.25">
      <c r="A698" s="13"/>
      <c r="B698" s="13"/>
      <c r="C698" s="13"/>
      <c r="D698" s="13"/>
      <c r="E698" s="13"/>
    </row>
    <row r="699" spans="1:5" x14ac:dyDescent="0.25">
      <c r="A699" s="13"/>
      <c r="B699" s="13"/>
      <c r="C699" s="13"/>
      <c r="D699" s="13"/>
      <c r="E699" s="13"/>
    </row>
    <row r="700" spans="1:5" x14ac:dyDescent="0.25">
      <c r="A700" s="13"/>
      <c r="B700" s="13"/>
      <c r="C700" s="13"/>
      <c r="D700" s="13"/>
      <c r="E700" s="13"/>
    </row>
    <row r="701" spans="1:5" x14ac:dyDescent="0.25">
      <c r="A701" s="13"/>
      <c r="B701" s="13"/>
      <c r="C701" s="13"/>
      <c r="D701" s="13"/>
      <c r="E701" s="13"/>
    </row>
    <row r="702" spans="1:5" x14ac:dyDescent="0.25">
      <c r="A702" s="13"/>
      <c r="B702" s="13"/>
      <c r="C702" s="13"/>
      <c r="D702" s="13"/>
      <c r="E702" s="13"/>
    </row>
    <row r="703" spans="1:5" x14ac:dyDescent="0.25">
      <c r="A703" s="13"/>
      <c r="B703" s="13"/>
      <c r="C703" s="13"/>
      <c r="D703" s="13"/>
      <c r="E703" s="13"/>
    </row>
    <row r="704" spans="1:5" x14ac:dyDescent="0.25">
      <c r="A704" s="13"/>
      <c r="B704" s="13"/>
      <c r="C704" s="13"/>
      <c r="D704" s="13"/>
      <c r="E704" s="13"/>
    </row>
    <row r="705" spans="1:5" x14ac:dyDescent="0.25">
      <c r="A705" s="13"/>
      <c r="B705" s="13"/>
      <c r="C705" s="13"/>
      <c r="D705" s="13"/>
      <c r="E705" s="13"/>
    </row>
    <row r="706" spans="1:5" x14ac:dyDescent="0.25">
      <c r="A706" s="13"/>
      <c r="B706" s="13"/>
      <c r="C706" s="13"/>
      <c r="D706" s="13"/>
      <c r="E706" s="13"/>
    </row>
    <row r="707" spans="1:5" x14ac:dyDescent="0.25">
      <c r="A707" s="13"/>
      <c r="B707" s="13"/>
      <c r="C707" s="13"/>
      <c r="D707" s="13"/>
      <c r="E707" s="13"/>
    </row>
    <row r="708" spans="1:5" x14ac:dyDescent="0.25">
      <c r="A708" s="13"/>
      <c r="B708" s="13"/>
      <c r="C708" s="13"/>
      <c r="D708" s="13"/>
      <c r="E708" s="13"/>
    </row>
    <row r="709" spans="1:5" x14ac:dyDescent="0.25">
      <c r="A709" s="13"/>
      <c r="B709" s="13"/>
      <c r="C709" s="13"/>
      <c r="D709" s="13"/>
      <c r="E709" s="13"/>
    </row>
    <row r="710" spans="1:5" x14ac:dyDescent="0.25">
      <c r="A710" s="13"/>
      <c r="B710" s="13"/>
      <c r="C710" s="13"/>
      <c r="D710" s="13"/>
      <c r="E710" s="13"/>
    </row>
    <row r="711" spans="1:5" x14ac:dyDescent="0.25">
      <c r="A711" s="13"/>
      <c r="B711" s="13"/>
      <c r="C711" s="13"/>
      <c r="D711" s="13"/>
      <c r="E711" s="13"/>
    </row>
    <row r="712" spans="1:5" x14ac:dyDescent="0.25">
      <c r="A712" s="13"/>
      <c r="B712" s="13"/>
      <c r="C712" s="13"/>
      <c r="D712" s="13"/>
      <c r="E712" s="13"/>
    </row>
    <row r="713" spans="1:5" x14ac:dyDescent="0.25">
      <c r="A713" s="13"/>
      <c r="B713" s="13"/>
      <c r="C713" s="13"/>
      <c r="D713" s="13"/>
      <c r="E713" s="13"/>
    </row>
    <row r="714" spans="1:5" x14ac:dyDescent="0.25">
      <c r="A714" s="13"/>
      <c r="B714" s="13"/>
      <c r="C714" s="13"/>
      <c r="D714" s="13"/>
      <c r="E714" s="13"/>
    </row>
    <row r="715" spans="1:5" x14ac:dyDescent="0.25">
      <c r="A715" s="13"/>
      <c r="B715" s="13"/>
      <c r="C715" s="13"/>
      <c r="D715" s="13"/>
      <c r="E715" s="13"/>
    </row>
    <row r="716" spans="1:5" x14ac:dyDescent="0.25">
      <c r="A716" s="13"/>
      <c r="B716" s="13"/>
      <c r="C716" s="13"/>
      <c r="D716" s="13"/>
      <c r="E716" s="13"/>
    </row>
    <row r="717" spans="1:5" x14ac:dyDescent="0.25">
      <c r="A717" s="13"/>
      <c r="B717" s="13"/>
      <c r="C717" s="13"/>
      <c r="D717" s="13"/>
      <c r="E717" s="13"/>
    </row>
    <row r="718" spans="1:5" x14ac:dyDescent="0.25">
      <c r="A718" s="13"/>
      <c r="B718" s="13"/>
      <c r="C718" s="13"/>
      <c r="D718" s="13"/>
      <c r="E718" s="13"/>
    </row>
    <row r="719" spans="1:5" x14ac:dyDescent="0.25">
      <c r="A719" s="13"/>
      <c r="B719" s="13"/>
      <c r="C719" s="13"/>
      <c r="D719" s="13"/>
      <c r="E719" s="13"/>
    </row>
    <row r="720" spans="1:5" x14ac:dyDescent="0.25">
      <c r="A720" s="13"/>
      <c r="B720" s="13"/>
      <c r="C720" s="13"/>
      <c r="D720" s="13"/>
      <c r="E720" s="13"/>
    </row>
    <row r="721" spans="1:5" x14ac:dyDescent="0.25">
      <c r="A721" s="13"/>
      <c r="B721" s="13"/>
      <c r="C721" s="13"/>
      <c r="D721" s="13"/>
      <c r="E721" s="13"/>
    </row>
    <row r="722" spans="1:5" x14ac:dyDescent="0.25">
      <c r="A722" s="13"/>
      <c r="B722" s="13"/>
      <c r="C722" s="13"/>
      <c r="D722" s="13"/>
      <c r="E722" s="13"/>
    </row>
    <row r="723" spans="1:5" x14ac:dyDescent="0.25">
      <c r="A723" s="13"/>
      <c r="B723" s="13"/>
      <c r="C723" s="13"/>
      <c r="D723" s="13"/>
      <c r="E723" s="13"/>
    </row>
    <row r="724" spans="1:5" x14ac:dyDescent="0.25">
      <c r="A724" s="13"/>
      <c r="B724" s="13"/>
      <c r="C724" s="13"/>
      <c r="D724" s="13"/>
      <c r="E724" s="13"/>
    </row>
    <row r="725" spans="1:5" x14ac:dyDescent="0.25">
      <c r="A725" s="13"/>
      <c r="B725" s="13"/>
      <c r="C725" s="13"/>
      <c r="D725" s="13"/>
      <c r="E725" s="13"/>
    </row>
    <row r="726" spans="1:5" x14ac:dyDescent="0.25">
      <c r="A726" s="13"/>
      <c r="B726" s="13"/>
      <c r="C726" s="13"/>
      <c r="D726" s="13"/>
      <c r="E726" s="13"/>
    </row>
    <row r="727" spans="1:5" x14ac:dyDescent="0.25">
      <c r="A727" s="13"/>
      <c r="B727" s="13"/>
      <c r="C727" s="13"/>
      <c r="D727" s="13"/>
      <c r="E727" s="13"/>
    </row>
    <row r="728" spans="1:5" x14ac:dyDescent="0.25">
      <c r="A728" s="13"/>
      <c r="B728" s="13"/>
      <c r="C728" s="13"/>
      <c r="D728" s="13"/>
      <c r="E728" s="13"/>
    </row>
    <row r="729" spans="1:5" x14ac:dyDescent="0.25">
      <c r="A729" s="13"/>
      <c r="B729" s="13"/>
      <c r="C729" s="13"/>
      <c r="D729" s="13"/>
      <c r="E729" s="13"/>
    </row>
    <row r="730" spans="1:5" x14ac:dyDescent="0.25">
      <c r="A730" s="13"/>
      <c r="B730" s="13"/>
      <c r="C730" s="13"/>
      <c r="D730" s="13"/>
      <c r="E730" s="13"/>
    </row>
    <row r="731" spans="1:5" x14ac:dyDescent="0.25">
      <c r="A731" s="13"/>
      <c r="B731" s="13"/>
      <c r="C731" s="13"/>
      <c r="D731" s="13"/>
      <c r="E731" s="13"/>
    </row>
    <row r="732" spans="1:5" x14ac:dyDescent="0.25">
      <c r="A732" s="13"/>
      <c r="B732" s="13"/>
      <c r="C732" s="13"/>
      <c r="D732" s="13"/>
      <c r="E732" s="13"/>
    </row>
    <row r="733" spans="1:5" x14ac:dyDescent="0.25">
      <c r="A733" s="13"/>
      <c r="B733" s="13"/>
      <c r="C733" s="13"/>
      <c r="D733" s="13"/>
      <c r="E733" s="13"/>
    </row>
    <row r="734" spans="1:5" x14ac:dyDescent="0.25">
      <c r="A734" s="13"/>
      <c r="B734" s="13"/>
      <c r="C734" s="13"/>
      <c r="D734" s="13"/>
      <c r="E734" s="13"/>
    </row>
    <row r="735" spans="1:5" x14ac:dyDescent="0.25">
      <c r="A735" s="13"/>
      <c r="B735" s="13"/>
      <c r="C735" s="13"/>
      <c r="D735" s="13"/>
      <c r="E735" s="13"/>
    </row>
    <row r="736" spans="1:5" x14ac:dyDescent="0.25">
      <c r="A736" s="13"/>
      <c r="B736" s="13"/>
      <c r="C736" s="13"/>
      <c r="D736" s="13"/>
      <c r="E736" s="13"/>
    </row>
    <row r="737" spans="1:5" x14ac:dyDescent="0.25">
      <c r="A737" s="13"/>
      <c r="B737" s="13"/>
      <c r="C737" s="13"/>
      <c r="D737" s="13"/>
      <c r="E737" s="13"/>
    </row>
    <row r="738" spans="1:5" x14ac:dyDescent="0.25">
      <c r="A738" s="13"/>
      <c r="B738" s="13"/>
      <c r="C738" s="13"/>
      <c r="D738" s="13"/>
      <c r="E738" s="13"/>
    </row>
    <row r="739" spans="1:5" x14ac:dyDescent="0.25">
      <c r="A739" s="13"/>
      <c r="B739" s="13"/>
      <c r="C739" s="13"/>
      <c r="D739" s="13"/>
      <c r="E739" s="13"/>
    </row>
    <row r="740" spans="1:5" x14ac:dyDescent="0.25">
      <c r="A740" s="13"/>
      <c r="B740" s="13"/>
      <c r="C740" s="13"/>
      <c r="D740" s="13"/>
      <c r="E740" s="13"/>
    </row>
    <row r="741" spans="1:5" x14ac:dyDescent="0.25">
      <c r="A741" s="13"/>
      <c r="B741" s="13"/>
      <c r="C741" s="13"/>
      <c r="D741" s="13"/>
      <c r="E741" s="13"/>
    </row>
    <row r="742" spans="1:5" x14ac:dyDescent="0.25">
      <c r="A742" s="13"/>
      <c r="B742" s="13"/>
      <c r="C742" s="13"/>
      <c r="D742" s="13"/>
      <c r="E742" s="13"/>
    </row>
    <row r="743" spans="1:5" x14ac:dyDescent="0.25">
      <c r="A743" s="13"/>
      <c r="B743" s="13"/>
      <c r="C743" s="13"/>
      <c r="D743" s="13"/>
      <c r="E743" s="13"/>
    </row>
    <row r="744" spans="1:5" x14ac:dyDescent="0.25">
      <c r="A744" s="13"/>
      <c r="B744" s="13"/>
      <c r="C744" s="13"/>
      <c r="D744" s="13"/>
      <c r="E744" s="13"/>
    </row>
    <row r="745" spans="1:5" x14ac:dyDescent="0.25">
      <c r="A745" s="13"/>
      <c r="B745" s="13"/>
      <c r="C745" s="13"/>
      <c r="D745" s="13"/>
      <c r="E745" s="13"/>
    </row>
    <row r="746" spans="1:5" x14ac:dyDescent="0.25">
      <c r="A746" s="13"/>
      <c r="B746" s="13"/>
      <c r="C746" s="13"/>
      <c r="D746" s="13"/>
      <c r="E746" s="13"/>
    </row>
    <row r="747" spans="1:5" x14ac:dyDescent="0.25">
      <c r="A747" s="13"/>
      <c r="B747" s="13"/>
      <c r="C747" s="13"/>
      <c r="D747" s="13"/>
      <c r="E747" s="13"/>
    </row>
    <row r="748" spans="1:5" x14ac:dyDescent="0.25">
      <c r="A748" s="13"/>
      <c r="B748" s="13"/>
      <c r="C748" s="13"/>
      <c r="D748" s="13"/>
      <c r="E748" s="13"/>
    </row>
    <row r="749" spans="1:5" x14ac:dyDescent="0.25">
      <c r="A749" s="13"/>
      <c r="B749" s="13"/>
      <c r="C749" s="13"/>
      <c r="D749" s="13"/>
      <c r="E749" s="13"/>
    </row>
    <row r="750" spans="1:5" x14ac:dyDescent="0.25">
      <c r="A750" s="13"/>
      <c r="B750" s="13"/>
      <c r="C750" s="13"/>
      <c r="D750" s="13"/>
      <c r="E750" s="13"/>
    </row>
    <row r="751" spans="1:5" x14ac:dyDescent="0.25">
      <c r="A751" s="13"/>
      <c r="B751" s="13"/>
      <c r="C751" s="13"/>
      <c r="D751" s="13"/>
      <c r="E751" s="13"/>
    </row>
    <row r="752" spans="1:5" x14ac:dyDescent="0.25">
      <c r="A752" s="13"/>
      <c r="B752" s="13"/>
      <c r="C752" s="13"/>
      <c r="D752" s="13"/>
      <c r="E752" s="13"/>
    </row>
    <row r="753" spans="1:5" x14ac:dyDescent="0.25">
      <c r="A753" s="13"/>
      <c r="B753" s="13"/>
      <c r="C753" s="13"/>
      <c r="D753" s="13"/>
      <c r="E753" s="13"/>
    </row>
    <row r="754" spans="1:5" x14ac:dyDescent="0.25">
      <c r="A754" s="13"/>
      <c r="B754" s="13"/>
      <c r="C754" s="13"/>
      <c r="D754" s="13"/>
      <c r="E754" s="13"/>
    </row>
    <row r="755" spans="1:5" x14ac:dyDescent="0.25">
      <c r="A755" s="13"/>
      <c r="B755" s="13"/>
      <c r="C755" s="13"/>
      <c r="D755" s="13"/>
      <c r="E755" s="13"/>
    </row>
    <row r="756" spans="1:5" x14ac:dyDescent="0.25">
      <c r="A756" s="13"/>
      <c r="B756" s="13"/>
      <c r="C756" s="13"/>
      <c r="D756" s="13"/>
      <c r="E756" s="13"/>
    </row>
    <row r="757" spans="1:5" x14ac:dyDescent="0.25">
      <c r="A757" s="13"/>
      <c r="B757" s="13"/>
      <c r="C757" s="13"/>
      <c r="D757" s="13"/>
      <c r="E757" s="13"/>
    </row>
    <row r="758" spans="1:5" x14ac:dyDescent="0.25">
      <c r="A758" s="13"/>
      <c r="B758" s="13"/>
      <c r="C758" s="13"/>
      <c r="D758" s="13"/>
      <c r="E758" s="13"/>
    </row>
    <row r="759" spans="1:5" x14ac:dyDescent="0.25">
      <c r="A759" s="13"/>
      <c r="B759" s="13"/>
      <c r="C759" s="13"/>
      <c r="D759" s="13"/>
      <c r="E759" s="13"/>
    </row>
    <row r="760" spans="1:5" x14ac:dyDescent="0.25">
      <c r="A760" s="13"/>
      <c r="B760" s="13"/>
      <c r="C760" s="13"/>
      <c r="D760" s="13"/>
      <c r="E760" s="13"/>
    </row>
    <row r="761" spans="1:5" x14ac:dyDescent="0.25">
      <c r="A761" s="13"/>
      <c r="B761" s="13"/>
      <c r="C761" s="13"/>
      <c r="D761" s="13"/>
      <c r="E761" s="13"/>
    </row>
    <row r="762" spans="1:5" x14ac:dyDescent="0.25">
      <c r="A762" s="13"/>
      <c r="B762" s="13"/>
      <c r="C762" s="13"/>
      <c r="D762" s="13"/>
      <c r="E762" s="13"/>
    </row>
    <row r="763" spans="1:5" x14ac:dyDescent="0.25">
      <c r="A763" s="13"/>
      <c r="B763" s="13"/>
      <c r="C763" s="13"/>
      <c r="D763" s="13"/>
      <c r="E763" s="13"/>
    </row>
    <row r="764" spans="1:5" x14ac:dyDescent="0.25">
      <c r="A764" s="13"/>
      <c r="B764" s="13"/>
      <c r="C764" s="13"/>
      <c r="D764" s="13"/>
      <c r="E764" s="13"/>
    </row>
    <row r="765" spans="1:5" x14ac:dyDescent="0.25">
      <c r="A765" s="13"/>
      <c r="B765" s="13"/>
      <c r="C765" s="13"/>
      <c r="D765" s="13"/>
      <c r="E765" s="13"/>
    </row>
    <row r="766" spans="1:5" x14ac:dyDescent="0.25">
      <c r="A766" s="13"/>
      <c r="B766" s="13"/>
      <c r="C766" s="13"/>
      <c r="D766" s="13"/>
      <c r="E766" s="13"/>
    </row>
    <row r="767" spans="1:5" x14ac:dyDescent="0.25">
      <c r="A767" s="13"/>
      <c r="B767" s="13"/>
      <c r="C767" s="13"/>
      <c r="D767" s="13"/>
      <c r="E767" s="13"/>
    </row>
    <row r="768" spans="1:5" x14ac:dyDescent="0.25">
      <c r="A768" s="13"/>
      <c r="B768" s="13"/>
      <c r="C768" s="13"/>
      <c r="D768" s="13"/>
      <c r="E768" s="13"/>
    </row>
    <row r="769" spans="1:5" x14ac:dyDescent="0.25">
      <c r="A769" s="13"/>
      <c r="B769" s="13"/>
      <c r="C769" s="13"/>
      <c r="D769" s="13"/>
      <c r="E769" s="13"/>
    </row>
    <row r="770" spans="1:5" x14ac:dyDescent="0.25">
      <c r="A770" s="13"/>
      <c r="B770" s="13"/>
      <c r="C770" s="13"/>
      <c r="D770" s="13"/>
      <c r="E770" s="13"/>
    </row>
    <row r="771" spans="1:5" x14ac:dyDescent="0.25">
      <c r="A771" s="13"/>
      <c r="B771" s="13"/>
      <c r="C771" s="13"/>
      <c r="D771" s="13"/>
      <c r="E771" s="13"/>
    </row>
    <row r="772" spans="1:5" x14ac:dyDescent="0.25">
      <c r="A772" s="13"/>
      <c r="B772" s="13"/>
      <c r="C772" s="13"/>
      <c r="D772" s="13"/>
      <c r="E772" s="13"/>
    </row>
    <row r="773" spans="1:5" x14ac:dyDescent="0.25">
      <c r="A773" s="13"/>
      <c r="B773" s="13"/>
      <c r="C773" s="13"/>
      <c r="D773" s="13"/>
      <c r="E773" s="13"/>
    </row>
    <row r="774" spans="1:5" x14ac:dyDescent="0.25">
      <c r="A774" s="13"/>
      <c r="B774" s="13"/>
      <c r="C774" s="13"/>
      <c r="D774" s="13"/>
      <c r="E774" s="13"/>
    </row>
    <row r="775" spans="1:5" x14ac:dyDescent="0.25">
      <c r="A775" s="13"/>
      <c r="B775" s="13"/>
      <c r="C775" s="13"/>
      <c r="D775" s="13"/>
      <c r="E775" s="13"/>
    </row>
    <row r="776" spans="1:5" x14ac:dyDescent="0.25">
      <c r="A776" s="13"/>
      <c r="B776" s="13"/>
      <c r="C776" s="13"/>
      <c r="D776" s="13"/>
      <c r="E776" s="13"/>
    </row>
    <row r="777" spans="1:5" x14ac:dyDescent="0.25">
      <c r="A777" s="13"/>
      <c r="B777" s="13"/>
      <c r="C777" s="13"/>
      <c r="D777" s="13"/>
      <c r="E777" s="13"/>
    </row>
    <row r="778" spans="1:5" x14ac:dyDescent="0.25">
      <c r="A778" s="13"/>
      <c r="B778" s="13"/>
      <c r="C778" s="13"/>
      <c r="D778" s="13"/>
      <c r="E778" s="13"/>
    </row>
    <row r="779" spans="1:5" x14ac:dyDescent="0.25">
      <c r="A779" s="13"/>
      <c r="B779" s="13"/>
      <c r="C779" s="13"/>
      <c r="D779" s="13"/>
      <c r="E779" s="13"/>
    </row>
    <row r="780" spans="1:5" x14ac:dyDescent="0.25">
      <c r="A780" s="13"/>
      <c r="B780" s="13"/>
      <c r="C780" s="13"/>
      <c r="D780" s="13"/>
      <c r="E780" s="13"/>
    </row>
    <row r="781" spans="1:5" x14ac:dyDescent="0.25">
      <c r="A781" s="13"/>
      <c r="B781" s="13"/>
      <c r="C781" s="13"/>
      <c r="D781" s="13"/>
      <c r="E781" s="13"/>
    </row>
    <row r="782" spans="1:5" x14ac:dyDescent="0.25">
      <c r="A782" s="13"/>
      <c r="B782" s="13"/>
      <c r="C782" s="13"/>
      <c r="D782" s="13"/>
      <c r="E782" s="13"/>
    </row>
    <row r="783" spans="1:5" x14ac:dyDescent="0.25">
      <c r="A783" s="13"/>
      <c r="B783" s="13"/>
      <c r="C783" s="13"/>
      <c r="D783" s="13"/>
      <c r="E783" s="13"/>
    </row>
    <row r="784" spans="1:5" x14ac:dyDescent="0.25">
      <c r="A784" s="13"/>
      <c r="B784" s="13"/>
      <c r="C784" s="13"/>
      <c r="D784" s="13"/>
      <c r="E784" s="13"/>
    </row>
    <row r="785" spans="1:5" x14ac:dyDescent="0.25">
      <c r="A785" s="13"/>
      <c r="B785" s="13"/>
      <c r="C785" s="13"/>
      <c r="D785" s="13"/>
      <c r="E785" s="13"/>
    </row>
    <row r="786" spans="1:5" x14ac:dyDescent="0.25">
      <c r="A786" s="13"/>
      <c r="B786" s="13"/>
      <c r="C786" s="13"/>
      <c r="D786" s="13"/>
      <c r="E786" s="13"/>
    </row>
    <row r="787" spans="1:5" x14ac:dyDescent="0.25">
      <c r="A787" s="13"/>
      <c r="B787" s="13"/>
      <c r="C787" s="13"/>
      <c r="D787" s="13"/>
      <c r="E787" s="13"/>
    </row>
    <row r="788" spans="1:5" x14ac:dyDescent="0.25">
      <c r="A788" s="13"/>
      <c r="B788" s="13"/>
      <c r="C788" s="13"/>
      <c r="D788" s="13"/>
      <c r="E788" s="13"/>
    </row>
    <row r="789" spans="1:5" x14ac:dyDescent="0.25">
      <c r="A789" s="13"/>
      <c r="B789" s="13"/>
      <c r="C789" s="13"/>
      <c r="D789" s="13"/>
      <c r="E789" s="13"/>
    </row>
    <row r="790" spans="1:5" x14ac:dyDescent="0.25">
      <c r="A790" s="13"/>
      <c r="B790" s="13"/>
      <c r="C790" s="13"/>
      <c r="D790" s="13"/>
      <c r="E790" s="13"/>
    </row>
    <row r="791" spans="1:5" x14ac:dyDescent="0.25">
      <c r="A791" s="13"/>
      <c r="B791" s="13"/>
      <c r="C791" s="13"/>
      <c r="D791" s="13"/>
      <c r="E791" s="13"/>
    </row>
    <row r="792" spans="1:5" x14ac:dyDescent="0.25">
      <c r="A792" s="13"/>
      <c r="B792" s="13"/>
      <c r="C792" s="13"/>
      <c r="D792" s="13"/>
      <c r="E792" s="13"/>
    </row>
    <row r="793" spans="1:5" x14ac:dyDescent="0.25">
      <c r="A793" s="13"/>
      <c r="B793" s="13"/>
      <c r="C793" s="13"/>
      <c r="D793" s="13"/>
      <c r="E793" s="13"/>
    </row>
    <row r="794" spans="1:5" x14ac:dyDescent="0.25">
      <c r="A794" s="13"/>
      <c r="B794" s="13"/>
      <c r="C794" s="13"/>
      <c r="D794" s="13"/>
      <c r="E794" s="13"/>
    </row>
    <row r="795" spans="1:5" x14ac:dyDescent="0.25">
      <c r="A795" s="13"/>
      <c r="B795" s="13"/>
      <c r="C795" s="13"/>
      <c r="D795" s="13"/>
      <c r="E795" s="13"/>
    </row>
    <row r="796" spans="1:5" x14ac:dyDescent="0.25">
      <c r="A796" s="13"/>
      <c r="B796" s="13"/>
      <c r="C796" s="13"/>
      <c r="D796" s="13"/>
      <c r="E796" s="13"/>
    </row>
    <row r="797" spans="1:5" x14ac:dyDescent="0.25">
      <c r="A797" s="13"/>
      <c r="B797" s="13"/>
      <c r="C797" s="13"/>
      <c r="D797" s="13"/>
      <c r="E797" s="13"/>
    </row>
    <row r="798" spans="1:5" x14ac:dyDescent="0.25">
      <c r="A798" s="13"/>
      <c r="B798" s="13"/>
      <c r="C798" s="13"/>
      <c r="D798" s="13"/>
      <c r="E798" s="13"/>
    </row>
    <row r="799" spans="1:5" x14ac:dyDescent="0.25">
      <c r="A799" s="13"/>
      <c r="B799" s="13"/>
      <c r="C799" s="13"/>
      <c r="D799" s="13"/>
      <c r="E799" s="13"/>
    </row>
    <row r="800" spans="1:5" x14ac:dyDescent="0.25">
      <c r="A800" s="13"/>
      <c r="B800" s="13"/>
      <c r="C800" s="13"/>
      <c r="D800" s="13"/>
      <c r="E800" s="13"/>
    </row>
    <row r="801" spans="1:5" x14ac:dyDescent="0.25">
      <c r="A801" s="13"/>
      <c r="B801" s="13"/>
      <c r="C801" s="13"/>
      <c r="D801" s="13"/>
      <c r="E801" s="13"/>
    </row>
    <row r="802" spans="1:5" x14ac:dyDescent="0.25">
      <c r="A802" s="13"/>
      <c r="B802" s="13"/>
      <c r="C802" s="13"/>
      <c r="D802" s="13"/>
      <c r="E802" s="13"/>
    </row>
    <row r="803" spans="1:5" x14ac:dyDescent="0.25">
      <c r="A803" s="13"/>
      <c r="B803" s="13"/>
      <c r="C803" s="13"/>
      <c r="D803" s="13"/>
      <c r="E803" s="13"/>
    </row>
    <row r="804" spans="1:5" x14ac:dyDescent="0.25">
      <c r="A804" s="13"/>
      <c r="B804" s="13"/>
      <c r="C804" s="13"/>
      <c r="D804" s="13"/>
      <c r="E804" s="13"/>
    </row>
    <row r="805" spans="1:5" x14ac:dyDescent="0.25">
      <c r="A805" s="13"/>
      <c r="B805" s="13"/>
      <c r="C805" s="13"/>
      <c r="D805" s="13"/>
      <c r="E805" s="13"/>
    </row>
    <row r="806" spans="1:5" x14ac:dyDescent="0.25">
      <c r="A806" s="13"/>
      <c r="B806" s="13"/>
      <c r="C806" s="13"/>
      <c r="D806" s="13"/>
      <c r="E806" s="13"/>
    </row>
    <row r="807" spans="1:5" x14ac:dyDescent="0.25">
      <c r="A807" s="13"/>
      <c r="B807" s="13"/>
      <c r="C807" s="13"/>
      <c r="D807" s="13"/>
      <c r="E807" s="13"/>
    </row>
    <row r="808" spans="1:5" x14ac:dyDescent="0.25">
      <c r="A808" s="13"/>
      <c r="B808" s="13"/>
      <c r="C808" s="13"/>
      <c r="D808" s="13"/>
      <c r="E808" s="13"/>
    </row>
    <row r="809" spans="1:5" x14ac:dyDescent="0.25">
      <c r="A809" s="13"/>
      <c r="B809" s="13"/>
      <c r="C809" s="13"/>
      <c r="D809" s="13"/>
      <c r="E809" s="13"/>
    </row>
    <row r="810" spans="1:5" x14ac:dyDescent="0.25">
      <c r="A810" s="13"/>
      <c r="B810" s="13"/>
      <c r="C810" s="13"/>
      <c r="D810" s="13"/>
      <c r="E810" s="13"/>
    </row>
    <row r="811" spans="1:5" x14ac:dyDescent="0.25">
      <c r="A811" s="13"/>
      <c r="B811" s="13"/>
      <c r="C811" s="13"/>
      <c r="D811" s="13"/>
      <c r="E811" s="13"/>
    </row>
    <row r="812" spans="1:5" x14ac:dyDescent="0.25">
      <c r="A812" s="13"/>
      <c r="B812" s="13"/>
      <c r="C812" s="13"/>
      <c r="D812" s="13"/>
      <c r="E812" s="13"/>
    </row>
    <row r="813" spans="1:5" x14ac:dyDescent="0.25">
      <c r="A813" s="13"/>
      <c r="B813" s="13"/>
      <c r="C813" s="13"/>
      <c r="D813" s="13"/>
      <c r="E813" s="13"/>
    </row>
    <row r="814" spans="1:5" x14ac:dyDescent="0.25">
      <c r="A814" s="13"/>
      <c r="B814" s="13"/>
      <c r="C814" s="13"/>
      <c r="D814" s="13"/>
      <c r="E814" s="13"/>
    </row>
    <row r="815" spans="1:5" x14ac:dyDescent="0.25">
      <c r="A815" s="13"/>
      <c r="B815" s="13"/>
      <c r="C815" s="13"/>
      <c r="D815" s="13"/>
      <c r="E815" s="13"/>
    </row>
    <row r="816" spans="1:5" x14ac:dyDescent="0.25">
      <c r="A816" s="13"/>
      <c r="B816" s="13"/>
      <c r="C816" s="13"/>
      <c r="D816" s="13"/>
      <c r="E816" s="13"/>
    </row>
    <row r="817" spans="1:5" x14ac:dyDescent="0.25">
      <c r="A817" s="13"/>
      <c r="B817" s="13"/>
      <c r="C817" s="13"/>
      <c r="D817" s="13"/>
      <c r="E817" s="13"/>
    </row>
    <row r="818" spans="1:5" x14ac:dyDescent="0.25">
      <c r="A818" s="13"/>
      <c r="B818" s="13"/>
      <c r="C818" s="13"/>
      <c r="D818" s="13"/>
      <c r="E818" s="13"/>
    </row>
    <row r="819" spans="1:5" x14ac:dyDescent="0.25">
      <c r="A819" s="13"/>
      <c r="B819" s="13"/>
      <c r="C819" s="13"/>
      <c r="D819" s="13"/>
      <c r="E819" s="13"/>
    </row>
    <row r="820" spans="1:5" x14ac:dyDescent="0.25">
      <c r="A820" s="13"/>
      <c r="B820" s="13"/>
      <c r="C820" s="13"/>
      <c r="D820" s="13"/>
      <c r="E820" s="13"/>
    </row>
    <row r="821" spans="1:5" x14ac:dyDescent="0.25">
      <c r="A821" s="13"/>
      <c r="B821" s="13"/>
      <c r="C821" s="13"/>
      <c r="D821" s="13"/>
      <c r="E821" s="13"/>
    </row>
    <row r="822" spans="1:5" x14ac:dyDescent="0.25">
      <c r="A822" s="13"/>
      <c r="B822" s="13"/>
      <c r="C822" s="13"/>
      <c r="D822" s="13"/>
      <c r="E822" s="13"/>
    </row>
    <row r="823" spans="1:5" x14ac:dyDescent="0.25">
      <c r="A823" s="13"/>
      <c r="B823" s="13"/>
      <c r="C823" s="13"/>
      <c r="D823" s="13"/>
      <c r="E823" s="13"/>
    </row>
    <row r="824" spans="1:5" x14ac:dyDescent="0.25">
      <c r="A824" s="13"/>
      <c r="B824" s="13"/>
      <c r="C824" s="13"/>
      <c r="D824" s="13"/>
      <c r="E824" s="13"/>
    </row>
    <row r="825" spans="1:5" x14ac:dyDescent="0.25">
      <c r="A825" s="13"/>
      <c r="B825" s="13"/>
      <c r="C825" s="13"/>
      <c r="D825" s="13"/>
      <c r="E825" s="13"/>
    </row>
    <row r="826" spans="1:5" x14ac:dyDescent="0.25">
      <c r="A826" s="13"/>
      <c r="B826" s="13"/>
      <c r="C826" s="13"/>
      <c r="D826" s="13"/>
      <c r="E826" s="13"/>
    </row>
    <row r="827" spans="1:5" x14ac:dyDescent="0.25">
      <c r="A827" s="13"/>
      <c r="B827" s="13"/>
      <c r="C827" s="13"/>
      <c r="D827" s="13"/>
      <c r="E827" s="13"/>
    </row>
    <row r="828" spans="1:5" x14ac:dyDescent="0.25">
      <c r="A828" s="13"/>
      <c r="B828" s="13"/>
      <c r="C828" s="13"/>
      <c r="D828" s="13"/>
      <c r="E828" s="13"/>
    </row>
    <row r="829" spans="1:5" x14ac:dyDescent="0.25">
      <c r="A829" s="13"/>
      <c r="B829" s="13"/>
      <c r="C829" s="13"/>
      <c r="D829" s="13"/>
      <c r="E829" s="13"/>
    </row>
    <row r="830" spans="1:5" x14ac:dyDescent="0.25">
      <c r="A830" s="13"/>
      <c r="B830" s="13"/>
      <c r="C830" s="13"/>
      <c r="D830" s="13"/>
      <c r="E830" s="13"/>
    </row>
    <row r="831" spans="1:5" x14ac:dyDescent="0.25">
      <c r="A831" s="13"/>
      <c r="B831" s="13"/>
      <c r="C831" s="13"/>
      <c r="D831" s="13"/>
      <c r="E831" s="13"/>
    </row>
    <row r="832" spans="1:5" x14ac:dyDescent="0.25">
      <c r="A832" s="13"/>
      <c r="B832" s="13"/>
      <c r="C832" s="13"/>
      <c r="D832" s="13"/>
      <c r="E832" s="13"/>
    </row>
    <row r="833" spans="1:5" x14ac:dyDescent="0.25">
      <c r="A833" s="13"/>
      <c r="B833" s="13"/>
      <c r="C833" s="13"/>
      <c r="D833" s="13"/>
      <c r="E833" s="13"/>
    </row>
    <row r="834" spans="1:5" x14ac:dyDescent="0.25">
      <c r="A834" s="13"/>
      <c r="B834" s="13"/>
      <c r="C834" s="13"/>
      <c r="D834" s="13"/>
      <c r="E834" s="13"/>
    </row>
    <row r="835" spans="1:5" x14ac:dyDescent="0.25">
      <c r="A835" s="13"/>
      <c r="B835" s="13"/>
      <c r="C835" s="13"/>
      <c r="D835" s="13"/>
      <c r="E835" s="13"/>
    </row>
    <row r="836" spans="1:5" x14ac:dyDescent="0.25">
      <c r="A836" s="13"/>
      <c r="B836" s="13"/>
      <c r="C836" s="13"/>
      <c r="D836" s="13"/>
      <c r="E836" s="13"/>
    </row>
    <row r="837" spans="1:5" x14ac:dyDescent="0.25">
      <c r="A837" s="13"/>
      <c r="B837" s="13"/>
      <c r="C837" s="13"/>
      <c r="D837" s="13"/>
      <c r="E837" s="13"/>
    </row>
    <row r="838" spans="1:5" x14ac:dyDescent="0.25">
      <c r="A838" s="13"/>
      <c r="B838" s="13"/>
      <c r="C838" s="13"/>
      <c r="D838" s="13"/>
      <c r="E838" s="13"/>
    </row>
    <row r="839" spans="1:5" x14ac:dyDescent="0.25">
      <c r="A839" s="13"/>
      <c r="B839" s="13"/>
      <c r="C839" s="13"/>
      <c r="D839" s="13"/>
      <c r="E839" s="13"/>
    </row>
    <row r="840" spans="1:5" x14ac:dyDescent="0.25">
      <c r="A840" s="13"/>
      <c r="B840" s="13"/>
      <c r="C840" s="13"/>
      <c r="D840" s="13"/>
      <c r="E840" s="13"/>
    </row>
    <row r="841" spans="1:5" x14ac:dyDescent="0.25">
      <c r="A841" s="13"/>
      <c r="B841" s="13"/>
      <c r="C841" s="13"/>
      <c r="D841" s="13"/>
      <c r="E841" s="13"/>
    </row>
    <row r="842" spans="1:5" x14ac:dyDescent="0.25">
      <c r="A842" s="13"/>
      <c r="B842" s="13"/>
      <c r="C842" s="13"/>
      <c r="D842" s="13"/>
      <c r="E842" s="13"/>
    </row>
    <row r="843" spans="1:5" x14ac:dyDescent="0.25">
      <c r="A843" s="13"/>
      <c r="B843" s="13"/>
      <c r="C843" s="13"/>
      <c r="D843" s="13"/>
      <c r="E843" s="13"/>
    </row>
    <row r="844" spans="1:5" x14ac:dyDescent="0.25">
      <c r="A844" s="13"/>
      <c r="B844" s="13"/>
      <c r="C844" s="13"/>
      <c r="D844" s="13"/>
      <c r="E844" s="13"/>
    </row>
    <row r="845" spans="1:5" x14ac:dyDescent="0.25">
      <c r="A845" s="13"/>
      <c r="B845" s="13"/>
      <c r="C845" s="13"/>
      <c r="D845" s="13"/>
      <c r="E845" s="13"/>
    </row>
    <row r="846" spans="1:5" x14ac:dyDescent="0.25">
      <c r="A846" s="13"/>
      <c r="B846" s="13"/>
      <c r="C846" s="13"/>
      <c r="D846" s="13"/>
      <c r="E846" s="13"/>
    </row>
    <row r="847" spans="1:5" x14ac:dyDescent="0.25">
      <c r="A847" s="13"/>
      <c r="B847" s="13"/>
      <c r="C847" s="13"/>
      <c r="D847" s="13"/>
      <c r="E847" s="13"/>
    </row>
    <row r="848" spans="1:5" x14ac:dyDescent="0.25">
      <c r="A848" s="13"/>
      <c r="B848" s="13"/>
      <c r="C848" s="13"/>
      <c r="D848" s="13"/>
      <c r="E848" s="13"/>
    </row>
    <row r="849" spans="1:5" x14ac:dyDescent="0.25">
      <c r="A849" s="13"/>
      <c r="B849" s="13"/>
      <c r="C849" s="13"/>
      <c r="D849" s="13"/>
      <c r="E849" s="13"/>
    </row>
    <row r="850" spans="1:5" x14ac:dyDescent="0.25">
      <c r="A850" s="13"/>
      <c r="B850" s="13"/>
      <c r="C850" s="13"/>
      <c r="D850" s="13"/>
      <c r="E850" s="13"/>
    </row>
    <row r="851" spans="1:5" x14ac:dyDescent="0.25">
      <c r="A851" s="13"/>
      <c r="B851" s="13"/>
      <c r="C851" s="13"/>
      <c r="D851" s="13"/>
      <c r="E851" s="13"/>
    </row>
    <row r="852" spans="1:5" x14ac:dyDescent="0.25">
      <c r="A852" s="13"/>
      <c r="B852" s="13"/>
      <c r="C852" s="13"/>
      <c r="D852" s="13"/>
      <c r="E852" s="13"/>
    </row>
    <row r="853" spans="1:5" x14ac:dyDescent="0.25">
      <c r="A853" s="13"/>
      <c r="B853" s="13"/>
      <c r="C853" s="13"/>
      <c r="D853" s="13"/>
      <c r="E853" s="13"/>
    </row>
    <row r="854" spans="1:5" x14ac:dyDescent="0.25">
      <c r="A854" s="13"/>
      <c r="B854" s="13"/>
      <c r="C854" s="13"/>
      <c r="D854" s="13"/>
      <c r="E854" s="13"/>
    </row>
    <row r="855" spans="1:5" x14ac:dyDescent="0.25">
      <c r="A855" s="13"/>
      <c r="B855" s="13"/>
      <c r="C855" s="13"/>
      <c r="D855" s="13"/>
      <c r="E855" s="13"/>
    </row>
    <row r="856" spans="1:5" x14ac:dyDescent="0.25">
      <c r="A856" s="13"/>
      <c r="B856" s="13"/>
      <c r="C856" s="13"/>
      <c r="D856" s="13"/>
      <c r="E856" s="13"/>
    </row>
    <row r="857" spans="1:5" x14ac:dyDescent="0.25">
      <c r="A857" s="13"/>
      <c r="B857" s="13"/>
      <c r="C857" s="13"/>
      <c r="D857" s="13"/>
      <c r="E857" s="13"/>
    </row>
    <row r="858" spans="1:5" x14ac:dyDescent="0.25">
      <c r="A858" s="13"/>
      <c r="B858" s="13"/>
      <c r="C858" s="13"/>
      <c r="D858" s="13"/>
      <c r="E858" s="13"/>
    </row>
    <row r="859" spans="1:5" x14ac:dyDescent="0.25">
      <c r="A859" s="13"/>
      <c r="B859" s="13"/>
      <c r="C859" s="13"/>
      <c r="D859" s="13"/>
      <c r="E859" s="13"/>
    </row>
    <row r="860" spans="1:5" x14ac:dyDescent="0.25">
      <c r="A860" s="13"/>
      <c r="B860" s="13"/>
      <c r="C860" s="13"/>
      <c r="D860" s="13"/>
      <c r="E860" s="13"/>
    </row>
    <row r="861" spans="1:5" x14ac:dyDescent="0.25">
      <c r="A861" s="13"/>
      <c r="B861" s="13"/>
      <c r="C861" s="13"/>
      <c r="D861" s="13"/>
      <c r="E861" s="13"/>
    </row>
    <row r="862" spans="1:5" x14ac:dyDescent="0.25">
      <c r="A862" s="13"/>
      <c r="B862" s="13"/>
      <c r="C862" s="13"/>
      <c r="D862" s="13"/>
      <c r="E862" s="13"/>
    </row>
    <row r="863" spans="1:5" x14ac:dyDescent="0.25">
      <c r="A863" s="13"/>
      <c r="B863" s="13"/>
      <c r="C863" s="13"/>
      <c r="D863" s="13"/>
      <c r="E863" s="13"/>
    </row>
    <row r="864" spans="1:5" x14ac:dyDescent="0.25">
      <c r="A864" s="13"/>
      <c r="B864" s="13"/>
      <c r="C864" s="13"/>
      <c r="D864" s="13"/>
      <c r="E864" s="13"/>
    </row>
    <row r="865" spans="1:5" x14ac:dyDescent="0.25">
      <c r="A865" s="13"/>
      <c r="B865" s="13"/>
      <c r="C865" s="13"/>
      <c r="D865" s="13"/>
      <c r="E865" s="13"/>
    </row>
    <row r="866" spans="1:5" x14ac:dyDescent="0.25">
      <c r="A866" s="13"/>
      <c r="B866" s="13"/>
      <c r="C866" s="13"/>
      <c r="D866" s="13"/>
      <c r="E866" s="13"/>
    </row>
    <row r="867" spans="1:5" x14ac:dyDescent="0.25">
      <c r="A867" s="13"/>
      <c r="B867" s="13"/>
      <c r="C867" s="13"/>
      <c r="D867" s="13"/>
      <c r="E867" s="13"/>
    </row>
    <row r="868" spans="1:5" x14ac:dyDescent="0.25">
      <c r="A868" s="13"/>
      <c r="B868" s="13"/>
      <c r="C868" s="13"/>
      <c r="D868" s="13"/>
      <c r="E868" s="13"/>
    </row>
    <row r="869" spans="1:5" x14ac:dyDescent="0.25">
      <c r="A869" s="13"/>
      <c r="B869" s="13"/>
      <c r="C869" s="13"/>
      <c r="D869" s="13"/>
      <c r="E869" s="13"/>
    </row>
    <row r="870" spans="1:5" x14ac:dyDescent="0.25">
      <c r="A870" s="13"/>
      <c r="B870" s="13"/>
      <c r="C870" s="13"/>
      <c r="D870" s="13"/>
      <c r="E870" s="13"/>
    </row>
    <row r="871" spans="1:5" x14ac:dyDescent="0.25">
      <c r="A871" s="13"/>
      <c r="B871" s="13"/>
      <c r="C871" s="13"/>
      <c r="D871" s="13"/>
      <c r="E871" s="13"/>
    </row>
    <row r="872" spans="1:5" x14ac:dyDescent="0.25">
      <c r="A872" s="13"/>
      <c r="B872" s="13"/>
      <c r="C872" s="13"/>
      <c r="D872" s="13"/>
      <c r="E872" s="13"/>
    </row>
    <row r="873" spans="1:5" x14ac:dyDescent="0.25">
      <c r="A873" s="13"/>
      <c r="B873" s="13"/>
      <c r="C873" s="13"/>
      <c r="D873" s="13"/>
      <c r="E873" s="13"/>
    </row>
    <row r="874" spans="1:5" x14ac:dyDescent="0.25">
      <c r="A874" s="13"/>
      <c r="B874" s="13"/>
      <c r="C874" s="13"/>
      <c r="D874" s="13"/>
      <c r="E874" s="13"/>
    </row>
    <row r="875" spans="1:5" x14ac:dyDescent="0.25">
      <c r="A875" s="13"/>
      <c r="B875" s="13"/>
      <c r="C875" s="13"/>
      <c r="D875" s="13"/>
      <c r="E875" s="13"/>
    </row>
    <row r="876" spans="1:5" x14ac:dyDescent="0.25">
      <c r="A876" s="13"/>
      <c r="B876" s="13"/>
      <c r="C876" s="13"/>
      <c r="D876" s="13"/>
      <c r="E876" s="13"/>
    </row>
    <row r="877" spans="1:5" x14ac:dyDescent="0.25">
      <c r="A877" s="13"/>
      <c r="B877" s="13"/>
      <c r="C877" s="13"/>
      <c r="D877" s="13"/>
      <c r="E877" s="13"/>
    </row>
    <row r="878" spans="1:5" x14ac:dyDescent="0.25">
      <c r="A878" s="13"/>
      <c r="B878" s="13"/>
      <c r="C878" s="13"/>
      <c r="D878" s="13"/>
      <c r="E878" s="13"/>
    </row>
    <row r="879" spans="1:5" x14ac:dyDescent="0.25">
      <c r="A879" s="13"/>
      <c r="B879" s="13"/>
      <c r="C879" s="13"/>
      <c r="D879" s="13"/>
      <c r="E879" s="13"/>
    </row>
    <row r="880" spans="1:5" x14ac:dyDescent="0.25">
      <c r="A880" s="13"/>
      <c r="B880" s="13"/>
      <c r="C880" s="13"/>
      <c r="D880" s="13"/>
      <c r="E880" s="13"/>
    </row>
    <row r="881" spans="1:5" x14ac:dyDescent="0.25">
      <c r="A881" s="13"/>
      <c r="B881" s="13"/>
      <c r="C881" s="13"/>
      <c r="D881" s="13"/>
      <c r="E881" s="13"/>
    </row>
    <row r="882" spans="1:5" x14ac:dyDescent="0.25">
      <c r="A882" s="13"/>
      <c r="B882" s="13"/>
      <c r="C882" s="13"/>
      <c r="D882" s="13"/>
      <c r="E882" s="13"/>
    </row>
    <row r="883" spans="1:5" x14ac:dyDescent="0.25">
      <c r="A883" s="13"/>
      <c r="B883" s="13"/>
      <c r="C883" s="13"/>
      <c r="D883" s="13"/>
      <c r="E883" s="13"/>
    </row>
    <row r="884" spans="1:5" x14ac:dyDescent="0.25">
      <c r="A884" s="13"/>
      <c r="B884" s="13"/>
      <c r="C884" s="13"/>
      <c r="D884" s="13"/>
      <c r="E884" s="13"/>
    </row>
    <row r="885" spans="1:5" x14ac:dyDescent="0.25">
      <c r="A885" s="13"/>
      <c r="B885" s="13"/>
      <c r="C885" s="13"/>
      <c r="D885" s="13"/>
      <c r="E885" s="13"/>
    </row>
    <row r="886" spans="1:5" x14ac:dyDescent="0.25">
      <c r="A886" s="13"/>
      <c r="B886" s="13"/>
      <c r="C886" s="13"/>
      <c r="D886" s="13"/>
      <c r="E886" s="13"/>
    </row>
    <row r="887" spans="1:5" x14ac:dyDescent="0.25">
      <c r="A887" s="13"/>
      <c r="B887" s="13"/>
      <c r="C887" s="13"/>
      <c r="D887" s="13"/>
      <c r="E887" s="13"/>
    </row>
    <row r="888" spans="1:5" x14ac:dyDescent="0.25">
      <c r="A888" s="13"/>
      <c r="B888" s="13"/>
      <c r="C888" s="13"/>
      <c r="D888" s="13"/>
      <c r="E888" s="13"/>
    </row>
    <row r="889" spans="1:5" x14ac:dyDescent="0.25">
      <c r="A889" s="13"/>
      <c r="B889" s="13"/>
      <c r="C889" s="13"/>
      <c r="D889" s="13"/>
      <c r="E889" s="13"/>
    </row>
    <row r="890" spans="1:5" x14ac:dyDescent="0.25">
      <c r="A890" s="13"/>
      <c r="B890" s="13"/>
      <c r="C890" s="13"/>
      <c r="D890" s="13"/>
      <c r="E890" s="13"/>
    </row>
    <row r="891" spans="1:5" x14ac:dyDescent="0.25">
      <c r="A891" s="13"/>
      <c r="B891" s="13"/>
      <c r="C891" s="13"/>
      <c r="D891" s="13"/>
      <c r="E891" s="13"/>
    </row>
    <row r="892" spans="1:5" x14ac:dyDescent="0.25">
      <c r="A892" s="13"/>
      <c r="B892" s="13"/>
      <c r="C892" s="13"/>
      <c r="D892" s="13"/>
      <c r="E892" s="13"/>
    </row>
    <row r="893" spans="1:5" x14ac:dyDescent="0.25">
      <c r="A893" s="13"/>
      <c r="B893" s="13"/>
      <c r="C893" s="13"/>
      <c r="D893" s="13"/>
      <c r="E893" s="13"/>
    </row>
    <row r="894" spans="1:5" x14ac:dyDescent="0.25">
      <c r="A894" s="13"/>
      <c r="B894" s="13"/>
      <c r="C894" s="13"/>
      <c r="D894" s="13"/>
      <c r="E894" s="13"/>
    </row>
    <row r="895" spans="1:5" x14ac:dyDescent="0.25">
      <c r="A895" s="13"/>
      <c r="B895" s="13"/>
      <c r="C895" s="13"/>
      <c r="D895" s="13"/>
      <c r="E895" s="13"/>
    </row>
    <row r="896" spans="1:5" x14ac:dyDescent="0.25">
      <c r="A896" s="13"/>
      <c r="B896" s="13"/>
      <c r="C896" s="13"/>
      <c r="D896" s="13"/>
      <c r="E896" s="13"/>
    </row>
    <row r="897" spans="1:5" x14ac:dyDescent="0.25">
      <c r="A897" s="13"/>
      <c r="B897" s="13"/>
      <c r="C897" s="13"/>
      <c r="D897" s="13"/>
      <c r="E897" s="13"/>
    </row>
    <row r="898" spans="1:5" x14ac:dyDescent="0.25">
      <c r="A898" s="13"/>
      <c r="B898" s="13"/>
      <c r="C898" s="13"/>
      <c r="D898" s="13"/>
      <c r="E898" s="13"/>
    </row>
    <row r="899" spans="1:5" x14ac:dyDescent="0.25">
      <c r="A899" s="13"/>
      <c r="B899" s="13"/>
      <c r="C899" s="13"/>
      <c r="D899" s="13"/>
      <c r="E899" s="13"/>
    </row>
    <row r="900" spans="1:5" x14ac:dyDescent="0.25">
      <c r="A900" s="13"/>
      <c r="B900" s="13"/>
      <c r="C900" s="13"/>
      <c r="D900" s="13"/>
      <c r="E900" s="13"/>
    </row>
    <row r="901" spans="1:5" x14ac:dyDescent="0.25">
      <c r="A901" s="13"/>
      <c r="B901" s="13"/>
      <c r="C901" s="13"/>
      <c r="D901" s="13"/>
      <c r="E901" s="13"/>
    </row>
    <row r="902" spans="1:5" x14ac:dyDescent="0.25">
      <c r="A902" s="13"/>
      <c r="B902" s="13"/>
      <c r="C902" s="13"/>
      <c r="D902" s="13"/>
      <c r="E902" s="13"/>
    </row>
    <row r="903" spans="1:5" x14ac:dyDescent="0.25">
      <c r="A903" s="13"/>
      <c r="B903" s="13"/>
      <c r="C903" s="13"/>
      <c r="D903" s="13"/>
      <c r="E903" s="13"/>
    </row>
    <row r="904" spans="1:5" x14ac:dyDescent="0.25">
      <c r="A904" s="13"/>
      <c r="B904" s="13"/>
      <c r="C904" s="13"/>
      <c r="D904" s="13"/>
      <c r="E904" s="13"/>
    </row>
    <row r="905" spans="1:5" x14ac:dyDescent="0.25">
      <c r="A905" s="13"/>
      <c r="B905" s="13"/>
      <c r="C905" s="13"/>
      <c r="D905" s="13"/>
      <c r="E905" s="13"/>
    </row>
    <row r="906" spans="1:5" x14ac:dyDescent="0.25">
      <c r="A906" s="13"/>
      <c r="B906" s="13"/>
      <c r="C906" s="13"/>
      <c r="D906" s="13"/>
      <c r="E906" s="13"/>
    </row>
    <row r="907" spans="1:5" x14ac:dyDescent="0.25">
      <c r="A907" s="13"/>
      <c r="B907" s="13"/>
      <c r="C907" s="13"/>
      <c r="D907" s="13"/>
      <c r="E907" s="13"/>
    </row>
    <row r="908" spans="1:5" x14ac:dyDescent="0.25">
      <c r="A908" s="13"/>
      <c r="B908" s="13"/>
      <c r="C908" s="13"/>
      <c r="D908" s="13"/>
      <c r="E908" s="13"/>
    </row>
    <row r="909" spans="1:5" x14ac:dyDescent="0.25">
      <c r="A909" s="13"/>
      <c r="B909" s="13"/>
      <c r="C909" s="13"/>
      <c r="D909" s="13"/>
      <c r="E909" s="13"/>
    </row>
    <row r="910" spans="1:5" x14ac:dyDescent="0.25">
      <c r="A910" s="13"/>
      <c r="B910" s="13"/>
      <c r="C910" s="13"/>
      <c r="D910" s="13"/>
      <c r="E910" s="13"/>
    </row>
    <row r="911" spans="1:5" x14ac:dyDescent="0.25">
      <c r="A911" s="13"/>
      <c r="B911" s="13"/>
      <c r="C911" s="13"/>
      <c r="D911" s="13"/>
      <c r="E911" s="13"/>
    </row>
    <row r="912" spans="1:5" x14ac:dyDescent="0.25">
      <c r="A912" s="13"/>
      <c r="B912" s="13"/>
      <c r="C912" s="13"/>
      <c r="D912" s="13"/>
      <c r="E912" s="13"/>
    </row>
    <row r="913" spans="1:5" x14ac:dyDescent="0.25">
      <c r="A913" s="13"/>
      <c r="B913" s="13"/>
      <c r="C913" s="13"/>
      <c r="D913" s="13"/>
      <c r="E913" s="13"/>
    </row>
    <row r="914" spans="1:5" x14ac:dyDescent="0.25">
      <c r="A914" s="13"/>
      <c r="B914" s="13"/>
      <c r="C914" s="13"/>
      <c r="D914" s="13"/>
      <c r="E914" s="13"/>
    </row>
    <row r="915" spans="1:5" x14ac:dyDescent="0.25">
      <c r="A915" s="13"/>
      <c r="B915" s="13"/>
      <c r="C915" s="13"/>
      <c r="D915" s="13"/>
      <c r="E915" s="13"/>
    </row>
    <row r="916" spans="1:5" x14ac:dyDescent="0.25">
      <c r="A916" s="13"/>
      <c r="B916" s="13"/>
      <c r="C916" s="13"/>
      <c r="D916" s="13"/>
      <c r="E916" s="13"/>
    </row>
    <row r="917" spans="1:5" x14ac:dyDescent="0.25">
      <c r="A917" s="13"/>
      <c r="B917" s="13"/>
      <c r="C917" s="13"/>
      <c r="D917" s="13"/>
      <c r="E917" s="13"/>
    </row>
    <row r="918" spans="1:5" x14ac:dyDescent="0.25">
      <c r="A918" s="13"/>
      <c r="B918" s="13"/>
      <c r="C918" s="13"/>
      <c r="D918" s="13"/>
      <c r="E918" s="13"/>
    </row>
    <row r="919" spans="1:5" x14ac:dyDescent="0.25">
      <c r="A919" s="13"/>
      <c r="B919" s="13"/>
      <c r="C919" s="13"/>
      <c r="D919" s="13"/>
      <c r="E919" s="13"/>
    </row>
    <row r="920" spans="1:5" x14ac:dyDescent="0.25">
      <c r="A920" s="13"/>
      <c r="B920" s="13"/>
      <c r="C920" s="13"/>
      <c r="D920" s="13"/>
      <c r="E920" s="13"/>
    </row>
    <row r="921" spans="1:5" x14ac:dyDescent="0.25">
      <c r="A921" s="13"/>
      <c r="B921" s="13"/>
      <c r="C921" s="13"/>
      <c r="D921" s="13"/>
      <c r="E921" s="13"/>
    </row>
    <row r="922" spans="1:5" x14ac:dyDescent="0.25">
      <c r="A922" s="13"/>
      <c r="B922" s="13"/>
      <c r="C922" s="13"/>
      <c r="D922" s="13"/>
      <c r="E922" s="13"/>
    </row>
    <row r="923" spans="1:5" x14ac:dyDescent="0.25">
      <c r="A923" s="13"/>
      <c r="B923" s="13"/>
      <c r="C923" s="13"/>
      <c r="D923" s="13"/>
      <c r="E923" s="13"/>
    </row>
    <row r="924" spans="1:5" x14ac:dyDescent="0.25">
      <c r="A924" s="13"/>
      <c r="B924" s="13"/>
      <c r="C924" s="13"/>
      <c r="D924" s="13"/>
      <c r="E924" s="13"/>
    </row>
    <row r="925" spans="1:5" x14ac:dyDescent="0.25">
      <c r="A925" s="13"/>
      <c r="B925" s="13"/>
      <c r="C925" s="13"/>
      <c r="D925" s="13"/>
      <c r="E925" s="13"/>
    </row>
    <row r="926" spans="1:5" x14ac:dyDescent="0.25">
      <c r="A926" s="13"/>
      <c r="B926" s="13"/>
      <c r="C926" s="13"/>
      <c r="D926" s="13"/>
      <c r="E926" s="13"/>
    </row>
    <row r="927" spans="1:5" x14ac:dyDescent="0.25">
      <c r="A927" s="13"/>
      <c r="B927" s="13"/>
      <c r="C927" s="13"/>
      <c r="D927" s="13"/>
      <c r="E927" s="13"/>
    </row>
    <row r="928" spans="1:5" x14ac:dyDescent="0.25">
      <c r="A928" s="13"/>
      <c r="B928" s="13"/>
      <c r="C928" s="13"/>
      <c r="D928" s="13"/>
      <c r="E928" s="13"/>
    </row>
    <row r="929" spans="1:5" x14ac:dyDescent="0.25">
      <c r="A929" s="13"/>
      <c r="B929" s="13"/>
      <c r="C929" s="13"/>
      <c r="D929" s="13"/>
      <c r="E929" s="13"/>
    </row>
    <row r="930" spans="1:5" x14ac:dyDescent="0.25">
      <c r="A930" s="13"/>
      <c r="B930" s="13"/>
      <c r="C930" s="13"/>
      <c r="D930" s="13"/>
      <c r="E930" s="13"/>
    </row>
    <row r="931" spans="1:5" x14ac:dyDescent="0.25">
      <c r="A931" s="13"/>
      <c r="B931" s="13"/>
      <c r="C931" s="13"/>
      <c r="D931" s="13"/>
      <c r="E931" s="13"/>
    </row>
    <row r="932" spans="1:5" x14ac:dyDescent="0.25">
      <c r="A932" s="13"/>
      <c r="B932" s="13"/>
      <c r="C932" s="13"/>
      <c r="D932" s="13"/>
      <c r="E932" s="13"/>
    </row>
    <row r="933" spans="1:5" x14ac:dyDescent="0.25">
      <c r="A933" s="13"/>
      <c r="B933" s="13"/>
      <c r="C933" s="13"/>
      <c r="D933" s="13"/>
      <c r="E933" s="13"/>
    </row>
    <row r="934" spans="1:5" x14ac:dyDescent="0.25">
      <c r="A934" s="13"/>
      <c r="B934" s="13"/>
      <c r="C934" s="13"/>
      <c r="D934" s="13"/>
      <c r="E934" s="13"/>
    </row>
    <row r="935" spans="1:5" x14ac:dyDescent="0.25">
      <c r="A935" s="13"/>
      <c r="B935" s="13"/>
      <c r="C935" s="13"/>
      <c r="D935" s="13"/>
      <c r="E935" s="13"/>
    </row>
    <row r="936" spans="1:5" x14ac:dyDescent="0.25">
      <c r="A936" s="13"/>
      <c r="B936" s="13"/>
      <c r="C936" s="13"/>
      <c r="D936" s="13"/>
      <c r="E936" s="13"/>
    </row>
    <row r="937" spans="1:5" x14ac:dyDescent="0.25">
      <c r="A937" s="13"/>
      <c r="B937" s="13"/>
      <c r="C937" s="13"/>
      <c r="D937" s="13"/>
      <c r="E937" s="13"/>
    </row>
    <row r="938" spans="1:5" x14ac:dyDescent="0.25">
      <c r="A938" s="13"/>
      <c r="B938" s="13"/>
      <c r="C938" s="13"/>
      <c r="D938" s="13"/>
      <c r="E938" s="13"/>
    </row>
    <row r="939" spans="1:5" x14ac:dyDescent="0.25">
      <c r="A939" s="13"/>
      <c r="B939" s="13"/>
      <c r="C939" s="13"/>
      <c r="D939" s="13"/>
      <c r="E939" s="13"/>
    </row>
    <row r="940" spans="1:5" x14ac:dyDescent="0.25">
      <c r="A940" s="13"/>
      <c r="B940" s="13"/>
      <c r="C940" s="13"/>
      <c r="D940" s="13"/>
      <c r="E940" s="13"/>
    </row>
    <row r="941" spans="1:5" x14ac:dyDescent="0.25">
      <c r="A941" s="13"/>
      <c r="B941" s="13"/>
      <c r="C941" s="13"/>
      <c r="D941" s="13"/>
      <c r="E941" s="13"/>
    </row>
    <row r="942" spans="1:5" x14ac:dyDescent="0.25">
      <c r="A942" s="13"/>
      <c r="B942" s="13"/>
      <c r="C942" s="13"/>
      <c r="D942" s="13"/>
      <c r="E942" s="13"/>
    </row>
    <row r="943" spans="1:5" x14ac:dyDescent="0.25">
      <c r="A943" s="13"/>
      <c r="B943" s="13"/>
      <c r="C943" s="13"/>
      <c r="D943" s="13"/>
      <c r="E943" s="13"/>
    </row>
    <row r="944" spans="1:5" x14ac:dyDescent="0.25">
      <c r="A944" s="13"/>
      <c r="B944" s="13"/>
      <c r="C944" s="13"/>
      <c r="D944" s="13"/>
      <c r="E944" s="13"/>
    </row>
    <row r="945" spans="1:5" x14ac:dyDescent="0.25">
      <c r="A945" s="13"/>
      <c r="B945" s="13"/>
      <c r="C945" s="13"/>
      <c r="D945" s="13"/>
      <c r="E945" s="13"/>
    </row>
    <row r="946" spans="1:5" x14ac:dyDescent="0.25">
      <c r="A946" s="13"/>
      <c r="B946" s="13"/>
      <c r="C946" s="13"/>
      <c r="D946" s="13"/>
      <c r="E946" s="13"/>
    </row>
    <row r="947" spans="1:5" x14ac:dyDescent="0.25">
      <c r="A947" s="13"/>
      <c r="B947" s="13"/>
      <c r="C947" s="13"/>
      <c r="D947" s="13"/>
      <c r="E947" s="13"/>
    </row>
    <row r="948" spans="1:5" x14ac:dyDescent="0.25">
      <c r="A948" s="13"/>
      <c r="B948" s="13"/>
      <c r="C948" s="13"/>
      <c r="D948" s="13"/>
      <c r="E948" s="13"/>
    </row>
    <row r="949" spans="1:5" x14ac:dyDescent="0.25">
      <c r="A949" s="13"/>
      <c r="B949" s="13"/>
      <c r="C949" s="13"/>
      <c r="D949" s="13"/>
      <c r="E949" s="13"/>
    </row>
    <row r="950" spans="1:5" x14ac:dyDescent="0.25">
      <c r="A950" s="13"/>
      <c r="B950" s="13"/>
      <c r="C950" s="13"/>
      <c r="D950" s="13"/>
      <c r="E950" s="13"/>
    </row>
    <row r="951" spans="1:5" x14ac:dyDescent="0.25">
      <c r="A951" s="13"/>
      <c r="B951" s="13"/>
      <c r="C951" s="13"/>
      <c r="D951" s="13"/>
      <c r="E951" s="13"/>
    </row>
    <row r="952" spans="1:5" x14ac:dyDescent="0.25">
      <c r="A952" s="13"/>
      <c r="B952" s="13"/>
      <c r="C952" s="13"/>
      <c r="D952" s="13"/>
      <c r="E952" s="13"/>
    </row>
    <row r="953" spans="1:5" x14ac:dyDescent="0.25">
      <c r="A953" s="13"/>
      <c r="B953" s="13"/>
      <c r="C953" s="13"/>
      <c r="D953" s="13"/>
      <c r="E953" s="13"/>
    </row>
    <row r="954" spans="1:5" x14ac:dyDescent="0.25">
      <c r="A954" s="13"/>
      <c r="B954" s="13"/>
      <c r="C954" s="13"/>
      <c r="D954" s="13"/>
      <c r="E954" s="13"/>
    </row>
    <row r="955" spans="1:5" x14ac:dyDescent="0.25">
      <c r="A955" s="13"/>
      <c r="B955" s="13"/>
      <c r="C955" s="13"/>
      <c r="D955" s="13"/>
      <c r="E955" s="13"/>
    </row>
    <row r="956" spans="1:5" x14ac:dyDescent="0.25">
      <c r="A956" s="13"/>
      <c r="B956" s="13"/>
      <c r="C956" s="13"/>
      <c r="D956" s="13"/>
      <c r="E956" s="13"/>
    </row>
    <row r="957" spans="1:5" x14ac:dyDescent="0.25">
      <c r="A957" s="13"/>
      <c r="B957" s="13"/>
      <c r="C957" s="13"/>
      <c r="D957" s="13"/>
      <c r="E957" s="13"/>
    </row>
    <row r="958" spans="1:5" x14ac:dyDescent="0.25">
      <c r="A958" s="13"/>
      <c r="B958" s="13"/>
      <c r="C958" s="13"/>
      <c r="D958" s="13"/>
      <c r="E958" s="13"/>
    </row>
    <row r="959" spans="1:5" x14ac:dyDescent="0.25">
      <c r="A959" s="13"/>
      <c r="B959" s="13"/>
      <c r="C959" s="13"/>
      <c r="D959" s="13"/>
      <c r="E959" s="13"/>
    </row>
    <row r="960" spans="1:5" x14ac:dyDescent="0.25">
      <c r="A960" s="13"/>
      <c r="B960" s="13"/>
      <c r="C960" s="13"/>
      <c r="D960" s="13"/>
      <c r="E960" s="13"/>
    </row>
    <row r="961" spans="1:5" x14ac:dyDescent="0.25">
      <c r="A961" s="13"/>
      <c r="B961" s="13"/>
      <c r="C961" s="13"/>
      <c r="D961" s="13"/>
      <c r="E961" s="13"/>
    </row>
    <row r="962" spans="1:5" x14ac:dyDescent="0.25">
      <c r="A962" s="13"/>
      <c r="B962" s="13"/>
      <c r="C962" s="13"/>
      <c r="D962" s="13"/>
      <c r="E962" s="13"/>
    </row>
    <row r="963" spans="1:5" x14ac:dyDescent="0.25">
      <c r="A963" s="13"/>
      <c r="B963" s="13"/>
      <c r="C963" s="13"/>
      <c r="D963" s="13"/>
      <c r="E963" s="13"/>
    </row>
    <row r="964" spans="1:5" x14ac:dyDescent="0.25">
      <c r="A964" s="13"/>
      <c r="B964" s="13"/>
      <c r="C964" s="13"/>
      <c r="D964" s="13"/>
      <c r="E964" s="13"/>
    </row>
    <row r="965" spans="1:5" x14ac:dyDescent="0.25">
      <c r="A965" s="13"/>
      <c r="B965" s="13"/>
      <c r="C965" s="13"/>
      <c r="D965" s="13"/>
      <c r="E965" s="13"/>
    </row>
    <row r="966" spans="1:5" x14ac:dyDescent="0.25">
      <c r="A966" s="13"/>
      <c r="B966" s="13"/>
      <c r="C966" s="13"/>
      <c r="D966" s="13"/>
      <c r="E966" s="13"/>
    </row>
    <row r="967" spans="1:5" x14ac:dyDescent="0.25">
      <c r="A967" s="13"/>
      <c r="B967" s="13"/>
      <c r="C967" s="13"/>
      <c r="D967" s="13"/>
      <c r="E967" s="13"/>
    </row>
    <row r="968" spans="1:5" x14ac:dyDescent="0.25">
      <c r="A968" s="13"/>
      <c r="B968" s="13"/>
      <c r="C968" s="13"/>
      <c r="D968" s="13"/>
      <c r="E968" s="13"/>
    </row>
    <row r="969" spans="1:5" x14ac:dyDescent="0.25">
      <c r="A969" s="13"/>
      <c r="B969" s="13"/>
      <c r="C969" s="13"/>
      <c r="D969" s="13"/>
      <c r="E969" s="13"/>
    </row>
    <row r="970" spans="1:5" x14ac:dyDescent="0.25">
      <c r="A970" s="13"/>
      <c r="B970" s="13"/>
      <c r="C970" s="13"/>
      <c r="D970" s="13"/>
      <c r="E970" s="13"/>
    </row>
    <row r="971" spans="1:5" x14ac:dyDescent="0.25">
      <c r="A971" s="13"/>
      <c r="B971" s="13"/>
      <c r="C971" s="13"/>
      <c r="D971" s="13"/>
      <c r="E971" s="13"/>
    </row>
    <row r="972" spans="1:5" x14ac:dyDescent="0.25">
      <c r="A972" s="13"/>
      <c r="B972" s="13"/>
      <c r="C972" s="13"/>
      <c r="D972" s="13"/>
      <c r="E972" s="13"/>
    </row>
    <row r="973" spans="1:5" x14ac:dyDescent="0.25">
      <c r="A973" s="13"/>
      <c r="B973" s="13"/>
      <c r="C973" s="13"/>
      <c r="D973" s="13"/>
      <c r="E973" s="13"/>
    </row>
    <row r="974" spans="1:5" x14ac:dyDescent="0.25">
      <c r="A974" s="13"/>
      <c r="B974" s="13"/>
      <c r="C974" s="13"/>
      <c r="D974" s="13"/>
      <c r="E974" s="13"/>
    </row>
    <row r="975" spans="1:5" x14ac:dyDescent="0.25">
      <c r="A975" s="13"/>
      <c r="B975" s="13"/>
      <c r="C975" s="13"/>
      <c r="D975" s="13"/>
      <c r="E975" s="13"/>
    </row>
    <row r="976" spans="1:5" x14ac:dyDescent="0.25">
      <c r="A976" s="13"/>
      <c r="B976" s="13"/>
      <c r="C976" s="13"/>
      <c r="D976" s="13"/>
      <c r="E976" s="13"/>
    </row>
    <row r="977" spans="1:5" x14ac:dyDescent="0.25">
      <c r="A977" s="13"/>
      <c r="B977" s="13"/>
      <c r="C977" s="13"/>
      <c r="D977" s="13"/>
      <c r="E977" s="13"/>
    </row>
    <row r="978" spans="1:5" x14ac:dyDescent="0.25">
      <c r="A978" s="13"/>
      <c r="B978" s="13"/>
      <c r="C978" s="13"/>
      <c r="D978" s="13"/>
      <c r="E978" s="13"/>
    </row>
    <row r="979" spans="1:5" x14ac:dyDescent="0.25">
      <c r="A979" s="13"/>
      <c r="B979" s="13"/>
      <c r="C979" s="13"/>
      <c r="D979" s="13"/>
      <c r="E979" s="13"/>
    </row>
    <row r="980" spans="1:5" x14ac:dyDescent="0.25">
      <c r="A980" s="13"/>
      <c r="B980" s="13"/>
      <c r="C980" s="13"/>
      <c r="D980" s="13"/>
      <c r="E980" s="13"/>
    </row>
    <row r="981" spans="1:5" x14ac:dyDescent="0.25">
      <c r="A981" s="13"/>
      <c r="B981" s="13"/>
      <c r="C981" s="13"/>
      <c r="D981" s="13"/>
      <c r="E981" s="13"/>
    </row>
    <row r="982" spans="1:5" x14ac:dyDescent="0.25">
      <c r="A982" s="13"/>
      <c r="B982" s="13"/>
      <c r="C982" s="13"/>
      <c r="D982" s="13"/>
      <c r="E982" s="13"/>
    </row>
    <row r="983" spans="1:5" x14ac:dyDescent="0.25">
      <c r="A983" s="13"/>
      <c r="B983" s="13"/>
      <c r="C983" s="13"/>
      <c r="D983" s="13"/>
      <c r="E983" s="13"/>
    </row>
    <row r="984" spans="1:5" x14ac:dyDescent="0.25">
      <c r="A984" s="13"/>
      <c r="B984" s="13"/>
      <c r="C984" s="13"/>
      <c r="D984" s="13"/>
      <c r="E984" s="13"/>
    </row>
    <row r="985" spans="1:5" x14ac:dyDescent="0.25">
      <c r="A985" s="13"/>
      <c r="B985" s="13"/>
      <c r="C985" s="13"/>
      <c r="D985" s="13"/>
      <c r="E985" s="13"/>
    </row>
    <row r="986" spans="1:5" x14ac:dyDescent="0.25">
      <c r="A986" s="13"/>
      <c r="B986" s="13"/>
      <c r="C986" s="13"/>
      <c r="D986" s="13"/>
      <c r="E986" s="13"/>
    </row>
    <row r="987" spans="1:5" x14ac:dyDescent="0.25">
      <c r="A987" s="13"/>
      <c r="B987" s="13"/>
      <c r="C987" s="13"/>
      <c r="D987" s="13"/>
      <c r="E987" s="13"/>
    </row>
    <row r="988" spans="1:5" x14ac:dyDescent="0.25">
      <c r="A988" s="13"/>
      <c r="B988" s="13"/>
      <c r="C988" s="13"/>
      <c r="D988" s="13"/>
      <c r="E988" s="13"/>
    </row>
    <row r="989" spans="1:5" x14ac:dyDescent="0.25">
      <c r="A989" s="13"/>
      <c r="B989" s="13"/>
      <c r="C989" s="13"/>
      <c r="D989" s="13"/>
      <c r="E989" s="13"/>
    </row>
    <row r="990" spans="1:5" x14ac:dyDescent="0.25">
      <c r="A990" s="13"/>
      <c r="B990" s="13"/>
      <c r="C990" s="13"/>
      <c r="D990" s="13"/>
      <c r="E990" s="13"/>
    </row>
    <row r="991" spans="1:5" x14ac:dyDescent="0.25">
      <c r="A991" s="13"/>
      <c r="B991" s="13"/>
      <c r="C991" s="13"/>
      <c r="D991" s="13"/>
      <c r="E991" s="13"/>
    </row>
    <row r="992" spans="1:5" x14ac:dyDescent="0.25">
      <c r="A992" s="13"/>
      <c r="B992" s="13"/>
      <c r="C992" s="13"/>
      <c r="D992" s="13"/>
      <c r="E992" s="13"/>
    </row>
    <row r="993" spans="1:5" x14ac:dyDescent="0.25">
      <c r="A993" s="13"/>
      <c r="B993" s="13"/>
      <c r="C993" s="13"/>
      <c r="D993" s="13"/>
      <c r="E993" s="13"/>
    </row>
    <row r="994" spans="1:5" x14ac:dyDescent="0.25">
      <c r="A994" s="13"/>
      <c r="B994" s="13"/>
      <c r="C994" s="13"/>
      <c r="D994" s="13"/>
      <c r="E994" s="13"/>
    </row>
    <row r="995" spans="1:5" x14ac:dyDescent="0.25">
      <c r="A995" s="13"/>
      <c r="B995" s="13"/>
      <c r="C995" s="13"/>
      <c r="D995" s="13"/>
      <c r="E995" s="13"/>
    </row>
    <row r="996" spans="1:5" x14ac:dyDescent="0.25">
      <c r="A996" s="13"/>
      <c r="B996" s="13"/>
      <c r="C996" s="13"/>
      <c r="D996" s="13"/>
      <c r="E996" s="13"/>
    </row>
    <row r="997" spans="1:5" x14ac:dyDescent="0.25">
      <c r="A997" s="13"/>
      <c r="B997" s="13"/>
      <c r="C997" s="13"/>
      <c r="D997" s="13"/>
      <c r="E997" s="13"/>
    </row>
    <row r="998" spans="1:5" x14ac:dyDescent="0.25">
      <c r="A998" s="13"/>
      <c r="B998" s="13"/>
      <c r="C998" s="13"/>
      <c r="D998" s="13"/>
      <c r="E998" s="13"/>
    </row>
    <row r="999" spans="1:5" x14ac:dyDescent="0.25">
      <c r="A999" s="13"/>
      <c r="B999" s="13"/>
      <c r="C999" s="13"/>
      <c r="D999" s="13"/>
      <c r="E999" s="13"/>
    </row>
    <row r="1000" spans="1:5" x14ac:dyDescent="0.25">
      <c r="A1000" s="13"/>
      <c r="B1000" s="13"/>
      <c r="C1000" s="13"/>
      <c r="D1000" s="13"/>
      <c r="E1000" s="13"/>
    </row>
    <row r="1001" spans="1:5" x14ac:dyDescent="0.25">
      <c r="A1001" s="13"/>
      <c r="B1001" s="13"/>
      <c r="C1001" s="13"/>
      <c r="D1001" s="13"/>
      <c r="E1001" s="13"/>
    </row>
    <row r="1002" spans="1:5" x14ac:dyDescent="0.25">
      <c r="A1002" s="13"/>
      <c r="B1002" s="13"/>
      <c r="C1002" s="13"/>
      <c r="D1002" s="13"/>
      <c r="E1002" s="13"/>
    </row>
    <row r="1003" spans="1:5" x14ac:dyDescent="0.25">
      <c r="A1003" s="13"/>
      <c r="B1003" s="13"/>
      <c r="C1003" s="13"/>
      <c r="D1003" s="13"/>
      <c r="E1003" s="13"/>
    </row>
    <row r="1004" spans="1:5" x14ac:dyDescent="0.25">
      <c r="A1004" s="13"/>
      <c r="B1004" s="13"/>
      <c r="C1004" s="13"/>
      <c r="D1004" s="13"/>
      <c r="E1004" s="13"/>
    </row>
    <row r="1005" spans="1:5" x14ac:dyDescent="0.25">
      <c r="A1005" s="13"/>
      <c r="B1005" s="13"/>
      <c r="C1005" s="13"/>
      <c r="D1005" s="13"/>
      <c r="E1005" s="13"/>
    </row>
    <row r="1006" spans="1:5" x14ac:dyDescent="0.25">
      <c r="A1006" s="13"/>
      <c r="B1006" s="13"/>
      <c r="C1006" s="13"/>
      <c r="D1006" s="13"/>
      <c r="E1006" s="13"/>
    </row>
    <row r="1007" spans="1:5" x14ac:dyDescent="0.25">
      <c r="A1007" s="13"/>
      <c r="B1007" s="13"/>
      <c r="C1007" s="13"/>
      <c r="D1007" s="13"/>
      <c r="E1007" s="13"/>
    </row>
    <row r="1008" spans="1:5" x14ac:dyDescent="0.25">
      <c r="A1008" s="13"/>
      <c r="B1008" s="13"/>
      <c r="C1008" s="13"/>
      <c r="D1008" s="13"/>
      <c r="E1008" s="13"/>
    </row>
    <row r="1009" spans="1:5" x14ac:dyDescent="0.25">
      <c r="A1009" s="13"/>
      <c r="B1009" s="13"/>
      <c r="C1009" s="13"/>
      <c r="D1009" s="13"/>
      <c r="E1009" s="13"/>
    </row>
    <row r="1010" spans="1:5" x14ac:dyDescent="0.25">
      <c r="A1010" s="13"/>
      <c r="B1010" s="13"/>
      <c r="C1010" s="13"/>
      <c r="D1010" s="13"/>
      <c r="E1010" s="13"/>
    </row>
    <row r="1011" spans="1:5" x14ac:dyDescent="0.25">
      <c r="A1011" s="13"/>
      <c r="B1011" s="13"/>
      <c r="C1011" s="13"/>
      <c r="D1011" s="13"/>
      <c r="E1011" s="13"/>
    </row>
    <row r="1012" spans="1:5" x14ac:dyDescent="0.25">
      <c r="A1012" s="13"/>
      <c r="B1012" s="13"/>
      <c r="C1012" s="13"/>
      <c r="D1012" s="13"/>
      <c r="E1012" s="13"/>
    </row>
    <row r="1013" spans="1:5" x14ac:dyDescent="0.25">
      <c r="A1013" s="13"/>
      <c r="B1013" s="13"/>
      <c r="C1013" s="13"/>
      <c r="D1013" s="13"/>
      <c r="E1013" s="13"/>
    </row>
    <row r="1014" spans="1:5" x14ac:dyDescent="0.25">
      <c r="A1014" s="13"/>
      <c r="B1014" s="13"/>
      <c r="C1014" s="13"/>
      <c r="D1014" s="13"/>
      <c r="E1014" s="13"/>
    </row>
    <row r="1015" spans="1:5" x14ac:dyDescent="0.25">
      <c r="A1015" s="13"/>
      <c r="B1015" s="13"/>
      <c r="C1015" s="13"/>
      <c r="D1015" s="13"/>
      <c r="E1015" s="13"/>
    </row>
    <row r="1016" spans="1:5" x14ac:dyDescent="0.25">
      <c r="A1016" s="13"/>
      <c r="B1016" s="13"/>
      <c r="C1016" s="13"/>
      <c r="D1016" s="13"/>
      <c r="E1016" s="13"/>
    </row>
    <row r="1017" spans="1:5" x14ac:dyDescent="0.25">
      <c r="A1017" s="13"/>
      <c r="B1017" s="13"/>
      <c r="C1017" s="13"/>
      <c r="D1017" s="13"/>
      <c r="E1017" s="13"/>
    </row>
    <row r="1018" spans="1:5" x14ac:dyDescent="0.25">
      <c r="A1018" s="13"/>
      <c r="B1018" s="13"/>
      <c r="C1018" s="13"/>
      <c r="D1018" s="13"/>
      <c r="E1018" s="13"/>
    </row>
    <row r="1019" spans="1:5" x14ac:dyDescent="0.25">
      <c r="A1019" s="13"/>
      <c r="B1019" s="13"/>
      <c r="C1019" s="13"/>
      <c r="D1019" s="13"/>
      <c r="E1019" s="13"/>
    </row>
    <row r="1020" spans="1:5" x14ac:dyDescent="0.25">
      <c r="A1020" s="13"/>
      <c r="B1020" s="13"/>
      <c r="C1020" s="13"/>
      <c r="D1020" s="13"/>
      <c r="E1020" s="13"/>
    </row>
    <row r="1021" spans="1:5" x14ac:dyDescent="0.25">
      <c r="A1021" s="13"/>
      <c r="B1021" s="13"/>
      <c r="C1021" s="13"/>
      <c r="D1021" s="13"/>
      <c r="E1021" s="13"/>
    </row>
    <row r="1022" spans="1:5" x14ac:dyDescent="0.25">
      <c r="A1022" s="13"/>
      <c r="B1022" s="13"/>
      <c r="C1022" s="13"/>
      <c r="D1022" s="13"/>
      <c r="E1022" s="13"/>
    </row>
    <row r="1023" spans="1:5" x14ac:dyDescent="0.25">
      <c r="A1023" s="13"/>
      <c r="B1023" s="13"/>
      <c r="C1023" s="13"/>
      <c r="D1023" s="13"/>
      <c r="E1023" s="13"/>
    </row>
    <row r="1024" spans="1:5" x14ac:dyDescent="0.25">
      <c r="A1024" s="13"/>
      <c r="B1024" s="13"/>
      <c r="C1024" s="13"/>
      <c r="D1024" s="13"/>
      <c r="E1024" s="13"/>
    </row>
    <row r="1025" spans="1:5" x14ac:dyDescent="0.25">
      <c r="A1025" s="13"/>
      <c r="B1025" s="13"/>
      <c r="C1025" s="13"/>
      <c r="D1025" s="13"/>
      <c r="E1025" s="13"/>
    </row>
    <row r="1026" spans="1:5" x14ac:dyDescent="0.25">
      <c r="A1026" s="13"/>
      <c r="B1026" s="13"/>
      <c r="C1026" s="13"/>
      <c r="D1026" s="13"/>
      <c r="E1026" s="13"/>
    </row>
    <row r="1027" spans="1:5" x14ac:dyDescent="0.25">
      <c r="A1027" s="13"/>
      <c r="B1027" s="13"/>
      <c r="C1027" s="13"/>
      <c r="D1027" s="13"/>
      <c r="E1027" s="13"/>
    </row>
    <row r="1028" spans="1:5" x14ac:dyDescent="0.25">
      <c r="A1028" s="13"/>
      <c r="B1028" s="13"/>
      <c r="C1028" s="13"/>
      <c r="D1028" s="13"/>
      <c r="E1028" s="13"/>
    </row>
    <row r="1029" spans="1:5" x14ac:dyDescent="0.25">
      <c r="A1029" s="13"/>
      <c r="B1029" s="13"/>
      <c r="C1029" s="13"/>
      <c r="D1029" s="13"/>
      <c r="E1029" s="13"/>
    </row>
    <row r="1030" spans="1:5" x14ac:dyDescent="0.25">
      <c r="A1030" s="13"/>
      <c r="B1030" s="13"/>
      <c r="C1030" s="13"/>
      <c r="D1030" s="13"/>
      <c r="E1030" s="13"/>
    </row>
    <row r="1031" spans="1:5" x14ac:dyDescent="0.25">
      <c r="A1031" s="13"/>
      <c r="B1031" s="13"/>
      <c r="C1031" s="13"/>
      <c r="D1031" s="13"/>
      <c r="E1031" s="13"/>
    </row>
    <row r="1032" spans="1:5" x14ac:dyDescent="0.25">
      <c r="A1032" s="13"/>
      <c r="B1032" s="13"/>
      <c r="C1032" s="13"/>
      <c r="D1032" s="13"/>
      <c r="E1032" s="13"/>
    </row>
    <row r="1033" spans="1:5" x14ac:dyDescent="0.25">
      <c r="A1033" s="13"/>
      <c r="B1033" s="13"/>
      <c r="C1033" s="13"/>
      <c r="D1033" s="13"/>
      <c r="E1033" s="13"/>
    </row>
    <row r="1034" spans="1:5" x14ac:dyDescent="0.25">
      <c r="A1034" s="13"/>
      <c r="B1034" s="13"/>
      <c r="C1034" s="13"/>
      <c r="D1034" s="13"/>
      <c r="E1034" s="13"/>
    </row>
    <row r="1035" spans="1:5" x14ac:dyDescent="0.25">
      <c r="A1035" s="13"/>
      <c r="B1035" s="13"/>
      <c r="C1035" s="13"/>
      <c r="D1035" s="13"/>
      <c r="E1035" s="13"/>
    </row>
    <row r="1036" spans="1:5" x14ac:dyDescent="0.25">
      <c r="A1036" s="13"/>
      <c r="B1036" s="13"/>
      <c r="C1036" s="13"/>
      <c r="D1036" s="13"/>
      <c r="E1036" s="13"/>
    </row>
    <row r="1037" spans="1:5" x14ac:dyDescent="0.25">
      <c r="A1037" s="13"/>
      <c r="B1037" s="13"/>
      <c r="C1037" s="13"/>
      <c r="D1037" s="13"/>
      <c r="E1037" s="13"/>
    </row>
    <row r="1038" spans="1:5" x14ac:dyDescent="0.25">
      <c r="A1038" s="13"/>
      <c r="B1038" s="13"/>
      <c r="C1038" s="13"/>
      <c r="D1038" s="13"/>
      <c r="E1038" s="13"/>
    </row>
    <row r="1039" spans="1:5" x14ac:dyDescent="0.25">
      <c r="A1039" s="13"/>
      <c r="B1039" s="13"/>
      <c r="C1039" s="13"/>
      <c r="D1039" s="13"/>
      <c r="E1039" s="13"/>
    </row>
    <row r="1040" spans="1:5" x14ac:dyDescent="0.25">
      <c r="A1040" s="13"/>
      <c r="B1040" s="13"/>
      <c r="C1040" s="13"/>
      <c r="D1040" s="13"/>
      <c r="E1040" s="13"/>
    </row>
    <row r="1041" spans="1:5" x14ac:dyDescent="0.25">
      <c r="A1041" s="13"/>
      <c r="B1041" s="13"/>
      <c r="C1041" s="13"/>
      <c r="D1041" s="13"/>
      <c r="E1041" s="13"/>
    </row>
    <row r="1042" spans="1:5" x14ac:dyDescent="0.25">
      <c r="A1042" s="13"/>
      <c r="B1042" s="13"/>
      <c r="C1042" s="13"/>
      <c r="D1042" s="13"/>
      <c r="E1042" s="13"/>
    </row>
    <row r="1043" spans="1:5" x14ac:dyDescent="0.25">
      <c r="A1043" s="13"/>
      <c r="B1043" s="13"/>
      <c r="C1043" s="13"/>
      <c r="D1043" s="13"/>
      <c r="E1043" s="13"/>
    </row>
    <row r="1044" spans="1:5" x14ac:dyDescent="0.25">
      <c r="A1044" s="13"/>
      <c r="B1044" s="13"/>
      <c r="C1044" s="13"/>
      <c r="D1044" s="13"/>
      <c r="E1044" s="13"/>
    </row>
    <row r="1045" spans="1:5" x14ac:dyDescent="0.25">
      <c r="A1045" s="13"/>
      <c r="B1045" s="13"/>
      <c r="C1045" s="13"/>
      <c r="D1045" s="13"/>
      <c r="E1045" s="13"/>
    </row>
    <row r="1046" spans="1:5" x14ac:dyDescent="0.25">
      <c r="A1046" s="13"/>
      <c r="B1046" s="13"/>
      <c r="C1046" s="13"/>
      <c r="D1046" s="13"/>
      <c r="E1046" s="13"/>
    </row>
    <row r="1047" spans="1:5" x14ac:dyDescent="0.25">
      <c r="A1047" s="13"/>
      <c r="B1047" s="13"/>
      <c r="C1047" s="13"/>
      <c r="D1047" s="13"/>
      <c r="E1047" s="13"/>
    </row>
    <row r="1048" spans="1:5" x14ac:dyDescent="0.25">
      <c r="A1048" s="13"/>
      <c r="B1048" s="13"/>
      <c r="C1048" s="13"/>
      <c r="D1048" s="13"/>
      <c r="E1048" s="13"/>
    </row>
    <row r="1049" spans="1:5" x14ac:dyDescent="0.25">
      <c r="A1049" s="13"/>
      <c r="B1049" s="13"/>
      <c r="C1049" s="13"/>
      <c r="D1049" s="13"/>
      <c r="E1049" s="13"/>
    </row>
    <row r="1050" spans="1:5" x14ac:dyDescent="0.25">
      <c r="A1050" s="13"/>
      <c r="B1050" s="13"/>
      <c r="C1050" s="13"/>
      <c r="D1050" s="13"/>
      <c r="E1050" s="13"/>
    </row>
    <row r="1051" spans="1:5" x14ac:dyDescent="0.25">
      <c r="A1051" s="13"/>
      <c r="B1051" s="13"/>
      <c r="C1051" s="13"/>
      <c r="D1051" s="13"/>
      <c r="E1051" s="13"/>
    </row>
    <row r="1052" spans="1:5" x14ac:dyDescent="0.25">
      <c r="A1052" s="13"/>
      <c r="B1052" s="13"/>
      <c r="C1052" s="13"/>
      <c r="D1052" s="13"/>
      <c r="E1052" s="13"/>
    </row>
    <row r="1053" spans="1:5" x14ac:dyDescent="0.25">
      <c r="A1053" s="13"/>
      <c r="B1053" s="13"/>
      <c r="C1053" s="13"/>
      <c r="D1053" s="13"/>
      <c r="E1053" s="13"/>
    </row>
    <row r="1054" spans="1:5" x14ac:dyDescent="0.25">
      <c r="A1054" s="13"/>
      <c r="B1054" s="13"/>
      <c r="C1054" s="13"/>
      <c r="D1054" s="13"/>
      <c r="E1054" s="13"/>
    </row>
    <row r="1055" spans="1:5" x14ac:dyDescent="0.25">
      <c r="A1055" s="13"/>
      <c r="B1055" s="13"/>
      <c r="C1055" s="13"/>
      <c r="D1055" s="13"/>
      <c r="E1055" s="13"/>
    </row>
    <row r="1056" spans="1:5" x14ac:dyDescent="0.25">
      <c r="A1056" s="13"/>
      <c r="B1056" s="13"/>
      <c r="C1056" s="13"/>
      <c r="D1056" s="13"/>
      <c r="E1056" s="13"/>
    </row>
    <row r="1057" spans="1:5" x14ac:dyDescent="0.25">
      <c r="A1057" s="13"/>
      <c r="B1057" s="13"/>
      <c r="C1057" s="13"/>
      <c r="D1057" s="13"/>
      <c r="E1057" s="13"/>
    </row>
    <row r="1058" spans="1:5" x14ac:dyDescent="0.25">
      <c r="A1058" s="13"/>
      <c r="B1058" s="13"/>
      <c r="C1058" s="13"/>
      <c r="D1058" s="13"/>
      <c r="E1058" s="13"/>
    </row>
    <row r="1059" spans="1:5" x14ac:dyDescent="0.25">
      <c r="A1059" s="13"/>
      <c r="B1059" s="13"/>
      <c r="C1059" s="13"/>
      <c r="D1059" s="13"/>
      <c r="E1059" s="13"/>
    </row>
    <row r="1060" spans="1:5" x14ac:dyDescent="0.25">
      <c r="A1060" s="13"/>
      <c r="B1060" s="13"/>
      <c r="C1060" s="13"/>
      <c r="D1060" s="13"/>
      <c r="E1060" s="13"/>
    </row>
    <row r="1061" spans="1:5" x14ac:dyDescent="0.25">
      <c r="A1061" s="13"/>
      <c r="B1061" s="13"/>
      <c r="C1061" s="13"/>
      <c r="D1061" s="13"/>
      <c r="E1061" s="13"/>
    </row>
    <row r="1062" spans="1:5" x14ac:dyDescent="0.25">
      <c r="A1062" s="13"/>
      <c r="B1062" s="13"/>
      <c r="C1062" s="13"/>
      <c r="D1062" s="13"/>
      <c r="E1062" s="13"/>
    </row>
    <row r="1063" spans="1:5" x14ac:dyDescent="0.25">
      <c r="A1063" s="13"/>
      <c r="B1063" s="13"/>
      <c r="C1063" s="13"/>
      <c r="D1063" s="13"/>
      <c r="E1063" s="13"/>
    </row>
    <row r="1064" spans="1:5" x14ac:dyDescent="0.25">
      <c r="A1064" s="13"/>
      <c r="B1064" s="13"/>
      <c r="C1064" s="13"/>
      <c r="D1064" s="13"/>
      <c r="E1064" s="13"/>
    </row>
    <row r="1065" spans="1:5" x14ac:dyDescent="0.25">
      <c r="A1065" s="13"/>
      <c r="B1065" s="13"/>
      <c r="C1065" s="13"/>
      <c r="D1065" s="13"/>
      <c r="E1065" s="13"/>
    </row>
    <row r="1066" spans="1:5" x14ac:dyDescent="0.25">
      <c r="A1066" s="13"/>
      <c r="B1066" s="13"/>
      <c r="C1066" s="13"/>
      <c r="D1066" s="13"/>
      <c r="E1066" s="13"/>
    </row>
    <row r="1067" spans="1:5" x14ac:dyDescent="0.25">
      <c r="A1067" s="13"/>
      <c r="B1067" s="13"/>
      <c r="C1067" s="13"/>
      <c r="D1067" s="13"/>
      <c r="E1067" s="13"/>
    </row>
    <row r="1068" spans="1:5" x14ac:dyDescent="0.25">
      <c r="A1068" s="13"/>
      <c r="B1068" s="13"/>
      <c r="C1068" s="13"/>
      <c r="D1068" s="13"/>
      <c r="E1068" s="13"/>
    </row>
    <row r="1069" spans="1:5" x14ac:dyDescent="0.25">
      <c r="A1069" s="13"/>
      <c r="B1069" s="13"/>
      <c r="C1069" s="13"/>
      <c r="D1069" s="13"/>
      <c r="E1069" s="13"/>
    </row>
    <row r="1070" spans="1:5" x14ac:dyDescent="0.25">
      <c r="A1070" s="13"/>
      <c r="B1070" s="13"/>
      <c r="C1070" s="13"/>
      <c r="D1070" s="13"/>
      <c r="E1070" s="13"/>
    </row>
    <row r="1071" spans="1:5" x14ac:dyDescent="0.25">
      <c r="A1071" s="13"/>
      <c r="B1071" s="13"/>
      <c r="C1071" s="13"/>
      <c r="D1071" s="13"/>
      <c r="E1071" s="13"/>
    </row>
    <row r="1072" spans="1:5" x14ac:dyDescent="0.25">
      <c r="A1072" s="13"/>
      <c r="B1072" s="13"/>
      <c r="C1072" s="13"/>
      <c r="D1072" s="13"/>
      <c r="E1072" s="13"/>
    </row>
    <row r="1073" spans="1:5" x14ac:dyDescent="0.25">
      <c r="A1073" s="13"/>
      <c r="B1073" s="13"/>
      <c r="C1073" s="13"/>
      <c r="D1073" s="13"/>
      <c r="E1073" s="13"/>
    </row>
    <row r="1074" spans="1:5" x14ac:dyDescent="0.25">
      <c r="A1074" s="13"/>
      <c r="B1074" s="13"/>
      <c r="C1074" s="13"/>
      <c r="D1074" s="13"/>
      <c r="E1074" s="13"/>
    </row>
    <row r="1075" spans="1:5" x14ac:dyDescent="0.25">
      <c r="A1075" s="13"/>
      <c r="B1075" s="13"/>
      <c r="C1075" s="13"/>
      <c r="D1075" s="13"/>
      <c r="E1075" s="13"/>
    </row>
    <row r="1076" spans="1:5" x14ac:dyDescent="0.25">
      <c r="A1076" s="13"/>
      <c r="B1076" s="13"/>
      <c r="C1076" s="13"/>
      <c r="D1076" s="13"/>
      <c r="E1076" s="13"/>
    </row>
    <row r="1077" spans="1:5" x14ac:dyDescent="0.25">
      <c r="A1077" s="13"/>
      <c r="B1077" s="13"/>
      <c r="C1077" s="13"/>
      <c r="D1077" s="13"/>
      <c r="E1077" s="13"/>
    </row>
    <row r="1078" spans="1:5" x14ac:dyDescent="0.25">
      <c r="A1078" s="13"/>
      <c r="B1078" s="13"/>
      <c r="C1078" s="13"/>
      <c r="D1078" s="13"/>
      <c r="E1078" s="13"/>
    </row>
    <row r="1079" spans="1:5" x14ac:dyDescent="0.25">
      <c r="A1079" s="13"/>
      <c r="B1079" s="13"/>
      <c r="C1079" s="13"/>
      <c r="D1079" s="13"/>
      <c r="E1079" s="13"/>
    </row>
    <row r="1080" spans="1:5" x14ac:dyDescent="0.25">
      <c r="A1080" s="13"/>
      <c r="B1080" s="13"/>
      <c r="C1080" s="13"/>
      <c r="D1080" s="13"/>
      <c r="E1080" s="13"/>
    </row>
    <row r="1081" spans="1:5" x14ac:dyDescent="0.25">
      <c r="A1081" s="13"/>
      <c r="B1081" s="13"/>
      <c r="C1081" s="13"/>
      <c r="D1081" s="13"/>
      <c r="E1081" s="13"/>
    </row>
    <row r="1082" spans="1:5" x14ac:dyDescent="0.25">
      <c r="A1082" s="13"/>
      <c r="B1082" s="13"/>
      <c r="C1082" s="13"/>
      <c r="D1082" s="13"/>
      <c r="E1082" s="13"/>
    </row>
    <row r="1083" spans="1:5" x14ac:dyDescent="0.25">
      <c r="A1083" s="13"/>
      <c r="B1083" s="13"/>
      <c r="C1083" s="13"/>
      <c r="D1083" s="13"/>
      <c r="E1083" s="13"/>
    </row>
    <row r="1084" spans="1:5" x14ac:dyDescent="0.25">
      <c r="A1084" s="13"/>
      <c r="B1084" s="13"/>
      <c r="C1084" s="13"/>
      <c r="D1084" s="13"/>
      <c r="E1084" s="13"/>
    </row>
    <row r="1085" spans="1:5" x14ac:dyDescent="0.25">
      <c r="A1085" s="13"/>
      <c r="B1085" s="13"/>
      <c r="C1085" s="13"/>
      <c r="D1085" s="13"/>
      <c r="E1085" s="13"/>
    </row>
    <row r="1086" spans="1:5" x14ac:dyDescent="0.25">
      <c r="A1086" s="13"/>
      <c r="B1086" s="13"/>
      <c r="C1086" s="13"/>
      <c r="D1086" s="13"/>
      <c r="E1086" s="13"/>
    </row>
    <row r="1087" spans="1:5" x14ac:dyDescent="0.25">
      <c r="A1087" s="13"/>
      <c r="B1087" s="13"/>
      <c r="C1087" s="13"/>
      <c r="D1087" s="13"/>
      <c r="E1087" s="13"/>
    </row>
    <row r="1088" spans="1:5" x14ac:dyDescent="0.25">
      <c r="A1088" s="13"/>
      <c r="B1088" s="13"/>
      <c r="C1088" s="13"/>
      <c r="D1088" s="13"/>
      <c r="E1088" s="13"/>
    </row>
    <row r="1089" spans="1:5" x14ac:dyDescent="0.25">
      <c r="A1089" s="13"/>
      <c r="B1089" s="13"/>
      <c r="C1089" s="13"/>
      <c r="D1089" s="13"/>
      <c r="E1089" s="13"/>
    </row>
    <row r="1090" spans="1:5" x14ac:dyDescent="0.25">
      <c r="A1090" s="13"/>
      <c r="B1090" s="13"/>
      <c r="C1090" s="13"/>
      <c r="D1090" s="13"/>
      <c r="E1090" s="13"/>
    </row>
    <row r="1091" spans="1:5" x14ac:dyDescent="0.25">
      <c r="A1091" s="13"/>
      <c r="B1091" s="13"/>
      <c r="C1091" s="13"/>
      <c r="D1091" s="13"/>
      <c r="E1091" s="13"/>
    </row>
    <row r="1092" spans="1:5" x14ac:dyDescent="0.25">
      <c r="A1092" s="13"/>
      <c r="B1092" s="13"/>
      <c r="C1092" s="13"/>
      <c r="D1092" s="13"/>
      <c r="E1092" s="13"/>
    </row>
    <row r="1093" spans="1:5" x14ac:dyDescent="0.25">
      <c r="A1093" s="13"/>
      <c r="B1093" s="13"/>
      <c r="C1093" s="13"/>
      <c r="D1093" s="13"/>
      <c r="E1093" s="13"/>
    </row>
    <row r="1094" spans="1:5" x14ac:dyDescent="0.25">
      <c r="A1094" s="13"/>
      <c r="B1094" s="13"/>
      <c r="C1094" s="13"/>
      <c r="D1094" s="13"/>
      <c r="E1094" s="13"/>
    </row>
    <row r="1095" spans="1:5" x14ac:dyDescent="0.25">
      <c r="A1095" s="13"/>
      <c r="B1095" s="13"/>
      <c r="C1095" s="13"/>
      <c r="D1095" s="13"/>
      <c r="E1095" s="13"/>
    </row>
    <row r="1096" spans="1:5" x14ac:dyDescent="0.25">
      <c r="A1096" s="13"/>
      <c r="B1096" s="13"/>
      <c r="C1096" s="13"/>
      <c r="D1096" s="13"/>
      <c r="E1096" s="13"/>
    </row>
    <row r="1097" spans="1:5" x14ac:dyDescent="0.25">
      <c r="A1097" s="13"/>
      <c r="B1097" s="13"/>
      <c r="C1097" s="13"/>
      <c r="D1097" s="13"/>
      <c r="E1097" s="13"/>
    </row>
    <row r="1098" spans="1:5" x14ac:dyDescent="0.25">
      <c r="A1098" s="13"/>
      <c r="B1098" s="13"/>
      <c r="C1098" s="13"/>
      <c r="D1098" s="13"/>
      <c r="E1098" s="13"/>
    </row>
    <row r="1099" spans="1:5" x14ac:dyDescent="0.25">
      <c r="A1099" s="13"/>
      <c r="B1099" s="13"/>
      <c r="C1099" s="13"/>
      <c r="D1099" s="13"/>
      <c r="E1099" s="13"/>
    </row>
    <row r="1100" spans="1:5" x14ac:dyDescent="0.25">
      <c r="A1100" s="13"/>
      <c r="B1100" s="13"/>
      <c r="C1100" s="13"/>
      <c r="D1100" s="13"/>
      <c r="E1100" s="13"/>
    </row>
    <row r="1101" spans="1:5" x14ac:dyDescent="0.25">
      <c r="A1101" s="13"/>
      <c r="B1101" s="13"/>
      <c r="C1101" s="13"/>
      <c r="D1101" s="13"/>
      <c r="E1101" s="13"/>
    </row>
    <row r="1102" spans="1:5" x14ac:dyDescent="0.25">
      <c r="A1102" s="13"/>
      <c r="B1102" s="13"/>
      <c r="C1102" s="13"/>
      <c r="D1102" s="13"/>
      <c r="E1102" s="13"/>
    </row>
    <row r="1103" spans="1:5" x14ac:dyDescent="0.25">
      <c r="A1103" s="13"/>
      <c r="B1103" s="13"/>
      <c r="C1103" s="13"/>
      <c r="D1103" s="13"/>
      <c r="E1103" s="13"/>
    </row>
    <row r="1104" spans="1:5" x14ac:dyDescent="0.25">
      <c r="A1104" s="13"/>
      <c r="B1104" s="13"/>
      <c r="C1104" s="13"/>
      <c r="D1104" s="13"/>
      <c r="E1104" s="13"/>
    </row>
    <row r="1105" spans="1:5" x14ac:dyDescent="0.25">
      <c r="A1105" s="13"/>
      <c r="B1105" s="13"/>
      <c r="C1105" s="13"/>
      <c r="D1105" s="13"/>
      <c r="E1105" s="13"/>
    </row>
    <row r="1106" spans="1:5" x14ac:dyDescent="0.25">
      <c r="A1106" s="13"/>
      <c r="B1106" s="13"/>
      <c r="C1106" s="13"/>
      <c r="D1106" s="13"/>
      <c r="E1106" s="13"/>
    </row>
    <row r="1107" spans="1:5" x14ac:dyDescent="0.25">
      <c r="A1107" s="13"/>
      <c r="B1107" s="13"/>
      <c r="C1107" s="13"/>
      <c r="D1107" s="13"/>
      <c r="E1107" s="13"/>
    </row>
    <row r="1108" spans="1:5" x14ac:dyDescent="0.25">
      <c r="A1108" s="13"/>
      <c r="B1108" s="13"/>
      <c r="C1108" s="13"/>
      <c r="D1108" s="13"/>
      <c r="E1108" s="13"/>
    </row>
    <row r="1109" spans="1:5" x14ac:dyDescent="0.25">
      <c r="A1109" s="13"/>
      <c r="B1109" s="13"/>
      <c r="C1109" s="13"/>
      <c r="D1109" s="13"/>
      <c r="E1109" s="13"/>
    </row>
    <row r="1110" spans="1:5" x14ac:dyDescent="0.25">
      <c r="A1110" s="13"/>
      <c r="B1110" s="13"/>
      <c r="C1110" s="13"/>
      <c r="D1110" s="13"/>
      <c r="E1110" s="13"/>
    </row>
    <row r="1111" spans="1:5" x14ac:dyDescent="0.25">
      <c r="A1111" s="13"/>
      <c r="B1111" s="13"/>
      <c r="C1111" s="13"/>
      <c r="D1111" s="13"/>
      <c r="E1111" s="13"/>
    </row>
    <row r="1112" spans="1:5" x14ac:dyDescent="0.25">
      <c r="A1112" s="13"/>
      <c r="B1112" s="13"/>
      <c r="C1112" s="13"/>
      <c r="D1112" s="13"/>
      <c r="E1112" s="13"/>
    </row>
    <row r="1113" spans="1:5" x14ac:dyDescent="0.25">
      <c r="A1113" s="13"/>
      <c r="B1113" s="13"/>
      <c r="C1113" s="13"/>
      <c r="D1113" s="13"/>
      <c r="E1113" s="13"/>
    </row>
    <row r="1114" spans="1:5" x14ac:dyDescent="0.25">
      <c r="A1114" s="13"/>
      <c r="B1114" s="13"/>
      <c r="C1114" s="13"/>
      <c r="D1114" s="13"/>
      <c r="E1114" s="13"/>
    </row>
    <row r="1115" spans="1:5" x14ac:dyDescent="0.25">
      <c r="A1115" s="13"/>
      <c r="B1115" s="13"/>
      <c r="C1115" s="13"/>
      <c r="D1115" s="13"/>
      <c r="E1115" s="13"/>
    </row>
    <row r="1116" spans="1:5" x14ac:dyDescent="0.25">
      <c r="A1116" s="13"/>
      <c r="B1116" s="13"/>
      <c r="C1116" s="13"/>
      <c r="D1116" s="13"/>
      <c r="E1116" s="13"/>
    </row>
    <row r="1117" spans="1:5" x14ac:dyDescent="0.25">
      <c r="A1117" s="13"/>
      <c r="B1117" s="13"/>
      <c r="C1117" s="13"/>
      <c r="D1117" s="13"/>
      <c r="E1117" s="13"/>
    </row>
    <row r="1118" spans="1:5" x14ac:dyDescent="0.25">
      <c r="A1118" s="13"/>
      <c r="B1118" s="13"/>
      <c r="C1118" s="13"/>
      <c r="D1118" s="13"/>
      <c r="E1118" s="13"/>
    </row>
    <row r="1119" spans="1:5" x14ac:dyDescent="0.25">
      <c r="A1119" s="13"/>
      <c r="B1119" s="13"/>
      <c r="C1119" s="13"/>
      <c r="D1119" s="13"/>
      <c r="E1119" s="13"/>
    </row>
    <row r="1120" spans="1:5" x14ac:dyDescent="0.25">
      <c r="A1120" s="13"/>
      <c r="B1120" s="13"/>
      <c r="C1120" s="13"/>
      <c r="D1120" s="13"/>
      <c r="E1120" s="13"/>
    </row>
    <row r="1121" spans="1:5" x14ac:dyDescent="0.25">
      <c r="A1121" s="13"/>
      <c r="B1121" s="13"/>
      <c r="C1121" s="13"/>
      <c r="D1121" s="13"/>
      <c r="E1121" s="13"/>
    </row>
    <row r="1122" spans="1:5" x14ac:dyDescent="0.25">
      <c r="A1122" s="13"/>
      <c r="B1122" s="13"/>
      <c r="C1122" s="13"/>
      <c r="D1122" s="13"/>
      <c r="E1122" s="13"/>
    </row>
    <row r="1123" spans="1:5" x14ac:dyDescent="0.25">
      <c r="A1123" s="13"/>
      <c r="B1123" s="13"/>
      <c r="C1123" s="13"/>
      <c r="D1123" s="13"/>
      <c r="E1123" s="13"/>
    </row>
    <row r="1124" spans="1:5" x14ac:dyDescent="0.25">
      <c r="A1124" s="13"/>
      <c r="B1124" s="13"/>
      <c r="C1124" s="13"/>
      <c r="D1124" s="13"/>
      <c r="E1124" s="13"/>
    </row>
    <row r="1125" spans="1:5" x14ac:dyDescent="0.25">
      <c r="A1125" s="13"/>
      <c r="B1125" s="13"/>
      <c r="C1125" s="13"/>
      <c r="D1125" s="13"/>
      <c r="E1125" s="13"/>
    </row>
    <row r="1126" spans="1:5" x14ac:dyDescent="0.25">
      <c r="A1126" s="13"/>
      <c r="B1126" s="13"/>
      <c r="C1126" s="13"/>
      <c r="D1126" s="13"/>
      <c r="E1126" s="13"/>
    </row>
    <row r="1127" spans="1:5" x14ac:dyDescent="0.25">
      <c r="A1127" s="13"/>
      <c r="B1127" s="13"/>
      <c r="C1127" s="13"/>
      <c r="D1127" s="13"/>
      <c r="E1127" s="13"/>
    </row>
    <row r="1128" spans="1:5" x14ac:dyDescent="0.25">
      <c r="A1128" s="13"/>
      <c r="B1128" s="13"/>
      <c r="C1128" s="13"/>
      <c r="D1128" s="13"/>
      <c r="E1128" s="13"/>
    </row>
    <row r="1129" spans="1:5" x14ac:dyDescent="0.25">
      <c r="A1129" s="13"/>
      <c r="B1129" s="13"/>
      <c r="C1129" s="13"/>
      <c r="D1129" s="13"/>
      <c r="E1129" s="13"/>
    </row>
    <row r="1130" spans="1:5" x14ac:dyDescent="0.25">
      <c r="A1130" s="13"/>
      <c r="B1130" s="13"/>
      <c r="C1130" s="13"/>
      <c r="D1130" s="13"/>
      <c r="E1130" s="13"/>
    </row>
    <row r="1131" spans="1:5" x14ac:dyDescent="0.25">
      <c r="A1131" s="13"/>
      <c r="B1131" s="13"/>
      <c r="C1131" s="13"/>
      <c r="D1131" s="13"/>
      <c r="E1131" s="13"/>
    </row>
    <row r="1132" spans="1:5" x14ac:dyDescent="0.25">
      <c r="A1132" s="13"/>
      <c r="B1132" s="13"/>
      <c r="C1132" s="13"/>
      <c r="D1132" s="13"/>
      <c r="E1132" s="13"/>
    </row>
    <row r="1133" spans="1:5" x14ac:dyDescent="0.25">
      <c r="A1133" s="13"/>
      <c r="B1133" s="13"/>
      <c r="C1133" s="13"/>
      <c r="D1133" s="13"/>
      <c r="E1133" s="13"/>
    </row>
    <row r="1134" spans="1:5" x14ac:dyDescent="0.25">
      <c r="A1134" s="13"/>
      <c r="B1134" s="13"/>
      <c r="C1134" s="13"/>
      <c r="D1134" s="13"/>
      <c r="E1134" s="13"/>
    </row>
    <row r="1135" spans="1:5" x14ac:dyDescent="0.25">
      <c r="A1135" s="13"/>
      <c r="B1135" s="13"/>
      <c r="C1135" s="13"/>
      <c r="D1135" s="13"/>
      <c r="E1135" s="13"/>
    </row>
    <row r="1136" spans="1:5" x14ac:dyDescent="0.25">
      <c r="A1136" s="13"/>
      <c r="B1136" s="13"/>
      <c r="C1136" s="13"/>
      <c r="D1136" s="13"/>
      <c r="E1136" s="13"/>
    </row>
    <row r="1137" spans="1:5" x14ac:dyDescent="0.25">
      <c r="A1137" s="13"/>
      <c r="B1137" s="13"/>
      <c r="C1137" s="13"/>
      <c r="D1137" s="13"/>
      <c r="E1137" s="13"/>
    </row>
    <row r="1138" spans="1:5" x14ac:dyDescent="0.25">
      <c r="A1138" s="13"/>
      <c r="B1138" s="13"/>
      <c r="C1138" s="13"/>
      <c r="D1138" s="13"/>
      <c r="E1138" s="13"/>
    </row>
    <row r="1139" spans="1:5" x14ac:dyDescent="0.25">
      <c r="A1139" s="13"/>
      <c r="B1139" s="13"/>
      <c r="C1139" s="13"/>
      <c r="D1139" s="13"/>
      <c r="E1139" s="13"/>
    </row>
    <row r="1140" spans="1:5" x14ac:dyDescent="0.25">
      <c r="A1140" s="13"/>
      <c r="B1140" s="13"/>
      <c r="C1140" s="13"/>
      <c r="D1140" s="13"/>
      <c r="E1140" s="13"/>
    </row>
    <row r="1141" spans="1:5" x14ac:dyDescent="0.25">
      <c r="A1141" s="13"/>
      <c r="B1141" s="13"/>
      <c r="C1141" s="13"/>
      <c r="D1141" s="13"/>
      <c r="E1141" s="13"/>
    </row>
    <row r="1142" spans="1:5" x14ac:dyDescent="0.25">
      <c r="A1142" s="13"/>
      <c r="B1142" s="13"/>
      <c r="C1142" s="13"/>
      <c r="D1142" s="13"/>
      <c r="E1142" s="13"/>
    </row>
    <row r="1143" spans="1:5" x14ac:dyDescent="0.25">
      <c r="A1143" s="13"/>
      <c r="B1143" s="13"/>
      <c r="C1143" s="13"/>
      <c r="D1143" s="13"/>
      <c r="E1143" s="13"/>
    </row>
    <row r="1144" spans="1:5" x14ac:dyDescent="0.25">
      <c r="A1144" s="13"/>
      <c r="B1144" s="13"/>
      <c r="C1144" s="13"/>
      <c r="D1144" s="13"/>
      <c r="E1144" s="13"/>
    </row>
    <row r="1145" spans="1:5" x14ac:dyDescent="0.25">
      <c r="A1145" s="13"/>
      <c r="B1145" s="13"/>
      <c r="C1145" s="13"/>
      <c r="D1145" s="13"/>
      <c r="E1145" s="13"/>
    </row>
    <row r="1146" spans="1:5" x14ac:dyDescent="0.25">
      <c r="A1146" s="13"/>
      <c r="B1146" s="13"/>
      <c r="C1146" s="13"/>
      <c r="D1146" s="13"/>
      <c r="E1146" s="13"/>
    </row>
    <row r="1147" spans="1:5" x14ac:dyDescent="0.25">
      <c r="A1147" s="13"/>
      <c r="B1147" s="13"/>
      <c r="C1147" s="13"/>
      <c r="D1147" s="13"/>
      <c r="E1147" s="13"/>
    </row>
    <row r="1148" spans="1:5" x14ac:dyDescent="0.25">
      <c r="A1148" s="13"/>
      <c r="B1148" s="13"/>
      <c r="C1148" s="13"/>
      <c r="D1148" s="13"/>
      <c r="E1148" s="13"/>
    </row>
    <row r="1149" spans="1:5" x14ac:dyDescent="0.25">
      <c r="A1149" s="13"/>
      <c r="B1149" s="13"/>
      <c r="C1149" s="13"/>
      <c r="D1149" s="13"/>
      <c r="E1149" s="13"/>
    </row>
    <row r="1150" spans="1:5" x14ac:dyDescent="0.25">
      <c r="A1150" s="13"/>
      <c r="B1150" s="13"/>
      <c r="C1150" s="13"/>
      <c r="D1150" s="13"/>
      <c r="E1150" s="13"/>
    </row>
    <row r="1151" spans="1:5" x14ac:dyDescent="0.25">
      <c r="A1151" s="13"/>
      <c r="B1151" s="13"/>
      <c r="C1151" s="13"/>
      <c r="D1151" s="13"/>
      <c r="E1151" s="13"/>
    </row>
    <row r="1152" spans="1:5" x14ac:dyDescent="0.25">
      <c r="A1152" s="13"/>
      <c r="B1152" s="13"/>
      <c r="C1152" s="13"/>
      <c r="D1152" s="13"/>
      <c r="E1152" s="13"/>
    </row>
    <row r="1153" spans="1:5" x14ac:dyDescent="0.25">
      <c r="A1153" s="13"/>
      <c r="B1153" s="13"/>
      <c r="C1153" s="13"/>
      <c r="D1153" s="13"/>
      <c r="E1153" s="13"/>
    </row>
    <row r="1154" spans="1:5" x14ac:dyDescent="0.25">
      <c r="A1154" s="13"/>
      <c r="B1154" s="13"/>
      <c r="C1154" s="13"/>
      <c r="D1154" s="13"/>
      <c r="E1154" s="13"/>
    </row>
    <row r="1155" spans="1:5" x14ac:dyDescent="0.25">
      <c r="A1155" s="13"/>
      <c r="B1155" s="13"/>
      <c r="C1155" s="13"/>
      <c r="D1155" s="13"/>
      <c r="E1155" s="13"/>
    </row>
    <row r="1156" spans="1:5" x14ac:dyDescent="0.25">
      <c r="A1156" s="13"/>
      <c r="B1156" s="13"/>
      <c r="C1156" s="13"/>
      <c r="D1156" s="13"/>
      <c r="E1156" s="13"/>
    </row>
    <row r="1157" spans="1:5" x14ac:dyDescent="0.25">
      <c r="A1157" s="13"/>
      <c r="B1157" s="13"/>
      <c r="C1157" s="13"/>
      <c r="D1157" s="13"/>
      <c r="E1157" s="13"/>
    </row>
    <row r="1158" spans="1:5" x14ac:dyDescent="0.25">
      <c r="A1158" s="13"/>
      <c r="B1158" s="13"/>
      <c r="C1158" s="13"/>
      <c r="D1158" s="13"/>
      <c r="E1158" s="13"/>
    </row>
    <row r="1159" spans="1:5" x14ac:dyDescent="0.25">
      <c r="A1159" s="13"/>
      <c r="B1159" s="13"/>
      <c r="C1159" s="13"/>
      <c r="D1159" s="13"/>
      <c r="E1159" s="13"/>
    </row>
    <row r="1160" spans="1:5" x14ac:dyDescent="0.25">
      <c r="A1160" s="13"/>
      <c r="B1160" s="13"/>
      <c r="C1160" s="13"/>
      <c r="D1160" s="13"/>
      <c r="E1160" s="13"/>
    </row>
    <row r="1161" spans="1:5" x14ac:dyDescent="0.25">
      <c r="A1161" s="13"/>
      <c r="B1161" s="13"/>
      <c r="C1161" s="13"/>
      <c r="D1161" s="13"/>
      <c r="E1161" s="13"/>
    </row>
    <row r="1162" spans="1:5" x14ac:dyDescent="0.25">
      <c r="A1162" s="13"/>
      <c r="B1162" s="13"/>
      <c r="C1162" s="13"/>
      <c r="D1162" s="13"/>
      <c r="E1162" s="13"/>
    </row>
    <row r="1163" spans="1:5" x14ac:dyDescent="0.25">
      <c r="A1163" s="13"/>
      <c r="B1163" s="13"/>
      <c r="C1163" s="13"/>
      <c r="D1163" s="13"/>
      <c r="E1163" s="13"/>
    </row>
    <row r="1164" spans="1:5" x14ac:dyDescent="0.25">
      <c r="A1164" s="13"/>
      <c r="B1164" s="13"/>
      <c r="C1164" s="13"/>
      <c r="D1164" s="13"/>
      <c r="E1164" s="13"/>
    </row>
    <row r="1165" spans="1:5" x14ac:dyDescent="0.25">
      <c r="A1165" s="13"/>
      <c r="B1165" s="13"/>
      <c r="C1165" s="13"/>
      <c r="D1165" s="13"/>
      <c r="E1165" s="13"/>
    </row>
    <row r="1166" spans="1:5" x14ac:dyDescent="0.25">
      <c r="A1166" s="13"/>
      <c r="B1166" s="13"/>
      <c r="C1166" s="13"/>
      <c r="D1166" s="13"/>
      <c r="E1166" s="13"/>
    </row>
    <row r="1167" spans="1:5" x14ac:dyDescent="0.25">
      <c r="A1167" s="13"/>
      <c r="B1167" s="13"/>
      <c r="C1167" s="13"/>
      <c r="D1167" s="13"/>
      <c r="E1167" s="13"/>
    </row>
    <row r="1168" spans="1:5" x14ac:dyDescent="0.25">
      <c r="A1168" s="13"/>
      <c r="B1168" s="13"/>
      <c r="C1168" s="13"/>
      <c r="D1168" s="13"/>
      <c r="E1168" s="13"/>
    </row>
    <row r="1169" spans="1:5" x14ac:dyDescent="0.25">
      <c r="A1169" s="13"/>
      <c r="B1169" s="13"/>
      <c r="C1169" s="13"/>
      <c r="D1169" s="13"/>
      <c r="E1169" s="13"/>
    </row>
    <row r="1170" spans="1:5" x14ac:dyDescent="0.25">
      <c r="A1170" s="13"/>
      <c r="B1170" s="13"/>
      <c r="C1170" s="13"/>
      <c r="D1170" s="13"/>
      <c r="E1170" s="13"/>
    </row>
    <row r="1171" spans="1:5" x14ac:dyDescent="0.25">
      <c r="A1171" s="13"/>
      <c r="B1171" s="13"/>
      <c r="C1171" s="13"/>
      <c r="D1171" s="13"/>
      <c r="E1171" s="13"/>
    </row>
    <row r="1172" spans="1:5" x14ac:dyDescent="0.25">
      <c r="A1172" s="13"/>
      <c r="B1172" s="13"/>
      <c r="C1172" s="13"/>
      <c r="D1172" s="13"/>
      <c r="E1172" s="13"/>
    </row>
    <row r="1173" spans="1:5" x14ac:dyDescent="0.25">
      <c r="A1173" s="13"/>
      <c r="B1173" s="13"/>
      <c r="C1173" s="13"/>
      <c r="D1173" s="13"/>
      <c r="E1173" s="13"/>
    </row>
    <row r="1174" spans="1:5" x14ac:dyDescent="0.25">
      <c r="A1174" s="13"/>
      <c r="B1174" s="13"/>
      <c r="C1174" s="13"/>
      <c r="D1174" s="13"/>
      <c r="E1174" s="13"/>
    </row>
    <row r="1175" spans="1:5" x14ac:dyDescent="0.25">
      <c r="A1175" s="13"/>
      <c r="B1175" s="13"/>
      <c r="C1175" s="13"/>
      <c r="D1175" s="13"/>
      <c r="E1175" s="13"/>
    </row>
    <row r="1176" spans="1:5" x14ac:dyDescent="0.25">
      <c r="A1176" s="13"/>
      <c r="B1176" s="13"/>
      <c r="C1176" s="13"/>
      <c r="D1176" s="13"/>
      <c r="E1176" s="13"/>
    </row>
    <row r="1177" spans="1:5" x14ac:dyDescent="0.25">
      <c r="A1177" s="13"/>
      <c r="B1177" s="13"/>
      <c r="C1177" s="13"/>
      <c r="D1177" s="13"/>
      <c r="E1177" s="13"/>
    </row>
    <row r="1178" spans="1:5" x14ac:dyDescent="0.25">
      <c r="A1178" s="13"/>
      <c r="B1178" s="13"/>
      <c r="C1178" s="13"/>
      <c r="D1178" s="13"/>
      <c r="E1178" s="13"/>
    </row>
    <row r="1179" spans="1:5" x14ac:dyDescent="0.25">
      <c r="A1179" s="13"/>
      <c r="B1179" s="13"/>
      <c r="C1179" s="13"/>
      <c r="D1179" s="13"/>
      <c r="E1179" s="13"/>
    </row>
    <row r="1180" spans="1:5" x14ac:dyDescent="0.25">
      <c r="A1180" s="13"/>
      <c r="B1180" s="13"/>
      <c r="C1180" s="13"/>
      <c r="D1180" s="13"/>
      <c r="E1180" s="13"/>
    </row>
    <row r="1181" spans="1:5" x14ac:dyDescent="0.25">
      <c r="A1181" s="13"/>
      <c r="B1181" s="13"/>
      <c r="C1181" s="13"/>
      <c r="D1181" s="13"/>
      <c r="E1181" s="13"/>
    </row>
    <row r="1182" spans="1:5" x14ac:dyDescent="0.25">
      <c r="A1182" s="13"/>
      <c r="B1182" s="13"/>
      <c r="C1182" s="13"/>
      <c r="D1182" s="13"/>
      <c r="E1182" s="13"/>
    </row>
    <row r="1183" spans="1:5" x14ac:dyDescent="0.25">
      <c r="A1183" s="13"/>
      <c r="B1183" s="13"/>
      <c r="C1183" s="13"/>
      <c r="D1183" s="13"/>
      <c r="E1183" s="13"/>
    </row>
    <row r="1184" spans="1:5" x14ac:dyDescent="0.25">
      <c r="A1184" s="13"/>
      <c r="B1184" s="13"/>
      <c r="C1184" s="13"/>
      <c r="D1184" s="13"/>
      <c r="E1184" s="13"/>
    </row>
    <row r="1185" spans="1:5" x14ac:dyDescent="0.25">
      <c r="A1185" s="13"/>
      <c r="B1185" s="13"/>
      <c r="C1185" s="13"/>
      <c r="D1185" s="13"/>
      <c r="E1185" s="13"/>
    </row>
    <row r="1186" spans="1:5" x14ac:dyDescent="0.25">
      <c r="A1186" s="13"/>
      <c r="B1186" s="13"/>
      <c r="C1186" s="13"/>
      <c r="D1186" s="13"/>
      <c r="E1186" s="13"/>
    </row>
    <row r="1187" spans="1:5" x14ac:dyDescent="0.25">
      <c r="A1187" s="13"/>
      <c r="B1187" s="13"/>
      <c r="C1187" s="13"/>
      <c r="D1187" s="13"/>
      <c r="E1187" s="13"/>
    </row>
    <row r="1188" spans="1:5" x14ac:dyDescent="0.25">
      <c r="A1188" s="13"/>
      <c r="B1188" s="13"/>
      <c r="C1188" s="13"/>
      <c r="D1188" s="13"/>
      <c r="E1188" s="13"/>
    </row>
    <row r="1189" spans="1:5" x14ac:dyDescent="0.25">
      <c r="A1189" s="13"/>
      <c r="B1189" s="13"/>
      <c r="C1189" s="13"/>
      <c r="D1189" s="13"/>
      <c r="E1189" s="13"/>
    </row>
    <row r="1190" spans="1:5" x14ac:dyDescent="0.25">
      <c r="A1190" s="13"/>
      <c r="B1190" s="13"/>
      <c r="C1190" s="13"/>
      <c r="D1190" s="13"/>
      <c r="E1190" s="13"/>
    </row>
    <row r="1191" spans="1:5" x14ac:dyDescent="0.25">
      <c r="A1191" s="13"/>
      <c r="B1191" s="13"/>
      <c r="C1191" s="13"/>
      <c r="D1191" s="13"/>
      <c r="E1191" s="13"/>
    </row>
    <row r="1192" spans="1:5" x14ac:dyDescent="0.25">
      <c r="A1192" s="13"/>
      <c r="B1192" s="13"/>
      <c r="C1192" s="13"/>
      <c r="D1192" s="13"/>
      <c r="E1192" s="13"/>
    </row>
    <row r="1193" spans="1:5" x14ac:dyDescent="0.25">
      <c r="A1193" s="13"/>
      <c r="B1193" s="13"/>
      <c r="C1193" s="13"/>
      <c r="D1193" s="13"/>
      <c r="E1193" s="13"/>
    </row>
    <row r="1194" spans="1:5" x14ac:dyDescent="0.25">
      <c r="A1194" s="13"/>
      <c r="B1194" s="13"/>
      <c r="C1194" s="13"/>
      <c r="D1194" s="13"/>
      <c r="E1194" s="13"/>
    </row>
    <row r="1195" spans="1:5" x14ac:dyDescent="0.25">
      <c r="A1195" s="13"/>
      <c r="B1195" s="13"/>
      <c r="C1195" s="13"/>
      <c r="D1195" s="13"/>
      <c r="E1195" s="13"/>
    </row>
    <row r="1196" spans="1:5" x14ac:dyDescent="0.25">
      <c r="A1196" s="13"/>
      <c r="B1196" s="13"/>
      <c r="C1196" s="13"/>
      <c r="D1196" s="13"/>
      <c r="E1196" s="13"/>
    </row>
    <row r="1197" spans="1:5" x14ac:dyDescent="0.25">
      <c r="A1197" s="13"/>
      <c r="B1197" s="13"/>
      <c r="C1197" s="13"/>
      <c r="D1197" s="13"/>
      <c r="E1197" s="13"/>
    </row>
    <row r="1198" spans="1:5" x14ac:dyDescent="0.25">
      <c r="A1198" s="13"/>
      <c r="B1198" s="13"/>
      <c r="C1198" s="13"/>
      <c r="D1198" s="13"/>
      <c r="E1198" s="13"/>
    </row>
    <row r="1199" spans="1:5" x14ac:dyDescent="0.25">
      <c r="A1199" s="13"/>
      <c r="B1199" s="13"/>
      <c r="C1199" s="13"/>
      <c r="D1199" s="13"/>
      <c r="E1199" s="13"/>
    </row>
    <row r="1200" spans="1:5" x14ac:dyDescent="0.25">
      <c r="A1200" s="13"/>
      <c r="B1200" s="13"/>
      <c r="C1200" s="13"/>
      <c r="D1200" s="13"/>
      <c r="E1200" s="13"/>
    </row>
    <row r="1201" spans="1:5" x14ac:dyDescent="0.25">
      <c r="A1201" s="13"/>
      <c r="B1201" s="13"/>
      <c r="C1201" s="13"/>
      <c r="D1201" s="13"/>
      <c r="E1201" s="13"/>
    </row>
    <row r="1202" spans="1:5" x14ac:dyDescent="0.25">
      <c r="A1202" s="13"/>
      <c r="B1202" s="13"/>
      <c r="C1202" s="13"/>
      <c r="D1202" s="13"/>
      <c r="E1202" s="13"/>
    </row>
    <row r="1203" spans="1:5" x14ac:dyDescent="0.25">
      <c r="A1203" s="13"/>
      <c r="B1203" s="13"/>
      <c r="C1203" s="13"/>
      <c r="D1203" s="13"/>
      <c r="E1203" s="13"/>
    </row>
    <row r="1204" spans="1:5" x14ac:dyDescent="0.25">
      <c r="A1204" s="13"/>
      <c r="B1204" s="13"/>
      <c r="C1204" s="13"/>
      <c r="D1204" s="13"/>
      <c r="E1204" s="13"/>
    </row>
    <row r="1205" spans="1:5" x14ac:dyDescent="0.25">
      <c r="A1205" s="13"/>
      <c r="B1205" s="13"/>
      <c r="C1205" s="13"/>
      <c r="D1205" s="13"/>
      <c r="E1205" s="13"/>
    </row>
    <row r="1206" spans="1:5" x14ac:dyDescent="0.25">
      <c r="A1206" s="13"/>
      <c r="B1206" s="13"/>
      <c r="C1206" s="13"/>
      <c r="D1206" s="13"/>
      <c r="E1206" s="13"/>
    </row>
    <row r="1207" spans="1:5" x14ac:dyDescent="0.25">
      <c r="A1207" s="13"/>
      <c r="B1207" s="13"/>
      <c r="C1207" s="13"/>
      <c r="D1207" s="13"/>
      <c r="E1207" s="13"/>
    </row>
    <row r="1208" spans="1:5" x14ac:dyDescent="0.25">
      <c r="A1208" s="13"/>
      <c r="B1208" s="13"/>
      <c r="C1208" s="13"/>
      <c r="D1208" s="13"/>
      <c r="E1208" s="13"/>
    </row>
    <row r="1209" spans="1:5" x14ac:dyDescent="0.25">
      <c r="A1209" s="13"/>
      <c r="B1209" s="13"/>
      <c r="C1209" s="13"/>
      <c r="D1209" s="13"/>
      <c r="E1209" s="13"/>
    </row>
    <row r="1210" spans="1:5" x14ac:dyDescent="0.25">
      <c r="A1210" s="13"/>
      <c r="B1210" s="13"/>
      <c r="C1210" s="13"/>
      <c r="D1210" s="13"/>
      <c r="E1210" s="13"/>
    </row>
    <row r="1211" spans="1:5" x14ac:dyDescent="0.25">
      <c r="A1211" s="13"/>
      <c r="B1211" s="13"/>
      <c r="C1211" s="13"/>
      <c r="D1211" s="13"/>
      <c r="E1211" s="13"/>
    </row>
    <row r="1212" spans="1:5" x14ac:dyDescent="0.25">
      <c r="A1212" s="13"/>
      <c r="B1212" s="13"/>
      <c r="C1212" s="13"/>
      <c r="D1212" s="13"/>
      <c r="E1212" s="13"/>
    </row>
    <row r="1213" spans="1:5" x14ac:dyDescent="0.25">
      <c r="A1213" s="13"/>
      <c r="B1213" s="13"/>
      <c r="C1213" s="13"/>
      <c r="D1213" s="13"/>
      <c r="E1213" s="13"/>
    </row>
    <row r="1214" spans="1:5" x14ac:dyDescent="0.25">
      <c r="A1214" s="13"/>
      <c r="B1214" s="13"/>
      <c r="C1214" s="13"/>
      <c r="D1214" s="13"/>
      <c r="E1214" s="13"/>
    </row>
    <row r="1215" spans="1:5" x14ac:dyDescent="0.25">
      <c r="A1215" s="13"/>
      <c r="B1215" s="13"/>
      <c r="C1215" s="13"/>
      <c r="D1215" s="13"/>
      <c r="E1215" s="13"/>
    </row>
    <row r="1216" spans="1:5" x14ac:dyDescent="0.25">
      <c r="A1216" s="13"/>
      <c r="B1216" s="13"/>
      <c r="C1216" s="13"/>
      <c r="D1216" s="13"/>
      <c r="E1216" s="13"/>
    </row>
    <row r="1217" spans="1:5" x14ac:dyDescent="0.25">
      <c r="A1217" s="13"/>
      <c r="B1217" s="13"/>
      <c r="C1217" s="13"/>
      <c r="D1217" s="13"/>
      <c r="E1217" s="13"/>
    </row>
    <row r="1218" spans="1:5" x14ac:dyDescent="0.25">
      <c r="A1218" s="13"/>
      <c r="B1218" s="13"/>
      <c r="C1218" s="13"/>
      <c r="D1218" s="13"/>
      <c r="E1218" s="13"/>
    </row>
    <row r="1219" spans="1:5" x14ac:dyDescent="0.25">
      <c r="A1219" s="13"/>
      <c r="B1219" s="13"/>
      <c r="C1219" s="13"/>
      <c r="D1219" s="13"/>
      <c r="E1219" s="13"/>
    </row>
    <row r="1220" spans="1:5" x14ac:dyDescent="0.25">
      <c r="A1220" s="13"/>
      <c r="B1220" s="13"/>
      <c r="C1220" s="13"/>
      <c r="D1220" s="13"/>
      <c r="E1220" s="13"/>
    </row>
    <row r="1221" spans="1:5" x14ac:dyDescent="0.25">
      <c r="A1221" s="13"/>
      <c r="B1221" s="13"/>
      <c r="C1221" s="13"/>
      <c r="D1221" s="13"/>
      <c r="E1221" s="13"/>
    </row>
    <row r="1222" spans="1:5" x14ac:dyDescent="0.25">
      <c r="A1222" s="13"/>
      <c r="B1222" s="13"/>
      <c r="C1222" s="13"/>
      <c r="D1222" s="13"/>
      <c r="E1222" s="13"/>
    </row>
    <row r="1223" spans="1:5" x14ac:dyDescent="0.25">
      <c r="A1223" s="13"/>
      <c r="B1223" s="13"/>
      <c r="C1223" s="13"/>
      <c r="D1223" s="13"/>
      <c r="E1223" s="13"/>
    </row>
    <row r="1224" spans="1:5" x14ac:dyDescent="0.25">
      <c r="A1224" s="13"/>
      <c r="B1224" s="13"/>
      <c r="C1224" s="13"/>
      <c r="D1224" s="13"/>
      <c r="E1224" s="13"/>
    </row>
    <row r="1225" spans="1:5" x14ac:dyDescent="0.25">
      <c r="A1225" s="13"/>
      <c r="B1225" s="13"/>
      <c r="C1225" s="13"/>
      <c r="D1225" s="13"/>
      <c r="E1225" s="13"/>
    </row>
    <row r="1226" spans="1:5" x14ac:dyDescent="0.25">
      <c r="A1226" s="13"/>
      <c r="B1226" s="13"/>
      <c r="C1226" s="13"/>
      <c r="D1226" s="13"/>
      <c r="E1226" s="13"/>
    </row>
    <row r="1227" spans="1:5" x14ac:dyDescent="0.25">
      <c r="A1227" s="13"/>
      <c r="B1227" s="13"/>
      <c r="C1227" s="13"/>
      <c r="D1227" s="13"/>
      <c r="E1227" s="13"/>
    </row>
    <row r="1228" spans="1:5" x14ac:dyDescent="0.25">
      <c r="A1228" s="13"/>
      <c r="B1228" s="13"/>
      <c r="C1228" s="13"/>
      <c r="D1228" s="13"/>
      <c r="E1228" s="13"/>
    </row>
    <row r="1229" spans="1:5" x14ac:dyDescent="0.25">
      <c r="A1229" s="13"/>
      <c r="B1229" s="13"/>
      <c r="C1229" s="13"/>
      <c r="D1229" s="13"/>
      <c r="E1229" s="13"/>
    </row>
    <row r="1230" spans="1:5" x14ac:dyDescent="0.25">
      <c r="A1230" s="13"/>
      <c r="B1230" s="13"/>
      <c r="C1230" s="13"/>
      <c r="D1230" s="13"/>
      <c r="E1230" s="13"/>
    </row>
    <row r="1231" spans="1:5" x14ac:dyDescent="0.25">
      <c r="A1231" s="13"/>
      <c r="B1231" s="13"/>
      <c r="C1231" s="13"/>
      <c r="D1231" s="13"/>
      <c r="E1231" s="13"/>
    </row>
    <row r="1232" spans="1:5" x14ac:dyDescent="0.25">
      <c r="A1232" s="13"/>
      <c r="B1232" s="13"/>
      <c r="C1232" s="13"/>
      <c r="D1232" s="13"/>
      <c r="E1232" s="13"/>
    </row>
    <row r="1233" spans="1:5" x14ac:dyDescent="0.25">
      <c r="A1233" s="13"/>
      <c r="B1233" s="13"/>
      <c r="C1233" s="13"/>
      <c r="D1233" s="13"/>
      <c r="E1233" s="13"/>
    </row>
    <row r="1234" spans="1:5" x14ac:dyDescent="0.25">
      <c r="A1234" s="13"/>
      <c r="B1234" s="13"/>
      <c r="C1234" s="13"/>
      <c r="D1234" s="13"/>
      <c r="E1234" s="13"/>
    </row>
    <row r="1235" spans="1:5" x14ac:dyDescent="0.25">
      <c r="A1235" s="13"/>
      <c r="B1235" s="13"/>
      <c r="C1235" s="13"/>
      <c r="D1235" s="13"/>
      <c r="E1235" s="13"/>
    </row>
    <row r="1236" spans="1:5" x14ac:dyDescent="0.25">
      <c r="A1236" s="13"/>
      <c r="B1236" s="13"/>
      <c r="C1236" s="13"/>
      <c r="D1236" s="13"/>
      <c r="E1236" s="13"/>
    </row>
    <row r="1237" spans="1:5" x14ac:dyDescent="0.25">
      <c r="A1237" s="13"/>
      <c r="B1237" s="13"/>
      <c r="C1237" s="13"/>
      <c r="D1237" s="13"/>
      <c r="E1237" s="13"/>
    </row>
    <row r="1238" spans="1:5" x14ac:dyDescent="0.25">
      <c r="A1238" s="13"/>
      <c r="B1238" s="13"/>
      <c r="C1238" s="13"/>
      <c r="D1238" s="13"/>
      <c r="E1238" s="13"/>
    </row>
    <row r="1239" spans="1:5" x14ac:dyDescent="0.25">
      <c r="A1239" s="13"/>
      <c r="B1239" s="13"/>
      <c r="C1239" s="13"/>
      <c r="D1239" s="13"/>
      <c r="E1239" s="13"/>
    </row>
    <row r="1240" spans="1:5" x14ac:dyDescent="0.25">
      <c r="A1240" s="13"/>
      <c r="B1240" s="13"/>
      <c r="C1240" s="13"/>
      <c r="D1240" s="13"/>
      <c r="E1240" s="13"/>
    </row>
    <row r="1241" spans="1:5" x14ac:dyDescent="0.25">
      <c r="A1241" s="13"/>
      <c r="B1241" s="13"/>
      <c r="C1241" s="13"/>
      <c r="D1241" s="13"/>
      <c r="E1241" s="13"/>
    </row>
    <row r="1242" spans="1:5" x14ac:dyDescent="0.25">
      <c r="A1242" s="13"/>
      <c r="B1242" s="13"/>
      <c r="C1242" s="13"/>
      <c r="D1242" s="13"/>
      <c r="E1242" s="13"/>
    </row>
    <row r="1243" spans="1:5" x14ac:dyDescent="0.25">
      <c r="A1243" s="13"/>
      <c r="B1243" s="13"/>
      <c r="C1243" s="13"/>
      <c r="D1243" s="13"/>
      <c r="E1243" s="13"/>
    </row>
    <row r="1244" spans="1:5" x14ac:dyDescent="0.25">
      <c r="A1244" s="13"/>
      <c r="B1244" s="13"/>
      <c r="C1244" s="13"/>
      <c r="D1244" s="13"/>
      <c r="E1244" s="13"/>
    </row>
    <row r="1245" spans="1:5" x14ac:dyDescent="0.25">
      <c r="A1245" s="13"/>
      <c r="B1245" s="13"/>
      <c r="C1245" s="13"/>
      <c r="D1245" s="13"/>
      <c r="E1245" s="13"/>
    </row>
    <row r="1246" spans="1:5" x14ac:dyDescent="0.25">
      <c r="A1246" s="13"/>
      <c r="B1246" s="13"/>
      <c r="C1246" s="13"/>
      <c r="D1246" s="13"/>
      <c r="E1246" s="13"/>
    </row>
    <row r="1247" spans="1:5" x14ac:dyDescent="0.25">
      <c r="A1247" s="13"/>
      <c r="B1247" s="13"/>
      <c r="C1247" s="13"/>
      <c r="D1247" s="13"/>
      <c r="E1247" s="13"/>
    </row>
    <row r="1248" spans="1:5" x14ac:dyDescent="0.25">
      <c r="A1248" s="13"/>
      <c r="B1248" s="13"/>
      <c r="C1248" s="13"/>
      <c r="D1248" s="13"/>
      <c r="E1248" s="13"/>
    </row>
    <row r="1249" spans="1:5" x14ac:dyDescent="0.25">
      <c r="A1249" s="13"/>
      <c r="B1249" s="13"/>
      <c r="C1249" s="13"/>
      <c r="D1249" s="13"/>
      <c r="E1249" s="13"/>
    </row>
    <row r="1250" spans="1:5" x14ac:dyDescent="0.25">
      <c r="A1250" s="13"/>
      <c r="B1250" s="13"/>
      <c r="C1250" s="13"/>
      <c r="D1250" s="13"/>
      <c r="E1250" s="13"/>
    </row>
    <row r="1251" spans="1:5" x14ac:dyDescent="0.25">
      <c r="A1251" s="13"/>
      <c r="B1251" s="13"/>
      <c r="C1251" s="13"/>
      <c r="D1251" s="13"/>
      <c r="E1251" s="13"/>
    </row>
    <row r="1252" spans="1:5" x14ac:dyDescent="0.25">
      <c r="A1252" s="13"/>
      <c r="B1252" s="13"/>
      <c r="C1252" s="13"/>
      <c r="D1252" s="13"/>
      <c r="E1252" s="13"/>
    </row>
    <row r="1253" spans="1:5" x14ac:dyDescent="0.25">
      <c r="A1253" s="13"/>
      <c r="B1253" s="13"/>
      <c r="C1253" s="13"/>
      <c r="D1253" s="13"/>
      <c r="E1253" s="13"/>
    </row>
    <row r="1254" spans="1:5" x14ac:dyDescent="0.25">
      <c r="A1254" s="13"/>
      <c r="B1254" s="13"/>
      <c r="C1254" s="13"/>
      <c r="D1254" s="13"/>
      <c r="E1254" s="13"/>
    </row>
    <row r="1255" spans="1:5" x14ac:dyDescent="0.25">
      <c r="A1255" s="13"/>
      <c r="B1255" s="13"/>
      <c r="C1255" s="13"/>
      <c r="D1255" s="13"/>
      <c r="E1255" s="13"/>
    </row>
    <row r="1256" spans="1:5" x14ac:dyDescent="0.25">
      <c r="A1256" s="13"/>
      <c r="B1256" s="13"/>
      <c r="C1256" s="13"/>
      <c r="D1256" s="13"/>
      <c r="E1256" s="13"/>
    </row>
    <row r="1257" spans="1:5" x14ac:dyDescent="0.25">
      <c r="A1257" s="13"/>
      <c r="B1257" s="13"/>
      <c r="C1257" s="13"/>
      <c r="D1257" s="13"/>
      <c r="E1257" s="13"/>
    </row>
    <row r="1258" spans="1:5" x14ac:dyDescent="0.25">
      <c r="A1258" s="13"/>
      <c r="B1258" s="13"/>
      <c r="C1258" s="13"/>
      <c r="D1258" s="13"/>
      <c r="E1258" s="13"/>
    </row>
    <row r="1259" spans="1:5" x14ac:dyDescent="0.25">
      <c r="A1259" s="13"/>
      <c r="B1259" s="13"/>
      <c r="C1259" s="13"/>
      <c r="D1259" s="13"/>
      <c r="E1259" s="13"/>
    </row>
    <row r="1260" spans="1:5" x14ac:dyDescent="0.25">
      <c r="A1260" s="13"/>
      <c r="B1260" s="13"/>
      <c r="C1260" s="13"/>
      <c r="D1260" s="13"/>
      <c r="E1260" s="13"/>
    </row>
    <row r="1261" spans="1:5" x14ac:dyDescent="0.25">
      <c r="A1261" s="13"/>
      <c r="B1261" s="13"/>
      <c r="C1261" s="13"/>
      <c r="D1261" s="13"/>
      <c r="E1261" s="13"/>
    </row>
    <row r="1262" spans="1:5" x14ac:dyDescent="0.25">
      <c r="A1262" s="13"/>
      <c r="B1262" s="13"/>
      <c r="C1262" s="13"/>
      <c r="D1262" s="13"/>
      <c r="E1262" s="13"/>
    </row>
    <row r="1263" spans="1:5" x14ac:dyDescent="0.25">
      <c r="A1263" s="13"/>
      <c r="B1263" s="13"/>
      <c r="C1263" s="13"/>
      <c r="D1263" s="13"/>
      <c r="E1263" s="13"/>
    </row>
    <row r="1264" spans="1:5" x14ac:dyDescent="0.25">
      <c r="A1264" s="13"/>
      <c r="B1264" s="13"/>
      <c r="C1264" s="13"/>
      <c r="D1264" s="13"/>
      <c r="E1264" s="13"/>
    </row>
    <row r="1265" spans="1:5" x14ac:dyDescent="0.25">
      <c r="A1265" s="13"/>
      <c r="B1265" s="13"/>
      <c r="C1265" s="13"/>
      <c r="D1265" s="13"/>
      <c r="E1265" s="13"/>
    </row>
    <row r="1266" spans="1:5" x14ac:dyDescent="0.25">
      <c r="A1266" s="13"/>
      <c r="B1266" s="13"/>
      <c r="C1266" s="13"/>
      <c r="D1266" s="13"/>
      <c r="E1266" s="13"/>
    </row>
    <row r="1267" spans="1:5" x14ac:dyDescent="0.25">
      <c r="A1267" s="13"/>
      <c r="B1267" s="13"/>
      <c r="C1267" s="13"/>
      <c r="D1267" s="13"/>
      <c r="E1267" s="13"/>
    </row>
    <row r="1268" spans="1:5" x14ac:dyDescent="0.25">
      <c r="A1268" s="13"/>
      <c r="B1268" s="13"/>
      <c r="C1268" s="13"/>
      <c r="D1268" s="13"/>
      <c r="E1268" s="13"/>
    </row>
    <row r="1269" spans="1:5" x14ac:dyDescent="0.25">
      <c r="A1269" s="13"/>
      <c r="B1269" s="13"/>
      <c r="C1269" s="13"/>
      <c r="D1269" s="13"/>
      <c r="E1269" s="13"/>
    </row>
    <row r="1270" spans="1:5" x14ac:dyDescent="0.25">
      <c r="A1270" s="13"/>
      <c r="B1270" s="13"/>
      <c r="C1270" s="13"/>
      <c r="D1270" s="13"/>
      <c r="E1270" s="13"/>
    </row>
    <row r="1271" spans="1:5" x14ac:dyDescent="0.25">
      <c r="A1271" s="13"/>
      <c r="B1271" s="13"/>
      <c r="C1271" s="13"/>
      <c r="D1271" s="13"/>
      <c r="E1271" s="13"/>
    </row>
    <row r="1272" spans="1:5" x14ac:dyDescent="0.25">
      <c r="A1272" s="13"/>
      <c r="B1272" s="13"/>
      <c r="C1272" s="13"/>
      <c r="D1272" s="13"/>
      <c r="E1272" s="13"/>
    </row>
    <row r="1273" spans="1:5" x14ac:dyDescent="0.25">
      <c r="A1273" s="13"/>
      <c r="B1273" s="13"/>
      <c r="C1273" s="13"/>
      <c r="D1273" s="13"/>
      <c r="E1273" s="13"/>
    </row>
    <row r="1274" spans="1:5" x14ac:dyDescent="0.25">
      <c r="A1274" s="13"/>
      <c r="B1274" s="13"/>
      <c r="C1274" s="13"/>
      <c r="D1274" s="13"/>
      <c r="E1274" s="13"/>
    </row>
    <row r="1275" spans="1:5" x14ac:dyDescent="0.25">
      <c r="A1275" s="13"/>
      <c r="B1275" s="13"/>
      <c r="C1275" s="13"/>
      <c r="D1275" s="13"/>
      <c r="E1275" s="13"/>
    </row>
    <row r="1276" spans="1:5" x14ac:dyDescent="0.25">
      <c r="A1276" s="13"/>
      <c r="B1276" s="13"/>
      <c r="C1276" s="13"/>
      <c r="D1276" s="13"/>
      <c r="E1276" s="13"/>
    </row>
    <row r="1277" spans="1:5" x14ac:dyDescent="0.25">
      <c r="A1277" s="13"/>
      <c r="B1277" s="13"/>
      <c r="C1277" s="13"/>
      <c r="D1277" s="13"/>
      <c r="E1277" s="13"/>
    </row>
    <row r="1278" spans="1:5" x14ac:dyDescent="0.25">
      <c r="A1278" s="13"/>
      <c r="B1278" s="13"/>
      <c r="C1278" s="13"/>
      <c r="D1278" s="13"/>
      <c r="E1278" s="13"/>
    </row>
    <row r="1279" spans="1:5" x14ac:dyDescent="0.25">
      <c r="A1279" s="13"/>
      <c r="B1279" s="13"/>
      <c r="C1279" s="13"/>
      <c r="D1279" s="13"/>
      <c r="E1279" s="13"/>
    </row>
    <row r="1280" spans="1:5" x14ac:dyDescent="0.25">
      <c r="A1280" s="13"/>
      <c r="B1280" s="13"/>
      <c r="C1280" s="13"/>
      <c r="D1280" s="13"/>
      <c r="E1280" s="13"/>
    </row>
    <row r="1281" spans="1:5" x14ac:dyDescent="0.25">
      <c r="A1281" s="13"/>
      <c r="B1281" s="13"/>
      <c r="C1281" s="13"/>
      <c r="D1281" s="13"/>
      <c r="E1281" s="13"/>
    </row>
    <row r="1282" spans="1:5" x14ac:dyDescent="0.25">
      <c r="A1282" s="13"/>
      <c r="B1282" s="13"/>
      <c r="C1282" s="13"/>
      <c r="D1282" s="13"/>
      <c r="E1282" s="13"/>
    </row>
    <row r="1283" spans="1:5" x14ac:dyDescent="0.25">
      <c r="A1283" s="13"/>
      <c r="B1283" s="13"/>
      <c r="C1283" s="13"/>
      <c r="D1283" s="13"/>
      <c r="E1283" s="13"/>
    </row>
    <row r="1284" spans="1:5" x14ac:dyDescent="0.25">
      <c r="A1284" s="13"/>
      <c r="B1284" s="13"/>
      <c r="C1284" s="13"/>
      <c r="D1284" s="13"/>
      <c r="E1284" s="13"/>
    </row>
    <row r="1285" spans="1:5" x14ac:dyDescent="0.25">
      <c r="A1285" s="13"/>
      <c r="B1285" s="13"/>
      <c r="C1285" s="13"/>
      <c r="D1285" s="13"/>
      <c r="E1285" s="13"/>
    </row>
    <row r="1286" spans="1:5" x14ac:dyDescent="0.25">
      <c r="A1286" s="13"/>
      <c r="B1286" s="13"/>
      <c r="C1286" s="13"/>
      <c r="D1286" s="13"/>
      <c r="E1286" s="13"/>
    </row>
    <row r="1287" spans="1:5" x14ac:dyDescent="0.25">
      <c r="A1287" s="13"/>
      <c r="B1287" s="13"/>
      <c r="C1287" s="13"/>
      <c r="D1287" s="13"/>
      <c r="E1287" s="13"/>
    </row>
    <row r="1288" spans="1:5" x14ac:dyDescent="0.25">
      <c r="A1288" s="13"/>
      <c r="B1288" s="13"/>
      <c r="C1288" s="13"/>
      <c r="D1288" s="13"/>
      <c r="E1288" s="13"/>
    </row>
    <row r="1289" spans="1:5" x14ac:dyDescent="0.25">
      <c r="A1289" s="13"/>
      <c r="B1289" s="13"/>
      <c r="C1289" s="13"/>
      <c r="D1289" s="13"/>
      <c r="E1289" s="13"/>
    </row>
    <row r="1290" spans="1:5" x14ac:dyDescent="0.25">
      <c r="A1290" s="13"/>
      <c r="B1290" s="13"/>
      <c r="C1290" s="13"/>
      <c r="D1290" s="13"/>
      <c r="E1290" s="13"/>
    </row>
    <row r="1291" spans="1:5" x14ac:dyDescent="0.25">
      <c r="A1291" s="13"/>
      <c r="B1291" s="13"/>
      <c r="C1291" s="13"/>
      <c r="D1291" s="13"/>
      <c r="E1291" s="13"/>
    </row>
    <row r="1292" spans="1:5" x14ac:dyDescent="0.25">
      <c r="A1292" s="13"/>
      <c r="B1292" s="13"/>
      <c r="C1292" s="13"/>
      <c r="D1292" s="13"/>
      <c r="E1292" s="13"/>
    </row>
    <row r="1293" spans="1:5" x14ac:dyDescent="0.25">
      <c r="A1293" s="13"/>
      <c r="B1293" s="13"/>
      <c r="C1293" s="13"/>
      <c r="D1293" s="13"/>
      <c r="E1293" s="13"/>
    </row>
    <row r="1294" spans="1:5" x14ac:dyDescent="0.25">
      <c r="A1294" s="13"/>
      <c r="B1294" s="13"/>
      <c r="C1294" s="13"/>
      <c r="D1294" s="13"/>
      <c r="E1294" s="13"/>
    </row>
    <row r="1295" spans="1:5" x14ac:dyDescent="0.25">
      <c r="A1295" s="13"/>
      <c r="B1295" s="13"/>
      <c r="C1295" s="13"/>
      <c r="D1295" s="13"/>
      <c r="E1295" s="13"/>
    </row>
    <row r="1296" spans="1:5" x14ac:dyDescent="0.25">
      <c r="A1296" s="13"/>
      <c r="B1296" s="13"/>
      <c r="C1296" s="13"/>
      <c r="D1296" s="13"/>
      <c r="E1296" s="13"/>
    </row>
    <row r="1297" spans="1:5" x14ac:dyDescent="0.25">
      <c r="A1297" s="13"/>
      <c r="B1297" s="13"/>
      <c r="C1297" s="13"/>
      <c r="D1297" s="13"/>
      <c r="E1297" s="13"/>
    </row>
    <row r="1298" spans="1:5" x14ac:dyDescent="0.25">
      <c r="A1298" s="13"/>
      <c r="B1298" s="13"/>
      <c r="C1298" s="13"/>
      <c r="D1298" s="13"/>
      <c r="E1298" s="13"/>
    </row>
    <row r="1299" spans="1:5" x14ac:dyDescent="0.25">
      <c r="A1299" s="13"/>
      <c r="B1299" s="13"/>
      <c r="C1299" s="13"/>
      <c r="D1299" s="13"/>
      <c r="E1299" s="13"/>
    </row>
    <row r="1300" spans="1:5" x14ac:dyDescent="0.25">
      <c r="A1300" s="13"/>
      <c r="B1300" s="13"/>
      <c r="C1300" s="13"/>
      <c r="D1300" s="13"/>
      <c r="E1300" s="13"/>
    </row>
    <row r="1301" spans="1:5" x14ac:dyDescent="0.25">
      <c r="A1301" s="13"/>
      <c r="B1301" s="13"/>
      <c r="C1301" s="13"/>
      <c r="D1301" s="13"/>
      <c r="E1301" s="13"/>
    </row>
    <row r="1302" spans="1:5" x14ac:dyDescent="0.25">
      <c r="A1302" s="13"/>
      <c r="B1302" s="13"/>
      <c r="C1302" s="13"/>
      <c r="D1302" s="13"/>
      <c r="E1302" s="13"/>
    </row>
    <row r="1303" spans="1:5" x14ac:dyDescent="0.25">
      <c r="A1303" s="13"/>
      <c r="B1303" s="13"/>
      <c r="C1303" s="13"/>
      <c r="D1303" s="13"/>
      <c r="E1303" s="13"/>
    </row>
    <row r="1304" spans="1:5" x14ac:dyDescent="0.25">
      <c r="A1304" s="13"/>
      <c r="B1304" s="13"/>
      <c r="C1304" s="13"/>
      <c r="D1304" s="13"/>
      <c r="E1304" s="13"/>
    </row>
    <row r="1305" spans="1:5" x14ac:dyDescent="0.25">
      <c r="A1305" s="13"/>
      <c r="B1305" s="13"/>
      <c r="C1305" s="13"/>
      <c r="D1305" s="13"/>
      <c r="E1305" s="13"/>
    </row>
    <row r="1306" spans="1:5" x14ac:dyDescent="0.25">
      <c r="A1306" s="13"/>
      <c r="B1306" s="13"/>
      <c r="C1306" s="13"/>
      <c r="D1306" s="13"/>
      <c r="E1306" s="13"/>
    </row>
    <row r="1307" spans="1:5" x14ac:dyDescent="0.25">
      <c r="A1307" s="13"/>
      <c r="B1307" s="13"/>
      <c r="C1307" s="13"/>
      <c r="D1307" s="13"/>
      <c r="E1307" s="13"/>
    </row>
    <row r="1308" spans="1:5" x14ac:dyDescent="0.25">
      <c r="A1308" s="13"/>
      <c r="B1308" s="13"/>
      <c r="C1308" s="13"/>
      <c r="D1308" s="13"/>
      <c r="E1308" s="13"/>
    </row>
    <row r="1309" spans="1:5" x14ac:dyDescent="0.25">
      <c r="A1309" s="13"/>
      <c r="B1309" s="13"/>
      <c r="C1309" s="13"/>
      <c r="D1309" s="13"/>
      <c r="E1309" s="13"/>
    </row>
    <row r="1310" spans="1:5" x14ac:dyDescent="0.25">
      <c r="A1310" s="13"/>
      <c r="B1310" s="13"/>
      <c r="C1310" s="13"/>
      <c r="D1310" s="13"/>
      <c r="E1310" s="13"/>
    </row>
    <row r="1311" spans="1:5" x14ac:dyDescent="0.25">
      <c r="A1311" s="13"/>
      <c r="B1311" s="13"/>
      <c r="C1311" s="13"/>
      <c r="D1311" s="13"/>
      <c r="E1311" s="13"/>
    </row>
    <row r="1312" spans="1:5" x14ac:dyDescent="0.25">
      <c r="A1312" s="13"/>
      <c r="B1312" s="13"/>
      <c r="C1312" s="13"/>
      <c r="D1312" s="13"/>
      <c r="E1312" s="13"/>
    </row>
    <row r="1313" spans="1:5" x14ac:dyDescent="0.25">
      <c r="A1313" s="13"/>
      <c r="B1313" s="13"/>
      <c r="C1313" s="13"/>
      <c r="D1313" s="13"/>
      <c r="E1313" s="13"/>
    </row>
    <row r="1314" spans="1:5" x14ac:dyDescent="0.25">
      <c r="A1314" s="13"/>
      <c r="B1314" s="13"/>
      <c r="C1314" s="13"/>
      <c r="D1314" s="13"/>
      <c r="E1314" s="13"/>
    </row>
    <row r="1315" spans="1:5" x14ac:dyDescent="0.25">
      <c r="A1315" s="13"/>
      <c r="B1315" s="13"/>
      <c r="C1315" s="13"/>
      <c r="D1315" s="13"/>
      <c r="E1315" s="13"/>
    </row>
    <row r="1316" spans="1:5" x14ac:dyDescent="0.25">
      <c r="A1316" s="13"/>
      <c r="B1316" s="13"/>
      <c r="C1316" s="13"/>
      <c r="D1316" s="13"/>
      <c r="E1316" s="13"/>
    </row>
    <row r="1317" spans="1:5" x14ac:dyDescent="0.25">
      <c r="A1317" s="13"/>
      <c r="B1317" s="13"/>
      <c r="C1317" s="13"/>
      <c r="D1317" s="13"/>
      <c r="E1317" s="13"/>
    </row>
    <row r="1318" spans="1:5" x14ac:dyDescent="0.25">
      <c r="A1318" s="13"/>
      <c r="B1318" s="13"/>
      <c r="C1318" s="13"/>
      <c r="D1318" s="13"/>
      <c r="E1318" s="13"/>
    </row>
    <row r="1319" spans="1:5" x14ac:dyDescent="0.25">
      <c r="A1319" s="13"/>
      <c r="B1319" s="13"/>
      <c r="C1319" s="13"/>
      <c r="D1319" s="13"/>
      <c r="E1319" s="13"/>
    </row>
    <row r="1320" spans="1:5" x14ac:dyDescent="0.25">
      <c r="A1320" s="13"/>
      <c r="B1320" s="13"/>
      <c r="C1320" s="13"/>
      <c r="D1320" s="13"/>
      <c r="E1320" s="13"/>
    </row>
    <row r="1321" spans="1:5" x14ac:dyDescent="0.25">
      <c r="A1321" s="13"/>
      <c r="B1321" s="13"/>
      <c r="C1321" s="13"/>
      <c r="D1321" s="13"/>
      <c r="E1321" s="13"/>
    </row>
    <row r="1322" spans="1:5" x14ac:dyDescent="0.25">
      <c r="A1322" s="13"/>
      <c r="B1322" s="13"/>
      <c r="C1322" s="13"/>
      <c r="D1322" s="13"/>
      <c r="E1322" s="13"/>
    </row>
    <row r="1323" spans="1:5" x14ac:dyDescent="0.25">
      <c r="A1323" s="13"/>
      <c r="B1323" s="13"/>
      <c r="C1323" s="13"/>
      <c r="D1323" s="13"/>
      <c r="E1323" s="13"/>
    </row>
    <row r="1324" spans="1:5" x14ac:dyDescent="0.25">
      <c r="A1324" s="13"/>
      <c r="B1324" s="13"/>
      <c r="C1324" s="13"/>
      <c r="D1324" s="13"/>
      <c r="E1324" s="13"/>
    </row>
    <row r="1325" spans="1:5" x14ac:dyDescent="0.25">
      <c r="A1325" s="13"/>
      <c r="B1325" s="13"/>
      <c r="C1325" s="13"/>
      <c r="D1325" s="13"/>
      <c r="E1325" s="13"/>
    </row>
    <row r="1326" spans="1:5" x14ac:dyDescent="0.25">
      <c r="A1326" s="13"/>
      <c r="B1326" s="13"/>
      <c r="C1326" s="13"/>
      <c r="D1326" s="13"/>
      <c r="E1326" s="13"/>
    </row>
    <row r="1327" spans="1:5" x14ac:dyDescent="0.25">
      <c r="A1327" s="13"/>
      <c r="B1327" s="13"/>
      <c r="C1327" s="13"/>
      <c r="D1327" s="13"/>
      <c r="E1327" s="13"/>
    </row>
    <row r="1328" spans="1:5" x14ac:dyDescent="0.25">
      <c r="A1328" s="13"/>
      <c r="B1328" s="13"/>
      <c r="C1328" s="13"/>
      <c r="D1328" s="13"/>
      <c r="E1328" s="13"/>
    </row>
    <row r="1329" spans="1:5" x14ac:dyDescent="0.25">
      <c r="A1329" s="13"/>
      <c r="B1329" s="13"/>
      <c r="C1329" s="13"/>
      <c r="D1329" s="13"/>
      <c r="E1329" s="13"/>
    </row>
    <row r="1330" spans="1:5" x14ac:dyDescent="0.25">
      <c r="A1330" s="13"/>
      <c r="B1330" s="13"/>
      <c r="C1330" s="13"/>
      <c r="D1330" s="13"/>
      <c r="E1330" s="13"/>
    </row>
    <row r="1331" spans="1:5" x14ac:dyDescent="0.25">
      <c r="A1331" s="13"/>
      <c r="B1331" s="13"/>
      <c r="C1331" s="13"/>
      <c r="D1331" s="13"/>
      <c r="E1331" s="13"/>
    </row>
    <row r="1332" spans="1:5" x14ac:dyDescent="0.25">
      <c r="A1332" s="13"/>
      <c r="B1332" s="13"/>
      <c r="C1332" s="13"/>
      <c r="D1332" s="13"/>
      <c r="E1332" s="13"/>
    </row>
    <row r="1333" spans="1:5" x14ac:dyDescent="0.25">
      <c r="A1333" s="13"/>
      <c r="B1333" s="13"/>
      <c r="C1333" s="13"/>
      <c r="D1333" s="13"/>
      <c r="E1333" s="13"/>
    </row>
    <row r="1334" spans="1:5" x14ac:dyDescent="0.25">
      <c r="A1334" s="13"/>
      <c r="B1334" s="13"/>
      <c r="C1334" s="13"/>
      <c r="D1334" s="13"/>
      <c r="E1334" s="13"/>
    </row>
    <row r="1335" spans="1:5" x14ac:dyDescent="0.25">
      <c r="A1335" s="13"/>
      <c r="B1335" s="13"/>
      <c r="C1335" s="13"/>
      <c r="D1335" s="13"/>
      <c r="E1335" s="13"/>
    </row>
    <row r="1336" spans="1:5" x14ac:dyDescent="0.25">
      <c r="A1336" s="13"/>
      <c r="B1336" s="13"/>
      <c r="C1336" s="13"/>
      <c r="D1336" s="13"/>
      <c r="E1336" s="13"/>
    </row>
    <row r="1337" spans="1:5" x14ac:dyDescent="0.25">
      <c r="A1337" s="13"/>
      <c r="B1337" s="13"/>
      <c r="C1337" s="13"/>
      <c r="D1337" s="13"/>
      <c r="E1337" s="13"/>
    </row>
    <row r="1338" spans="1:5" x14ac:dyDescent="0.25">
      <c r="A1338" s="13"/>
      <c r="B1338" s="13"/>
      <c r="C1338" s="13"/>
      <c r="D1338" s="13"/>
      <c r="E1338" s="13"/>
    </row>
    <row r="1339" spans="1:5" x14ac:dyDescent="0.25">
      <c r="A1339" s="13"/>
      <c r="B1339" s="13"/>
      <c r="C1339" s="13"/>
      <c r="D1339" s="13"/>
      <c r="E1339" s="13"/>
    </row>
    <row r="1340" spans="1:5" x14ac:dyDescent="0.25">
      <c r="A1340" s="13"/>
      <c r="B1340" s="13"/>
      <c r="C1340" s="13"/>
      <c r="D1340" s="13"/>
      <c r="E1340" s="13"/>
    </row>
    <row r="1341" spans="1:5" x14ac:dyDescent="0.25">
      <c r="A1341" s="13"/>
      <c r="B1341" s="13"/>
      <c r="C1341" s="13"/>
      <c r="D1341" s="13"/>
      <c r="E1341" s="13"/>
    </row>
    <row r="1342" spans="1:5" x14ac:dyDescent="0.25">
      <c r="A1342" s="13"/>
      <c r="B1342" s="13"/>
      <c r="C1342" s="13"/>
      <c r="D1342" s="13"/>
      <c r="E1342" s="13"/>
    </row>
    <row r="1343" spans="1:5" x14ac:dyDescent="0.25">
      <c r="A1343" s="13"/>
      <c r="B1343" s="13"/>
      <c r="C1343" s="13"/>
      <c r="D1343" s="13"/>
      <c r="E1343" s="13"/>
    </row>
    <row r="1344" spans="1:5" x14ac:dyDescent="0.25">
      <c r="A1344" s="13"/>
      <c r="B1344" s="13"/>
      <c r="C1344" s="13"/>
      <c r="D1344" s="13"/>
      <c r="E1344" s="13"/>
    </row>
    <row r="1345" spans="1:5" x14ac:dyDescent="0.25">
      <c r="A1345" s="13"/>
      <c r="B1345" s="13"/>
      <c r="C1345" s="13"/>
      <c r="D1345" s="13"/>
      <c r="E1345" s="13"/>
    </row>
    <row r="1346" spans="1:5" x14ac:dyDescent="0.25">
      <c r="A1346" s="13"/>
      <c r="B1346" s="13"/>
      <c r="C1346" s="13"/>
      <c r="D1346" s="13"/>
      <c r="E1346" s="13"/>
    </row>
    <row r="1347" spans="1:5" x14ac:dyDescent="0.25">
      <c r="A1347" s="13"/>
      <c r="B1347" s="13"/>
      <c r="C1347" s="13"/>
      <c r="D1347" s="13"/>
      <c r="E1347" s="13"/>
    </row>
    <row r="1348" spans="1:5" x14ac:dyDescent="0.25">
      <c r="A1348" s="13"/>
      <c r="B1348" s="13"/>
      <c r="C1348" s="13"/>
      <c r="D1348" s="13"/>
      <c r="E1348" s="13"/>
    </row>
    <row r="1349" spans="1:5" x14ac:dyDescent="0.25">
      <c r="A1349" s="13"/>
      <c r="B1349" s="13"/>
      <c r="C1349" s="13"/>
      <c r="D1349" s="13"/>
      <c r="E1349" s="13"/>
    </row>
    <row r="1350" spans="1:5" x14ac:dyDescent="0.25">
      <c r="A1350" s="13"/>
      <c r="B1350" s="13"/>
      <c r="C1350" s="13"/>
      <c r="D1350" s="13"/>
      <c r="E1350" s="13"/>
    </row>
    <row r="1351" spans="1:5" x14ac:dyDescent="0.25">
      <c r="A1351" s="13"/>
      <c r="B1351" s="13"/>
      <c r="C1351" s="13"/>
      <c r="D1351" s="13"/>
      <c r="E1351" s="13"/>
    </row>
    <row r="1352" spans="1:5" x14ac:dyDescent="0.25">
      <c r="A1352" s="13"/>
      <c r="B1352" s="13"/>
      <c r="C1352" s="13"/>
      <c r="D1352" s="13"/>
      <c r="E1352" s="13"/>
    </row>
    <row r="1353" spans="1:5" x14ac:dyDescent="0.25">
      <c r="A1353" s="13"/>
      <c r="B1353" s="13"/>
      <c r="C1353" s="13"/>
      <c r="D1353" s="13"/>
      <c r="E1353" s="13"/>
    </row>
    <row r="1354" spans="1:5" x14ac:dyDescent="0.25">
      <c r="A1354" s="13"/>
      <c r="B1354" s="13"/>
      <c r="C1354" s="13"/>
      <c r="D1354" s="13"/>
      <c r="E1354" s="13"/>
    </row>
    <row r="1355" spans="1:5" x14ac:dyDescent="0.25">
      <c r="A1355" s="13"/>
      <c r="B1355" s="13"/>
      <c r="C1355" s="13"/>
      <c r="D1355" s="13"/>
      <c r="E1355" s="13"/>
    </row>
    <row r="1356" spans="1:5" x14ac:dyDescent="0.25">
      <c r="A1356" s="13"/>
      <c r="B1356" s="13"/>
      <c r="C1356" s="13"/>
      <c r="D1356" s="13"/>
      <c r="E1356" s="13"/>
    </row>
    <row r="1357" spans="1:5" x14ac:dyDescent="0.25">
      <c r="A1357" s="13"/>
      <c r="B1357" s="13"/>
      <c r="C1357" s="13"/>
      <c r="D1357" s="13"/>
      <c r="E1357" s="13"/>
    </row>
    <row r="1358" spans="1:5" x14ac:dyDescent="0.25">
      <c r="A1358" s="13"/>
      <c r="B1358" s="13"/>
      <c r="C1358" s="13"/>
      <c r="D1358" s="13"/>
      <c r="E1358" s="13"/>
    </row>
    <row r="1359" spans="1:5" x14ac:dyDescent="0.25">
      <c r="A1359" s="13"/>
      <c r="B1359" s="13"/>
      <c r="C1359" s="13"/>
      <c r="D1359" s="13"/>
      <c r="E1359" s="13"/>
    </row>
    <row r="1360" spans="1:5" x14ac:dyDescent="0.25">
      <c r="A1360" s="13"/>
      <c r="B1360" s="13"/>
      <c r="C1360" s="13"/>
      <c r="D1360" s="13"/>
      <c r="E1360" s="13"/>
    </row>
    <row r="1361" spans="1:5" x14ac:dyDescent="0.25">
      <c r="A1361" s="13"/>
      <c r="B1361" s="13"/>
      <c r="C1361" s="13"/>
      <c r="D1361" s="13"/>
      <c r="E1361" s="13"/>
    </row>
    <row r="1362" spans="1:5" x14ac:dyDescent="0.25">
      <c r="A1362" s="13"/>
      <c r="B1362" s="13"/>
      <c r="C1362" s="13"/>
      <c r="D1362" s="13"/>
      <c r="E1362" s="13"/>
    </row>
    <row r="1363" spans="1:5" x14ac:dyDescent="0.25">
      <c r="A1363" s="13"/>
      <c r="B1363" s="13"/>
      <c r="C1363" s="13"/>
      <c r="D1363" s="13"/>
      <c r="E1363" s="13"/>
    </row>
    <row r="1364" spans="1:5" x14ac:dyDescent="0.25">
      <c r="A1364" s="13"/>
      <c r="B1364" s="13"/>
      <c r="C1364" s="13"/>
      <c r="D1364" s="13"/>
      <c r="E1364" s="13"/>
    </row>
    <row r="1365" spans="1:5" x14ac:dyDescent="0.25">
      <c r="A1365" s="13"/>
      <c r="B1365" s="13"/>
      <c r="C1365" s="13"/>
      <c r="D1365" s="13"/>
      <c r="E1365" s="13"/>
    </row>
    <row r="1366" spans="1:5" x14ac:dyDescent="0.25">
      <c r="A1366" s="13"/>
      <c r="B1366" s="13"/>
      <c r="C1366" s="13"/>
      <c r="D1366" s="13"/>
      <c r="E1366" s="13"/>
    </row>
    <row r="1367" spans="1:5" x14ac:dyDescent="0.25">
      <c r="A1367" s="13"/>
      <c r="B1367" s="13"/>
      <c r="C1367" s="13"/>
      <c r="D1367" s="13"/>
      <c r="E1367" s="13"/>
    </row>
    <row r="1368" spans="1:5" x14ac:dyDescent="0.25">
      <c r="A1368" s="13"/>
      <c r="B1368" s="13"/>
      <c r="C1368" s="13"/>
      <c r="D1368" s="13"/>
      <c r="E1368" s="13"/>
    </row>
    <row r="1369" spans="1:5" x14ac:dyDescent="0.25">
      <c r="A1369" s="13"/>
      <c r="B1369" s="13"/>
      <c r="C1369" s="13"/>
      <c r="D1369" s="13"/>
      <c r="E1369" s="13"/>
    </row>
    <row r="1370" spans="1:5" x14ac:dyDescent="0.25">
      <c r="A1370" s="13"/>
      <c r="B1370" s="13"/>
      <c r="C1370" s="13"/>
      <c r="D1370" s="13"/>
      <c r="E1370" s="13"/>
    </row>
    <row r="1371" spans="1:5" x14ac:dyDescent="0.25">
      <c r="A1371" s="13"/>
      <c r="B1371" s="13"/>
      <c r="C1371" s="13"/>
      <c r="D1371" s="13"/>
      <c r="E1371" s="13"/>
    </row>
    <row r="1372" spans="1:5" x14ac:dyDescent="0.25">
      <c r="A1372" s="13"/>
      <c r="B1372" s="13"/>
      <c r="C1372" s="13"/>
      <c r="D1372" s="13"/>
      <c r="E1372" s="13"/>
    </row>
    <row r="1373" spans="1:5" x14ac:dyDescent="0.25">
      <c r="A1373" s="13"/>
      <c r="B1373" s="13"/>
      <c r="C1373" s="13"/>
      <c r="D1373" s="13"/>
      <c r="E1373" s="13"/>
    </row>
    <row r="1374" spans="1:5" x14ac:dyDescent="0.25">
      <c r="A1374" s="13"/>
      <c r="B1374" s="13"/>
      <c r="C1374" s="13"/>
      <c r="D1374" s="13"/>
      <c r="E1374" s="13"/>
    </row>
    <row r="1375" spans="1:5" x14ac:dyDescent="0.25">
      <c r="A1375" s="13"/>
      <c r="B1375" s="13"/>
      <c r="C1375" s="13"/>
      <c r="D1375" s="13"/>
      <c r="E1375" s="13"/>
    </row>
    <row r="1376" spans="1:5" x14ac:dyDescent="0.25">
      <c r="A1376" s="13"/>
      <c r="B1376" s="13"/>
      <c r="C1376" s="13"/>
      <c r="D1376" s="13"/>
      <c r="E1376" s="13"/>
    </row>
    <row r="1377" spans="1:5" x14ac:dyDescent="0.25">
      <c r="A1377" s="13"/>
      <c r="B1377" s="13"/>
      <c r="C1377" s="13"/>
      <c r="D1377" s="13"/>
      <c r="E1377" s="13"/>
    </row>
    <row r="1378" spans="1:5" x14ac:dyDescent="0.25">
      <c r="A1378" s="13"/>
      <c r="B1378" s="13"/>
      <c r="C1378" s="13"/>
      <c r="D1378" s="13"/>
      <c r="E1378" s="13"/>
    </row>
    <row r="1379" spans="1:5" x14ac:dyDescent="0.25">
      <c r="A1379" s="13"/>
      <c r="B1379" s="13"/>
      <c r="C1379" s="13"/>
      <c r="D1379" s="13"/>
      <c r="E1379" s="13"/>
    </row>
    <row r="1380" spans="1:5" x14ac:dyDescent="0.25">
      <c r="A1380" s="13"/>
      <c r="B1380" s="13"/>
      <c r="C1380" s="13"/>
      <c r="D1380" s="13"/>
      <c r="E1380" s="13"/>
    </row>
    <row r="1381" spans="1:5" x14ac:dyDescent="0.25">
      <c r="A1381" s="13"/>
      <c r="B1381" s="13"/>
      <c r="C1381" s="13"/>
      <c r="D1381" s="13"/>
      <c r="E1381" s="13"/>
    </row>
    <row r="1382" spans="1:5" x14ac:dyDescent="0.25">
      <c r="A1382" s="13"/>
      <c r="B1382" s="13"/>
      <c r="C1382" s="13"/>
      <c r="D1382" s="13"/>
      <c r="E1382" s="13"/>
    </row>
    <row r="1383" spans="1:5" x14ac:dyDescent="0.25">
      <c r="A1383" s="13"/>
      <c r="B1383" s="13"/>
      <c r="C1383" s="13"/>
      <c r="D1383" s="13"/>
      <c r="E1383" s="13"/>
    </row>
    <row r="1384" spans="1:5" x14ac:dyDescent="0.25">
      <c r="A1384" s="13"/>
      <c r="B1384" s="13"/>
      <c r="C1384" s="13"/>
      <c r="D1384" s="13"/>
      <c r="E1384" s="13"/>
    </row>
    <row r="1385" spans="1:5" x14ac:dyDescent="0.25">
      <c r="A1385" s="13"/>
      <c r="B1385" s="13"/>
      <c r="C1385" s="13"/>
      <c r="D1385" s="13"/>
      <c r="E1385" s="13"/>
    </row>
    <row r="1386" spans="1:5" x14ac:dyDescent="0.25">
      <c r="A1386" s="13"/>
      <c r="B1386" s="13"/>
      <c r="C1386" s="13"/>
      <c r="D1386" s="13"/>
      <c r="E1386" s="13"/>
    </row>
    <row r="1387" spans="1:5" x14ac:dyDescent="0.25">
      <c r="A1387" s="13"/>
      <c r="B1387" s="13"/>
      <c r="C1387" s="13"/>
      <c r="D1387" s="13"/>
      <c r="E1387" s="13"/>
    </row>
    <row r="1388" spans="1:5" x14ac:dyDescent="0.25">
      <c r="A1388" s="13"/>
      <c r="B1388" s="13"/>
      <c r="C1388" s="13"/>
      <c r="D1388" s="13"/>
      <c r="E1388" s="13"/>
    </row>
    <row r="1389" spans="1:5" x14ac:dyDescent="0.25">
      <c r="A1389" s="13"/>
      <c r="B1389" s="13"/>
      <c r="C1389" s="13"/>
      <c r="D1389" s="13"/>
      <c r="E1389" s="13"/>
    </row>
    <row r="1390" spans="1:5" x14ac:dyDescent="0.25">
      <c r="A1390" s="13"/>
      <c r="B1390" s="13"/>
      <c r="C1390" s="13"/>
      <c r="D1390" s="13"/>
      <c r="E1390" s="13"/>
    </row>
    <row r="1391" spans="1:5" x14ac:dyDescent="0.25">
      <c r="A1391" s="13"/>
      <c r="B1391" s="13"/>
      <c r="C1391" s="13"/>
      <c r="D1391" s="13"/>
      <c r="E1391" s="13"/>
    </row>
    <row r="1392" spans="1:5" x14ac:dyDescent="0.25">
      <c r="A1392" s="13"/>
      <c r="B1392" s="13"/>
      <c r="C1392" s="13"/>
      <c r="D1392" s="13"/>
      <c r="E1392" s="13"/>
    </row>
    <row r="1393" spans="1:5" x14ac:dyDescent="0.25">
      <c r="A1393" s="13"/>
      <c r="B1393" s="13"/>
      <c r="C1393" s="13"/>
      <c r="D1393" s="13"/>
      <c r="E1393" s="13"/>
    </row>
    <row r="1394" spans="1:5" x14ac:dyDescent="0.25">
      <c r="A1394" s="13"/>
      <c r="B1394" s="13"/>
      <c r="C1394" s="13"/>
      <c r="D1394" s="13"/>
      <c r="E1394" s="13"/>
    </row>
    <row r="1395" spans="1:5" x14ac:dyDescent="0.25">
      <c r="A1395" s="13"/>
      <c r="B1395" s="13"/>
      <c r="C1395" s="13"/>
      <c r="D1395" s="13"/>
      <c r="E1395" s="13"/>
    </row>
    <row r="1396" spans="1:5" x14ac:dyDescent="0.25">
      <c r="A1396" s="13"/>
      <c r="B1396" s="13"/>
      <c r="C1396" s="13"/>
      <c r="D1396" s="13"/>
      <c r="E1396" s="13"/>
    </row>
    <row r="1397" spans="1:5" x14ac:dyDescent="0.25">
      <c r="A1397" s="13"/>
      <c r="B1397" s="13"/>
      <c r="C1397" s="13"/>
      <c r="D1397" s="13"/>
      <c r="E1397" s="13"/>
    </row>
    <row r="1398" spans="1:5" x14ac:dyDescent="0.25">
      <c r="A1398" s="13"/>
      <c r="B1398" s="13"/>
      <c r="C1398" s="13"/>
      <c r="D1398" s="13"/>
      <c r="E1398" s="13"/>
    </row>
    <row r="1399" spans="1:5" x14ac:dyDescent="0.25">
      <c r="A1399" s="13"/>
      <c r="B1399" s="13"/>
      <c r="C1399" s="13"/>
      <c r="D1399" s="13"/>
      <c r="E1399" s="13"/>
    </row>
    <row r="1400" spans="1:5" x14ac:dyDescent="0.25">
      <c r="A1400" s="13"/>
      <c r="B1400" s="13"/>
      <c r="C1400" s="13"/>
      <c r="D1400" s="13"/>
      <c r="E1400" s="13"/>
    </row>
    <row r="1401" spans="1:5" x14ac:dyDescent="0.25">
      <c r="A1401" s="13"/>
      <c r="B1401" s="13"/>
      <c r="C1401" s="13"/>
      <c r="D1401" s="13"/>
      <c r="E1401" s="13"/>
    </row>
    <row r="1402" spans="1:5" x14ac:dyDescent="0.25">
      <c r="A1402" s="13"/>
      <c r="B1402" s="13"/>
      <c r="C1402" s="13"/>
      <c r="D1402" s="13"/>
      <c r="E1402" s="13"/>
    </row>
    <row r="1403" spans="1:5" x14ac:dyDescent="0.25">
      <c r="A1403" s="13"/>
      <c r="B1403" s="13"/>
      <c r="C1403" s="13"/>
      <c r="D1403" s="13"/>
      <c r="E1403" s="13"/>
    </row>
    <row r="1404" spans="1:5" x14ac:dyDescent="0.25">
      <c r="A1404" s="13"/>
      <c r="B1404" s="13"/>
      <c r="C1404" s="13"/>
      <c r="D1404" s="13"/>
      <c r="E1404" s="13"/>
    </row>
    <row r="1405" spans="1:5" x14ac:dyDescent="0.25">
      <c r="A1405" s="13"/>
      <c r="B1405" s="13"/>
      <c r="C1405" s="13"/>
      <c r="D1405" s="13"/>
      <c r="E1405" s="13"/>
    </row>
    <row r="1406" spans="1:5" x14ac:dyDescent="0.25">
      <c r="A1406" s="13"/>
      <c r="B1406" s="13"/>
      <c r="C1406" s="13"/>
      <c r="D1406" s="13"/>
      <c r="E1406" s="13"/>
    </row>
    <row r="1407" spans="1:5" x14ac:dyDescent="0.25">
      <c r="A1407" s="13"/>
      <c r="B1407" s="13"/>
      <c r="C1407" s="13"/>
      <c r="D1407" s="13"/>
      <c r="E1407" s="13"/>
    </row>
    <row r="1408" spans="1:5" x14ac:dyDescent="0.25">
      <c r="A1408" s="13"/>
      <c r="B1408" s="13"/>
      <c r="C1408" s="13"/>
      <c r="D1408" s="13"/>
      <c r="E1408" s="13"/>
    </row>
    <row r="1409" spans="1:5" x14ac:dyDescent="0.25">
      <c r="A1409" s="13"/>
      <c r="B1409" s="13"/>
      <c r="C1409" s="13"/>
      <c r="D1409" s="13"/>
      <c r="E1409" s="13"/>
    </row>
    <row r="1410" spans="1:5" x14ac:dyDescent="0.25">
      <c r="A1410" s="13"/>
      <c r="B1410" s="13"/>
      <c r="C1410" s="13"/>
      <c r="D1410" s="13"/>
      <c r="E1410" s="13"/>
    </row>
    <row r="1411" spans="1:5" x14ac:dyDescent="0.25">
      <c r="A1411" s="13"/>
      <c r="B1411" s="13"/>
      <c r="C1411" s="13"/>
      <c r="D1411" s="13"/>
      <c r="E1411" s="13"/>
    </row>
    <row r="1412" spans="1:5" x14ac:dyDescent="0.25">
      <c r="A1412" s="13"/>
      <c r="B1412" s="13"/>
      <c r="C1412" s="13"/>
      <c r="D1412" s="13"/>
      <c r="E1412" s="13"/>
    </row>
    <row r="1413" spans="1:5" x14ac:dyDescent="0.25">
      <c r="A1413" s="13"/>
      <c r="B1413" s="13"/>
      <c r="C1413" s="13"/>
      <c r="D1413" s="13"/>
      <c r="E1413" s="13"/>
    </row>
    <row r="1414" spans="1:5" x14ac:dyDescent="0.25">
      <c r="A1414" s="13"/>
      <c r="B1414" s="13"/>
      <c r="C1414" s="13"/>
      <c r="D1414" s="13"/>
      <c r="E1414" s="13"/>
    </row>
    <row r="1415" spans="1:5" x14ac:dyDescent="0.25">
      <c r="A1415" s="13"/>
      <c r="B1415" s="13"/>
      <c r="C1415" s="13"/>
      <c r="D1415" s="13"/>
      <c r="E1415" s="13"/>
    </row>
    <row r="1416" spans="1:5" x14ac:dyDescent="0.25">
      <c r="A1416" s="13"/>
      <c r="B1416" s="13"/>
      <c r="C1416" s="13"/>
      <c r="D1416" s="13"/>
      <c r="E1416" s="13"/>
    </row>
    <row r="1417" spans="1:5" x14ac:dyDescent="0.25">
      <c r="A1417" s="13"/>
      <c r="B1417" s="13"/>
      <c r="C1417" s="13"/>
      <c r="D1417" s="13"/>
      <c r="E1417" s="13"/>
    </row>
    <row r="1418" spans="1:5" x14ac:dyDescent="0.25">
      <c r="A1418" s="13"/>
      <c r="B1418" s="13"/>
      <c r="C1418" s="13"/>
      <c r="D1418" s="13"/>
      <c r="E1418" s="13"/>
    </row>
    <row r="1419" spans="1:5" x14ac:dyDescent="0.25">
      <c r="A1419" s="13"/>
      <c r="B1419" s="13"/>
      <c r="C1419" s="13"/>
      <c r="D1419" s="13"/>
      <c r="E1419" s="13"/>
    </row>
    <row r="1420" spans="1:5" x14ac:dyDescent="0.25">
      <c r="A1420" s="13"/>
      <c r="B1420" s="13"/>
      <c r="C1420" s="13"/>
      <c r="D1420" s="13"/>
      <c r="E1420" s="13"/>
    </row>
    <row r="1421" spans="1:5" x14ac:dyDescent="0.25">
      <c r="A1421" s="13"/>
      <c r="B1421" s="13"/>
      <c r="C1421" s="13"/>
      <c r="D1421" s="13"/>
      <c r="E1421" s="13"/>
    </row>
    <row r="1422" spans="1:5" x14ac:dyDescent="0.25">
      <c r="A1422" s="13"/>
      <c r="B1422" s="13"/>
      <c r="C1422" s="13"/>
      <c r="D1422" s="13"/>
      <c r="E1422" s="13"/>
    </row>
    <row r="1423" spans="1:5" x14ac:dyDescent="0.25">
      <c r="A1423" s="13"/>
      <c r="B1423" s="13"/>
      <c r="C1423" s="13"/>
      <c r="D1423" s="13"/>
      <c r="E1423" s="13"/>
    </row>
    <row r="1424" spans="1:5" x14ac:dyDescent="0.25">
      <c r="A1424" s="13"/>
      <c r="B1424" s="13"/>
      <c r="C1424" s="13"/>
      <c r="D1424" s="13"/>
      <c r="E1424" s="13"/>
    </row>
    <row r="1425" spans="1:5" x14ac:dyDescent="0.25">
      <c r="A1425" s="13"/>
      <c r="B1425" s="13"/>
      <c r="C1425" s="13"/>
      <c r="D1425" s="13"/>
      <c r="E1425" s="13"/>
    </row>
    <row r="1426" spans="1:5" x14ac:dyDescent="0.25">
      <c r="A1426" s="13"/>
      <c r="B1426" s="13"/>
      <c r="C1426" s="13"/>
      <c r="D1426" s="13"/>
      <c r="E1426" s="13"/>
    </row>
    <row r="1427" spans="1:5" x14ac:dyDescent="0.25">
      <c r="A1427" s="13"/>
      <c r="B1427" s="13"/>
      <c r="C1427" s="13"/>
      <c r="D1427" s="13"/>
      <c r="E1427" s="13"/>
    </row>
    <row r="1428" spans="1:5" x14ac:dyDescent="0.25">
      <c r="A1428" s="13"/>
      <c r="B1428" s="13"/>
      <c r="C1428" s="13"/>
      <c r="D1428" s="13"/>
      <c r="E1428" s="13"/>
    </row>
    <row r="1429" spans="1:5" x14ac:dyDescent="0.25">
      <c r="A1429" s="13"/>
      <c r="B1429" s="13"/>
      <c r="C1429" s="13"/>
      <c r="D1429" s="13"/>
      <c r="E1429" s="13"/>
    </row>
    <row r="1430" spans="1:5" x14ac:dyDescent="0.25">
      <c r="A1430" s="13"/>
      <c r="B1430" s="13"/>
      <c r="C1430" s="13"/>
      <c r="D1430" s="13"/>
      <c r="E1430" s="13"/>
    </row>
    <row r="1431" spans="1:5" x14ac:dyDescent="0.25">
      <c r="A1431" s="13"/>
      <c r="B1431" s="13"/>
      <c r="C1431" s="13"/>
      <c r="D1431" s="13"/>
      <c r="E1431" s="13"/>
    </row>
    <row r="1432" spans="1:5" x14ac:dyDescent="0.25">
      <c r="A1432" s="13"/>
      <c r="B1432" s="13"/>
      <c r="C1432" s="13"/>
      <c r="D1432" s="13"/>
      <c r="E1432" s="13"/>
    </row>
    <row r="1433" spans="1:5" x14ac:dyDescent="0.25">
      <c r="A1433" s="13"/>
      <c r="B1433" s="13"/>
      <c r="C1433" s="13"/>
      <c r="D1433" s="13"/>
      <c r="E1433" s="13"/>
    </row>
    <row r="1434" spans="1:5" x14ac:dyDescent="0.25">
      <c r="A1434" s="13"/>
      <c r="B1434" s="13"/>
      <c r="C1434" s="13"/>
      <c r="D1434" s="13"/>
      <c r="E1434" s="13"/>
    </row>
    <row r="1435" spans="1:5" x14ac:dyDescent="0.25">
      <c r="A1435" s="13"/>
      <c r="B1435" s="13"/>
      <c r="C1435" s="13"/>
      <c r="D1435" s="13"/>
      <c r="E1435" s="13"/>
    </row>
    <row r="1436" spans="1:5" x14ac:dyDescent="0.25">
      <c r="A1436" s="13"/>
      <c r="B1436" s="13"/>
      <c r="C1436" s="13"/>
      <c r="D1436" s="13"/>
      <c r="E1436" s="13"/>
    </row>
    <row r="1437" spans="1:5" x14ac:dyDescent="0.25">
      <c r="A1437" s="13"/>
      <c r="B1437" s="13"/>
      <c r="C1437" s="13"/>
      <c r="D1437" s="13"/>
      <c r="E1437" s="13"/>
    </row>
    <row r="1438" spans="1:5" x14ac:dyDescent="0.25">
      <c r="A1438" s="13"/>
      <c r="B1438" s="13"/>
      <c r="C1438" s="13"/>
      <c r="D1438" s="13"/>
      <c r="E1438" s="13"/>
    </row>
    <row r="1439" spans="1:5" x14ac:dyDescent="0.25">
      <c r="A1439" s="13"/>
      <c r="B1439" s="13"/>
      <c r="C1439" s="13"/>
      <c r="D1439" s="13"/>
      <c r="E1439" s="13"/>
    </row>
    <row r="1440" spans="1:5" x14ac:dyDescent="0.25">
      <c r="A1440" s="13"/>
      <c r="B1440" s="13"/>
      <c r="C1440" s="13"/>
      <c r="D1440" s="13"/>
      <c r="E1440" s="13"/>
    </row>
    <row r="1441" spans="1:5" x14ac:dyDescent="0.25">
      <c r="A1441" s="13"/>
      <c r="B1441" s="13"/>
      <c r="C1441" s="13"/>
      <c r="D1441" s="13"/>
      <c r="E1441" s="13"/>
    </row>
    <row r="1442" spans="1:5" x14ac:dyDescent="0.25">
      <c r="A1442" s="13"/>
      <c r="B1442" s="13"/>
      <c r="C1442" s="13"/>
      <c r="D1442" s="13"/>
      <c r="E1442" s="13"/>
    </row>
    <row r="1443" spans="1:5" x14ac:dyDescent="0.25">
      <c r="A1443" s="13"/>
      <c r="B1443" s="13"/>
      <c r="C1443" s="13"/>
      <c r="D1443" s="13"/>
      <c r="E1443" s="13"/>
    </row>
    <row r="1444" spans="1:5" x14ac:dyDescent="0.25">
      <c r="A1444" s="13"/>
      <c r="B1444" s="13"/>
      <c r="C1444" s="13"/>
      <c r="D1444" s="13"/>
      <c r="E1444" s="13"/>
    </row>
    <row r="1445" spans="1:5" x14ac:dyDescent="0.25">
      <c r="A1445" s="13"/>
      <c r="B1445" s="13"/>
      <c r="C1445" s="13"/>
      <c r="D1445" s="13"/>
      <c r="E1445" s="13"/>
    </row>
    <row r="1446" spans="1:5" x14ac:dyDescent="0.25">
      <c r="A1446" s="13"/>
      <c r="B1446" s="13"/>
      <c r="C1446" s="13"/>
      <c r="D1446" s="13"/>
      <c r="E1446" s="13"/>
    </row>
    <row r="1447" spans="1:5" x14ac:dyDescent="0.25">
      <c r="A1447" s="13"/>
      <c r="B1447" s="13"/>
      <c r="C1447" s="13"/>
      <c r="D1447" s="13"/>
      <c r="E1447" s="13"/>
    </row>
    <row r="1448" spans="1:5" x14ac:dyDescent="0.25">
      <c r="A1448" s="13"/>
      <c r="B1448" s="13"/>
      <c r="C1448" s="13"/>
      <c r="D1448" s="13"/>
      <c r="E1448" s="13"/>
    </row>
    <row r="1449" spans="1:5" x14ac:dyDescent="0.25">
      <c r="A1449" s="13"/>
      <c r="B1449" s="13"/>
      <c r="C1449" s="13"/>
      <c r="D1449" s="13"/>
      <c r="E1449" s="13"/>
    </row>
    <row r="1450" spans="1:5" x14ac:dyDescent="0.25">
      <c r="A1450" s="13"/>
      <c r="B1450" s="13"/>
      <c r="C1450" s="13"/>
      <c r="D1450" s="13"/>
      <c r="E1450" s="13"/>
    </row>
    <row r="1451" spans="1:5" x14ac:dyDescent="0.25">
      <c r="A1451" s="13"/>
      <c r="B1451" s="13"/>
      <c r="C1451" s="13"/>
      <c r="D1451" s="13"/>
      <c r="E1451" s="13"/>
    </row>
    <row r="1452" spans="1:5" x14ac:dyDescent="0.25">
      <c r="A1452" s="13"/>
      <c r="B1452" s="13"/>
      <c r="C1452" s="13"/>
      <c r="D1452" s="13"/>
      <c r="E1452" s="13"/>
    </row>
    <row r="1453" spans="1:5" x14ac:dyDescent="0.25">
      <c r="A1453" s="13"/>
      <c r="B1453" s="13"/>
      <c r="C1453" s="13"/>
      <c r="D1453" s="13"/>
      <c r="E1453" s="13"/>
    </row>
    <row r="1454" spans="1:5" x14ac:dyDescent="0.25">
      <c r="A1454" s="13"/>
      <c r="B1454" s="13"/>
      <c r="C1454" s="13"/>
      <c r="D1454" s="13"/>
      <c r="E1454" s="13"/>
    </row>
    <row r="1455" spans="1:5" x14ac:dyDescent="0.25">
      <c r="A1455" s="13"/>
      <c r="B1455" s="13"/>
      <c r="C1455" s="13"/>
      <c r="D1455" s="13"/>
      <c r="E1455" s="13"/>
    </row>
    <row r="1456" spans="1:5" x14ac:dyDescent="0.25">
      <c r="A1456" s="13"/>
      <c r="B1456" s="13"/>
      <c r="C1456" s="13"/>
      <c r="D1456" s="13"/>
      <c r="E1456" s="13"/>
    </row>
    <row r="1457" spans="1:5" x14ac:dyDescent="0.25">
      <c r="A1457" s="13"/>
      <c r="B1457" s="13"/>
      <c r="C1457" s="13"/>
      <c r="D1457" s="13"/>
      <c r="E1457" s="13"/>
    </row>
    <row r="1458" spans="1:5" x14ac:dyDescent="0.25">
      <c r="A1458" s="13"/>
      <c r="B1458" s="13"/>
      <c r="C1458" s="13"/>
      <c r="D1458" s="13"/>
      <c r="E1458" s="13"/>
    </row>
    <row r="1459" spans="1:5" x14ac:dyDescent="0.25">
      <c r="A1459" s="13"/>
      <c r="B1459" s="13"/>
      <c r="C1459" s="13"/>
      <c r="D1459" s="13"/>
      <c r="E1459" s="13"/>
    </row>
    <row r="1460" spans="1:5" x14ac:dyDescent="0.25">
      <c r="A1460" s="13"/>
      <c r="B1460" s="13"/>
      <c r="C1460" s="13"/>
      <c r="D1460" s="13"/>
      <c r="E1460" s="13"/>
    </row>
    <row r="1461" spans="1:5" x14ac:dyDescent="0.25">
      <c r="A1461" s="13"/>
      <c r="B1461" s="13"/>
      <c r="C1461" s="13"/>
      <c r="D1461" s="13"/>
      <c r="E1461" s="13"/>
    </row>
    <row r="1462" spans="1:5" x14ac:dyDescent="0.25">
      <c r="A1462" s="13"/>
      <c r="B1462" s="13"/>
      <c r="C1462" s="13"/>
      <c r="D1462" s="13"/>
      <c r="E1462" s="13"/>
    </row>
    <row r="1463" spans="1:5" x14ac:dyDescent="0.25">
      <c r="A1463" s="13"/>
      <c r="B1463" s="13"/>
      <c r="C1463" s="13"/>
      <c r="D1463" s="13"/>
      <c r="E1463" s="13"/>
    </row>
    <row r="1464" spans="1:5" x14ac:dyDescent="0.25">
      <c r="A1464" s="13"/>
      <c r="B1464" s="13"/>
      <c r="C1464" s="13"/>
      <c r="D1464" s="13"/>
      <c r="E1464" s="13"/>
    </row>
    <row r="1465" spans="1:5" x14ac:dyDescent="0.25">
      <c r="A1465" s="13"/>
      <c r="B1465" s="13"/>
      <c r="C1465" s="13"/>
      <c r="D1465" s="13"/>
      <c r="E1465" s="13"/>
    </row>
    <row r="1466" spans="1:5" x14ac:dyDescent="0.25">
      <c r="A1466" s="13"/>
      <c r="B1466" s="13"/>
      <c r="C1466" s="13"/>
      <c r="D1466" s="13"/>
      <c r="E1466" s="13"/>
    </row>
    <row r="1467" spans="1:5" x14ac:dyDescent="0.25">
      <c r="A1467" s="13"/>
      <c r="B1467" s="13"/>
      <c r="C1467" s="13"/>
      <c r="D1467" s="13"/>
      <c r="E1467" s="13"/>
    </row>
    <row r="1468" spans="1:5" x14ac:dyDescent="0.25">
      <c r="A1468" s="13"/>
      <c r="B1468" s="13"/>
      <c r="C1468" s="13"/>
      <c r="D1468" s="13"/>
      <c r="E1468" s="13"/>
    </row>
    <row r="1469" spans="1:5" x14ac:dyDescent="0.25">
      <c r="A1469" s="13"/>
      <c r="B1469" s="13"/>
      <c r="C1469" s="13"/>
      <c r="D1469" s="13"/>
      <c r="E1469" s="13"/>
    </row>
    <row r="1470" spans="1:5" x14ac:dyDescent="0.25">
      <c r="A1470" s="13"/>
      <c r="B1470" s="13"/>
      <c r="C1470" s="13"/>
      <c r="D1470" s="13"/>
      <c r="E1470" s="13"/>
    </row>
    <row r="1471" spans="1:5" x14ac:dyDescent="0.25">
      <c r="A1471" s="13"/>
      <c r="B1471" s="13"/>
      <c r="C1471" s="13"/>
      <c r="D1471" s="13"/>
      <c r="E1471" s="13"/>
    </row>
    <row r="1472" spans="1:5" x14ac:dyDescent="0.25">
      <c r="A1472" s="13"/>
      <c r="B1472" s="13"/>
      <c r="C1472" s="13"/>
      <c r="D1472" s="13"/>
      <c r="E1472" s="13"/>
    </row>
    <row r="1473" spans="1:5" x14ac:dyDescent="0.25">
      <c r="A1473" s="13"/>
      <c r="B1473" s="13"/>
      <c r="C1473" s="13"/>
      <c r="D1473" s="13"/>
      <c r="E1473" s="13"/>
    </row>
    <row r="1474" spans="1:5" x14ac:dyDescent="0.25">
      <c r="A1474" s="13"/>
      <c r="B1474" s="13"/>
      <c r="C1474" s="13"/>
      <c r="D1474" s="13"/>
      <c r="E1474" s="13"/>
    </row>
    <row r="1475" spans="1:5" x14ac:dyDescent="0.25">
      <c r="A1475" s="13"/>
      <c r="B1475" s="13"/>
      <c r="C1475" s="13"/>
      <c r="D1475" s="13"/>
      <c r="E1475" s="13"/>
    </row>
    <row r="1476" spans="1:5" x14ac:dyDescent="0.25">
      <c r="A1476" s="13"/>
      <c r="B1476" s="13"/>
      <c r="C1476" s="13"/>
      <c r="D1476" s="13"/>
      <c r="E1476" s="13"/>
    </row>
    <row r="1477" spans="1:5" x14ac:dyDescent="0.25">
      <c r="A1477" s="13"/>
      <c r="B1477" s="13"/>
      <c r="C1477" s="13"/>
      <c r="D1477" s="13"/>
      <c r="E1477" s="13"/>
    </row>
    <row r="1478" spans="1:5" x14ac:dyDescent="0.25">
      <c r="A1478" s="13"/>
      <c r="B1478" s="13"/>
      <c r="C1478" s="13"/>
      <c r="D1478" s="13"/>
      <c r="E1478" s="13"/>
    </row>
    <row r="1479" spans="1:5" x14ac:dyDescent="0.25">
      <c r="A1479" s="13"/>
      <c r="B1479" s="13"/>
      <c r="C1479" s="13"/>
      <c r="D1479" s="13"/>
      <c r="E1479" s="13"/>
    </row>
    <row r="1480" spans="1:5" x14ac:dyDescent="0.25">
      <c r="A1480" s="13"/>
      <c r="B1480" s="13"/>
      <c r="C1480" s="13"/>
      <c r="D1480" s="13"/>
      <c r="E1480" s="13"/>
    </row>
    <row r="1481" spans="1:5" x14ac:dyDescent="0.25">
      <c r="A1481" s="13"/>
      <c r="B1481" s="13"/>
      <c r="C1481" s="13"/>
      <c r="D1481" s="13"/>
      <c r="E1481" s="13"/>
    </row>
    <row r="1482" spans="1:5" x14ac:dyDescent="0.25">
      <c r="A1482" s="13"/>
      <c r="B1482" s="13"/>
      <c r="C1482" s="13"/>
      <c r="D1482" s="13"/>
      <c r="E1482" s="13"/>
    </row>
    <row r="1483" spans="1:5" x14ac:dyDescent="0.25">
      <c r="A1483" s="13"/>
      <c r="B1483" s="13"/>
      <c r="C1483" s="13"/>
      <c r="D1483" s="13"/>
      <c r="E1483" s="13"/>
    </row>
    <row r="1484" spans="1:5" x14ac:dyDescent="0.25">
      <c r="A1484" s="13"/>
      <c r="B1484" s="13"/>
      <c r="C1484" s="13"/>
      <c r="D1484" s="13"/>
      <c r="E1484" s="13"/>
    </row>
    <row r="1485" spans="1:5" x14ac:dyDescent="0.25">
      <c r="A1485" s="13"/>
      <c r="B1485" s="13"/>
      <c r="C1485" s="13"/>
      <c r="D1485" s="13"/>
      <c r="E1485" s="13"/>
    </row>
    <row r="1486" spans="1:5" x14ac:dyDescent="0.25">
      <c r="A1486" s="13"/>
      <c r="B1486" s="13"/>
      <c r="C1486" s="13"/>
      <c r="D1486" s="13"/>
      <c r="E1486" s="13"/>
    </row>
    <row r="1487" spans="1:5" x14ac:dyDescent="0.25">
      <c r="A1487" s="13"/>
      <c r="B1487" s="13"/>
      <c r="C1487" s="13"/>
      <c r="D1487" s="13"/>
      <c r="E1487" s="13"/>
    </row>
    <row r="1488" spans="1:5" x14ac:dyDescent="0.25">
      <c r="A1488" s="13"/>
      <c r="B1488" s="13"/>
      <c r="C1488" s="13"/>
      <c r="D1488" s="13"/>
      <c r="E1488" s="13"/>
    </row>
    <row r="1489" spans="1:5" x14ac:dyDescent="0.25">
      <c r="A1489" s="13"/>
      <c r="B1489" s="13"/>
      <c r="C1489" s="13"/>
      <c r="D1489" s="13"/>
      <c r="E1489" s="13"/>
    </row>
    <row r="1490" spans="1:5" x14ac:dyDescent="0.25">
      <c r="A1490" s="13"/>
      <c r="B1490" s="13"/>
      <c r="C1490" s="13"/>
      <c r="D1490" s="13"/>
      <c r="E1490" s="13"/>
    </row>
    <row r="1491" spans="1:5" x14ac:dyDescent="0.25">
      <c r="A1491" s="13"/>
      <c r="B1491" s="13"/>
      <c r="C1491" s="13"/>
      <c r="D1491" s="13"/>
      <c r="E1491" s="13"/>
    </row>
    <row r="1492" spans="1:5" x14ac:dyDescent="0.25">
      <c r="A1492" s="13"/>
      <c r="B1492" s="13"/>
      <c r="C1492" s="13"/>
      <c r="D1492" s="13"/>
      <c r="E1492" s="13"/>
    </row>
    <row r="1493" spans="1:5" x14ac:dyDescent="0.25">
      <c r="A1493" s="13"/>
      <c r="B1493" s="13"/>
      <c r="C1493" s="13"/>
      <c r="D1493" s="13"/>
      <c r="E1493" s="13"/>
    </row>
    <row r="1494" spans="1:5" x14ac:dyDescent="0.25">
      <c r="A1494" s="13"/>
      <c r="B1494" s="13"/>
      <c r="C1494" s="13"/>
      <c r="D1494" s="13"/>
      <c r="E1494" s="13"/>
    </row>
    <row r="1495" spans="1:5" x14ac:dyDescent="0.25">
      <c r="A1495" s="13"/>
      <c r="B1495" s="13"/>
      <c r="C1495" s="13"/>
      <c r="D1495" s="13"/>
      <c r="E1495" s="13"/>
    </row>
    <row r="1496" spans="1:5" x14ac:dyDescent="0.25">
      <c r="A1496" s="13"/>
      <c r="B1496" s="13"/>
      <c r="C1496" s="13"/>
      <c r="D1496" s="13"/>
      <c r="E1496" s="13"/>
    </row>
    <row r="1497" spans="1:5" x14ac:dyDescent="0.25">
      <c r="A1497" s="13"/>
      <c r="B1497" s="13"/>
      <c r="C1497" s="13"/>
      <c r="D1497" s="13"/>
      <c r="E1497" s="13"/>
    </row>
    <row r="1498" spans="1:5" x14ac:dyDescent="0.25">
      <c r="A1498" s="13"/>
      <c r="B1498" s="13"/>
      <c r="C1498" s="13"/>
      <c r="D1498" s="13"/>
      <c r="E1498" s="13"/>
    </row>
    <row r="1499" spans="1:5" x14ac:dyDescent="0.25">
      <c r="A1499" s="13"/>
      <c r="B1499" s="13"/>
      <c r="C1499" s="13"/>
      <c r="D1499" s="13"/>
      <c r="E1499" s="13"/>
    </row>
    <row r="1500" spans="1:5" x14ac:dyDescent="0.25">
      <c r="A1500" s="13"/>
      <c r="B1500" s="13"/>
      <c r="C1500" s="13"/>
      <c r="D1500" s="13"/>
      <c r="E1500" s="13"/>
    </row>
    <row r="1501" spans="1:5" x14ac:dyDescent="0.25">
      <c r="A1501" s="13"/>
      <c r="B1501" s="13"/>
      <c r="C1501" s="13"/>
      <c r="D1501" s="13"/>
      <c r="E1501" s="13"/>
    </row>
    <row r="1502" spans="1:5" x14ac:dyDescent="0.25">
      <c r="A1502" s="13"/>
      <c r="B1502" s="13"/>
      <c r="C1502" s="13"/>
      <c r="D1502" s="13"/>
      <c r="E1502" s="13"/>
    </row>
    <row r="1503" spans="1:5" x14ac:dyDescent="0.25">
      <c r="A1503" s="13"/>
      <c r="B1503" s="13"/>
      <c r="C1503" s="13"/>
      <c r="D1503" s="13"/>
      <c r="E1503" s="13"/>
    </row>
    <row r="1504" spans="1:5" x14ac:dyDescent="0.25">
      <c r="A1504" s="13"/>
      <c r="B1504" s="13"/>
      <c r="C1504" s="13"/>
      <c r="D1504" s="13"/>
      <c r="E1504" s="13"/>
    </row>
    <row r="1505" spans="1:5" x14ac:dyDescent="0.25">
      <c r="A1505" s="13"/>
      <c r="B1505" s="13"/>
      <c r="C1505" s="13"/>
      <c r="D1505" s="13"/>
      <c r="E1505" s="13"/>
    </row>
    <row r="1506" spans="1:5" x14ac:dyDescent="0.25">
      <c r="A1506" s="13"/>
      <c r="B1506" s="13"/>
      <c r="C1506" s="13"/>
      <c r="D1506" s="13"/>
      <c r="E1506" s="13"/>
    </row>
    <row r="1507" spans="1:5" x14ac:dyDescent="0.25">
      <c r="A1507" s="13"/>
      <c r="B1507" s="13"/>
      <c r="C1507" s="13"/>
      <c r="D1507" s="13"/>
      <c r="E1507" s="13"/>
    </row>
    <row r="1508" spans="1:5" x14ac:dyDescent="0.25">
      <c r="A1508" s="13"/>
      <c r="B1508" s="13"/>
      <c r="C1508" s="13"/>
      <c r="D1508" s="13"/>
      <c r="E1508" s="13"/>
    </row>
    <row r="1509" spans="1:5" x14ac:dyDescent="0.25">
      <c r="A1509" s="13"/>
      <c r="B1509" s="13"/>
      <c r="C1509" s="13"/>
      <c r="D1509" s="13"/>
      <c r="E1509" s="13"/>
    </row>
    <row r="1510" spans="1:5" x14ac:dyDescent="0.25">
      <c r="A1510" s="13"/>
      <c r="B1510" s="13"/>
      <c r="C1510" s="13"/>
      <c r="D1510" s="13"/>
      <c r="E1510" s="13"/>
    </row>
    <row r="1511" spans="1:5" x14ac:dyDescent="0.25">
      <c r="A1511" s="13"/>
      <c r="B1511" s="13"/>
      <c r="C1511" s="13"/>
      <c r="D1511" s="13"/>
      <c r="E1511" s="13"/>
    </row>
    <row r="1512" spans="1:5" x14ac:dyDescent="0.25">
      <c r="A1512" s="13"/>
      <c r="B1512" s="13"/>
      <c r="C1512" s="13"/>
      <c r="D1512" s="13"/>
      <c r="E1512" s="13"/>
    </row>
    <row r="1513" spans="1:5" x14ac:dyDescent="0.25">
      <c r="A1513" s="13"/>
      <c r="B1513" s="13"/>
      <c r="C1513" s="13"/>
      <c r="D1513" s="13"/>
      <c r="E1513" s="13"/>
    </row>
    <row r="1514" spans="1:5" x14ac:dyDescent="0.25">
      <c r="A1514" s="13"/>
      <c r="B1514" s="13"/>
      <c r="C1514" s="13"/>
      <c r="D1514" s="13"/>
      <c r="E1514" s="13"/>
    </row>
    <row r="1515" spans="1:5" x14ac:dyDescent="0.25">
      <c r="A1515" s="13"/>
      <c r="B1515" s="13"/>
      <c r="C1515" s="13"/>
      <c r="D1515" s="13"/>
      <c r="E1515" s="13"/>
    </row>
    <row r="1516" spans="1:5" x14ac:dyDescent="0.25">
      <c r="A1516" s="13"/>
      <c r="B1516" s="13"/>
      <c r="C1516" s="13"/>
      <c r="D1516" s="13"/>
      <c r="E1516" s="13"/>
    </row>
    <row r="1517" spans="1:5" x14ac:dyDescent="0.25">
      <c r="A1517" s="13"/>
      <c r="B1517" s="13"/>
      <c r="C1517" s="13"/>
      <c r="D1517" s="13"/>
      <c r="E1517" s="13"/>
    </row>
    <row r="1518" spans="1:5" x14ac:dyDescent="0.25">
      <c r="A1518" s="13"/>
      <c r="B1518" s="13"/>
      <c r="C1518" s="13"/>
      <c r="D1518" s="13"/>
      <c r="E1518" s="13"/>
    </row>
    <row r="1519" spans="1:5" x14ac:dyDescent="0.25">
      <c r="A1519" s="13"/>
      <c r="B1519" s="13"/>
      <c r="C1519" s="13"/>
      <c r="D1519" s="13"/>
      <c r="E1519" s="13"/>
    </row>
    <row r="1520" spans="1:5" x14ac:dyDescent="0.25">
      <c r="A1520" s="13"/>
      <c r="B1520" s="13"/>
      <c r="C1520" s="13"/>
      <c r="D1520" s="13"/>
      <c r="E1520" s="13"/>
    </row>
    <row r="1521" spans="1:5" x14ac:dyDescent="0.25">
      <c r="A1521" s="13"/>
      <c r="B1521" s="13"/>
      <c r="C1521" s="13"/>
      <c r="D1521" s="13"/>
      <c r="E1521" s="13"/>
    </row>
    <row r="1522" spans="1:5" x14ac:dyDescent="0.25">
      <c r="A1522" s="13"/>
      <c r="B1522" s="13"/>
      <c r="C1522" s="13"/>
      <c r="D1522" s="13"/>
      <c r="E1522" s="13"/>
    </row>
    <row r="1523" spans="1:5" x14ac:dyDescent="0.25">
      <c r="A1523" s="13"/>
      <c r="B1523" s="13"/>
      <c r="C1523" s="13"/>
      <c r="D1523" s="13"/>
      <c r="E1523" s="13"/>
    </row>
    <row r="1524" spans="1:5" x14ac:dyDescent="0.25">
      <c r="A1524" s="13"/>
      <c r="B1524" s="13"/>
      <c r="C1524" s="13"/>
      <c r="D1524" s="13"/>
      <c r="E1524" s="13"/>
    </row>
    <row r="1525" spans="1:5" x14ac:dyDescent="0.25">
      <c r="A1525" s="13"/>
      <c r="B1525" s="13"/>
      <c r="C1525" s="13"/>
      <c r="D1525" s="13"/>
      <c r="E1525" s="13"/>
    </row>
    <row r="1526" spans="1:5" x14ac:dyDescent="0.25">
      <c r="A1526" s="13"/>
      <c r="B1526" s="13"/>
      <c r="C1526" s="13"/>
      <c r="D1526" s="13"/>
      <c r="E1526" s="13"/>
    </row>
    <row r="1527" spans="1:5" x14ac:dyDescent="0.25">
      <c r="A1527" s="13"/>
      <c r="B1527" s="13"/>
      <c r="C1527" s="13"/>
      <c r="D1527" s="13"/>
      <c r="E1527" s="13"/>
    </row>
    <row r="1528" spans="1:5" x14ac:dyDescent="0.25">
      <c r="A1528" s="13"/>
      <c r="B1528" s="13"/>
      <c r="C1528" s="13"/>
      <c r="D1528" s="13"/>
      <c r="E1528" s="13"/>
    </row>
    <row r="1529" spans="1:5" x14ac:dyDescent="0.25">
      <c r="A1529" s="13"/>
      <c r="B1529" s="13"/>
      <c r="C1529" s="13"/>
      <c r="D1529" s="13"/>
      <c r="E1529" s="13"/>
    </row>
    <row r="1530" spans="1:5" x14ac:dyDescent="0.25">
      <c r="A1530" s="13"/>
      <c r="B1530" s="13"/>
      <c r="C1530" s="13"/>
      <c r="D1530" s="13"/>
      <c r="E1530" s="13"/>
    </row>
    <row r="1531" spans="1:5" x14ac:dyDescent="0.25">
      <c r="A1531" s="13"/>
      <c r="B1531" s="13"/>
      <c r="C1531" s="13"/>
      <c r="D1531" s="13"/>
      <c r="E1531" s="13"/>
    </row>
    <row r="1532" spans="1:5" x14ac:dyDescent="0.25">
      <c r="A1532" s="13"/>
      <c r="B1532" s="13"/>
      <c r="C1532" s="13"/>
      <c r="D1532" s="13"/>
      <c r="E1532" s="13"/>
    </row>
    <row r="1533" spans="1:5" x14ac:dyDescent="0.25">
      <c r="A1533" s="13"/>
      <c r="B1533" s="13"/>
      <c r="C1533" s="13"/>
      <c r="D1533" s="13"/>
      <c r="E1533" s="13"/>
    </row>
    <row r="1534" spans="1:5" x14ac:dyDescent="0.25">
      <c r="A1534" s="13"/>
      <c r="B1534" s="13"/>
      <c r="C1534" s="13"/>
      <c r="D1534" s="13"/>
      <c r="E1534" s="13"/>
    </row>
    <row r="1535" spans="1:5" x14ac:dyDescent="0.25">
      <c r="A1535" s="13"/>
      <c r="B1535" s="13"/>
      <c r="C1535" s="13"/>
      <c r="D1535" s="13"/>
      <c r="E1535" s="13"/>
    </row>
    <row r="1536" spans="1:5" x14ac:dyDescent="0.25">
      <c r="A1536" s="13"/>
      <c r="B1536" s="13"/>
      <c r="C1536" s="13"/>
      <c r="D1536" s="13"/>
      <c r="E1536" s="13"/>
    </row>
    <row r="1537" spans="1:5" x14ac:dyDescent="0.25">
      <c r="A1537" s="13"/>
      <c r="B1537" s="13"/>
      <c r="C1537" s="13"/>
      <c r="D1537" s="13"/>
      <c r="E1537" s="13"/>
    </row>
    <row r="1538" spans="1:5" x14ac:dyDescent="0.25">
      <c r="A1538" s="13"/>
      <c r="B1538" s="13"/>
      <c r="C1538" s="13"/>
      <c r="D1538" s="13"/>
      <c r="E1538" s="13"/>
    </row>
    <row r="1539" spans="1:5" x14ac:dyDescent="0.25">
      <c r="A1539" s="13"/>
      <c r="B1539" s="13"/>
      <c r="C1539" s="13"/>
      <c r="D1539" s="13"/>
      <c r="E1539" s="13"/>
    </row>
    <row r="1540" spans="1:5" x14ac:dyDescent="0.25">
      <c r="A1540" s="13"/>
      <c r="B1540" s="13"/>
      <c r="C1540" s="13"/>
      <c r="D1540" s="13"/>
      <c r="E1540" s="13"/>
    </row>
    <row r="1541" spans="1:5" x14ac:dyDescent="0.25">
      <c r="A1541" s="13"/>
      <c r="B1541" s="13"/>
      <c r="C1541" s="13"/>
      <c r="D1541" s="13"/>
      <c r="E1541" s="13"/>
    </row>
    <row r="1542" spans="1:5" x14ac:dyDescent="0.25">
      <c r="A1542" s="13"/>
      <c r="B1542" s="13"/>
      <c r="C1542" s="13"/>
      <c r="D1542" s="13"/>
      <c r="E1542" s="13"/>
    </row>
    <row r="1543" spans="1:5" x14ac:dyDescent="0.25">
      <c r="A1543" s="13"/>
      <c r="B1543" s="13"/>
      <c r="C1543" s="13"/>
      <c r="D1543" s="13"/>
      <c r="E1543" s="13"/>
    </row>
    <row r="1544" spans="1:5" x14ac:dyDescent="0.25">
      <c r="A1544" s="13"/>
      <c r="B1544" s="13"/>
      <c r="C1544" s="13"/>
      <c r="D1544" s="13"/>
      <c r="E1544" s="13"/>
    </row>
    <row r="1545" spans="1:5" x14ac:dyDescent="0.25">
      <c r="A1545" s="13"/>
      <c r="B1545" s="13"/>
      <c r="C1545" s="13"/>
      <c r="D1545" s="13"/>
      <c r="E1545" s="13"/>
    </row>
    <row r="1546" spans="1:5" x14ac:dyDescent="0.25">
      <c r="A1546" s="13"/>
      <c r="B1546" s="13"/>
      <c r="C1546" s="13"/>
      <c r="D1546" s="13"/>
      <c r="E1546" s="13"/>
    </row>
    <row r="1547" spans="1:5" x14ac:dyDescent="0.25">
      <c r="A1547" s="13"/>
      <c r="B1547" s="13"/>
      <c r="C1547" s="13"/>
      <c r="D1547" s="13"/>
      <c r="E1547" s="13"/>
    </row>
    <row r="1548" spans="1:5" x14ac:dyDescent="0.25">
      <c r="A1548" s="13"/>
      <c r="B1548" s="13"/>
      <c r="C1548" s="13"/>
      <c r="D1548" s="13"/>
      <c r="E1548" s="13"/>
    </row>
    <row r="1549" spans="1:5" x14ac:dyDescent="0.25">
      <c r="A1549" s="13"/>
      <c r="B1549" s="13"/>
      <c r="C1549" s="13"/>
      <c r="D1549" s="13"/>
      <c r="E1549" s="13"/>
    </row>
    <row r="1550" spans="1:5" x14ac:dyDescent="0.25">
      <c r="A1550" s="13"/>
      <c r="B1550" s="13"/>
      <c r="C1550" s="13"/>
      <c r="D1550" s="13"/>
      <c r="E1550" s="13"/>
    </row>
    <row r="1551" spans="1:5" x14ac:dyDescent="0.25">
      <c r="A1551" s="13"/>
      <c r="B1551" s="13"/>
      <c r="C1551" s="13"/>
      <c r="D1551" s="13"/>
      <c r="E1551" s="13"/>
    </row>
    <row r="1552" spans="1:5" x14ac:dyDescent="0.25">
      <c r="A1552" s="13"/>
      <c r="B1552" s="13"/>
      <c r="C1552" s="13"/>
      <c r="D1552" s="13"/>
      <c r="E1552" s="13"/>
    </row>
    <row r="1553" spans="1:5" x14ac:dyDescent="0.25">
      <c r="A1553" s="13"/>
      <c r="B1553" s="13"/>
      <c r="C1553" s="13"/>
      <c r="D1553" s="13"/>
      <c r="E1553" s="13"/>
    </row>
    <row r="1554" spans="1:5" x14ac:dyDescent="0.25">
      <c r="A1554" s="13"/>
      <c r="B1554" s="13"/>
      <c r="C1554" s="13"/>
      <c r="D1554" s="13"/>
      <c r="E1554" s="13"/>
    </row>
    <row r="1555" spans="1:5" x14ac:dyDescent="0.25">
      <c r="A1555" s="13"/>
      <c r="B1555" s="13"/>
      <c r="C1555" s="13"/>
      <c r="D1555" s="13"/>
      <c r="E1555" s="13"/>
    </row>
    <row r="1556" spans="1:5" x14ac:dyDescent="0.25">
      <c r="A1556" s="13"/>
      <c r="B1556" s="13"/>
      <c r="C1556" s="13"/>
      <c r="D1556" s="13"/>
      <c r="E1556" s="13"/>
    </row>
    <row r="1557" spans="1:5" x14ac:dyDescent="0.25">
      <c r="A1557" s="13"/>
      <c r="B1557" s="13"/>
      <c r="C1557" s="13"/>
      <c r="D1557" s="13"/>
      <c r="E1557" s="13"/>
    </row>
    <row r="1558" spans="1:5" x14ac:dyDescent="0.25">
      <c r="A1558" s="13"/>
      <c r="B1558" s="13"/>
      <c r="C1558" s="13"/>
      <c r="D1558" s="13"/>
      <c r="E1558" s="13"/>
    </row>
    <row r="1559" spans="1:5" x14ac:dyDescent="0.25">
      <c r="A1559" s="13"/>
      <c r="B1559" s="13"/>
      <c r="C1559" s="13"/>
      <c r="D1559" s="13"/>
      <c r="E1559" s="13"/>
    </row>
    <row r="1560" spans="1:5" x14ac:dyDescent="0.25">
      <c r="A1560" s="13"/>
      <c r="B1560" s="13"/>
      <c r="C1560" s="13"/>
      <c r="D1560" s="13"/>
      <c r="E1560" s="13"/>
    </row>
    <row r="1561" spans="1:5" x14ac:dyDescent="0.25">
      <c r="A1561" s="13"/>
      <c r="B1561" s="13"/>
      <c r="C1561" s="13"/>
      <c r="D1561" s="13"/>
      <c r="E1561" s="13"/>
    </row>
    <row r="1562" spans="1:5" x14ac:dyDescent="0.25">
      <c r="A1562" s="13"/>
      <c r="B1562" s="13"/>
      <c r="C1562" s="13"/>
      <c r="D1562" s="13"/>
      <c r="E1562" s="13"/>
    </row>
    <row r="1563" spans="1:5" x14ac:dyDescent="0.25">
      <c r="A1563" s="13"/>
      <c r="B1563" s="13"/>
      <c r="C1563" s="13"/>
      <c r="D1563" s="13"/>
      <c r="E1563" s="13"/>
    </row>
    <row r="1564" spans="1:5" x14ac:dyDescent="0.25">
      <c r="A1564" s="13"/>
      <c r="B1564" s="13"/>
      <c r="C1564" s="13"/>
      <c r="D1564" s="13"/>
      <c r="E1564" s="13"/>
    </row>
    <row r="1565" spans="1:5" x14ac:dyDescent="0.25">
      <c r="A1565" s="13"/>
      <c r="B1565" s="13"/>
      <c r="C1565" s="13"/>
      <c r="D1565" s="13"/>
      <c r="E1565" s="13"/>
    </row>
    <row r="1566" spans="1:5" x14ac:dyDescent="0.25">
      <c r="A1566" s="13"/>
      <c r="B1566" s="13"/>
      <c r="C1566" s="13"/>
      <c r="D1566" s="13"/>
      <c r="E1566" s="13"/>
    </row>
    <row r="1567" spans="1:5" x14ac:dyDescent="0.25">
      <c r="A1567" s="13"/>
      <c r="B1567" s="13"/>
      <c r="C1567" s="13"/>
      <c r="D1567" s="13"/>
      <c r="E1567" s="13"/>
    </row>
    <row r="1568" spans="1:5" x14ac:dyDescent="0.25">
      <c r="A1568" s="13"/>
      <c r="B1568" s="13"/>
      <c r="C1568" s="13"/>
      <c r="D1568" s="13"/>
      <c r="E1568" s="13"/>
    </row>
    <row r="1569" spans="1:5" x14ac:dyDescent="0.25">
      <c r="A1569" s="13"/>
      <c r="B1569" s="13"/>
      <c r="C1569" s="13"/>
      <c r="D1569" s="13"/>
      <c r="E1569" s="13"/>
    </row>
    <row r="1570" spans="1:5" x14ac:dyDescent="0.25">
      <c r="A1570" s="13"/>
      <c r="B1570" s="13"/>
      <c r="C1570" s="13"/>
      <c r="D1570" s="13"/>
      <c r="E1570" s="13"/>
    </row>
    <row r="1571" spans="1:5" x14ac:dyDescent="0.25">
      <c r="A1571" s="13"/>
      <c r="B1571" s="13"/>
      <c r="C1571" s="13"/>
      <c r="D1571" s="13"/>
      <c r="E1571" s="13"/>
    </row>
    <row r="1572" spans="1:5" x14ac:dyDescent="0.25">
      <c r="A1572" s="13"/>
      <c r="B1572" s="13"/>
      <c r="C1572" s="13"/>
      <c r="D1572" s="13"/>
      <c r="E1572" s="13"/>
    </row>
    <row r="1573" spans="1:5" x14ac:dyDescent="0.25">
      <c r="A1573" s="13"/>
      <c r="B1573" s="13"/>
      <c r="C1573" s="13"/>
      <c r="D1573" s="13"/>
      <c r="E1573" s="13"/>
    </row>
    <row r="1574" spans="1:5" x14ac:dyDescent="0.25">
      <c r="A1574" s="13"/>
      <c r="B1574" s="13"/>
      <c r="C1574" s="13"/>
      <c r="D1574" s="13"/>
      <c r="E1574" s="13"/>
    </row>
    <row r="1575" spans="1:5" x14ac:dyDescent="0.25">
      <c r="A1575" s="13"/>
      <c r="B1575" s="13"/>
      <c r="C1575" s="13"/>
      <c r="D1575" s="13"/>
      <c r="E1575" s="13"/>
    </row>
    <row r="1576" spans="1:5" x14ac:dyDescent="0.25">
      <c r="A1576" s="13"/>
      <c r="B1576" s="13"/>
      <c r="C1576" s="13"/>
      <c r="D1576" s="13"/>
      <c r="E1576" s="13"/>
    </row>
    <row r="1577" spans="1:5" x14ac:dyDescent="0.25">
      <c r="A1577" s="13"/>
      <c r="B1577" s="13"/>
      <c r="C1577" s="13"/>
      <c r="D1577" s="13"/>
      <c r="E1577" s="13"/>
    </row>
    <row r="1578" spans="1:5" x14ac:dyDescent="0.25">
      <c r="A1578" s="13"/>
      <c r="B1578" s="13"/>
      <c r="C1578" s="13"/>
      <c r="D1578" s="13"/>
      <c r="E1578" s="13"/>
    </row>
    <row r="1579" spans="1:5" x14ac:dyDescent="0.25">
      <c r="A1579" s="13"/>
      <c r="B1579" s="13"/>
      <c r="C1579" s="13"/>
      <c r="D1579" s="13"/>
      <c r="E1579" s="13"/>
    </row>
    <row r="1580" spans="1:5" x14ac:dyDescent="0.25">
      <c r="A1580" s="13"/>
      <c r="B1580" s="13"/>
      <c r="C1580" s="13"/>
      <c r="D1580" s="13"/>
      <c r="E1580" s="13"/>
    </row>
    <row r="1581" spans="1:5" x14ac:dyDescent="0.25">
      <c r="A1581" s="13"/>
      <c r="B1581" s="13"/>
      <c r="C1581" s="13"/>
      <c r="D1581" s="13"/>
      <c r="E1581" s="13"/>
    </row>
    <row r="1582" spans="1:5" x14ac:dyDescent="0.25">
      <c r="A1582" s="13"/>
      <c r="B1582" s="13"/>
      <c r="C1582" s="13"/>
      <c r="D1582" s="13"/>
      <c r="E1582" s="13"/>
    </row>
    <row r="1583" spans="1:5" x14ac:dyDescent="0.25">
      <c r="A1583" s="13"/>
      <c r="B1583" s="13"/>
      <c r="C1583" s="13"/>
      <c r="D1583" s="13"/>
      <c r="E1583" s="13"/>
    </row>
    <row r="1584" spans="1:5" x14ac:dyDescent="0.25">
      <c r="A1584" s="13"/>
      <c r="B1584" s="13"/>
      <c r="C1584" s="13"/>
      <c r="D1584" s="13"/>
      <c r="E1584" s="13"/>
    </row>
    <row r="1585" spans="1:5" x14ac:dyDescent="0.25">
      <c r="A1585" s="13"/>
      <c r="B1585" s="13"/>
      <c r="C1585" s="13"/>
      <c r="D1585" s="13"/>
      <c r="E1585" s="13"/>
    </row>
    <row r="1586" spans="1:5" x14ac:dyDescent="0.25">
      <c r="A1586" s="13"/>
      <c r="B1586" s="13"/>
      <c r="C1586" s="13"/>
      <c r="D1586" s="13"/>
      <c r="E1586" s="13"/>
    </row>
    <row r="1587" spans="1:5" x14ac:dyDescent="0.25">
      <c r="A1587" s="13"/>
      <c r="B1587" s="13"/>
      <c r="C1587" s="13"/>
      <c r="D1587" s="13"/>
      <c r="E1587" s="13"/>
    </row>
    <row r="1588" spans="1:5" x14ac:dyDescent="0.25">
      <c r="A1588" s="13"/>
      <c r="B1588" s="13"/>
      <c r="C1588" s="13"/>
      <c r="D1588" s="13"/>
      <c r="E1588" s="13"/>
    </row>
    <row r="1589" spans="1:5" x14ac:dyDescent="0.25">
      <c r="A1589" s="13"/>
      <c r="B1589" s="13"/>
      <c r="C1589" s="13"/>
      <c r="D1589" s="13"/>
      <c r="E1589" s="13"/>
    </row>
    <row r="1590" spans="1:5" x14ac:dyDescent="0.25">
      <c r="A1590" s="13"/>
      <c r="B1590" s="13"/>
      <c r="C1590" s="13"/>
      <c r="D1590" s="13"/>
      <c r="E1590" s="13"/>
    </row>
    <row r="1591" spans="1:5" x14ac:dyDescent="0.25">
      <c r="A1591" s="13"/>
      <c r="B1591" s="13"/>
      <c r="C1591" s="13"/>
      <c r="D1591" s="13"/>
      <c r="E1591" s="13"/>
    </row>
    <row r="1592" spans="1:5" x14ac:dyDescent="0.25">
      <c r="A1592" s="13"/>
      <c r="B1592" s="13"/>
      <c r="C1592" s="13"/>
      <c r="D1592" s="13"/>
      <c r="E1592" s="13"/>
    </row>
    <row r="1593" spans="1:5" x14ac:dyDescent="0.25">
      <c r="A1593" s="13"/>
      <c r="B1593" s="13"/>
      <c r="C1593" s="13"/>
      <c r="D1593" s="13"/>
      <c r="E1593" s="13"/>
    </row>
    <row r="1594" spans="1:5" x14ac:dyDescent="0.25">
      <c r="A1594" s="13"/>
      <c r="B1594" s="13"/>
      <c r="C1594" s="13"/>
      <c r="D1594" s="13"/>
      <c r="E1594" s="13"/>
    </row>
    <row r="1595" spans="1:5" x14ac:dyDescent="0.25">
      <c r="A1595" s="13"/>
      <c r="B1595" s="13"/>
      <c r="C1595" s="13"/>
      <c r="D1595" s="13"/>
      <c r="E1595" s="13"/>
    </row>
    <row r="1596" spans="1:5" x14ac:dyDescent="0.25">
      <c r="A1596" s="13"/>
      <c r="B1596" s="13"/>
      <c r="C1596" s="13"/>
      <c r="D1596" s="13"/>
      <c r="E1596" s="13"/>
    </row>
    <row r="1597" spans="1:5" x14ac:dyDescent="0.25">
      <c r="A1597" s="13"/>
      <c r="B1597" s="13"/>
      <c r="C1597" s="13"/>
      <c r="D1597" s="13"/>
      <c r="E1597" s="13"/>
    </row>
    <row r="1598" spans="1:5" x14ac:dyDescent="0.25">
      <c r="A1598" s="13"/>
      <c r="B1598" s="13"/>
      <c r="C1598" s="13"/>
      <c r="D1598" s="13"/>
      <c r="E1598" s="13"/>
    </row>
    <row r="1599" spans="1:5" x14ac:dyDescent="0.25">
      <c r="A1599" s="13"/>
      <c r="B1599" s="13"/>
      <c r="C1599" s="13"/>
      <c r="D1599" s="13"/>
      <c r="E1599" s="13"/>
    </row>
    <row r="1600" spans="1:5" x14ac:dyDescent="0.25">
      <c r="A1600" s="13"/>
      <c r="B1600" s="13"/>
      <c r="C1600" s="13"/>
      <c r="D1600" s="13"/>
      <c r="E1600" s="13"/>
    </row>
    <row r="1601" spans="1:5" x14ac:dyDescent="0.25">
      <c r="A1601" s="13"/>
      <c r="B1601" s="13"/>
      <c r="C1601" s="13"/>
      <c r="D1601" s="13"/>
      <c r="E1601" s="13"/>
    </row>
    <row r="1602" spans="1:5" x14ac:dyDescent="0.25">
      <c r="A1602" s="13"/>
      <c r="B1602" s="13"/>
      <c r="C1602" s="13"/>
      <c r="D1602" s="13"/>
      <c r="E1602" s="13"/>
    </row>
    <row r="1603" spans="1:5" x14ac:dyDescent="0.25">
      <c r="A1603" s="13"/>
      <c r="B1603" s="13"/>
      <c r="C1603" s="13"/>
      <c r="D1603" s="13"/>
      <c r="E1603" s="13"/>
    </row>
    <row r="1604" spans="1:5" x14ac:dyDescent="0.25">
      <c r="A1604" s="13"/>
      <c r="B1604" s="13"/>
      <c r="C1604" s="13"/>
      <c r="D1604" s="13"/>
      <c r="E1604" s="13"/>
    </row>
    <row r="1605" spans="1:5" x14ac:dyDescent="0.25">
      <c r="A1605" s="13"/>
      <c r="B1605" s="13"/>
      <c r="C1605" s="13"/>
      <c r="D1605" s="13"/>
      <c r="E1605" s="13"/>
    </row>
    <row r="1606" spans="1:5" x14ac:dyDescent="0.25">
      <c r="A1606" s="13"/>
      <c r="B1606" s="13"/>
      <c r="C1606" s="13"/>
      <c r="D1606" s="13"/>
      <c r="E1606" s="13"/>
    </row>
    <row r="1607" spans="1:5" x14ac:dyDescent="0.25">
      <c r="A1607" s="13"/>
      <c r="B1607" s="13"/>
      <c r="C1607" s="13"/>
      <c r="D1607" s="13"/>
      <c r="E1607" s="13"/>
    </row>
    <row r="1608" spans="1:5" x14ac:dyDescent="0.25">
      <c r="A1608" s="13"/>
      <c r="B1608" s="13"/>
      <c r="C1608" s="13"/>
      <c r="D1608" s="13"/>
      <c r="E1608" s="13"/>
    </row>
    <row r="1609" spans="1:5" x14ac:dyDescent="0.25">
      <c r="A1609" s="13"/>
      <c r="B1609" s="13"/>
      <c r="C1609" s="13"/>
      <c r="D1609" s="13"/>
      <c r="E1609" s="13"/>
    </row>
    <row r="1610" spans="1:5" x14ac:dyDescent="0.25">
      <c r="A1610" s="13"/>
      <c r="B1610" s="13"/>
      <c r="C1610" s="13"/>
      <c r="D1610" s="13"/>
      <c r="E1610" s="13"/>
    </row>
    <row r="1611" spans="1:5" x14ac:dyDescent="0.25">
      <c r="A1611" s="13"/>
      <c r="B1611" s="13"/>
      <c r="C1611" s="13"/>
      <c r="D1611" s="13"/>
      <c r="E1611" s="13"/>
    </row>
    <row r="1612" spans="1:5" x14ac:dyDescent="0.25">
      <c r="A1612" s="13"/>
      <c r="B1612" s="13"/>
      <c r="C1612" s="13"/>
      <c r="D1612" s="13"/>
      <c r="E1612" s="13"/>
    </row>
    <row r="1613" spans="1:5" x14ac:dyDescent="0.25">
      <c r="A1613" s="13"/>
      <c r="B1613" s="13"/>
      <c r="C1613" s="13"/>
      <c r="D1613" s="13"/>
      <c r="E1613" s="13"/>
    </row>
    <row r="1614" spans="1:5" x14ac:dyDescent="0.25">
      <c r="A1614" s="13"/>
      <c r="B1614" s="13"/>
      <c r="C1614" s="13"/>
      <c r="D1614" s="13"/>
      <c r="E1614" s="13"/>
    </row>
    <row r="1615" spans="1:5" x14ac:dyDescent="0.25">
      <c r="A1615" s="13"/>
      <c r="B1615" s="13"/>
      <c r="C1615" s="13"/>
      <c r="D1615" s="13"/>
      <c r="E1615" s="13"/>
    </row>
    <row r="1616" spans="1:5" x14ac:dyDescent="0.25">
      <c r="A1616" s="13"/>
      <c r="B1616" s="13"/>
      <c r="C1616" s="13"/>
      <c r="D1616" s="13"/>
      <c r="E1616" s="13"/>
    </row>
    <row r="1617" spans="1:5" x14ac:dyDescent="0.25">
      <c r="A1617" s="13"/>
      <c r="B1617" s="13"/>
      <c r="C1617" s="13"/>
      <c r="D1617" s="13"/>
      <c r="E1617" s="13"/>
    </row>
    <row r="1618" spans="1:5" x14ac:dyDescent="0.25">
      <c r="A1618" s="13"/>
      <c r="B1618" s="13"/>
      <c r="C1618" s="13"/>
      <c r="D1618" s="13"/>
      <c r="E1618" s="13"/>
    </row>
    <row r="1619" spans="1:5" x14ac:dyDescent="0.25">
      <c r="A1619" s="13"/>
      <c r="B1619" s="13"/>
      <c r="C1619" s="13"/>
      <c r="D1619" s="13"/>
      <c r="E1619" s="13"/>
    </row>
    <row r="1620" spans="1:5" x14ac:dyDescent="0.25">
      <c r="A1620" s="13"/>
      <c r="B1620" s="13"/>
      <c r="C1620" s="13"/>
      <c r="D1620" s="13"/>
      <c r="E1620" s="13"/>
    </row>
    <row r="1621" spans="1:5" x14ac:dyDescent="0.25">
      <c r="A1621" s="13"/>
      <c r="B1621" s="13"/>
      <c r="C1621" s="13"/>
      <c r="D1621" s="13"/>
      <c r="E1621" s="13"/>
    </row>
    <row r="1622" spans="1:5" x14ac:dyDescent="0.25">
      <c r="A1622" s="13"/>
      <c r="B1622" s="13"/>
      <c r="C1622" s="13"/>
      <c r="D1622" s="13"/>
      <c r="E1622" s="13"/>
    </row>
    <row r="1623" spans="1:5" x14ac:dyDescent="0.25">
      <c r="A1623" s="13"/>
      <c r="B1623" s="13"/>
      <c r="C1623" s="13"/>
      <c r="D1623" s="13"/>
      <c r="E1623" s="13"/>
    </row>
    <row r="1624" spans="1:5" x14ac:dyDescent="0.25">
      <c r="A1624" s="13"/>
      <c r="B1624" s="13"/>
      <c r="C1624" s="13"/>
      <c r="D1624" s="13"/>
      <c r="E1624" s="13"/>
    </row>
    <row r="1625" spans="1:5" x14ac:dyDescent="0.25">
      <c r="A1625" s="13"/>
      <c r="B1625" s="13"/>
      <c r="C1625" s="13"/>
      <c r="D1625" s="13"/>
      <c r="E1625" s="13"/>
    </row>
    <row r="1626" spans="1:5" x14ac:dyDescent="0.25">
      <c r="A1626" s="13"/>
      <c r="B1626" s="13"/>
      <c r="C1626" s="13"/>
      <c r="D1626" s="13"/>
      <c r="E1626" s="13"/>
    </row>
    <row r="1627" spans="1:5" x14ac:dyDescent="0.25">
      <c r="A1627" s="13"/>
      <c r="B1627" s="13"/>
      <c r="C1627" s="13"/>
      <c r="D1627" s="13"/>
      <c r="E1627" s="13"/>
    </row>
    <row r="1628" spans="1:5" x14ac:dyDescent="0.25">
      <c r="A1628" s="13"/>
      <c r="B1628" s="13"/>
      <c r="C1628" s="13"/>
      <c r="D1628" s="13"/>
      <c r="E1628" s="13"/>
    </row>
    <row r="1629" spans="1:5" x14ac:dyDescent="0.25">
      <c r="A1629" s="13"/>
      <c r="B1629" s="13"/>
      <c r="C1629" s="13"/>
      <c r="D1629" s="13"/>
      <c r="E1629" s="13"/>
    </row>
    <row r="1630" spans="1:5" x14ac:dyDescent="0.25">
      <c r="A1630" s="13"/>
      <c r="B1630" s="13"/>
      <c r="C1630" s="13"/>
      <c r="D1630" s="13"/>
      <c r="E1630" s="13"/>
    </row>
    <row r="1631" spans="1:5" x14ac:dyDescent="0.25">
      <c r="A1631" s="13"/>
      <c r="B1631" s="13"/>
      <c r="C1631" s="13"/>
      <c r="D1631" s="13"/>
      <c r="E1631" s="13"/>
    </row>
    <row r="1632" spans="1:5" x14ac:dyDescent="0.25">
      <c r="A1632" s="13"/>
      <c r="B1632" s="13"/>
      <c r="C1632" s="13"/>
      <c r="D1632" s="13"/>
      <c r="E1632" s="13"/>
    </row>
    <row r="1633" spans="1:5" x14ac:dyDescent="0.25">
      <c r="A1633" s="13"/>
      <c r="B1633" s="13"/>
      <c r="C1633" s="13"/>
      <c r="D1633" s="13"/>
      <c r="E1633" s="13"/>
    </row>
    <row r="1634" spans="1:5" x14ac:dyDescent="0.25">
      <c r="A1634" s="13"/>
      <c r="B1634" s="13"/>
      <c r="C1634" s="13"/>
      <c r="D1634" s="13"/>
      <c r="E1634" s="13"/>
    </row>
    <row r="1635" spans="1:5" x14ac:dyDescent="0.25">
      <c r="A1635" s="13"/>
      <c r="B1635" s="13"/>
      <c r="C1635" s="13"/>
      <c r="D1635" s="13"/>
      <c r="E1635" s="13"/>
    </row>
    <row r="1636" spans="1:5" x14ac:dyDescent="0.25">
      <c r="A1636" s="13"/>
      <c r="B1636" s="13"/>
      <c r="C1636" s="13"/>
      <c r="D1636" s="13"/>
      <c r="E1636" s="13"/>
    </row>
    <row r="1637" spans="1:5" x14ac:dyDescent="0.25">
      <c r="A1637" s="13"/>
      <c r="B1637" s="13"/>
      <c r="C1637" s="13"/>
      <c r="D1637" s="13"/>
      <c r="E1637" s="13"/>
    </row>
    <row r="1638" spans="1:5" x14ac:dyDescent="0.25">
      <c r="A1638" s="13"/>
      <c r="B1638" s="13"/>
      <c r="C1638" s="13"/>
      <c r="D1638" s="13"/>
      <c r="E1638" s="13"/>
    </row>
    <row r="1639" spans="1:5" x14ac:dyDescent="0.25">
      <c r="A1639" s="13"/>
      <c r="B1639" s="13"/>
      <c r="C1639" s="13"/>
      <c r="D1639" s="13"/>
      <c r="E1639" s="13"/>
    </row>
    <row r="1640" spans="1:5" x14ac:dyDescent="0.25">
      <c r="A1640" s="13"/>
      <c r="B1640" s="13"/>
      <c r="C1640" s="13"/>
      <c r="D1640" s="13"/>
      <c r="E1640" s="13"/>
    </row>
    <row r="1641" spans="1:5" x14ac:dyDescent="0.25">
      <c r="A1641" s="13"/>
      <c r="B1641" s="13"/>
      <c r="C1641" s="13"/>
      <c r="D1641" s="13"/>
      <c r="E1641" s="13"/>
    </row>
    <row r="1642" spans="1:5" x14ac:dyDescent="0.25">
      <c r="A1642" s="13"/>
      <c r="B1642" s="13"/>
      <c r="C1642" s="13"/>
      <c r="D1642" s="13"/>
      <c r="E1642" s="13"/>
    </row>
    <row r="1643" spans="1:5" x14ac:dyDescent="0.25">
      <c r="A1643" s="13"/>
      <c r="B1643" s="13"/>
      <c r="C1643" s="13"/>
      <c r="D1643" s="13"/>
      <c r="E1643" s="13"/>
    </row>
    <row r="1644" spans="1:5" x14ac:dyDescent="0.25">
      <c r="A1644" s="13"/>
      <c r="B1644" s="13"/>
      <c r="C1644" s="13"/>
      <c r="D1644" s="13"/>
      <c r="E1644" s="13"/>
    </row>
    <row r="1645" spans="1:5" x14ac:dyDescent="0.25">
      <c r="A1645" s="13"/>
      <c r="B1645" s="13"/>
      <c r="C1645" s="13"/>
      <c r="D1645" s="13"/>
      <c r="E1645" s="13"/>
    </row>
    <row r="1646" spans="1:5" x14ac:dyDescent="0.25">
      <c r="A1646" s="13"/>
      <c r="B1646" s="13"/>
      <c r="C1646" s="13"/>
      <c r="D1646" s="13"/>
      <c r="E1646" s="13"/>
    </row>
    <row r="1647" spans="1:5" x14ac:dyDescent="0.25">
      <c r="A1647" s="13"/>
      <c r="B1647" s="13"/>
      <c r="C1647" s="13"/>
      <c r="D1647" s="13"/>
      <c r="E1647" s="13"/>
    </row>
    <row r="1648" spans="1:5" x14ac:dyDescent="0.25">
      <c r="A1648" s="13"/>
      <c r="B1648" s="13"/>
      <c r="C1648" s="13"/>
      <c r="D1648" s="13"/>
      <c r="E1648" s="13"/>
    </row>
    <row r="1649" spans="1:5" x14ac:dyDescent="0.25">
      <c r="A1649" s="13"/>
      <c r="B1649" s="13"/>
      <c r="C1649" s="13"/>
      <c r="D1649" s="13"/>
      <c r="E1649" s="13"/>
    </row>
    <row r="1650" spans="1:5" x14ac:dyDescent="0.25">
      <c r="A1650" s="13"/>
      <c r="B1650" s="13"/>
      <c r="C1650" s="13"/>
      <c r="D1650" s="13"/>
      <c r="E1650" s="13"/>
    </row>
    <row r="1651" spans="1:5" x14ac:dyDescent="0.25">
      <c r="A1651" s="13"/>
      <c r="B1651" s="13"/>
      <c r="C1651" s="13"/>
      <c r="D1651" s="13"/>
      <c r="E1651" s="13"/>
    </row>
    <row r="1652" spans="1:5" x14ac:dyDescent="0.25">
      <c r="A1652" s="13"/>
      <c r="B1652" s="13"/>
      <c r="C1652" s="13"/>
      <c r="D1652" s="13"/>
      <c r="E1652" s="13"/>
    </row>
    <row r="1653" spans="1:5" x14ac:dyDescent="0.25">
      <c r="A1653" s="13"/>
      <c r="B1653" s="13"/>
      <c r="C1653" s="13"/>
      <c r="D1653" s="13"/>
      <c r="E1653" s="13"/>
    </row>
    <row r="1654" spans="1:5" x14ac:dyDescent="0.25">
      <c r="A1654" s="13"/>
      <c r="B1654" s="13"/>
      <c r="C1654" s="13"/>
      <c r="D1654" s="13"/>
      <c r="E1654" s="13"/>
    </row>
    <row r="1655" spans="1:5" x14ac:dyDescent="0.25">
      <c r="A1655" s="13"/>
      <c r="B1655" s="13"/>
      <c r="C1655" s="13"/>
      <c r="D1655" s="13"/>
      <c r="E1655" s="13"/>
    </row>
    <row r="1656" spans="1:5" x14ac:dyDescent="0.25">
      <c r="A1656" s="13"/>
      <c r="B1656" s="13"/>
      <c r="C1656" s="13"/>
      <c r="D1656" s="13"/>
      <c r="E1656" s="13"/>
    </row>
    <row r="1657" spans="1:5" x14ac:dyDescent="0.25">
      <c r="A1657" s="13"/>
      <c r="B1657" s="13"/>
      <c r="C1657" s="13"/>
      <c r="D1657" s="13"/>
      <c r="E1657" s="13"/>
    </row>
    <row r="1658" spans="1:5" x14ac:dyDescent="0.25">
      <c r="A1658" s="13"/>
      <c r="B1658" s="13"/>
      <c r="C1658" s="13"/>
      <c r="D1658" s="13"/>
      <c r="E1658" s="13"/>
    </row>
    <row r="1659" spans="1:5" x14ac:dyDescent="0.25">
      <c r="A1659" s="13"/>
      <c r="B1659" s="13"/>
      <c r="C1659" s="13"/>
      <c r="D1659" s="13"/>
      <c r="E1659" s="13"/>
    </row>
    <row r="1660" spans="1:5" x14ac:dyDescent="0.25">
      <c r="A1660" s="13"/>
      <c r="B1660" s="13"/>
      <c r="C1660" s="13"/>
      <c r="D1660" s="13"/>
      <c r="E1660" s="13"/>
    </row>
    <row r="1661" spans="1:5" x14ac:dyDescent="0.25">
      <c r="A1661" s="13"/>
      <c r="B1661" s="13"/>
      <c r="C1661" s="13"/>
      <c r="D1661" s="13"/>
      <c r="E1661" s="13"/>
    </row>
    <row r="1662" spans="1:5" x14ac:dyDescent="0.25">
      <c r="A1662" s="13"/>
      <c r="B1662" s="13"/>
      <c r="C1662" s="13"/>
      <c r="D1662" s="13"/>
      <c r="E1662" s="13"/>
    </row>
    <row r="1663" spans="1:5" x14ac:dyDescent="0.25">
      <c r="A1663" s="13"/>
      <c r="B1663" s="13"/>
      <c r="C1663" s="13"/>
      <c r="D1663" s="13"/>
      <c r="E1663" s="13"/>
    </row>
    <row r="1664" spans="1:5" x14ac:dyDescent="0.25">
      <c r="A1664" s="13"/>
      <c r="B1664" s="13"/>
      <c r="C1664" s="13"/>
      <c r="D1664" s="13"/>
      <c r="E1664" s="13"/>
    </row>
    <row r="1665" spans="1:5" x14ac:dyDescent="0.25">
      <c r="A1665" s="13"/>
      <c r="B1665" s="13"/>
      <c r="C1665" s="13"/>
      <c r="D1665" s="13"/>
      <c r="E1665" s="13"/>
    </row>
    <row r="1666" spans="1:5" x14ac:dyDescent="0.25">
      <c r="A1666" s="13"/>
      <c r="B1666" s="13"/>
      <c r="C1666" s="13"/>
      <c r="D1666" s="13"/>
      <c r="E1666" s="13"/>
    </row>
    <row r="1667" spans="1:5" x14ac:dyDescent="0.25">
      <c r="A1667" s="13"/>
      <c r="B1667" s="13"/>
      <c r="C1667" s="13"/>
      <c r="D1667" s="13"/>
      <c r="E1667" s="13"/>
    </row>
    <row r="1668" spans="1:5" x14ac:dyDescent="0.25">
      <c r="A1668" s="13"/>
      <c r="B1668" s="13"/>
      <c r="C1668" s="13"/>
      <c r="D1668" s="13"/>
      <c r="E1668" s="13"/>
    </row>
    <row r="1669" spans="1:5" x14ac:dyDescent="0.25">
      <c r="A1669" s="13"/>
      <c r="B1669" s="13"/>
      <c r="C1669" s="13"/>
      <c r="D1669" s="13"/>
      <c r="E1669" s="13"/>
    </row>
    <row r="1670" spans="1:5" x14ac:dyDescent="0.25">
      <c r="A1670" s="13"/>
      <c r="B1670" s="13"/>
      <c r="C1670" s="13"/>
      <c r="D1670" s="13"/>
      <c r="E1670" s="13"/>
    </row>
    <row r="1671" spans="1:5" x14ac:dyDescent="0.25">
      <c r="A1671" s="13"/>
      <c r="B1671" s="13"/>
      <c r="C1671" s="13"/>
      <c r="D1671" s="13"/>
      <c r="E1671" s="13"/>
    </row>
    <row r="1672" spans="1:5" x14ac:dyDescent="0.25">
      <c r="A1672" s="13"/>
      <c r="B1672" s="13"/>
      <c r="C1672" s="13"/>
      <c r="D1672" s="13"/>
      <c r="E1672" s="13"/>
    </row>
    <row r="1673" spans="1:5" x14ac:dyDescent="0.25">
      <c r="A1673" s="13"/>
      <c r="B1673" s="13"/>
      <c r="C1673" s="13"/>
      <c r="D1673" s="13"/>
      <c r="E1673" s="13"/>
    </row>
    <row r="1674" spans="1:5" x14ac:dyDescent="0.25">
      <c r="A1674" s="13"/>
      <c r="B1674" s="13"/>
      <c r="C1674" s="13"/>
      <c r="D1674" s="13"/>
      <c r="E1674" s="13"/>
    </row>
    <row r="1675" spans="1:5" x14ac:dyDescent="0.25">
      <c r="A1675" s="13"/>
      <c r="B1675" s="13"/>
      <c r="C1675" s="13"/>
      <c r="D1675" s="13"/>
      <c r="E1675" s="13"/>
    </row>
    <row r="1676" spans="1:5" x14ac:dyDescent="0.25">
      <c r="A1676" s="13"/>
      <c r="B1676" s="13"/>
      <c r="C1676" s="13"/>
      <c r="D1676" s="13"/>
      <c r="E1676" s="13"/>
    </row>
    <row r="1677" spans="1:5" x14ac:dyDescent="0.25">
      <c r="A1677" s="13"/>
      <c r="B1677" s="13"/>
      <c r="C1677" s="13"/>
      <c r="D1677" s="13"/>
      <c r="E1677" s="13"/>
    </row>
    <row r="1678" spans="1:5" x14ac:dyDescent="0.25">
      <c r="A1678" s="13"/>
      <c r="B1678" s="13"/>
      <c r="C1678" s="13"/>
      <c r="D1678" s="13"/>
      <c r="E1678" s="13"/>
    </row>
    <row r="1679" spans="1:5" x14ac:dyDescent="0.25">
      <c r="A1679" s="13"/>
      <c r="B1679" s="13"/>
      <c r="C1679" s="13"/>
      <c r="D1679" s="13"/>
      <c r="E1679" s="13"/>
    </row>
    <row r="1680" spans="1:5" x14ac:dyDescent="0.25">
      <c r="A1680" s="13"/>
      <c r="B1680" s="13"/>
      <c r="C1680" s="13"/>
      <c r="D1680" s="13"/>
      <c r="E1680" s="13"/>
    </row>
    <row r="1681" spans="1:5" x14ac:dyDescent="0.25">
      <c r="A1681" s="13"/>
      <c r="B1681" s="13"/>
      <c r="C1681" s="13"/>
      <c r="D1681" s="13"/>
      <c r="E1681" s="13"/>
    </row>
    <row r="1682" spans="1:5" x14ac:dyDescent="0.25">
      <c r="A1682" s="13"/>
      <c r="B1682" s="13"/>
      <c r="C1682" s="13"/>
      <c r="D1682" s="13"/>
      <c r="E1682" s="13"/>
    </row>
    <row r="1683" spans="1:5" x14ac:dyDescent="0.25">
      <c r="A1683" s="13"/>
      <c r="B1683" s="13"/>
      <c r="C1683" s="13"/>
      <c r="D1683" s="13"/>
      <c r="E1683" s="13"/>
    </row>
    <row r="1684" spans="1:5" x14ac:dyDescent="0.25">
      <c r="A1684" s="13"/>
      <c r="B1684" s="13"/>
      <c r="C1684" s="13"/>
      <c r="D1684" s="13"/>
      <c r="E1684" s="13"/>
    </row>
    <row r="1685" spans="1:5" x14ac:dyDescent="0.25">
      <c r="A1685" s="13"/>
      <c r="B1685" s="13"/>
      <c r="C1685" s="13"/>
      <c r="D1685" s="13"/>
      <c r="E1685" s="13"/>
    </row>
    <row r="1686" spans="1:5" x14ac:dyDescent="0.25">
      <c r="A1686" s="13"/>
      <c r="B1686" s="13"/>
      <c r="C1686" s="13"/>
      <c r="D1686" s="13"/>
      <c r="E1686" s="13"/>
    </row>
    <row r="1687" spans="1:5" x14ac:dyDescent="0.25">
      <c r="A1687" s="13"/>
      <c r="B1687" s="13"/>
      <c r="C1687" s="13"/>
      <c r="D1687" s="13"/>
      <c r="E1687" s="13"/>
    </row>
    <row r="1688" spans="1:5" x14ac:dyDescent="0.25">
      <c r="A1688" s="13"/>
      <c r="B1688" s="13"/>
      <c r="C1688" s="13"/>
      <c r="D1688" s="13"/>
      <c r="E1688" s="13"/>
    </row>
    <row r="1689" spans="1:5" x14ac:dyDescent="0.25">
      <c r="A1689" s="13"/>
      <c r="B1689" s="13"/>
      <c r="C1689" s="13"/>
      <c r="D1689" s="13"/>
      <c r="E1689" s="13"/>
    </row>
    <row r="1690" spans="1:5" x14ac:dyDescent="0.25">
      <c r="A1690" s="13"/>
      <c r="B1690" s="13"/>
      <c r="C1690" s="13"/>
      <c r="D1690" s="13"/>
      <c r="E1690" s="13"/>
    </row>
    <row r="1691" spans="1:5" x14ac:dyDescent="0.25">
      <c r="A1691" s="13"/>
      <c r="B1691" s="13"/>
      <c r="C1691" s="13"/>
      <c r="D1691" s="13"/>
      <c r="E1691" s="13"/>
    </row>
    <row r="1692" spans="1:5" x14ac:dyDescent="0.25">
      <c r="A1692" s="13"/>
      <c r="B1692" s="13"/>
      <c r="C1692" s="13"/>
      <c r="D1692" s="13"/>
      <c r="E1692" s="13"/>
    </row>
    <row r="1693" spans="1:5" x14ac:dyDescent="0.25">
      <c r="A1693" s="13"/>
      <c r="B1693" s="13"/>
      <c r="C1693" s="13"/>
      <c r="D1693" s="13"/>
      <c r="E1693" s="13"/>
    </row>
    <row r="1694" spans="1:5" x14ac:dyDescent="0.25">
      <c r="A1694" s="13"/>
      <c r="B1694" s="13"/>
      <c r="C1694" s="13"/>
      <c r="D1694" s="13"/>
      <c r="E1694" s="13"/>
    </row>
    <row r="1695" spans="1:5" x14ac:dyDescent="0.25">
      <c r="A1695" s="13"/>
      <c r="B1695" s="13"/>
      <c r="C1695" s="13"/>
      <c r="D1695" s="13"/>
      <c r="E1695" s="13"/>
    </row>
    <row r="1696" spans="1:5" x14ac:dyDescent="0.25">
      <c r="A1696" s="13"/>
      <c r="B1696" s="13"/>
      <c r="C1696" s="13"/>
      <c r="D1696" s="13"/>
      <c r="E1696" s="13"/>
    </row>
    <row r="1697" spans="1:5" x14ac:dyDescent="0.25">
      <c r="A1697" s="13"/>
      <c r="B1697" s="13"/>
      <c r="C1697" s="13"/>
      <c r="D1697" s="13"/>
      <c r="E1697" s="13"/>
    </row>
    <row r="1698" spans="1:5" x14ac:dyDescent="0.25">
      <c r="A1698" s="13"/>
      <c r="B1698" s="13"/>
      <c r="C1698" s="13"/>
      <c r="D1698" s="13"/>
      <c r="E1698" s="13"/>
    </row>
    <row r="1699" spans="1:5" x14ac:dyDescent="0.25">
      <c r="A1699" s="13"/>
      <c r="B1699" s="13"/>
      <c r="C1699" s="13"/>
      <c r="D1699" s="13"/>
      <c r="E1699" s="13"/>
    </row>
    <row r="1700" spans="1:5" x14ac:dyDescent="0.25">
      <c r="A1700" s="13"/>
      <c r="B1700" s="13"/>
      <c r="C1700" s="13"/>
      <c r="D1700" s="13"/>
      <c r="E1700" s="13"/>
    </row>
    <row r="1701" spans="1:5" x14ac:dyDescent="0.25">
      <c r="A1701" s="13"/>
      <c r="B1701" s="13"/>
      <c r="C1701" s="13"/>
      <c r="D1701" s="13"/>
      <c r="E1701" s="13"/>
    </row>
    <row r="1702" spans="1:5" x14ac:dyDescent="0.25">
      <c r="A1702" s="13"/>
      <c r="B1702" s="13"/>
      <c r="C1702" s="13"/>
      <c r="D1702" s="13"/>
      <c r="E1702" s="13"/>
    </row>
    <row r="1703" spans="1:5" x14ac:dyDescent="0.25">
      <c r="A1703" s="13"/>
      <c r="B1703" s="13"/>
      <c r="C1703" s="13"/>
      <c r="D1703" s="13"/>
      <c r="E1703" s="13"/>
    </row>
    <row r="1704" spans="1:5" x14ac:dyDescent="0.25">
      <c r="A1704" s="13"/>
      <c r="B1704" s="13"/>
      <c r="C1704" s="13"/>
      <c r="D1704" s="13"/>
      <c r="E1704" s="13"/>
    </row>
    <row r="1705" spans="1:5" x14ac:dyDescent="0.25">
      <c r="A1705" s="13"/>
      <c r="B1705" s="13"/>
      <c r="C1705" s="13"/>
      <c r="D1705" s="13"/>
      <c r="E1705" s="13"/>
    </row>
    <row r="1706" spans="1:5" x14ac:dyDescent="0.25">
      <c r="A1706" s="13"/>
      <c r="B1706" s="13"/>
      <c r="C1706" s="13"/>
      <c r="D1706" s="13"/>
      <c r="E1706" s="13"/>
    </row>
    <row r="1707" spans="1:5" x14ac:dyDescent="0.25">
      <c r="A1707" s="13"/>
      <c r="B1707" s="13"/>
      <c r="C1707" s="13"/>
      <c r="D1707" s="13"/>
      <c r="E1707" s="13"/>
    </row>
    <row r="1708" spans="1:5" x14ac:dyDescent="0.25">
      <c r="A1708" s="13"/>
      <c r="B1708" s="13"/>
      <c r="C1708" s="13"/>
      <c r="D1708" s="13"/>
      <c r="E1708" s="13"/>
    </row>
    <row r="1709" spans="1:5" x14ac:dyDescent="0.25">
      <c r="A1709" s="13"/>
      <c r="B1709" s="13"/>
      <c r="C1709" s="13"/>
      <c r="D1709" s="13"/>
      <c r="E1709" s="13"/>
    </row>
    <row r="1710" spans="1:5" x14ac:dyDescent="0.25">
      <c r="A1710" s="13"/>
      <c r="B1710" s="13"/>
      <c r="C1710" s="13"/>
      <c r="D1710" s="13"/>
      <c r="E1710" s="13"/>
    </row>
    <row r="1711" spans="1:5" x14ac:dyDescent="0.25">
      <c r="A1711" s="13"/>
      <c r="B1711" s="13"/>
      <c r="C1711" s="13"/>
      <c r="D1711" s="13"/>
      <c r="E1711" s="13"/>
    </row>
    <row r="1712" spans="1:5" x14ac:dyDescent="0.25">
      <c r="A1712" s="13"/>
      <c r="B1712" s="13"/>
      <c r="C1712" s="13"/>
      <c r="D1712" s="13"/>
      <c r="E1712" s="13"/>
    </row>
    <row r="1713" spans="1:5" x14ac:dyDescent="0.25">
      <c r="A1713" s="13"/>
      <c r="B1713" s="13"/>
      <c r="C1713" s="13"/>
      <c r="D1713" s="13"/>
      <c r="E1713" s="13"/>
    </row>
    <row r="1714" spans="1:5" x14ac:dyDescent="0.25">
      <c r="A1714" s="13"/>
      <c r="B1714" s="13"/>
      <c r="C1714" s="13"/>
      <c r="D1714" s="13"/>
      <c r="E1714" s="13"/>
    </row>
    <row r="1715" spans="1:5" x14ac:dyDescent="0.25">
      <c r="A1715" s="13"/>
      <c r="B1715" s="13"/>
      <c r="C1715" s="13"/>
      <c r="D1715" s="13"/>
      <c r="E1715" s="13"/>
    </row>
    <row r="1716" spans="1:5" x14ac:dyDescent="0.25">
      <c r="A1716" s="13"/>
      <c r="B1716" s="13"/>
      <c r="C1716" s="13"/>
      <c r="D1716" s="13"/>
      <c r="E1716" s="13"/>
    </row>
    <row r="1717" spans="1:5" x14ac:dyDescent="0.25">
      <c r="A1717" s="13"/>
      <c r="B1717" s="13"/>
      <c r="C1717" s="13"/>
      <c r="D1717" s="13"/>
      <c r="E1717" s="13"/>
    </row>
    <row r="1718" spans="1:5" x14ac:dyDescent="0.25">
      <c r="A1718" s="13"/>
      <c r="B1718" s="13"/>
      <c r="C1718" s="13"/>
      <c r="D1718" s="13"/>
      <c r="E1718" s="13"/>
    </row>
    <row r="1719" spans="1:5" x14ac:dyDescent="0.25">
      <c r="A1719" s="13"/>
      <c r="B1719" s="13"/>
      <c r="C1719" s="13"/>
      <c r="D1719" s="13"/>
      <c r="E1719" s="13"/>
    </row>
    <row r="1720" spans="1:5" x14ac:dyDescent="0.25">
      <c r="A1720" s="13"/>
      <c r="B1720" s="13"/>
      <c r="C1720" s="13"/>
      <c r="D1720" s="13"/>
      <c r="E1720" s="13"/>
    </row>
    <row r="1721" spans="1:5" x14ac:dyDescent="0.25">
      <c r="A1721" s="13"/>
      <c r="B1721" s="13"/>
      <c r="C1721" s="13"/>
      <c r="D1721" s="13"/>
      <c r="E1721" s="13"/>
    </row>
    <row r="1722" spans="1:5" x14ac:dyDescent="0.25">
      <c r="A1722" s="13"/>
      <c r="B1722" s="13"/>
      <c r="C1722" s="13"/>
      <c r="D1722" s="13"/>
      <c r="E1722" s="13"/>
    </row>
    <row r="1723" spans="1:5" x14ac:dyDescent="0.25">
      <c r="A1723" s="13"/>
      <c r="B1723" s="13"/>
      <c r="C1723" s="13"/>
      <c r="D1723" s="13"/>
      <c r="E1723" s="13"/>
    </row>
    <row r="1724" spans="1:5" x14ac:dyDescent="0.25">
      <c r="A1724" s="13"/>
      <c r="B1724" s="13"/>
      <c r="C1724" s="13"/>
      <c r="D1724" s="13"/>
      <c r="E1724" s="13"/>
    </row>
    <row r="1725" spans="1:5" x14ac:dyDescent="0.25">
      <c r="A1725" s="13"/>
      <c r="B1725" s="13"/>
      <c r="C1725" s="13"/>
      <c r="D1725" s="13"/>
      <c r="E1725" s="13"/>
    </row>
    <row r="1726" spans="1:5" x14ac:dyDescent="0.25">
      <c r="A1726" s="13"/>
      <c r="B1726" s="13"/>
      <c r="C1726" s="13"/>
      <c r="D1726" s="13"/>
      <c r="E1726" s="13"/>
    </row>
    <row r="1727" spans="1:5" x14ac:dyDescent="0.25">
      <c r="A1727" s="13"/>
      <c r="B1727" s="13"/>
      <c r="C1727" s="13"/>
      <c r="D1727" s="13"/>
      <c r="E1727" s="13"/>
    </row>
    <row r="1728" spans="1:5" x14ac:dyDescent="0.25">
      <c r="A1728" s="13"/>
      <c r="B1728" s="13"/>
      <c r="C1728" s="13"/>
      <c r="D1728" s="13"/>
      <c r="E1728" s="13"/>
    </row>
    <row r="1729" spans="1:5" x14ac:dyDescent="0.25">
      <c r="A1729" s="13"/>
      <c r="B1729" s="13"/>
      <c r="C1729" s="13"/>
      <c r="D1729" s="13"/>
      <c r="E1729" s="13"/>
    </row>
    <row r="1730" spans="1:5" x14ac:dyDescent="0.25">
      <c r="A1730" s="13"/>
      <c r="B1730" s="13"/>
      <c r="C1730" s="13"/>
      <c r="D1730" s="13"/>
      <c r="E1730" s="13"/>
    </row>
    <row r="1731" spans="1:5" x14ac:dyDescent="0.25">
      <c r="A1731" s="13"/>
      <c r="B1731" s="13"/>
      <c r="C1731" s="13"/>
      <c r="D1731" s="13"/>
      <c r="E1731" s="13"/>
    </row>
    <row r="1732" spans="1:5" x14ac:dyDescent="0.25">
      <c r="A1732" s="13"/>
      <c r="B1732" s="13"/>
      <c r="C1732" s="13"/>
      <c r="D1732" s="13"/>
      <c r="E1732" s="13"/>
    </row>
    <row r="1733" spans="1:5" x14ac:dyDescent="0.25">
      <c r="A1733" s="13"/>
      <c r="B1733" s="13"/>
      <c r="C1733" s="13"/>
      <c r="D1733" s="13"/>
      <c r="E1733" s="13"/>
    </row>
    <row r="1734" spans="1:5" x14ac:dyDescent="0.25">
      <c r="A1734" s="13"/>
      <c r="B1734" s="13"/>
      <c r="C1734" s="13"/>
      <c r="D1734" s="13"/>
      <c r="E1734" s="13"/>
    </row>
    <row r="1735" spans="1:5" x14ac:dyDescent="0.25">
      <c r="A1735" s="13"/>
      <c r="B1735" s="13"/>
      <c r="C1735" s="13"/>
      <c r="D1735" s="13"/>
      <c r="E1735" s="13"/>
    </row>
    <row r="1736" spans="1:5" x14ac:dyDescent="0.25">
      <c r="A1736" s="13"/>
      <c r="B1736" s="13"/>
      <c r="C1736" s="13"/>
      <c r="D1736" s="13"/>
      <c r="E1736" s="13"/>
    </row>
    <row r="1737" spans="1:5" x14ac:dyDescent="0.25">
      <c r="A1737" s="13"/>
      <c r="B1737" s="13"/>
      <c r="C1737" s="13"/>
      <c r="D1737" s="13"/>
      <c r="E1737" s="13"/>
    </row>
    <row r="1738" spans="1:5" x14ac:dyDescent="0.25">
      <c r="A1738" s="13"/>
      <c r="B1738" s="13"/>
      <c r="C1738" s="13"/>
      <c r="D1738" s="13"/>
      <c r="E1738" s="13"/>
    </row>
    <row r="1739" spans="1:5" x14ac:dyDescent="0.25">
      <c r="A1739" s="13"/>
      <c r="B1739" s="13"/>
      <c r="C1739" s="13"/>
      <c r="D1739" s="13"/>
      <c r="E1739" s="13"/>
    </row>
    <row r="1740" spans="1:5" x14ac:dyDescent="0.25">
      <c r="A1740" s="13"/>
      <c r="B1740" s="13"/>
      <c r="C1740" s="13"/>
      <c r="D1740" s="13"/>
      <c r="E1740" s="13"/>
    </row>
    <row r="1741" spans="1:5" x14ac:dyDescent="0.25">
      <c r="A1741" s="13"/>
      <c r="B1741" s="13"/>
      <c r="C1741" s="13"/>
      <c r="D1741" s="13"/>
      <c r="E1741" s="13"/>
    </row>
    <row r="1742" spans="1:5" x14ac:dyDescent="0.25">
      <c r="A1742" s="13"/>
      <c r="B1742" s="13"/>
      <c r="C1742" s="13"/>
      <c r="D1742" s="13"/>
      <c r="E1742" s="13"/>
    </row>
    <row r="1743" spans="1:5" x14ac:dyDescent="0.25">
      <c r="A1743" s="13"/>
      <c r="B1743" s="13"/>
      <c r="C1743" s="13"/>
      <c r="D1743" s="13"/>
      <c r="E1743" s="13"/>
    </row>
    <row r="1744" spans="1:5" x14ac:dyDescent="0.25">
      <c r="A1744" s="13"/>
      <c r="B1744" s="13"/>
      <c r="C1744" s="13"/>
      <c r="D1744" s="13"/>
      <c r="E1744" s="13"/>
    </row>
    <row r="1745" spans="1:5" x14ac:dyDescent="0.25">
      <c r="A1745" s="13"/>
      <c r="B1745" s="13"/>
      <c r="C1745" s="13"/>
      <c r="D1745" s="13"/>
      <c r="E1745" s="13"/>
    </row>
    <row r="1746" spans="1:5" x14ac:dyDescent="0.25">
      <c r="A1746" s="13"/>
      <c r="B1746" s="13"/>
      <c r="C1746" s="13"/>
      <c r="D1746" s="13"/>
      <c r="E1746" s="13"/>
    </row>
    <row r="1747" spans="1:5" x14ac:dyDescent="0.25">
      <c r="A1747" s="13"/>
      <c r="B1747" s="13"/>
      <c r="C1747" s="13"/>
      <c r="D1747" s="13"/>
      <c r="E1747" s="13"/>
    </row>
    <row r="1748" spans="1:5" x14ac:dyDescent="0.25">
      <c r="A1748" s="13"/>
      <c r="B1748" s="13"/>
      <c r="C1748" s="13"/>
      <c r="D1748" s="13"/>
      <c r="E1748" s="13"/>
    </row>
    <row r="1749" spans="1:5" x14ac:dyDescent="0.25">
      <c r="A1749" s="13"/>
      <c r="B1749" s="13"/>
      <c r="C1749" s="13"/>
      <c r="D1749" s="13"/>
      <c r="E1749" s="13"/>
    </row>
    <row r="1750" spans="1:5" x14ac:dyDescent="0.25">
      <c r="A1750" s="13"/>
      <c r="B1750" s="13"/>
      <c r="C1750" s="13"/>
      <c r="D1750" s="13"/>
      <c r="E1750" s="13"/>
    </row>
    <row r="1751" spans="1:5" x14ac:dyDescent="0.25">
      <c r="A1751" s="13"/>
      <c r="B1751" s="13"/>
      <c r="C1751" s="13"/>
      <c r="D1751" s="13"/>
      <c r="E1751" s="13"/>
    </row>
    <row r="1752" spans="1:5" x14ac:dyDescent="0.25">
      <c r="A1752" s="13"/>
      <c r="B1752" s="13"/>
      <c r="C1752" s="13"/>
      <c r="D1752" s="13"/>
      <c r="E1752" s="13"/>
    </row>
    <row r="1753" spans="1:5" x14ac:dyDescent="0.25">
      <c r="A1753" s="13"/>
      <c r="B1753" s="13"/>
      <c r="C1753" s="13"/>
      <c r="D1753" s="13"/>
      <c r="E1753" s="13"/>
    </row>
    <row r="1754" spans="1:5" x14ac:dyDescent="0.25">
      <c r="A1754" s="13"/>
      <c r="B1754" s="13"/>
      <c r="C1754" s="13"/>
      <c r="D1754" s="13"/>
      <c r="E1754" s="13"/>
    </row>
    <row r="1755" spans="1:5" x14ac:dyDescent="0.25">
      <c r="A1755" s="13"/>
      <c r="B1755" s="13"/>
      <c r="C1755" s="13"/>
      <c r="D1755" s="13"/>
      <c r="E1755" s="13"/>
    </row>
    <row r="1756" spans="1:5" x14ac:dyDescent="0.25">
      <c r="A1756" s="13"/>
      <c r="B1756" s="13"/>
      <c r="C1756" s="13"/>
      <c r="D1756" s="13"/>
      <c r="E1756" s="13"/>
    </row>
    <row r="1757" spans="1:5" x14ac:dyDescent="0.25">
      <c r="A1757" s="13"/>
      <c r="B1757" s="13"/>
      <c r="C1757" s="13"/>
      <c r="D1757" s="13"/>
      <c r="E1757" s="13"/>
    </row>
    <row r="1758" spans="1:5" x14ac:dyDescent="0.25">
      <c r="A1758" s="13"/>
      <c r="B1758" s="13"/>
      <c r="C1758" s="13"/>
      <c r="D1758" s="13"/>
      <c r="E1758" s="13"/>
    </row>
    <row r="1759" spans="1:5" x14ac:dyDescent="0.25">
      <c r="A1759" s="13"/>
      <c r="B1759" s="13"/>
      <c r="C1759" s="13"/>
      <c r="D1759" s="13"/>
      <c r="E1759" s="13"/>
    </row>
    <row r="1760" spans="1:5" x14ac:dyDescent="0.25">
      <c r="A1760" s="13"/>
      <c r="B1760" s="13"/>
      <c r="C1760" s="13"/>
      <c r="D1760" s="13"/>
      <c r="E1760" s="13"/>
    </row>
    <row r="1761" spans="1:5" x14ac:dyDescent="0.25">
      <c r="A1761" s="13"/>
      <c r="B1761" s="13"/>
      <c r="C1761" s="13"/>
      <c r="D1761" s="13"/>
      <c r="E1761" s="13"/>
    </row>
    <row r="1762" spans="1:5" x14ac:dyDescent="0.25">
      <c r="A1762" s="13"/>
      <c r="B1762" s="13"/>
      <c r="C1762" s="13"/>
      <c r="D1762" s="13"/>
      <c r="E1762" s="13"/>
    </row>
    <row r="1763" spans="1:5" x14ac:dyDescent="0.25">
      <c r="A1763" s="13"/>
      <c r="B1763" s="13"/>
      <c r="C1763" s="13"/>
      <c r="D1763" s="13"/>
      <c r="E1763" s="13"/>
    </row>
    <row r="1764" spans="1:5" x14ac:dyDescent="0.25">
      <c r="A1764" s="13"/>
      <c r="B1764" s="13"/>
      <c r="C1764" s="13"/>
      <c r="D1764" s="13"/>
      <c r="E1764" s="13"/>
    </row>
    <row r="1765" spans="1:5" x14ac:dyDescent="0.25">
      <c r="A1765" s="13"/>
      <c r="B1765" s="13"/>
      <c r="C1765" s="13"/>
      <c r="D1765" s="13"/>
      <c r="E1765" s="13"/>
    </row>
    <row r="1766" spans="1:5" x14ac:dyDescent="0.25">
      <c r="A1766" s="13"/>
      <c r="B1766" s="13"/>
      <c r="C1766" s="13"/>
      <c r="D1766" s="13"/>
      <c r="E1766" s="13"/>
    </row>
    <row r="1767" spans="1:5" x14ac:dyDescent="0.25">
      <c r="A1767" s="13"/>
      <c r="B1767" s="13"/>
      <c r="C1767" s="13"/>
      <c r="D1767" s="13"/>
      <c r="E1767" s="13"/>
    </row>
    <row r="1768" spans="1:5" x14ac:dyDescent="0.25">
      <c r="A1768" s="13"/>
      <c r="B1768" s="13"/>
      <c r="C1768" s="13"/>
      <c r="D1768" s="13"/>
      <c r="E1768" s="13"/>
    </row>
    <row r="1769" spans="1:5" x14ac:dyDescent="0.25">
      <c r="A1769" s="13"/>
      <c r="B1769" s="13"/>
      <c r="C1769" s="13"/>
      <c r="D1769" s="13"/>
      <c r="E1769" s="13"/>
    </row>
    <row r="1770" spans="1:5" x14ac:dyDescent="0.25">
      <c r="A1770" s="13"/>
      <c r="B1770" s="13"/>
      <c r="C1770" s="13"/>
      <c r="D1770" s="13"/>
      <c r="E1770" s="13"/>
    </row>
    <row r="1771" spans="1:5" x14ac:dyDescent="0.25">
      <c r="A1771" s="13"/>
      <c r="B1771" s="13"/>
      <c r="C1771" s="13"/>
      <c r="D1771" s="13"/>
      <c r="E1771" s="13"/>
    </row>
    <row r="1772" spans="1:5" x14ac:dyDescent="0.25">
      <c r="A1772" s="13"/>
      <c r="B1772" s="13"/>
      <c r="C1772" s="13"/>
      <c r="D1772" s="13"/>
      <c r="E1772" s="13"/>
    </row>
    <row r="1773" spans="1:5" x14ac:dyDescent="0.25">
      <c r="A1773" s="13"/>
      <c r="B1773" s="13"/>
      <c r="C1773" s="13"/>
      <c r="D1773" s="13"/>
      <c r="E1773" s="13"/>
    </row>
    <row r="1774" spans="1:5" x14ac:dyDescent="0.25">
      <c r="A1774" s="13"/>
      <c r="B1774" s="13"/>
      <c r="C1774" s="13"/>
      <c r="D1774" s="13"/>
      <c r="E1774" s="13"/>
    </row>
    <row r="1775" spans="1:5" x14ac:dyDescent="0.25">
      <c r="A1775" s="13"/>
      <c r="B1775" s="13"/>
      <c r="C1775" s="13"/>
      <c r="D1775" s="13"/>
      <c r="E1775" s="13"/>
    </row>
    <row r="1776" spans="1:5" x14ac:dyDescent="0.25">
      <c r="A1776" s="13"/>
      <c r="B1776" s="13"/>
      <c r="C1776" s="13"/>
      <c r="D1776" s="13"/>
      <c r="E1776" s="13"/>
    </row>
    <row r="1777" spans="1:5" x14ac:dyDescent="0.25">
      <c r="A1777" s="13"/>
      <c r="B1777" s="13"/>
      <c r="C1777" s="13"/>
      <c r="D1777" s="13"/>
      <c r="E1777" s="13"/>
    </row>
    <row r="1778" spans="1:5" x14ac:dyDescent="0.25">
      <c r="A1778" s="13"/>
      <c r="B1778" s="13"/>
      <c r="C1778" s="13"/>
      <c r="D1778" s="13"/>
      <c r="E1778" s="13"/>
    </row>
    <row r="1779" spans="1:5" x14ac:dyDescent="0.25">
      <c r="A1779" s="13"/>
      <c r="B1779" s="13"/>
      <c r="C1779" s="13"/>
      <c r="D1779" s="13"/>
      <c r="E1779" s="13"/>
    </row>
    <row r="1780" spans="1:5" x14ac:dyDescent="0.25">
      <c r="A1780" s="13"/>
      <c r="B1780" s="13"/>
      <c r="C1780" s="13"/>
      <c r="D1780" s="13"/>
      <c r="E1780" s="13"/>
    </row>
    <row r="1781" spans="1:5" x14ac:dyDescent="0.25">
      <c r="A1781" s="13"/>
      <c r="B1781" s="13"/>
      <c r="C1781" s="13"/>
      <c r="D1781" s="13"/>
      <c r="E1781" s="13"/>
    </row>
    <row r="1782" spans="1:5" x14ac:dyDescent="0.25">
      <c r="A1782" s="13"/>
      <c r="B1782" s="13"/>
      <c r="C1782" s="13"/>
      <c r="D1782" s="13"/>
      <c r="E1782" s="13"/>
    </row>
    <row r="1783" spans="1:5" x14ac:dyDescent="0.25">
      <c r="A1783" s="13"/>
      <c r="B1783" s="13"/>
      <c r="C1783" s="13"/>
      <c r="D1783" s="13"/>
      <c r="E1783" s="13"/>
    </row>
    <row r="1784" spans="1:5" x14ac:dyDescent="0.25">
      <c r="A1784" s="13"/>
      <c r="B1784" s="13"/>
      <c r="C1784" s="13"/>
      <c r="D1784" s="13"/>
      <c r="E1784" s="13"/>
    </row>
    <row r="1785" spans="1:5" x14ac:dyDescent="0.25">
      <c r="A1785" s="13"/>
      <c r="B1785" s="13"/>
      <c r="C1785" s="13"/>
      <c r="D1785" s="13"/>
      <c r="E1785" s="13"/>
    </row>
    <row r="1786" spans="1:5" x14ac:dyDescent="0.25">
      <c r="A1786" s="13"/>
      <c r="B1786" s="13"/>
      <c r="C1786" s="13"/>
      <c r="D1786" s="13"/>
      <c r="E1786" s="13"/>
    </row>
    <row r="1787" spans="1:5" x14ac:dyDescent="0.25">
      <c r="A1787" s="13"/>
      <c r="B1787" s="13"/>
      <c r="C1787" s="13"/>
      <c r="D1787" s="13"/>
      <c r="E1787" s="13"/>
    </row>
    <row r="1788" spans="1:5" x14ac:dyDescent="0.25">
      <c r="A1788" s="13"/>
      <c r="B1788" s="13"/>
      <c r="C1788" s="13"/>
      <c r="D1788" s="13"/>
      <c r="E1788" s="13"/>
    </row>
    <row r="1789" spans="1:5" x14ac:dyDescent="0.25">
      <c r="A1789" s="13"/>
      <c r="B1789" s="13"/>
      <c r="C1789" s="13"/>
      <c r="D1789" s="13"/>
      <c r="E1789" s="13"/>
    </row>
    <row r="1790" spans="1:5" x14ac:dyDescent="0.25">
      <c r="A1790" s="13"/>
      <c r="B1790" s="13"/>
      <c r="C1790" s="13"/>
      <c r="D1790" s="13"/>
      <c r="E1790" s="13"/>
    </row>
    <row r="1791" spans="1:5" x14ac:dyDescent="0.25">
      <c r="A1791" s="13"/>
      <c r="B1791" s="13"/>
      <c r="C1791" s="13"/>
      <c r="D1791" s="13"/>
      <c r="E1791" s="13"/>
    </row>
    <row r="1792" spans="1:5" x14ac:dyDescent="0.25">
      <c r="A1792" s="13"/>
      <c r="B1792" s="13"/>
      <c r="C1792" s="13"/>
      <c r="D1792" s="13"/>
      <c r="E1792" s="13"/>
    </row>
    <row r="1793" spans="1:5" x14ac:dyDescent="0.25">
      <c r="A1793" s="13"/>
      <c r="B1793" s="13"/>
      <c r="C1793" s="13"/>
      <c r="D1793" s="13"/>
      <c r="E1793" s="13"/>
    </row>
    <row r="1794" spans="1:5" x14ac:dyDescent="0.25">
      <c r="A1794" s="13"/>
      <c r="B1794" s="13"/>
      <c r="C1794" s="13"/>
      <c r="D1794" s="13"/>
      <c r="E1794" s="13"/>
    </row>
    <row r="1795" spans="1:5" x14ac:dyDescent="0.25">
      <c r="A1795" s="13"/>
      <c r="B1795" s="13"/>
      <c r="C1795" s="13"/>
      <c r="D1795" s="13"/>
      <c r="E1795" s="13"/>
    </row>
    <row r="1796" spans="1:5" x14ac:dyDescent="0.25">
      <c r="A1796" s="13"/>
      <c r="B1796" s="13"/>
      <c r="C1796" s="13"/>
      <c r="D1796" s="13"/>
      <c r="E1796" s="13"/>
    </row>
    <row r="1797" spans="1:5" x14ac:dyDescent="0.25">
      <c r="A1797" s="13"/>
      <c r="B1797" s="13"/>
      <c r="C1797" s="13"/>
      <c r="D1797" s="13"/>
      <c r="E1797" s="13"/>
    </row>
    <row r="1798" spans="1:5" x14ac:dyDescent="0.25">
      <c r="A1798" s="13"/>
      <c r="B1798" s="13"/>
      <c r="C1798" s="13"/>
      <c r="D1798" s="13"/>
      <c r="E1798" s="13"/>
    </row>
    <row r="1799" spans="1:5" x14ac:dyDescent="0.25">
      <c r="A1799" s="13"/>
      <c r="B1799" s="13"/>
      <c r="C1799" s="13"/>
      <c r="D1799" s="13"/>
      <c r="E1799" s="13"/>
    </row>
    <row r="1800" spans="1:5" x14ac:dyDescent="0.25">
      <c r="A1800" s="13"/>
      <c r="B1800" s="13"/>
      <c r="C1800" s="13"/>
      <c r="D1800" s="13"/>
      <c r="E1800" s="13"/>
    </row>
    <row r="1801" spans="1:5" x14ac:dyDescent="0.25">
      <c r="A1801" s="13"/>
      <c r="B1801" s="13"/>
      <c r="C1801" s="13"/>
      <c r="D1801" s="13"/>
      <c r="E1801" s="13"/>
    </row>
    <row r="1802" spans="1:5" x14ac:dyDescent="0.25">
      <c r="A1802" s="13"/>
      <c r="B1802" s="13"/>
      <c r="C1802" s="13"/>
      <c r="D1802" s="13"/>
      <c r="E1802" s="13"/>
    </row>
    <row r="1803" spans="1:5" x14ac:dyDescent="0.25">
      <c r="A1803" s="13"/>
      <c r="B1803" s="13"/>
      <c r="C1803" s="13"/>
      <c r="D1803" s="13"/>
      <c r="E1803" s="13"/>
    </row>
    <row r="1804" spans="1:5" x14ac:dyDescent="0.25">
      <c r="A1804" s="13"/>
      <c r="B1804" s="13"/>
      <c r="C1804" s="13"/>
      <c r="D1804" s="13"/>
      <c r="E1804" s="13"/>
    </row>
    <row r="1805" spans="1:5" x14ac:dyDescent="0.25">
      <c r="A1805" s="13"/>
      <c r="B1805" s="13"/>
      <c r="C1805" s="13"/>
      <c r="D1805" s="13"/>
      <c r="E1805" s="13"/>
    </row>
    <row r="1806" spans="1:5" x14ac:dyDescent="0.25">
      <c r="A1806" s="13"/>
      <c r="B1806" s="13"/>
      <c r="C1806" s="13"/>
      <c r="D1806" s="13"/>
      <c r="E1806" s="13"/>
    </row>
    <row r="1807" spans="1:5" x14ac:dyDescent="0.25">
      <c r="A1807" s="13"/>
      <c r="B1807" s="13"/>
      <c r="C1807" s="13"/>
      <c r="D1807" s="13"/>
      <c r="E1807" s="13"/>
    </row>
    <row r="1808" spans="1:5" x14ac:dyDescent="0.25">
      <c r="A1808" s="13"/>
      <c r="B1808" s="13"/>
      <c r="C1808" s="13"/>
      <c r="D1808" s="13"/>
      <c r="E1808" s="13"/>
    </row>
    <row r="1809" spans="1:5" x14ac:dyDescent="0.25">
      <c r="A1809" s="13"/>
      <c r="B1809" s="13"/>
      <c r="C1809" s="13"/>
      <c r="D1809" s="13"/>
      <c r="E1809" s="13"/>
    </row>
    <row r="1810" spans="1:5" x14ac:dyDescent="0.25">
      <c r="A1810" s="13"/>
      <c r="B1810" s="13"/>
      <c r="C1810" s="13"/>
      <c r="D1810" s="13"/>
      <c r="E1810" s="13"/>
    </row>
    <row r="1811" spans="1:5" x14ac:dyDescent="0.25">
      <c r="A1811" s="13"/>
      <c r="B1811" s="13"/>
      <c r="C1811" s="13"/>
      <c r="D1811" s="13"/>
      <c r="E1811" s="13"/>
    </row>
    <row r="1812" spans="1:5" x14ac:dyDescent="0.25">
      <c r="A1812" s="13"/>
      <c r="B1812" s="13"/>
      <c r="C1812" s="13"/>
      <c r="D1812" s="13"/>
      <c r="E1812" s="13"/>
    </row>
    <row r="1813" spans="1:5" x14ac:dyDescent="0.25">
      <c r="A1813" s="13"/>
      <c r="B1813" s="13"/>
      <c r="C1813" s="13"/>
      <c r="D1813" s="13"/>
      <c r="E1813" s="13"/>
    </row>
    <row r="1814" spans="1:5" x14ac:dyDescent="0.25">
      <c r="A1814" s="13"/>
      <c r="B1814" s="13"/>
      <c r="C1814" s="13"/>
      <c r="D1814" s="13"/>
      <c r="E1814" s="13"/>
    </row>
    <row r="1815" spans="1:5" x14ac:dyDescent="0.25">
      <c r="A1815" s="13"/>
      <c r="B1815" s="13"/>
      <c r="C1815" s="13"/>
      <c r="D1815" s="13"/>
      <c r="E1815" s="13"/>
    </row>
    <row r="1816" spans="1:5" x14ac:dyDescent="0.25">
      <c r="A1816" s="13"/>
      <c r="B1816" s="13"/>
      <c r="C1816" s="13"/>
      <c r="D1816" s="13"/>
      <c r="E1816" s="13"/>
    </row>
    <row r="1817" spans="1:5" x14ac:dyDescent="0.25">
      <c r="A1817" s="13"/>
      <c r="B1817" s="13"/>
      <c r="C1817" s="13"/>
      <c r="D1817" s="13"/>
      <c r="E1817" s="13"/>
    </row>
    <row r="1818" spans="1:5" x14ac:dyDescent="0.25">
      <c r="A1818" s="13"/>
      <c r="B1818" s="13"/>
      <c r="C1818" s="13"/>
      <c r="D1818" s="13"/>
      <c r="E1818" s="13"/>
    </row>
    <row r="1819" spans="1:5" x14ac:dyDescent="0.25">
      <c r="A1819" s="13"/>
      <c r="B1819" s="13"/>
      <c r="C1819" s="13"/>
      <c r="D1819" s="13"/>
      <c r="E1819" s="13"/>
    </row>
    <row r="1820" spans="1:5" x14ac:dyDescent="0.25">
      <c r="A1820" s="13"/>
      <c r="B1820" s="13"/>
      <c r="C1820" s="13"/>
      <c r="D1820" s="13"/>
      <c r="E1820" s="13"/>
    </row>
    <row r="1821" spans="1:5" x14ac:dyDescent="0.25">
      <c r="A1821" s="13"/>
      <c r="B1821" s="13"/>
      <c r="C1821" s="13"/>
      <c r="D1821" s="13"/>
      <c r="E1821" s="13"/>
    </row>
    <row r="1822" spans="1:5" x14ac:dyDescent="0.25">
      <c r="A1822" s="13"/>
      <c r="B1822" s="13"/>
      <c r="C1822" s="13"/>
      <c r="D1822" s="13"/>
      <c r="E1822" s="13"/>
    </row>
    <row r="1823" spans="1:5" x14ac:dyDescent="0.25">
      <c r="A1823" s="13"/>
      <c r="B1823" s="13"/>
      <c r="C1823" s="13"/>
      <c r="D1823" s="13"/>
      <c r="E1823" s="13"/>
    </row>
    <row r="1824" spans="1:5" x14ac:dyDescent="0.25">
      <c r="A1824" s="13"/>
      <c r="B1824" s="13"/>
      <c r="C1824" s="13"/>
      <c r="D1824" s="13"/>
      <c r="E1824" s="13"/>
    </row>
    <row r="1825" spans="1:5" x14ac:dyDescent="0.25">
      <c r="A1825" s="13"/>
      <c r="B1825" s="13"/>
      <c r="C1825" s="13"/>
      <c r="D1825" s="13"/>
      <c r="E1825" s="13"/>
    </row>
    <row r="1826" spans="1:5" x14ac:dyDescent="0.25">
      <c r="A1826" s="13"/>
      <c r="B1826" s="13"/>
      <c r="C1826" s="13"/>
      <c r="D1826" s="13"/>
      <c r="E1826" s="13"/>
    </row>
    <row r="1827" spans="1:5" x14ac:dyDescent="0.25">
      <c r="A1827" s="13"/>
      <c r="B1827" s="13"/>
      <c r="C1827" s="13"/>
      <c r="D1827" s="13"/>
      <c r="E1827" s="13"/>
    </row>
    <row r="1828" spans="1:5" x14ac:dyDescent="0.25">
      <c r="A1828" s="13"/>
      <c r="B1828" s="13"/>
      <c r="C1828" s="13"/>
      <c r="D1828" s="13"/>
      <c r="E1828" s="13"/>
    </row>
    <row r="1829" spans="1:5" x14ac:dyDescent="0.25">
      <c r="A1829" s="13"/>
      <c r="B1829" s="13"/>
      <c r="C1829" s="13"/>
      <c r="D1829" s="13"/>
      <c r="E1829" s="13"/>
    </row>
    <row r="1830" spans="1:5" x14ac:dyDescent="0.25">
      <c r="A1830" s="13"/>
      <c r="B1830" s="13"/>
      <c r="C1830" s="13"/>
      <c r="D1830" s="13"/>
      <c r="E1830" s="13"/>
    </row>
    <row r="1831" spans="1:5" x14ac:dyDescent="0.25">
      <c r="A1831" s="13"/>
      <c r="B1831" s="13"/>
      <c r="C1831" s="13"/>
      <c r="D1831" s="13"/>
      <c r="E1831" s="13"/>
    </row>
    <row r="1832" spans="1:5" x14ac:dyDescent="0.25">
      <c r="A1832" s="13"/>
      <c r="B1832" s="13"/>
      <c r="C1832" s="13"/>
      <c r="D1832" s="13"/>
      <c r="E1832" s="13"/>
    </row>
    <row r="1833" spans="1:5" x14ac:dyDescent="0.25">
      <c r="A1833" s="13"/>
      <c r="B1833" s="13"/>
      <c r="C1833" s="13"/>
      <c r="D1833" s="13"/>
      <c r="E1833" s="13"/>
    </row>
    <row r="1834" spans="1:5" x14ac:dyDescent="0.25">
      <c r="A1834" s="13"/>
      <c r="B1834" s="13"/>
      <c r="C1834" s="13"/>
      <c r="D1834" s="13"/>
      <c r="E1834" s="13"/>
    </row>
    <row r="1835" spans="1:5" x14ac:dyDescent="0.25">
      <c r="A1835" s="13"/>
      <c r="B1835" s="13"/>
      <c r="C1835" s="13"/>
      <c r="D1835" s="13"/>
      <c r="E1835" s="13"/>
    </row>
    <row r="1836" spans="1:5" x14ac:dyDescent="0.25">
      <c r="A1836" s="13"/>
      <c r="B1836" s="13"/>
      <c r="C1836" s="13"/>
      <c r="D1836" s="13"/>
      <c r="E1836" s="13"/>
    </row>
    <row r="1837" spans="1:5" x14ac:dyDescent="0.25">
      <c r="A1837" s="13"/>
      <c r="B1837" s="13"/>
      <c r="C1837" s="13"/>
      <c r="D1837" s="13"/>
      <c r="E1837" s="13"/>
    </row>
    <row r="1838" spans="1:5" x14ac:dyDescent="0.25">
      <c r="A1838" s="13"/>
      <c r="B1838" s="13"/>
      <c r="C1838" s="13"/>
      <c r="D1838" s="13"/>
      <c r="E1838" s="13"/>
    </row>
    <row r="1839" spans="1:5" x14ac:dyDescent="0.25">
      <c r="A1839" s="13"/>
      <c r="B1839" s="13"/>
      <c r="C1839" s="13"/>
      <c r="D1839" s="13"/>
      <c r="E1839" s="13"/>
    </row>
    <row r="1840" spans="1:5" x14ac:dyDescent="0.25">
      <c r="A1840" s="13"/>
      <c r="B1840" s="13"/>
      <c r="C1840" s="13"/>
      <c r="D1840" s="13"/>
      <c r="E1840" s="13"/>
    </row>
    <row r="1841" spans="1:5" x14ac:dyDescent="0.25">
      <c r="A1841" s="13"/>
      <c r="B1841" s="13"/>
      <c r="C1841" s="13"/>
      <c r="D1841" s="13"/>
      <c r="E1841" s="13"/>
    </row>
    <row r="1842" spans="1:5" x14ac:dyDescent="0.25">
      <c r="A1842" s="13"/>
      <c r="B1842" s="13"/>
      <c r="C1842" s="13"/>
      <c r="D1842" s="13"/>
      <c r="E1842" s="13"/>
    </row>
    <row r="1843" spans="1:5" x14ac:dyDescent="0.25">
      <c r="A1843" s="13"/>
      <c r="B1843" s="13"/>
      <c r="C1843" s="13"/>
      <c r="D1843" s="13"/>
      <c r="E1843" s="13"/>
    </row>
    <row r="1844" spans="1:5" x14ac:dyDescent="0.25">
      <c r="A1844" s="13"/>
      <c r="B1844" s="13"/>
      <c r="C1844" s="13"/>
      <c r="D1844" s="13"/>
      <c r="E1844" s="13"/>
    </row>
    <row r="1845" spans="1:5" x14ac:dyDescent="0.25">
      <c r="A1845" s="13"/>
      <c r="B1845" s="13"/>
      <c r="C1845" s="13"/>
      <c r="D1845" s="13"/>
      <c r="E1845" s="13"/>
    </row>
    <row r="1846" spans="1:5" x14ac:dyDescent="0.25">
      <c r="A1846" s="13"/>
      <c r="B1846" s="13"/>
      <c r="C1846" s="13"/>
      <c r="D1846" s="13"/>
      <c r="E1846" s="13"/>
    </row>
    <row r="1847" spans="1:5" x14ac:dyDescent="0.25">
      <c r="A1847" s="13"/>
      <c r="B1847" s="13"/>
      <c r="C1847" s="13"/>
      <c r="D1847" s="13"/>
      <c r="E1847" s="13"/>
    </row>
    <row r="1848" spans="1:5" x14ac:dyDescent="0.25">
      <c r="A1848" s="13"/>
      <c r="B1848" s="13"/>
      <c r="C1848" s="13"/>
      <c r="D1848" s="13"/>
      <c r="E1848" s="13"/>
    </row>
    <row r="1849" spans="1:5" x14ac:dyDescent="0.25">
      <c r="A1849" s="13"/>
      <c r="B1849" s="13"/>
      <c r="C1849" s="13"/>
      <c r="D1849" s="13"/>
      <c r="E1849" s="13"/>
    </row>
    <row r="1850" spans="1:5" x14ac:dyDescent="0.25">
      <c r="A1850" s="13"/>
      <c r="B1850" s="13"/>
      <c r="C1850" s="13"/>
      <c r="D1850" s="13"/>
      <c r="E1850" s="13"/>
    </row>
    <row r="1851" spans="1:5" x14ac:dyDescent="0.25">
      <c r="A1851" s="13"/>
      <c r="B1851" s="13"/>
      <c r="C1851" s="13"/>
      <c r="D1851" s="13"/>
      <c r="E1851" s="13"/>
    </row>
    <row r="1852" spans="1:5" x14ac:dyDescent="0.25">
      <c r="A1852" s="13"/>
      <c r="B1852" s="13"/>
      <c r="C1852" s="13"/>
      <c r="D1852" s="13"/>
      <c r="E1852" s="13"/>
    </row>
    <row r="1853" spans="1:5" x14ac:dyDescent="0.25">
      <c r="A1853" s="13"/>
      <c r="B1853" s="13"/>
      <c r="C1853" s="13"/>
      <c r="D1853" s="13"/>
      <c r="E1853" s="13"/>
    </row>
    <row r="1854" spans="1:5" x14ac:dyDescent="0.25">
      <c r="A1854" s="13"/>
      <c r="B1854" s="13"/>
      <c r="C1854" s="13"/>
      <c r="D1854" s="13"/>
      <c r="E1854" s="13"/>
    </row>
    <row r="1855" spans="1:5" x14ac:dyDescent="0.25">
      <c r="A1855" s="13"/>
      <c r="B1855" s="13"/>
      <c r="C1855" s="13"/>
      <c r="D1855" s="13"/>
      <c r="E1855" s="13"/>
    </row>
    <row r="1856" spans="1:5" x14ac:dyDescent="0.25">
      <c r="A1856" s="13"/>
      <c r="B1856" s="13"/>
      <c r="C1856" s="13"/>
      <c r="D1856" s="13"/>
      <c r="E1856" s="13"/>
    </row>
    <row r="1857" spans="1:5" x14ac:dyDescent="0.25">
      <c r="A1857" s="13"/>
      <c r="B1857" s="13"/>
      <c r="C1857" s="13"/>
      <c r="D1857" s="13"/>
      <c r="E1857" s="13"/>
    </row>
    <row r="1858" spans="1:5" x14ac:dyDescent="0.25">
      <c r="A1858" s="13"/>
      <c r="B1858" s="13"/>
      <c r="C1858" s="13"/>
      <c r="D1858" s="13"/>
      <c r="E1858" s="13"/>
    </row>
    <row r="1859" spans="1:5" x14ac:dyDescent="0.25">
      <c r="A1859" s="13"/>
      <c r="B1859" s="13"/>
      <c r="C1859" s="13"/>
      <c r="D1859" s="13"/>
      <c r="E1859" s="13"/>
    </row>
    <row r="1860" spans="1:5" x14ac:dyDescent="0.25">
      <c r="A1860" s="13"/>
      <c r="B1860" s="13"/>
      <c r="C1860" s="13"/>
      <c r="D1860" s="13"/>
      <c r="E1860" s="13"/>
    </row>
    <row r="1861" spans="1:5" x14ac:dyDescent="0.25">
      <c r="A1861" s="13"/>
      <c r="B1861" s="13"/>
      <c r="C1861" s="13"/>
      <c r="D1861" s="13"/>
      <c r="E1861" s="13"/>
    </row>
    <row r="1862" spans="1:5" x14ac:dyDescent="0.25">
      <c r="A1862" s="13"/>
      <c r="B1862" s="13"/>
      <c r="C1862" s="13"/>
      <c r="D1862" s="13"/>
      <c r="E1862" s="13"/>
    </row>
    <row r="1863" spans="1:5" x14ac:dyDescent="0.25">
      <c r="A1863" s="13"/>
      <c r="B1863" s="13"/>
      <c r="C1863" s="13"/>
      <c r="D1863" s="13"/>
      <c r="E1863" s="13"/>
    </row>
    <row r="1864" spans="1:5" x14ac:dyDescent="0.25">
      <c r="A1864" s="13"/>
      <c r="B1864" s="13"/>
      <c r="C1864" s="13"/>
      <c r="D1864" s="13"/>
      <c r="E1864" s="13"/>
    </row>
    <row r="1865" spans="1:5" x14ac:dyDescent="0.25">
      <c r="A1865" s="13"/>
      <c r="B1865" s="13"/>
      <c r="C1865" s="13"/>
      <c r="D1865" s="13"/>
      <c r="E1865" s="13"/>
    </row>
    <row r="1866" spans="1:5" x14ac:dyDescent="0.25">
      <c r="A1866" s="13"/>
      <c r="B1866" s="13"/>
      <c r="C1866" s="13"/>
      <c r="D1866" s="13"/>
      <c r="E1866" s="13"/>
    </row>
    <row r="1867" spans="1:5" x14ac:dyDescent="0.25">
      <c r="A1867" s="13"/>
      <c r="B1867" s="13"/>
      <c r="C1867" s="13"/>
      <c r="D1867" s="13"/>
      <c r="E1867" s="13"/>
    </row>
    <row r="1868" spans="1:5" x14ac:dyDescent="0.25">
      <c r="A1868" s="13"/>
      <c r="B1868" s="13"/>
      <c r="C1868" s="13"/>
      <c r="D1868" s="13"/>
      <c r="E1868" s="13"/>
    </row>
    <row r="1869" spans="1:5" x14ac:dyDescent="0.25">
      <c r="A1869" s="13"/>
      <c r="B1869" s="13"/>
      <c r="C1869" s="13"/>
      <c r="D1869" s="13"/>
      <c r="E1869" s="13"/>
    </row>
    <row r="1870" spans="1:5" x14ac:dyDescent="0.25">
      <c r="A1870" s="13"/>
      <c r="B1870" s="13"/>
      <c r="C1870" s="13"/>
      <c r="D1870" s="13"/>
      <c r="E1870" s="13"/>
    </row>
    <row r="1871" spans="1:5" x14ac:dyDescent="0.25">
      <c r="A1871" s="13"/>
      <c r="B1871" s="13"/>
      <c r="C1871" s="13"/>
      <c r="D1871" s="13"/>
      <c r="E1871" s="13"/>
    </row>
    <row r="1872" spans="1:5" x14ac:dyDescent="0.25">
      <c r="A1872" s="13"/>
      <c r="B1872" s="13"/>
      <c r="C1872" s="13"/>
      <c r="D1872" s="13"/>
      <c r="E1872" s="13"/>
    </row>
    <row r="1873" spans="1:5" x14ac:dyDescent="0.25">
      <c r="A1873" s="13"/>
      <c r="B1873" s="13"/>
      <c r="C1873" s="13"/>
      <c r="D1873" s="13"/>
      <c r="E1873" s="13"/>
    </row>
    <row r="1874" spans="1:5" x14ac:dyDescent="0.25">
      <c r="A1874" s="13"/>
      <c r="B1874" s="13"/>
      <c r="C1874" s="13"/>
      <c r="D1874" s="13"/>
      <c r="E1874" s="13"/>
    </row>
    <row r="1875" spans="1:5" x14ac:dyDescent="0.25">
      <c r="A1875" s="13"/>
      <c r="B1875" s="13"/>
      <c r="C1875" s="13"/>
      <c r="D1875" s="13"/>
      <c r="E1875" s="13"/>
    </row>
    <row r="1876" spans="1:5" x14ac:dyDescent="0.25">
      <c r="A1876" s="13"/>
      <c r="B1876" s="13"/>
      <c r="C1876" s="13"/>
      <c r="D1876" s="13"/>
      <c r="E1876" s="13"/>
    </row>
    <row r="1877" spans="1:5" x14ac:dyDescent="0.25">
      <c r="A1877" s="13"/>
      <c r="B1877" s="13"/>
      <c r="C1877" s="13"/>
      <c r="D1877" s="13"/>
      <c r="E1877" s="13"/>
    </row>
    <row r="1878" spans="1:5" x14ac:dyDescent="0.25">
      <c r="A1878" s="13"/>
      <c r="B1878" s="13"/>
      <c r="C1878" s="13"/>
      <c r="D1878" s="13"/>
      <c r="E1878" s="13"/>
    </row>
    <row r="1879" spans="1:5" x14ac:dyDescent="0.25">
      <c r="A1879" s="13"/>
      <c r="B1879" s="13"/>
      <c r="C1879" s="13"/>
      <c r="D1879" s="13"/>
      <c r="E1879" s="13"/>
    </row>
    <row r="1880" spans="1:5" x14ac:dyDescent="0.25">
      <c r="A1880" s="13"/>
      <c r="B1880" s="13"/>
      <c r="C1880" s="13"/>
      <c r="D1880" s="13"/>
      <c r="E1880" s="13"/>
    </row>
    <row r="1881" spans="1:5" x14ac:dyDescent="0.25">
      <c r="A1881" s="13"/>
      <c r="B1881" s="13"/>
      <c r="C1881" s="13"/>
      <c r="D1881" s="13"/>
      <c r="E1881" s="13"/>
    </row>
    <row r="1882" spans="1:5" x14ac:dyDescent="0.25">
      <c r="A1882" s="13"/>
      <c r="B1882" s="13"/>
      <c r="C1882" s="13"/>
      <c r="D1882" s="13"/>
      <c r="E1882" s="13"/>
    </row>
    <row r="1883" spans="1:5" x14ac:dyDescent="0.25">
      <c r="A1883" s="13"/>
      <c r="B1883" s="13"/>
      <c r="C1883" s="13"/>
      <c r="D1883" s="13"/>
      <c r="E1883" s="13"/>
    </row>
    <row r="1884" spans="1:5" x14ac:dyDescent="0.25">
      <c r="A1884" s="13"/>
      <c r="B1884" s="13"/>
      <c r="C1884" s="13"/>
      <c r="D1884" s="13"/>
      <c r="E1884" s="13"/>
    </row>
    <row r="1885" spans="1:5" x14ac:dyDescent="0.25">
      <c r="A1885" s="13"/>
      <c r="B1885" s="13"/>
      <c r="C1885" s="13"/>
      <c r="D1885" s="13"/>
      <c r="E1885" s="13"/>
    </row>
    <row r="1886" spans="1:5" x14ac:dyDescent="0.25">
      <c r="A1886" s="13"/>
      <c r="B1886" s="13"/>
      <c r="C1886" s="13"/>
      <c r="D1886" s="13"/>
      <c r="E1886" s="13"/>
    </row>
    <row r="1887" spans="1:5" x14ac:dyDescent="0.25">
      <c r="A1887" s="13"/>
      <c r="B1887" s="13"/>
      <c r="C1887" s="13"/>
      <c r="D1887" s="13"/>
      <c r="E1887" s="13"/>
    </row>
    <row r="1888" spans="1:5" x14ac:dyDescent="0.25">
      <c r="A1888" s="13"/>
      <c r="B1888" s="13"/>
      <c r="C1888" s="13"/>
      <c r="D1888" s="13"/>
      <c r="E1888" s="13"/>
    </row>
    <row r="1889" spans="1:5" x14ac:dyDescent="0.25">
      <c r="A1889" s="13"/>
      <c r="B1889" s="13"/>
      <c r="C1889" s="13"/>
      <c r="D1889" s="13"/>
      <c r="E1889" s="13"/>
    </row>
    <row r="1890" spans="1:5" x14ac:dyDescent="0.25">
      <c r="A1890" s="13"/>
      <c r="B1890" s="13"/>
      <c r="C1890" s="13"/>
      <c r="D1890" s="13"/>
      <c r="E1890" s="13"/>
    </row>
    <row r="1891" spans="1:5" x14ac:dyDescent="0.25">
      <c r="A1891" s="13"/>
      <c r="B1891" s="13"/>
      <c r="C1891" s="13"/>
      <c r="D1891" s="13"/>
      <c r="E1891" s="13"/>
    </row>
    <row r="1892" spans="1:5" x14ac:dyDescent="0.25">
      <c r="A1892" s="13"/>
      <c r="B1892" s="13"/>
      <c r="C1892" s="13"/>
      <c r="D1892" s="13"/>
      <c r="E1892" s="13"/>
    </row>
    <row r="1893" spans="1:5" x14ac:dyDescent="0.25">
      <c r="A1893" s="13"/>
      <c r="B1893" s="13"/>
      <c r="C1893" s="13"/>
      <c r="D1893" s="13"/>
      <c r="E1893" s="13"/>
    </row>
    <row r="1894" spans="1:5" x14ac:dyDescent="0.25">
      <c r="A1894" s="13"/>
      <c r="B1894" s="13"/>
      <c r="C1894" s="13"/>
      <c r="D1894" s="13"/>
      <c r="E1894" s="13"/>
    </row>
    <row r="1895" spans="1:5" x14ac:dyDescent="0.25">
      <c r="A1895" s="13"/>
      <c r="B1895" s="13"/>
      <c r="C1895" s="13"/>
      <c r="D1895" s="13"/>
      <c r="E1895" s="13"/>
    </row>
    <row r="1896" spans="1:5" x14ac:dyDescent="0.25">
      <c r="A1896" s="13"/>
      <c r="B1896" s="13"/>
      <c r="C1896" s="13"/>
      <c r="D1896" s="13"/>
      <c r="E1896" s="13"/>
    </row>
    <row r="1897" spans="1:5" x14ac:dyDescent="0.25">
      <c r="A1897" s="13"/>
      <c r="B1897" s="13"/>
      <c r="C1897" s="13"/>
      <c r="D1897" s="13"/>
      <c r="E1897" s="13"/>
    </row>
    <row r="1898" spans="1:5" x14ac:dyDescent="0.25">
      <c r="A1898" s="13"/>
      <c r="B1898" s="13"/>
      <c r="C1898" s="13"/>
      <c r="D1898" s="13"/>
      <c r="E1898" s="13"/>
    </row>
    <row r="1899" spans="1:5" x14ac:dyDescent="0.25">
      <c r="A1899" s="13"/>
      <c r="B1899" s="13"/>
      <c r="C1899" s="13"/>
      <c r="D1899" s="13"/>
      <c r="E1899" s="13"/>
    </row>
    <row r="1900" spans="1:5" x14ac:dyDescent="0.25">
      <c r="A1900" s="13"/>
      <c r="B1900" s="13"/>
      <c r="C1900" s="13"/>
      <c r="D1900" s="13"/>
      <c r="E1900" s="13"/>
    </row>
    <row r="1901" spans="1:5" x14ac:dyDescent="0.25">
      <c r="A1901" s="13"/>
      <c r="B1901" s="13"/>
      <c r="C1901" s="13"/>
      <c r="D1901" s="13"/>
      <c r="E1901" s="13"/>
    </row>
    <row r="1902" spans="1:5" x14ac:dyDescent="0.25">
      <c r="A1902" s="13"/>
      <c r="B1902" s="13"/>
      <c r="C1902" s="13"/>
      <c r="D1902" s="13"/>
      <c r="E1902" s="13"/>
    </row>
    <row r="1903" spans="1:5" x14ac:dyDescent="0.25">
      <c r="A1903" s="13"/>
      <c r="B1903" s="13"/>
      <c r="C1903" s="13"/>
      <c r="D1903" s="13"/>
      <c r="E1903" s="13"/>
    </row>
    <row r="1904" spans="1:5" x14ac:dyDescent="0.25">
      <c r="A1904" s="13"/>
      <c r="B1904" s="13"/>
      <c r="C1904" s="13"/>
      <c r="D1904" s="13"/>
      <c r="E1904" s="13"/>
    </row>
    <row r="1905" spans="1:5" x14ac:dyDescent="0.25">
      <c r="A1905" s="13"/>
      <c r="B1905" s="13"/>
      <c r="C1905" s="13"/>
      <c r="D1905" s="13"/>
      <c r="E1905" s="13"/>
    </row>
    <row r="1906" spans="1:5" x14ac:dyDescent="0.25">
      <c r="A1906" s="13"/>
      <c r="B1906" s="13"/>
      <c r="C1906" s="13"/>
      <c r="D1906" s="13"/>
      <c r="E1906" s="13"/>
    </row>
    <row r="1907" spans="1:5" x14ac:dyDescent="0.25">
      <c r="A1907" s="13"/>
      <c r="B1907" s="13"/>
      <c r="C1907" s="13"/>
      <c r="D1907" s="13"/>
      <c r="E1907" s="13"/>
    </row>
    <row r="1908" spans="1:5" x14ac:dyDescent="0.25">
      <c r="A1908" s="13"/>
      <c r="B1908" s="13"/>
      <c r="C1908" s="13"/>
      <c r="D1908" s="13"/>
      <c r="E1908" s="13"/>
    </row>
    <row r="1909" spans="1:5" x14ac:dyDescent="0.25">
      <c r="A1909" s="13"/>
      <c r="B1909" s="13"/>
      <c r="C1909" s="13"/>
      <c r="D1909" s="13"/>
      <c r="E1909" s="13"/>
    </row>
    <row r="1910" spans="1:5" x14ac:dyDescent="0.25">
      <c r="A1910" s="13"/>
      <c r="B1910" s="13"/>
      <c r="C1910" s="13"/>
      <c r="D1910" s="13"/>
      <c r="E1910" s="13"/>
    </row>
    <row r="1911" spans="1:5" x14ac:dyDescent="0.25">
      <c r="A1911" s="13"/>
      <c r="B1911" s="13"/>
      <c r="C1911" s="13"/>
      <c r="D1911" s="13"/>
      <c r="E1911" s="13"/>
    </row>
    <row r="1912" spans="1:5" x14ac:dyDescent="0.25">
      <c r="A1912" s="13"/>
      <c r="B1912" s="13"/>
      <c r="C1912" s="13"/>
      <c r="D1912" s="13"/>
      <c r="E1912" s="13"/>
    </row>
    <row r="1913" spans="1:5" x14ac:dyDescent="0.25">
      <c r="A1913" s="13"/>
      <c r="B1913" s="13"/>
      <c r="C1913" s="13"/>
      <c r="D1913" s="13"/>
      <c r="E1913" s="13"/>
    </row>
    <row r="1914" spans="1:5" x14ac:dyDescent="0.25">
      <c r="A1914" s="13"/>
      <c r="B1914" s="13"/>
      <c r="C1914" s="13"/>
      <c r="D1914" s="13"/>
      <c r="E1914" s="13"/>
    </row>
    <row r="1915" spans="1:5" x14ac:dyDescent="0.25">
      <c r="A1915" s="13"/>
      <c r="B1915" s="13"/>
      <c r="C1915" s="13"/>
      <c r="D1915" s="13"/>
      <c r="E1915" s="13"/>
    </row>
    <row r="1916" spans="1:5" x14ac:dyDescent="0.25">
      <c r="A1916" s="13"/>
      <c r="B1916" s="13"/>
      <c r="C1916" s="13"/>
      <c r="D1916" s="13"/>
      <c r="E1916" s="13"/>
    </row>
    <row r="1917" spans="1:5" x14ac:dyDescent="0.25">
      <c r="A1917" s="13"/>
      <c r="B1917" s="13"/>
      <c r="C1917" s="13"/>
      <c r="D1917" s="13"/>
      <c r="E1917" s="13"/>
    </row>
    <row r="1918" spans="1:5" x14ac:dyDescent="0.25">
      <c r="A1918" s="13"/>
      <c r="B1918" s="13"/>
      <c r="C1918" s="13"/>
      <c r="D1918" s="13"/>
      <c r="E1918" s="13"/>
    </row>
    <row r="1919" spans="1:5" x14ac:dyDescent="0.25">
      <c r="A1919" s="13"/>
      <c r="B1919" s="13"/>
      <c r="C1919" s="13"/>
      <c r="D1919" s="13"/>
      <c r="E1919" s="13"/>
    </row>
    <row r="1920" spans="1:5" x14ac:dyDescent="0.25">
      <c r="A1920" s="13"/>
      <c r="B1920" s="13"/>
      <c r="C1920" s="13"/>
      <c r="D1920" s="13"/>
      <c r="E1920" s="13"/>
    </row>
    <row r="1921" spans="1:5" x14ac:dyDescent="0.25">
      <c r="A1921" s="13"/>
      <c r="B1921" s="13"/>
      <c r="C1921" s="13"/>
      <c r="D1921" s="13"/>
      <c r="E1921" s="13"/>
    </row>
    <row r="1922" spans="1:5" x14ac:dyDescent="0.25">
      <c r="A1922" s="13"/>
      <c r="B1922" s="13"/>
      <c r="C1922" s="13"/>
      <c r="D1922" s="13"/>
      <c r="E1922" s="13"/>
    </row>
    <row r="1923" spans="1:5" x14ac:dyDescent="0.25">
      <c r="A1923" s="13"/>
      <c r="B1923" s="13"/>
      <c r="C1923" s="13"/>
      <c r="D1923" s="13"/>
      <c r="E1923" s="13"/>
    </row>
    <row r="1924" spans="1:5" x14ac:dyDescent="0.25">
      <c r="A1924" s="13"/>
      <c r="B1924" s="13"/>
      <c r="C1924" s="13"/>
      <c r="D1924" s="13"/>
      <c r="E1924" s="13"/>
    </row>
    <row r="1925" spans="1:5" x14ac:dyDescent="0.25">
      <c r="A1925" s="13"/>
      <c r="B1925" s="13"/>
      <c r="C1925" s="13"/>
      <c r="D1925" s="13"/>
      <c r="E1925" s="13"/>
    </row>
    <row r="1926" spans="1:5" x14ac:dyDescent="0.25">
      <c r="A1926" s="13"/>
      <c r="B1926" s="13"/>
      <c r="C1926" s="13"/>
      <c r="D1926" s="13"/>
      <c r="E1926" s="13"/>
    </row>
    <row r="1927" spans="1:5" x14ac:dyDescent="0.25">
      <c r="A1927" s="13"/>
      <c r="B1927" s="13"/>
      <c r="C1927" s="13"/>
      <c r="D1927" s="13"/>
      <c r="E1927" s="13"/>
    </row>
    <row r="1928" spans="1:5" x14ac:dyDescent="0.25">
      <c r="A1928" s="13"/>
      <c r="B1928" s="13"/>
      <c r="C1928" s="13"/>
      <c r="D1928" s="13"/>
      <c r="E1928" s="13"/>
    </row>
    <row r="1929" spans="1:5" x14ac:dyDescent="0.25">
      <c r="A1929" s="13"/>
      <c r="B1929" s="13"/>
      <c r="C1929" s="13"/>
      <c r="D1929" s="13"/>
      <c r="E1929" s="13"/>
    </row>
    <row r="1930" spans="1:5" x14ac:dyDescent="0.25">
      <c r="A1930" s="13"/>
      <c r="B1930" s="13"/>
      <c r="C1930" s="13"/>
      <c r="D1930" s="13"/>
      <c r="E1930" s="13"/>
    </row>
    <row r="1931" spans="1:5" x14ac:dyDescent="0.25">
      <c r="A1931" s="13"/>
      <c r="B1931" s="13"/>
      <c r="C1931" s="13"/>
      <c r="D1931" s="13"/>
      <c r="E1931" s="13"/>
    </row>
    <row r="1932" spans="1:5" x14ac:dyDescent="0.25">
      <c r="A1932" s="13"/>
      <c r="B1932" s="13"/>
      <c r="C1932" s="13"/>
      <c r="D1932" s="13"/>
      <c r="E1932" s="13"/>
    </row>
    <row r="1933" spans="1:5" x14ac:dyDescent="0.25">
      <c r="A1933" s="13"/>
      <c r="B1933" s="13"/>
      <c r="C1933" s="13"/>
      <c r="D1933" s="13"/>
      <c r="E1933" s="13"/>
    </row>
    <row r="1934" spans="1:5" x14ac:dyDescent="0.25">
      <c r="A1934" s="13"/>
      <c r="B1934" s="13"/>
      <c r="C1934" s="13"/>
      <c r="D1934" s="13"/>
      <c r="E1934" s="13"/>
    </row>
    <row r="1935" spans="1:5" x14ac:dyDescent="0.25">
      <c r="A1935" s="13"/>
      <c r="B1935" s="13"/>
      <c r="C1935" s="13"/>
      <c r="D1935" s="13"/>
      <c r="E1935" s="13"/>
    </row>
    <row r="1936" spans="1:5" x14ac:dyDescent="0.25">
      <c r="A1936" s="13"/>
      <c r="B1936" s="13"/>
      <c r="C1936" s="13"/>
      <c r="D1936" s="13"/>
      <c r="E1936" s="13"/>
    </row>
    <row r="1937" spans="1:5" x14ac:dyDescent="0.25">
      <c r="A1937" s="13"/>
      <c r="B1937" s="13"/>
      <c r="C1937" s="13"/>
      <c r="D1937" s="13"/>
      <c r="E1937" s="13"/>
    </row>
    <row r="1938" spans="1:5" x14ac:dyDescent="0.25">
      <c r="A1938" s="13"/>
      <c r="B1938" s="13"/>
      <c r="C1938" s="13"/>
      <c r="D1938" s="13"/>
      <c r="E1938" s="13"/>
    </row>
    <row r="1939" spans="1:5" x14ac:dyDescent="0.25">
      <c r="A1939" s="13"/>
      <c r="B1939" s="13"/>
      <c r="C1939" s="13"/>
      <c r="D1939" s="13"/>
      <c r="E1939" s="13"/>
    </row>
    <row r="1940" spans="1:5" x14ac:dyDescent="0.25">
      <c r="A1940" s="13"/>
      <c r="B1940" s="13"/>
      <c r="C1940" s="13"/>
      <c r="D1940" s="13"/>
      <c r="E1940" s="13"/>
    </row>
    <row r="1941" spans="1:5" x14ac:dyDescent="0.25">
      <c r="A1941" s="13"/>
      <c r="B1941" s="13"/>
      <c r="C1941" s="13"/>
      <c r="D1941" s="13"/>
      <c r="E1941" s="13"/>
    </row>
    <row r="1942" spans="1:5" x14ac:dyDescent="0.25">
      <c r="A1942" s="13"/>
      <c r="B1942" s="13"/>
      <c r="C1942" s="13"/>
      <c r="D1942" s="13"/>
      <c r="E1942" s="13"/>
    </row>
    <row r="1943" spans="1:5" x14ac:dyDescent="0.25">
      <c r="A1943" s="13"/>
      <c r="B1943" s="13"/>
      <c r="C1943" s="13"/>
      <c r="D1943" s="13"/>
      <c r="E1943" s="13"/>
    </row>
    <row r="1944" spans="1:5" x14ac:dyDescent="0.25">
      <c r="A1944" s="13"/>
      <c r="B1944" s="13"/>
      <c r="C1944" s="13"/>
      <c r="D1944" s="13"/>
      <c r="E1944" s="13"/>
    </row>
    <row r="1945" spans="1:5" x14ac:dyDescent="0.25">
      <c r="A1945" s="13"/>
      <c r="B1945" s="13"/>
      <c r="C1945" s="13"/>
      <c r="D1945" s="13"/>
      <c r="E1945" s="13"/>
    </row>
    <row r="1946" spans="1:5" x14ac:dyDescent="0.25">
      <c r="A1946" s="13"/>
      <c r="B1946" s="13"/>
      <c r="C1946" s="13"/>
      <c r="D1946" s="13"/>
      <c r="E1946" s="13"/>
    </row>
    <row r="1947" spans="1:5" x14ac:dyDescent="0.25">
      <c r="A1947" s="13"/>
      <c r="B1947" s="13"/>
      <c r="C1947" s="13"/>
      <c r="D1947" s="13"/>
      <c r="E1947" s="13"/>
    </row>
    <row r="1948" spans="1:5" x14ac:dyDescent="0.25">
      <c r="A1948" s="13"/>
      <c r="B1948" s="13"/>
      <c r="C1948" s="13"/>
      <c r="D1948" s="13"/>
      <c r="E1948" s="13"/>
    </row>
    <row r="1949" spans="1:5" x14ac:dyDescent="0.25">
      <c r="A1949" s="13"/>
      <c r="B1949" s="13"/>
      <c r="C1949" s="13"/>
      <c r="D1949" s="13"/>
      <c r="E1949" s="13"/>
    </row>
    <row r="1950" spans="1:5" x14ac:dyDescent="0.25">
      <c r="A1950" s="13"/>
      <c r="B1950" s="13"/>
      <c r="C1950" s="13"/>
      <c r="D1950" s="13"/>
      <c r="E1950" s="13"/>
    </row>
    <row r="1951" spans="1:5" x14ac:dyDescent="0.25">
      <c r="A1951" s="13"/>
      <c r="B1951" s="13"/>
      <c r="C1951" s="13"/>
      <c r="D1951" s="13"/>
      <c r="E1951" s="13"/>
    </row>
    <row r="1952" spans="1:5" x14ac:dyDescent="0.25">
      <c r="A1952" s="13"/>
      <c r="B1952" s="13"/>
      <c r="C1952" s="13"/>
      <c r="D1952" s="13"/>
      <c r="E1952" s="13"/>
    </row>
    <row r="1953" spans="1:5" x14ac:dyDescent="0.25">
      <c r="A1953" s="13"/>
      <c r="B1953" s="13"/>
      <c r="C1953" s="13"/>
      <c r="D1953" s="13"/>
      <c r="E1953" s="13"/>
    </row>
    <row r="1954" spans="1:5" x14ac:dyDescent="0.25">
      <c r="A1954" s="13"/>
      <c r="B1954" s="13"/>
      <c r="C1954" s="13"/>
      <c r="D1954" s="13"/>
      <c r="E1954" s="13"/>
    </row>
    <row r="1955" spans="1:5" x14ac:dyDescent="0.25">
      <c r="A1955" s="13"/>
      <c r="B1955" s="13"/>
      <c r="C1955" s="13"/>
      <c r="D1955" s="13"/>
      <c r="E1955" s="13"/>
    </row>
    <row r="1956" spans="1:5" x14ac:dyDescent="0.25">
      <c r="A1956" s="13"/>
      <c r="B1956" s="13"/>
      <c r="C1956" s="13"/>
      <c r="D1956" s="13"/>
      <c r="E1956" s="13"/>
    </row>
    <row r="1957" spans="1:5" x14ac:dyDescent="0.25">
      <c r="A1957" s="13"/>
      <c r="B1957" s="13"/>
      <c r="C1957" s="13"/>
      <c r="D1957" s="13"/>
      <c r="E1957" s="13"/>
    </row>
    <row r="1958" spans="1:5" x14ac:dyDescent="0.25">
      <c r="A1958" s="13"/>
      <c r="B1958" s="13"/>
      <c r="C1958" s="13"/>
      <c r="D1958" s="13"/>
      <c r="E1958" s="13"/>
    </row>
    <row r="1959" spans="1:5" x14ac:dyDescent="0.25">
      <c r="A1959" s="13"/>
      <c r="B1959" s="13"/>
      <c r="C1959" s="13"/>
      <c r="D1959" s="13"/>
      <c r="E1959" s="13"/>
    </row>
    <row r="1960" spans="1:5" x14ac:dyDescent="0.25">
      <c r="A1960" s="13"/>
      <c r="B1960" s="13"/>
      <c r="C1960" s="13"/>
      <c r="D1960" s="13"/>
      <c r="E1960" s="13"/>
    </row>
    <row r="1961" spans="1:5" x14ac:dyDescent="0.25">
      <c r="A1961" s="13"/>
      <c r="B1961" s="13"/>
      <c r="C1961" s="13"/>
      <c r="D1961" s="13"/>
      <c r="E1961" s="13"/>
    </row>
    <row r="1962" spans="1:5" x14ac:dyDescent="0.25">
      <c r="A1962" s="13"/>
      <c r="B1962" s="13"/>
      <c r="C1962" s="13"/>
      <c r="D1962" s="13"/>
      <c r="E1962" s="13"/>
    </row>
    <row r="1963" spans="1:5" x14ac:dyDescent="0.25">
      <c r="A1963" s="13"/>
      <c r="B1963" s="13"/>
      <c r="C1963" s="13"/>
      <c r="D1963" s="13"/>
      <c r="E1963" s="13"/>
    </row>
    <row r="1964" spans="1:5" x14ac:dyDescent="0.25">
      <c r="A1964" s="13"/>
      <c r="B1964" s="13"/>
      <c r="C1964" s="13"/>
      <c r="D1964" s="13"/>
      <c r="E1964" s="13"/>
    </row>
    <row r="1965" spans="1:5" x14ac:dyDescent="0.25">
      <c r="A1965" s="13"/>
      <c r="B1965" s="13"/>
      <c r="C1965" s="13"/>
      <c r="D1965" s="13"/>
      <c r="E1965" s="13"/>
    </row>
    <row r="1966" spans="1:5" x14ac:dyDescent="0.25">
      <c r="A1966" s="13"/>
      <c r="B1966" s="13"/>
      <c r="C1966" s="13"/>
      <c r="D1966" s="13"/>
      <c r="E1966" s="13"/>
    </row>
    <row r="1967" spans="1:5" x14ac:dyDescent="0.25">
      <c r="A1967" s="13"/>
      <c r="B1967" s="13"/>
      <c r="C1967" s="13"/>
      <c r="D1967" s="13"/>
      <c r="E1967" s="13"/>
    </row>
    <row r="1968" spans="1:5" x14ac:dyDescent="0.25">
      <c r="A1968" s="13"/>
      <c r="B1968" s="13"/>
      <c r="C1968" s="13"/>
      <c r="D1968" s="13"/>
      <c r="E1968" s="13"/>
    </row>
    <row r="1969" spans="1:5" x14ac:dyDescent="0.25">
      <c r="A1969" s="13"/>
      <c r="B1969" s="13"/>
      <c r="C1969" s="13"/>
      <c r="D1969" s="13"/>
      <c r="E1969" s="13"/>
    </row>
    <row r="1970" spans="1:5" x14ac:dyDescent="0.25">
      <c r="A1970" s="13"/>
      <c r="B1970" s="13"/>
      <c r="C1970" s="13"/>
      <c r="D1970" s="13"/>
      <c r="E1970" s="13"/>
    </row>
    <row r="1971" spans="1:5" x14ac:dyDescent="0.25">
      <c r="A1971" s="13"/>
      <c r="B1971" s="13"/>
      <c r="C1971" s="13"/>
      <c r="D1971" s="13"/>
      <c r="E1971" s="13"/>
    </row>
    <row r="1972" spans="1:5" x14ac:dyDescent="0.25">
      <c r="A1972" s="13"/>
      <c r="B1972" s="13"/>
      <c r="C1972" s="13"/>
      <c r="D1972" s="13"/>
      <c r="E1972" s="13"/>
    </row>
    <row r="1973" spans="1:5" x14ac:dyDescent="0.25">
      <c r="A1973" s="13"/>
      <c r="B1973" s="13"/>
      <c r="C1973" s="13"/>
      <c r="D1973" s="13"/>
      <c r="E1973" s="13"/>
    </row>
    <row r="1974" spans="1:5" x14ac:dyDescent="0.25">
      <c r="A1974" s="13"/>
      <c r="B1974" s="13"/>
      <c r="C1974" s="13"/>
      <c r="D1974" s="13"/>
      <c r="E1974" s="13"/>
    </row>
    <row r="1975" spans="1:5" x14ac:dyDescent="0.25">
      <c r="A1975" s="13"/>
      <c r="B1975" s="13"/>
      <c r="C1975" s="13"/>
      <c r="D1975" s="13"/>
      <c r="E1975" s="13"/>
    </row>
    <row r="1976" spans="1:5" x14ac:dyDescent="0.25">
      <c r="A1976" s="13"/>
      <c r="B1976" s="13"/>
      <c r="C1976" s="13"/>
      <c r="D1976" s="13"/>
      <c r="E1976" s="13"/>
    </row>
    <row r="1977" spans="1:5" x14ac:dyDescent="0.25">
      <c r="A1977" s="13"/>
      <c r="B1977" s="13"/>
      <c r="C1977" s="13"/>
      <c r="D1977" s="13"/>
      <c r="E1977" s="13"/>
    </row>
    <row r="1978" spans="1:5" x14ac:dyDescent="0.25">
      <c r="A1978" s="13"/>
      <c r="B1978" s="13"/>
      <c r="C1978" s="13"/>
      <c r="D1978" s="13"/>
      <c r="E1978" s="13"/>
    </row>
    <row r="1979" spans="1:5" x14ac:dyDescent="0.25">
      <c r="A1979" s="13"/>
      <c r="B1979" s="13"/>
      <c r="C1979" s="13"/>
      <c r="D1979" s="13"/>
      <c r="E1979" s="13"/>
    </row>
    <row r="1980" spans="1:5" x14ac:dyDescent="0.25">
      <c r="A1980" s="13"/>
      <c r="B1980" s="13"/>
      <c r="C1980" s="13"/>
      <c r="D1980" s="13"/>
      <c r="E1980" s="13"/>
    </row>
    <row r="1981" spans="1:5" x14ac:dyDescent="0.25">
      <c r="A1981" s="13"/>
      <c r="B1981" s="13"/>
      <c r="C1981" s="13"/>
      <c r="D1981" s="13"/>
      <c r="E1981" s="13"/>
    </row>
    <row r="1982" spans="1:5" x14ac:dyDescent="0.25">
      <c r="A1982" s="13"/>
      <c r="B1982" s="13"/>
      <c r="C1982" s="13"/>
      <c r="D1982" s="13"/>
      <c r="E1982" s="13"/>
    </row>
    <row r="1983" spans="1:5" x14ac:dyDescent="0.25">
      <c r="A1983" s="13"/>
      <c r="B1983" s="13"/>
      <c r="C1983" s="13"/>
      <c r="D1983" s="13"/>
      <c r="E1983" s="13"/>
    </row>
    <row r="1984" spans="1:5" x14ac:dyDescent="0.25">
      <c r="A1984" s="13"/>
      <c r="B1984" s="13"/>
      <c r="C1984" s="13"/>
      <c r="D1984" s="13"/>
      <c r="E1984" s="13"/>
    </row>
    <row r="1985" spans="1:5" x14ac:dyDescent="0.25">
      <c r="A1985" s="13"/>
      <c r="B1985" s="13"/>
      <c r="C1985" s="13"/>
      <c r="D1985" s="13"/>
      <c r="E1985" s="13"/>
    </row>
    <row r="1986" spans="1:5" x14ac:dyDescent="0.25">
      <c r="A1986" s="13"/>
      <c r="B1986" s="13"/>
      <c r="C1986" s="13"/>
      <c r="D1986" s="13"/>
      <c r="E1986" s="13"/>
    </row>
    <row r="1987" spans="1:5" x14ac:dyDescent="0.25">
      <c r="A1987" s="13"/>
      <c r="B1987" s="13"/>
      <c r="C1987" s="13"/>
      <c r="D1987" s="13"/>
      <c r="E1987" s="13"/>
    </row>
    <row r="1988" spans="1:5" x14ac:dyDescent="0.25">
      <c r="A1988" s="13"/>
      <c r="B1988" s="13"/>
      <c r="C1988" s="13"/>
      <c r="D1988" s="13"/>
      <c r="E1988" s="13"/>
    </row>
    <row r="1989" spans="1:5" x14ac:dyDescent="0.25">
      <c r="A1989" s="13"/>
      <c r="B1989" s="13"/>
      <c r="C1989" s="13"/>
      <c r="D1989" s="13"/>
      <c r="E1989" s="13"/>
    </row>
    <row r="1990" spans="1:5" x14ac:dyDescent="0.25">
      <c r="A1990" s="13"/>
      <c r="B1990" s="13"/>
      <c r="C1990" s="13"/>
      <c r="D1990" s="13"/>
      <c r="E1990" s="13"/>
    </row>
    <row r="1991" spans="1:5" x14ac:dyDescent="0.25">
      <c r="A1991" s="13"/>
      <c r="B1991" s="13"/>
      <c r="C1991" s="13"/>
      <c r="D1991" s="13"/>
      <c r="E1991" s="13"/>
    </row>
    <row r="1992" spans="1:5" x14ac:dyDescent="0.25">
      <c r="A1992" s="13"/>
      <c r="B1992" s="13"/>
      <c r="C1992" s="13"/>
      <c r="D1992" s="13"/>
      <c r="E1992" s="13"/>
    </row>
    <row r="1993" spans="1:5" x14ac:dyDescent="0.25">
      <c r="A1993" s="13"/>
      <c r="B1993" s="13"/>
      <c r="C1993" s="13"/>
      <c r="D1993" s="13"/>
      <c r="E1993" s="13"/>
    </row>
    <row r="1994" spans="1:5" x14ac:dyDescent="0.25">
      <c r="A1994" s="13"/>
      <c r="B1994" s="13"/>
      <c r="C1994" s="13"/>
      <c r="D1994" s="13"/>
      <c r="E1994" s="13"/>
    </row>
    <row r="1995" spans="1:5" x14ac:dyDescent="0.25">
      <c r="A1995" s="13"/>
      <c r="B1995" s="13"/>
      <c r="C1995" s="13"/>
      <c r="D1995" s="13"/>
      <c r="E1995" s="13"/>
    </row>
    <row r="1996" spans="1:5" x14ac:dyDescent="0.25">
      <c r="A1996" s="13"/>
      <c r="B1996" s="13"/>
      <c r="C1996" s="13"/>
      <c r="D1996" s="13"/>
      <c r="E1996" s="13"/>
    </row>
    <row r="1997" spans="1:5" x14ac:dyDescent="0.25">
      <c r="A1997" s="13"/>
      <c r="B1997" s="13"/>
      <c r="C1997" s="13"/>
      <c r="D1997" s="13"/>
      <c r="E1997" s="13"/>
    </row>
    <row r="1998" spans="1:5" x14ac:dyDescent="0.25">
      <c r="A1998" s="13"/>
      <c r="B1998" s="13"/>
      <c r="C1998" s="13"/>
      <c r="D1998" s="13"/>
      <c r="E1998" s="13"/>
    </row>
    <row r="1999" spans="1:5" x14ac:dyDescent="0.25">
      <c r="A1999" s="13"/>
      <c r="B1999" s="13"/>
      <c r="C1999" s="13"/>
      <c r="D1999" s="13"/>
      <c r="E1999" s="13"/>
    </row>
    <row r="2000" spans="1:5" x14ac:dyDescent="0.25">
      <c r="A2000" s="13"/>
      <c r="B2000" s="13"/>
      <c r="C2000" s="13"/>
      <c r="D2000" s="13"/>
      <c r="E2000" s="13"/>
    </row>
    <row r="2001" spans="1:5" x14ac:dyDescent="0.25">
      <c r="A2001" s="13"/>
      <c r="B2001" s="13"/>
      <c r="C2001" s="13"/>
      <c r="D2001" s="13"/>
      <c r="E2001" s="13"/>
    </row>
    <row r="2002" spans="1:5" x14ac:dyDescent="0.25">
      <c r="A2002" s="13"/>
      <c r="B2002" s="13"/>
      <c r="C2002" s="13"/>
      <c r="D2002" s="13"/>
      <c r="E2002" s="13"/>
    </row>
    <row r="2003" spans="1:5" x14ac:dyDescent="0.25">
      <c r="A2003" s="13"/>
      <c r="B2003" s="13"/>
      <c r="C2003" s="13"/>
      <c r="D2003" s="13"/>
      <c r="E2003" s="13"/>
    </row>
    <row r="2004" spans="1:5" x14ac:dyDescent="0.25">
      <c r="A2004" s="13"/>
      <c r="B2004" s="13"/>
      <c r="C2004" s="13"/>
      <c r="D2004" s="13"/>
      <c r="E2004" s="13"/>
    </row>
    <row r="2005" spans="1:5" x14ac:dyDescent="0.25">
      <c r="A2005" s="13"/>
      <c r="B2005" s="13"/>
      <c r="C2005" s="13"/>
      <c r="D2005" s="13"/>
      <c r="E2005" s="13"/>
    </row>
    <row r="2006" spans="1:5" x14ac:dyDescent="0.25">
      <c r="A2006" s="13"/>
      <c r="B2006" s="13"/>
      <c r="C2006" s="13"/>
      <c r="D2006" s="13"/>
      <c r="E2006" s="13"/>
    </row>
    <row r="2007" spans="1:5" x14ac:dyDescent="0.25">
      <c r="A2007" s="13"/>
      <c r="B2007" s="13"/>
      <c r="C2007" s="13"/>
      <c r="D2007" s="13"/>
      <c r="E2007" s="13"/>
    </row>
    <row r="2008" spans="1:5" x14ac:dyDescent="0.25">
      <c r="A2008" s="13"/>
      <c r="B2008" s="13"/>
      <c r="C2008" s="13"/>
      <c r="D2008" s="13"/>
      <c r="E2008" s="13"/>
    </row>
    <row r="2009" spans="1:5" x14ac:dyDescent="0.25">
      <c r="A2009" s="13"/>
      <c r="B2009" s="13"/>
      <c r="C2009" s="13"/>
      <c r="D2009" s="13"/>
      <c r="E2009" s="13"/>
    </row>
    <row r="2010" spans="1:5" x14ac:dyDescent="0.25">
      <c r="A2010" s="13"/>
      <c r="B2010" s="13"/>
      <c r="C2010" s="13"/>
      <c r="D2010" s="13"/>
      <c r="E2010" s="13"/>
    </row>
    <row r="2011" spans="1:5" x14ac:dyDescent="0.25">
      <c r="A2011" s="13"/>
      <c r="B2011" s="13"/>
      <c r="C2011" s="13"/>
      <c r="D2011" s="13"/>
      <c r="E2011" s="13"/>
    </row>
    <row r="2012" spans="1:5" x14ac:dyDescent="0.25">
      <c r="A2012" s="13"/>
      <c r="B2012" s="13"/>
      <c r="C2012" s="13"/>
      <c r="D2012" s="13"/>
      <c r="E2012" s="13"/>
    </row>
    <row r="2013" spans="1:5" x14ac:dyDescent="0.25">
      <c r="A2013" s="13"/>
      <c r="B2013" s="13"/>
      <c r="C2013" s="13"/>
      <c r="D2013" s="13"/>
      <c r="E2013" s="13"/>
    </row>
    <row r="2014" spans="1:5" x14ac:dyDescent="0.25">
      <c r="A2014" s="13"/>
      <c r="B2014" s="13"/>
      <c r="C2014" s="13"/>
      <c r="D2014" s="13"/>
      <c r="E2014" s="13"/>
    </row>
    <row r="2015" spans="1:5" x14ac:dyDescent="0.25">
      <c r="A2015" s="13"/>
      <c r="B2015" s="13"/>
      <c r="C2015" s="13"/>
      <c r="D2015" s="13"/>
      <c r="E2015" s="13"/>
    </row>
    <row r="2016" spans="1:5" x14ac:dyDescent="0.25">
      <c r="A2016" s="13"/>
      <c r="B2016" s="13"/>
      <c r="C2016" s="13"/>
      <c r="D2016" s="13"/>
      <c r="E2016" s="13"/>
    </row>
    <row r="2017" spans="1:5" x14ac:dyDescent="0.25">
      <c r="A2017" s="13"/>
      <c r="B2017" s="13"/>
      <c r="C2017" s="13"/>
      <c r="D2017" s="13"/>
      <c r="E2017" s="13"/>
    </row>
    <row r="2018" spans="1:5" x14ac:dyDescent="0.25">
      <c r="A2018" s="13"/>
      <c r="B2018" s="13"/>
      <c r="C2018" s="13"/>
      <c r="D2018" s="13"/>
      <c r="E2018" s="13"/>
    </row>
    <row r="2019" spans="1:5" x14ac:dyDescent="0.25">
      <c r="A2019" s="13"/>
      <c r="B2019" s="13"/>
      <c r="C2019" s="13"/>
      <c r="D2019" s="13"/>
      <c r="E2019" s="13"/>
    </row>
    <row r="2020" spans="1:5" x14ac:dyDescent="0.25">
      <c r="A2020" s="13"/>
      <c r="B2020" s="13"/>
      <c r="C2020" s="13"/>
      <c r="D2020" s="13"/>
      <c r="E2020" s="13"/>
    </row>
    <row r="2021" spans="1:5" x14ac:dyDescent="0.25">
      <c r="A2021" s="13"/>
      <c r="B2021" s="13"/>
      <c r="C2021" s="13"/>
      <c r="D2021" s="13"/>
      <c r="E2021" s="13"/>
    </row>
    <row r="2022" spans="1:5" x14ac:dyDescent="0.25">
      <c r="A2022" s="13"/>
      <c r="B2022" s="13"/>
      <c r="C2022" s="13"/>
      <c r="D2022" s="13"/>
      <c r="E2022" s="13"/>
    </row>
    <row r="2023" spans="1:5" x14ac:dyDescent="0.25">
      <c r="A2023" s="13"/>
      <c r="B2023" s="13"/>
      <c r="C2023" s="13"/>
      <c r="D2023" s="13"/>
      <c r="E2023" s="13"/>
    </row>
    <row r="2024" spans="1:5" x14ac:dyDescent="0.25">
      <c r="A2024" s="13"/>
      <c r="B2024" s="13"/>
      <c r="C2024" s="13"/>
      <c r="D2024" s="13"/>
      <c r="E2024" s="13"/>
    </row>
    <row r="2025" spans="1:5" x14ac:dyDescent="0.25">
      <c r="A2025" s="13"/>
      <c r="B2025" s="13"/>
      <c r="C2025" s="13"/>
      <c r="D2025" s="13"/>
      <c r="E2025" s="13"/>
    </row>
    <row r="2026" spans="1:5" x14ac:dyDescent="0.25">
      <c r="A2026" s="13"/>
      <c r="B2026" s="13"/>
      <c r="C2026" s="13"/>
      <c r="D2026" s="13"/>
      <c r="E2026" s="13"/>
    </row>
    <row r="2027" spans="1:5" x14ac:dyDescent="0.25">
      <c r="A2027" s="13"/>
      <c r="B2027" s="13"/>
      <c r="C2027" s="13"/>
      <c r="D2027" s="13"/>
      <c r="E2027" s="13"/>
    </row>
    <row r="2028" spans="1:5" x14ac:dyDescent="0.25">
      <c r="A2028" s="13"/>
      <c r="B2028" s="13"/>
      <c r="C2028" s="13"/>
      <c r="D2028" s="13"/>
      <c r="E2028" s="13"/>
    </row>
    <row r="2029" spans="1:5" x14ac:dyDescent="0.25">
      <c r="A2029" s="13"/>
      <c r="B2029" s="13"/>
      <c r="C2029" s="13"/>
      <c r="D2029" s="13"/>
      <c r="E2029" s="13"/>
    </row>
    <row r="2030" spans="1:5" x14ac:dyDescent="0.25">
      <c r="A2030" s="13"/>
      <c r="B2030" s="13"/>
      <c r="C2030" s="13"/>
      <c r="D2030" s="13"/>
      <c r="E2030" s="13"/>
    </row>
    <row r="2031" spans="1:5" x14ac:dyDescent="0.25">
      <c r="A2031" s="13"/>
      <c r="B2031" s="13"/>
      <c r="C2031" s="13"/>
      <c r="D2031" s="13"/>
      <c r="E2031" s="13"/>
    </row>
    <row r="2032" spans="1:5" x14ac:dyDescent="0.25">
      <c r="A2032" s="13"/>
      <c r="B2032" s="13"/>
      <c r="C2032" s="13"/>
      <c r="D2032" s="13"/>
      <c r="E2032" s="13"/>
    </row>
    <row r="2033" spans="1:5" x14ac:dyDescent="0.25">
      <c r="A2033" s="13"/>
      <c r="B2033" s="13"/>
      <c r="C2033" s="13"/>
      <c r="D2033" s="13"/>
      <c r="E2033" s="13"/>
    </row>
    <row r="2034" spans="1:5" x14ac:dyDescent="0.25">
      <c r="A2034" s="13"/>
      <c r="B2034" s="13"/>
      <c r="C2034" s="13"/>
      <c r="D2034" s="13"/>
      <c r="E2034" s="13"/>
    </row>
    <row r="2035" spans="1:5" x14ac:dyDescent="0.25">
      <c r="A2035" s="13"/>
      <c r="B2035" s="13"/>
      <c r="C2035" s="13"/>
      <c r="D2035" s="13"/>
      <c r="E2035" s="13"/>
    </row>
    <row r="2036" spans="1:5" x14ac:dyDescent="0.25">
      <c r="A2036" s="13"/>
      <c r="B2036" s="13"/>
      <c r="C2036" s="13"/>
      <c r="D2036" s="13"/>
      <c r="E2036" s="13"/>
    </row>
    <row r="2037" spans="1:5" x14ac:dyDescent="0.25">
      <c r="A2037" s="13"/>
      <c r="B2037" s="13"/>
      <c r="C2037" s="13"/>
      <c r="D2037" s="13"/>
      <c r="E2037" s="13"/>
    </row>
    <row r="2038" spans="1:5" x14ac:dyDescent="0.25">
      <c r="A2038" s="13"/>
      <c r="B2038" s="13"/>
      <c r="C2038" s="13"/>
      <c r="D2038" s="13"/>
      <c r="E2038" s="13"/>
    </row>
    <row r="2039" spans="1:5" x14ac:dyDescent="0.25">
      <c r="A2039" s="13"/>
      <c r="B2039" s="13"/>
      <c r="C2039" s="13"/>
      <c r="D2039" s="13"/>
      <c r="E2039" s="13"/>
    </row>
    <row r="2040" spans="1:5" x14ac:dyDescent="0.25">
      <c r="A2040" s="13"/>
      <c r="B2040" s="13"/>
      <c r="C2040" s="13"/>
      <c r="D2040" s="13"/>
      <c r="E2040" s="13"/>
    </row>
    <row r="2041" spans="1:5" x14ac:dyDescent="0.25">
      <c r="A2041" s="13"/>
      <c r="B2041" s="13"/>
      <c r="C2041" s="13"/>
      <c r="D2041" s="13"/>
      <c r="E2041" s="13"/>
    </row>
    <row r="2042" spans="1:5" x14ac:dyDescent="0.25">
      <c r="A2042" s="13"/>
      <c r="B2042" s="13"/>
      <c r="C2042" s="13"/>
      <c r="D2042" s="13"/>
      <c r="E2042" s="13"/>
    </row>
    <row r="2043" spans="1:5" x14ac:dyDescent="0.25">
      <c r="A2043" s="13"/>
      <c r="B2043" s="13"/>
      <c r="C2043" s="13"/>
      <c r="D2043" s="13"/>
      <c r="E2043" s="13"/>
    </row>
    <row r="2044" spans="1:5" x14ac:dyDescent="0.25">
      <c r="A2044" s="13"/>
      <c r="B2044" s="13"/>
      <c r="C2044" s="13"/>
      <c r="D2044" s="13"/>
      <c r="E2044" s="13"/>
    </row>
    <row r="2045" spans="1:5" x14ac:dyDescent="0.25">
      <c r="A2045" s="13"/>
      <c r="B2045" s="13"/>
      <c r="C2045" s="13"/>
      <c r="D2045" s="13"/>
      <c r="E2045" s="13"/>
    </row>
    <row r="2046" spans="1:5" x14ac:dyDescent="0.25">
      <c r="A2046" s="13"/>
      <c r="B2046" s="13"/>
      <c r="C2046" s="13"/>
      <c r="D2046" s="13"/>
      <c r="E2046" s="13"/>
    </row>
    <row r="2047" spans="1:5" x14ac:dyDescent="0.25">
      <c r="A2047" s="13"/>
      <c r="B2047" s="13"/>
      <c r="C2047" s="13"/>
      <c r="D2047" s="13"/>
      <c r="E2047" s="13"/>
    </row>
    <row r="2048" spans="1:5" x14ac:dyDescent="0.25">
      <c r="A2048" s="13"/>
      <c r="B2048" s="13"/>
      <c r="C2048" s="13"/>
      <c r="D2048" s="13"/>
      <c r="E2048" s="13"/>
    </row>
    <row r="2049" spans="1:5" x14ac:dyDescent="0.25">
      <c r="A2049" s="13"/>
      <c r="B2049" s="13"/>
      <c r="C2049" s="13"/>
      <c r="D2049" s="13"/>
      <c r="E2049" s="13"/>
    </row>
    <row r="2050" spans="1:5" x14ac:dyDescent="0.25">
      <c r="A2050" s="13"/>
      <c r="B2050" s="13"/>
      <c r="C2050" s="13"/>
      <c r="D2050" s="13"/>
      <c r="E2050" s="13"/>
    </row>
    <row r="2051" spans="1:5" x14ac:dyDescent="0.25">
      <c r="A2051" s="13"/>
      <c r="B2051" s="13"/>
      <c r="C2051" s="13"/>
      <c r="D2051" s="13"/>
      <c r="E2051" s="13"/>
    </row>
    <row r="2052" spans="1:5" x14ac:dyDescent="0.25">
      <c r="A2052" s="13"/>
      <c r="B2052" s="13"/>
      <c r="C2052" s="13"/>
      <c r="D2052" s="13"/>
      <c r="E2052" s="13"/>
    </row>
    <row r="2053" spans="1:5" x14ac:dyDescent="0.25">
      <c r="A2053" s="13"/>
      <c r="B2053" s="13"/>
      <c r="C2053" s="13"/>
      <c r="D2053" s="13"/>
      <c r="E2053" s="13"/>
    </row>
    <row r="2054" spans="1:5" x14ac:dyDescent="0.25">
      <c r="A2054" s="13"/>
      <c r="B2054" s="13"/>
      <c r="C2054" s="13"/>
      <c r="D2054" s="13"/>
      <c r="E2054" s="13"/>
    </row>
    <row r="2055" spans="1:5" x14ac:dyDescent="0.25">
      <c r="A2055" s="13"/>
      <c r="B2055" s="13"/>
      <c r="C2055" s="13"/>
      <c r="D2055" s="13"/>
      <c r="E2055" s="13"/>
    </row>
    <row r="2056" spans="1:5" x14ac:dyDescent="0.25">
      <c r="A2056" s="13"/>
      <c r="B2056" s="13"/>
      <c r="C2056" s="13"/>
      <c r="D2056" s="13"/>
      <c r="E2056" s="13"/>
    </row>
    <row r="2057" spans="1:5" x14ac:dyDescent="0.25">
      <c r="A2057" s="13"/>
      <c r="B2057" s="13"/>
      <c r="C2057" s="13"/>
      <c r="D2057" s="13"/>
      <c r="E2057" s="13"/>
    </row>
    <row r="2058" spans="1:5" x14ac:dyDescent="0.25">
      <c r="A2058" s="13"/>
      <c r="B2058" s="13"/>
      <c r="C2058" s="13"/>
      <c r="D2058" s="13"/>
      <c r="E2058" s="13"/>
    </row>
    <row r="2059" spans="1:5" x14ac:dyDescent="0.25">
      <c r="A2059" s="13"/>
      <c r="B2059" s="13"/>
      <c r="C2059" s="13"/>
      <c r="D2059" s="13"/>
      <c r="E2059" s="13"/>
    </row>
    <row r="2060" spans="1:5" x14ac:dyDescent="0.25">
      <c r="A2060" s="13"/>
      <c r="B2060" s="13"/>
      <c r="C2060" s="13"/>
      <c r="D2060" s="13"/>
      <c r="E2060" s="13"/>
    </row>
    <row r="2061" spans="1:5" x14ac:dyDescent="0.25">
      <c r="A2061" s="13"/>
      <c r="B2061" s="13"/>
      <c r="C2061" s="13"/>
      <c r="D2061" s="13"/>
      <c r="E2061" s="13"/>
    </row>
    <row r="2062" spans="1:5" x14ac:dyDescent="0.25">
      <c r="A2062" s="13"/>
      <c r="B2062" s="13"/>
      <c r="C2062" s="13"/>
      <c r="D2062" s="13"/>
      <c r="E2062" s="13"/>
    </row>
    <row r="2063" spans="1:5" x14ac:dyDescent="0.25">
      <c r="A2063" s="13"/>
      <c r="B2063" s="13"/>
      <c r="C2063" s="13"/>
      <c r="D2063" s="13"/>
      <c r="E2063" s="13"/>
    </row>
    <row r="2064" spans="1:5" x14ac:dyDescent="0.25">
      <c r="A2064" s="13"/>
      <c r="B2064" s="13"/>
      <c r="C2064" s="13"/>
      <c r="D2064" s="13"/>
      <c r="E2064" s="13"/>
    </row>
    <row r="2065" spans="1:5" x14ac:dyDescent="0.25">
      <c r="A2065" s="13"/>
      <c r="B2065" s="13"/>
      <c r="C2065" s="13"/>
      <c r="D2065" s="13"/>
      <c r="E2065" s="13"/>
    </row>
    <row r="2066" spans="1:5" x14ac:dyDescent="0.25">
      <c r="A2066" s="13"/>
      <c r="B2066" s="13"/>
      <c r="C2066" s="13"/>
      <c r="D2066" s="13"/>
      <c r="E2066" s="13"/>
    </row>
    <row r="2067" spans="1:5" x14ac:dyDescent="0.25">
      <c r="A2067" s="13"/>
      <c r="B2067" s="13"/>
      <c r="C2067" s="13"/>
      <c r="D2067" s="13"/>
      <c r="E2067" s="13"/>
    </row>
    <row r="2068" spans="1:5" x14ac:dyDescent="0.25">
      <c r="A2068" s="13"/>
      <c r="B2068" s="13"/>
      <c r="C2068" s="13"/>
      <c r="D2068" s="13"/>
      <c r="E2068" s="13"/>
    </row>
    <row r="2069" spans="1:5" x14ac:dyDescent="0.25">
      <c r="A2069" s="13"/>
      <c r="B2069" s="13"/>
      <c r="C2069" s="13"/>
      <c r="D2069" s="13"/>
      <c r="E2069" s="13"/>
    </row>
    <row r="2070" spans="1:5" x14ac:dyDescent="0.25">
      <c r="A2070" s="13"/>
      <c r="B2070" s="13"/>
      <c r="C2070" s="13"/>
      <c r="D2070" s="13"/>
      <c r="E2070" s="13"/>
    </row>
    <row r="2071" spans="1:5" x14ac:dyDescent="0.25">
      <c r="A2071" s="13"/>
      <c r="B2071" s="13"/>
      <c r="C2071" s="13"/>
      <c r="D2071" s="13"/>
      <c r="E2071" s="13"/>
    </row>
    <row r="2072" spans="1:5" x14ac:dyDescent="0.25">
      <c r="A2072" s="13"/>
      <c r="B2072" s="13"/>
      <c r="C2072" s="13"/>
      <c r="D2072" s="13"/>
      <c r="E2072" s="13"/>
    </row>
    <row r="2073" spans="1:5" x14ac:dyDescent="0.25">
      <c r="A2073" s="13"/>
      <c r="B2073" s="13"/>
      <c r="C2073" s="13"/>
      <c r="D2073" s="13"/>
      <c r="E2073" s="13"/>
    </row>
    <row r="2074" spans="1:5" x14ac:dyDescent="0.25">
      <c r="A2074" s="13"/>
      <c r="B2074" s="13"/>
      <c r="C2074" s="13"/>
      <c r="D2074" s="13"/>
      <c r="E2074" s="13"/>
    </row>
    <row r="2075" spans="1:5" x14ac:dyDescent="0.25">
      <c r="A2075" s="13"/>
      <c r="B2075" s="13"/>
      <c r="C2075" s="13"/>
      <c r="D2075" s="13"/>
      <c r="E2075" s="13"/>
    </row>
    <row r="2076" spans="1:5" x14ac:dyDescent="0.25">
      <c r="A2076" s="13"/>
      <c r="B2076" s="13"/>
      <c r="C2076" s="13"/>
      <c r="D2076" s="13"/>
      <c r="E2076" s="13"/>
    </row>
    <row r="2077" spans="1:5" x14ac:dyDescent="0.25">
      <c r="A2077" s="13"/>
      <c r="B2077" s="13"/>
      <c r="C2077" s="13"/>
      <c r="D2077" s="13"/>
      <c r="E2077" s="13"/>
    </row>
    <row r="2078" spans="1:5" x14ac:dyDescent="0.25">
      <c r="A2078" s="13"/>
      <c r="B2078" s="13"/>
      <c r="C2078" s="13"/>
      <c r="D2078" s="13"/>
      <c r="E2078" s="13"/>
    </row>
    <row r="2079" spans="1:5" x14ac:dyDescent="0.25">
      <c r="A2079" s="13"/>
      <c r="B2079" s="13"/>
      <c r="C2079" s="13"/>
      <c r="D2079" s="13"/>
      <c r="E2079" s="13"/>
    </row>
    <row r="2080" spans="1:5" x14ac:dyDescent="0.25">
      <c r="A2080" s="13"/>
      <c r="B2080" s="13"/>
      <c r="C2080" s="13"/>
      <c r="D2080" s="13"/>
      <c r="E2080" s="13"/>
    </row>
    <row r="2081" spans="1:5" x14ac:dyDescent="0.25">
      <c r="A2081" s="13"/>
      <c r="B2081" s="13"/>
      <c r="C2081" s="13"/>
      <c r="D2081" s="13"/>
      <c r="E2081" s="13"/>
    </row>
    <row r="2082" spans="1:5" x14ac:dyDescent="0.25">
      <c r="A2082" s="13"/>
      <c r="B2082" s="13"/>
      <c r="C2082" s="13"/>
      <c r="D2082" s="13"/>
      <c r="E2082" s="13"/>
    </row>
    <row r="2083" spans="1:5" x14ac:dyDescent="0.25">
      <c r="A2083" s="13"/>
      <c r="B2083" s="13"/>
      <c r="C2083" s="13"/>
      <c r="D2083" s="13"/>
      <c r="E2083" s="13"/>
    </row>
    <row r="2084" spans="1:5" x14ac:dyDescent="0.25">
      <c r="A2084" s="13"/>
      <c r="B2084" s="13"/>
      <c r="C2084" s="13"/>
      <c r="D2084" s="13"/>
      <c r="E2084" s="13"/>
    </row>
    <row r="2085" spans="1:5" x14ac:dyDescent="0.25">
      <c r="A2085" s="13"/>
      <c r="B2085" s="13"/>
      <c r="C2085" s="13"/>
      <c r="D2085" s="13"/>
      <c r="E2085" s="13"/>
    </row>
    <row r="2086" spans="1:5" x14ac:dyDescent="0.25">
      <c r="A2086" s="13"/>
      <c r="B2086" s="13"/>
      <c r="C2086" s="13"/>
      <c r="D2086" s="13"/>
      <c r="E2086" s="13"/>
    </row>
    <row r="2087" spans="1:5" x14ac:dyDescent="0.25">
      <c r="A2087" s="13"/>
      <c r="B2087" s="13"/>
      <c r="C2087" s="13"/>
      <c r="D2087" s="13"/>
      <c r="E2087" s="13"/>
    </row>
    <row r="2088" spans="1:5" x14ac:dyDescent="0.25">
      <c r="A2088" s="13"/>
      <c r="B2088" s="13"/>
      <c r="C2088" s="13"/>
      <c r="D2088" s="13"/>
      <c r="E2088" s="13"/>
    </row>
    <row r="2089" spans="1:5" x14ac:dyDescent="0.25">
      <c r="A2089" s="13"/>
      <c r="B2089" s="13"/>
      <c r="C2089" s="13"/>
      <c r="D2089" s="13"/>
      <c r="E2089" s="13"/>
    </row>
    <row r="2090" spans="1:5" x14ac:dyDescent="0.25">
      <c r="A2090" s="13"/>
      <c r="B2090" s="13"/>
      <c r="C2090" s="13"/>
      <c r="D2090" s="13"/>
      <c r="E2090" s="13"/>
    </row>
    <row r="2091" spans="1:5" x14ac:dyDescent="0.25">
      <c r="A2091" s="13"/>
      <c r="B2091" s="13"/>
      <c r="C2091" s="13"/>
      <c r="D2091" s="13"/>
      <c r="E2091" s="13"/>
    </row>
    <row r="2092" spans="1:5" x14ac:dyDescent="0.25">
      <c r="A2092" s="13"/>
      <c r="B2092" s="13"/>
      <c r="C2092" s="13"/>
      <c r="D2092" s="13"/>
      <c r="E2092" s="13"/>
    </row>
    <row r="2093" spans="1:5" x14ac:dyDescent="0.25">
      <c r="A2093" s="13"/>
      <c r="B2093" s="13"/>
      <c r="C2093" s="13"/>
      <c r="D2093" s="13"/>
      <c r="E2093" s="13"/>
    </row>
    <row r="2094" spans="1:5" x14ac:dyDescent="0.25">
      <c r="A2094" s="13"/>
      <c r="B2094" s="13"/>
      <c r="C2094" s="13"/>
      <c r="D2094" s="13"/>
      <c r="E2094" s="13"/>
    </row>
    <row r="2095" spans="1:5" x14ac:dyDescent="0.25">
      <c r="A2095" s="13"/>
      <c r="B2095" s="13"/>
      <c r="C2095" s="13"/>
      <c r="D2095" s="13"/>
      <c r="E2095" s="13"/>
    </row>
    <row r="2096" spans="1:5" x14ac:dyDescent="0.25">
      <c r="A2096" s="13"/>
      <c r="B2096" s="13"/>
      <c r="C2096" s="13"/>
      <c r="D2096" s="13"/>
      <c r="E2096" s="13"/>
    </row>
    <row r="2097" spans="1:5" x14ac:dyDescent="0.25">
      <c r="A2097" s="13"/>
      <c r="B2097" s="13"/>
      <c r="C2097" s="13"/>
      <c r="D2097" s="13"/>
      <c r="E2097" s="13"/>
    </row>
    <row r="2098" spans="1:5" x14ac:dyDescent="0.25">
      <c r="A2098" s="13"/>
      <c r="B2098" s="13"/>
      <c r="C2098" s="13"/>
      <c r="D2098" s="13"/>
      <c r="E2098" s="13"/>
    </row>
    <row r="2099" spans="1:5" x14ac:dyDescent="0.25">
      <c r="A2099" s="13"/>
      <c r="B2099" s="13"/>
      <c r="C2099" s="13"/>
      <c r="D2099" s="13"/>
      <c r="E2099" s="13"/>
    </row>
    <row r="2100" spans="1:5" x14ac:dyDescent="0.25">
      <c r="A2100" s="13"/>
      <c r="B2100" s="13"/>
      <c r="C2100" s="13"/>
      <c r="D2100" s="13"/>
      <c r="E2100" s="13"/>
    </row>
    <row r="2101" spans="1:5" x14ac:dyDescent="0.25">
      <c r="A2101" s="13"/>
      <c r="B2101" s="13"/>
      <c r="C2101" s="13"/>
      <c r="D2101" s="13"/>
      <c r="E2101" s="13"/>
    </row>
    <row r="2102" spans="1:5" x14ac:dyDescent="0.25">
      <c r="A2102" s="13"/>
      <c r="B2102" s="13"/>
      <c r="C2102" s="13"/>
      <c r="D2102" s="13"/>
      <c r="E2102" s="13"/>
    </row>
    <row r="2103" spans="1:5" x14ac:dyDescent="0.25">
      <c r="A2103" s="13"/>
      <c r="B2103" s="13"/>
      <c r="C2103" s="13"/>
      <c r="D2103" s="13"/>
      <c r="E2103" s="13"/>
    </row>
    <row r="2104" spans="1:5" x14ac:dyDescent="0.25">
      <c r="A2104" s="13"/>
      <c r="B2104" s="13"/>
      <c r="C2104" s="13"/>
      <c r="D2104" s="13"/>
      <c r="E2104" s="13"/>
    </row>
    <row r="2105" spans="1:5" x14ac:dyDescent="0.25">
      <c r="A2105" s="13"/>
      <c r="B2105" s="13"/>
      <c r="C2105" s="13"/>
      <c r="D2105" s="13"/>
      <c r="E2105" s="13"/>
    </row>
    <row r="2106" spans="1:5" x14ac:dyDescent="0.25">
      <c r="A2106" s="13"/>
      <c r="B2106" s="13"/>
      <c r="C2106" s="13"/>
      <c r="D2106" s="13"/>
      <c r="E2106" s="13"/>
    </row>
    <row r="2107" spans="1:5" x14ac:dyDescent="0.25">
      <c r="A2107" s="13"/>
      <c r="B2107" s="13"/>
      <c r="C2107" s="13"/>
      <c r="D2107" s="13"/>
      <c r="E2107" s="13"/>
    </row>
    <row r="2108" spans="1:5" x14ac:dyDescent="0.25">
      <c r="A2108" s="13"/>
      <c r="B2108" s="13"/>
      <c r="C2108" s="13"/>
      <c r="D2108" s="13"/>
      <c r="E2108" s="13"/>
    </row>
    <row r="2109" spans="1:5" x14ac:dyDescent="0.25">
      <c r="A2109" s="13"/>
      <c r="B2109" s="13"/>
      <c r="C2109" s="13"/>
      <c r="D2109" s="13"/>
      <c r="E2109" s="13"/>
    </row>
    <row r="2110" spans="1:5" x14ac:dyDescent="0.25">
      <c r="A2110" s="13"/>
      <c r="B2110" s="13"/>
      <c r="C2110" s="13"/>
      <c r="D2110" s="13"/>
      <c r="E2110" s="13"/>
    </row>
    <row r="2111" spans="1:5" x14ac:dyDescent="0.25">
      <c r="A2111" s="13"/>
      <c r="B2111" s="13"/>
      <c r="C2111" s="13"/>
      <c r="D2111" s="13"/>
      <c r="E2111" s="13"/>
    </row>
    <row r="2112" spans="1:5" x14ac:dyDescent="0.25">
      <c r="A2112" s="13"/>
      <c r="B2112" s="13"/>
      <c r="C2112" s="13"/>
      <c r="D2112" s="13"/>
      <c r="E2112" s="13"/>
    </row>
    <row r="2113" spans="1:5" x14ac:dyDescent="0.25">
      <c r="A2113" s="13"/>
      <c r="B2113" s="13"/>
      <c r="C2113" s="13"/>
      <c r="D2113" s="13"/>
      <c r="E2113" s="13"/>
    </row>
    <row r="2114" spans="1:5" x14ac:dyDescent="0.25">
      <c r="A2114" s="13"/>
      <c r="B2114" s="13"/>
      <c r="C2114" s="13"/>
      <c r="D2114" s="13"/>
      <c r="E2114" s="13"/>
    </row>
    <row r="2115" spans="1:5" x14ac:dyDescent="0.25">
      <c r="A2115" s="13"/>
      <c r="B2115" s="13"/>
      <c r="C2115" s="13"/>
      <c r="D2115" s="13"/>
      <c r="E2115" s="13"/>
    </row>
    <row r="2116" spans="1:5" x14ac:dyDescent="0.25">
      <c r="A2116" s="13"/>
      <c r="B2116" s="13"/>
      <c r="C2116" s="13"/>
      <c r="D2116" s="13"/>
      <c r="E2116" s="13"/>
    </row>
    <row r="2117" spans="1:5" x14ac:dyDescent="0.25">
      <c r="A2117" s="13"/>
      <c r="B2117" s="13"/>
      <c r="C2117" s="13"/>
      <c r="D2117" s="13"/>
      <c r="E2117" s="13"/>
    </row>
    <row r="2118" spans="1:5" x14ac:dyDescent="0.25">
      <c r="A2118" s="13"/>
      <c r="B2118" s="13"/>
      <c r="C2118" s="13"/>
      <c r="D2118" s="13"/>
      <c r="E2118" s="13"/>
    </row>
    <row r="2119" spans="1:5" x14ac:dyDescent="0.25">
      <c r="A2119" s="13"/>
      <c r="B2119" s="13"/>
      <c r="C2119" s="13"/>
      <c r="D2119" s="13"/>
      <c r="E2119" s="13"/>
    </row>
    <row r="2120" spans="1:5" x14ac:dyDescent="0.25">
      <c r="A2120" s="13"/>
      <c r="B2120" s="13"/>
      <c r="C2120" s="13"/>
      <c r="D2120" s="13"/>
      <c r="E2120" s="13"/>
    </row>
    <row r="2121" spans="1:5" x14ac:dyDescent="0.25">
      <c r="A2121" s="13"/>
      <c r="B2121" s="13"/>
      <c r="C2121" s="13"/>
      <c r="D2121" s="13"/>
      <c r="E2121" s="13"/>
    </row>
    <row r="2122" spans="1:5" x14ac:dyDescent="0.25">
      <c r="A2122" s="13"/>
      <c r="B2122" s="13"/>
      <c r="C2122" s="13"/>
      <c r="D2122" s="13"/>
      <c r="E2122" s="13"/>
    </row>
    <row r="2123" spans="1:5" x14ac:dyDescent="0.25">
      <c r="A2123" s="13"/>
      <c r="B2123" s="13"/>
      <c r="C2123" s="13"/>
      <c r="D2123" s="13"/>
      <c r="E2123" s="13"/>
    </row>
    <row r="2124" spans="1:5" x14ac:dyDescent="0.25">
      <c r="A2124" s="13"/>
      <c r="B2124" s="13"/>
      <c r="C2124" s="13"/>
      <c r="D2124" s="13"/>
      <c r="E2124" s="13"/>
    </row>
    <row r="2125" spans="1:5" x14ac:dyDescent="0.25">
      <c r="A2125" s="13"/>
      <c r="B2125" s="13"/>
      <c r="C2125" s="13"/>
      <c r="D2125" s="13"/>
      <c r="E2125" s="13"/>
    </row>
    <row r="2126" spans="1:5" x14ac:dyDescent="0.25">
      <c r="A2126" s="13"/>
      <c r="B2126" s="13"/>
      <c r="C2126" s="13"/>
      <c r="D2126" s="13"/>
      <c r="E2126" s="13"/>
    </row>
    <row r="2127" spans="1:5" x14ac:dyDescent="0.25">
      <c r="A2127" s="13"/>
      <c r="B2127" s="13"/>
      <c r="C2127" s="13"/>
      <c r="D2127" s="13"/>
      <c r="E2127" s="13"/>
    </row>
    <row r="2128" spans="1:5" x14ac:dyDescent="0.25">
      <c r="A2128" s="13"/>
      <c r="B2128" s="13"/>
      <c r="C2128" s="13"/>
      <c r="D2128" s="13"/>
      <c r="E2128" s="13"/>
    </row>
    <row r="2129" spans="1:5" x14ac:dyDescent="0.25">
      <c r="A2129" s="13"/>
      <c r="B2129" s="13"/>
      <c r="C2129" s="13"/>
      <c r="D2129" s="13"/>
      <c r="E2129" s="13"/>
    </row>
    <row r="2130" spans="1:5" x14ac:dyDescent="0.25">
      <c r="A2130" s="13"/>
      <c r="B2130" s="13"/>
      <c r="C2130" s="13"/>
      <c r="D2130" s="13"/>
      <c r="E2130" s="13"/>
    </row>
    <row r="2131" spans="1:5" x14ac:dyDescent="0.25">
      <c r="A2131" s="13"/>
      <c r="B2131" s="13"/>
      <c r="C2131" s="13"/>
      <c r="D2131" s="13"/>
      <c r="E2131" s="13"/>
    </row>
    <row r="2132" spans="1:5" x14ac:dyDescent="0.25">
      <c r="A2132" s="13"/>
      <c r="B2132" s="13"/>
      <c r="C2132" s="13"/>
      <c r="D2132" s="13"/>
      <c r="E2132" s="13"/>
    </row>
    <row r="2133" spans="1:5" x14ac:dyDescent="0.25">
      <c r="A2133" s="13"/>
      <c r="B2133" s="13"/>
      <c r="C2133" s="13"/>
      <c r="D2133" s="13"/>
      <c r="E2133" s="13"/>
    </row>
    <row r="2134" spans="1:5" x14ac:dyDescent="0.25">
      <c r="A2134" s="13"/>
      <c r="B2134" s="13"/>
      <c r="C2134" s="13"/>
      <c r="D2134" s="13"/>
      <c r="E2134" s="13"/>
    </row>
    <row r="2135" spans="1:5" x14ac:dyDescent="0.25">
      <c r="A2135" s="13"/>
      <c r="B2135" s="13"/>
      <c r="C2135" s="13"/>
      <c r="D2135" s="13"/>
      <c r="E2135" s="13"/>
    </row>
    <row r="2136" spans="1:5" x14ac:dyDescent="0.25">
      <c r="A2136" s="13"/>
      <c r="B2136" s="13"/>
      <c r="C2136" s="13"/>
      <c r="D2136" s="13"/>
      <c r="E2136" s="13"/>
    </row>
    <row r="2137" spans="1:5" x14ac:dyDescent="0.25">
      <c r="A2137" s="13"/>
      <c r="B2137" s="13"/>
      <c r="C2137" s="13"/>
      <c r="D2137" s="13"/>
      <c r="E2137" s="13"/>
    </row>
    <row r="2138" spans="1:5" x14ac:dyDescent="0.25">
      <c r="A2138" s="13"/>
      <c r="B2138" s="13"/>
      <c r="C2138" s="13"/>
      <c r="D2138" s="13"/>
      <c r="E2138" s="13"/>
    </row>
    <row r="2139" spans="1:5" x14ac:dyDescent="0.25">
      <c r="A2139" s="13"/>
      <c r="B2139" s="13"/>
      <c r="C2139" s="13"/>
      <c r="D2139" s="13"/>
      <c r="E2139" s="13"/>
    </row>
    <row r="2140" spans="1:5" x14ac:dyDescent="0.25">
      <c r="A2140" s="13"/>
      <c r="B2140" s="13"/>
      <c r="C2140" s="13"/>
      <c r="D2140" s="13"/>
      <c r="E2140" s="13"/>
    </row>
    <row r="2141" spans="1:5" x14ac:dyDescent="0.25">
      <c r="A2141" s="13"/>
      <c r="B2141" s="13"/>
      <c r="C2141" s="13"/>
      <c r="D2141" s="13"/>
      <c r="E2141" s="13"/>
    </row>
    <row r="2142" spans="1:5" x14ac:dyDescent="0.25">
      <c r="A2142" s="13"/>
      <c r="B2142" s="13"/>
      <c r="C2142" s="13"/>
      <c r="D2142" s="13"/>
      <c r="E2142" s="13"/>
    </row>
    <row r="2143" spans="1:5" x14ac:dyDescent="0.25">
      <c r="A2143" s="13"/>
      <c r="B2143" s="13"/>
      <c r="C2143" s="13"/>
      <c r="D2143" s="13"/>
      <c r="E2143" s="13"/>
    </row>
    <row r="2144" spans="1:5" x14ac:dyDescent="0.25">
      <c r="A2144" s="13"/>
      <c r="B2144" s="13"/>
      <c r="C2144" s="13"/>
      <c r="D2144" s="13"/>
      <c r="E2144" s="13"/>
    </row>
    <row r="2145" spans="1:5" x14ac:dyDescent="0.25">
      <c r="A2145" s="13"/>
      <c r="B2145" s="13"/>
      <c r="C2145" s="13"/>
      <c r="D2145" s="13"/>
      <c r="E2145" s="13"/>
    </row>
    <row r="2146" spans="1:5" x14ac:dyDescent="0.25">
      <c r="A2146" s="13"/>
      <c r="B2146" s="13"/>
      <c r="C2146" s="13"/>
      <c r="D2146" s="13"/>
      <c r="E2146" s="13"/>
    </row>
    <row r="2147" spans="1:5" x14ac:dyDescent="0.25">
      <c r="A2147" s="13"/>
      <c r="B2147" s="13"/>
      <c r="C2147" s="13"/>
      <c r="D2147" s="13"/>
      <c r="E2147" s="13"/>
    </row>
    <row r="2148" spans="1:5" x14ac:dyDescent="0.25">
      <c r="A2148" s="13"/>
      <c r="B2148" s="13"/>
      <c r="C2148" s="13"/>
      <c r="D2148" s="13"/>
      <c r="E2148" s="13"/>
    </row>
    <row r="2149" spans="1:5" x14ac:dyDescent="0.25">
      <c r="A2149" s="13"/>
      <c r="B2149" s="13"/>
      <c r="C2149" s="13"/>
      <c r="D2149" s="13"/>
      <c r="E2149" s="13"/>
    </row>
    <row r="2150" spans="1:5" x14ac:dyDescent="0.25">
      <c r="A2150" s="13"/>
      <c r="B2150" s="13"/>
      <c r="C2150" s="13"/>
      <c r="D2150" s="13"/>
      <c r="E2150" s="13"/>
    </row>
    <row r="2151" spans="1:5" x14ac:dyDescent="0.25">
      <c r="A2151" s="13"/>
      <c r="B2151" s="13"/>
      <c r="C2151" s="13"/>
      <c r="D2151" s="13"/>
      <c r="E2151" s="13"/>
    </row>
    <row r="2152" spans="1:5" x14ac:dyDescent="0.25">
      <c r="A2152" s="13"/>
      <c r="B2152" s="13"/>
      <c r="C2152" s="13"/>
      <c r="D2152" s="13"/>
      <c r="E2152" s="13"/>
    </row>
    <row r="2153" spans="1:5" x14ac:dyDescent="0.25">
      <c r="A2153" s="13"/>
      <c r="B2153" s="13"/>
      <c r="C2153" s="13"/>
      <c r="D2153" s="13"/>
      <c r="E2153" s="13"/>
    </row>
    <row r="2154" spans="1:5" x14ac:dyDescent="0.25">
      <c r="A2154" s="13"/>
      <c r="B2154" s="13"/>
      <c r="C2154" s="13"/>
      <c r="D2154" s="13"/>
      <c r="E2154" s="13"/>
    </row>
    <row r="2155" spans="1:5" x14ac:dyDescent="0.25">
      <c r="A2155" s="13"/>
      <c r="B2155" s="13"/>
      <c r="C2155" s="13"/>
      <c r="D2155" s="13"/>
      <c r="E2155" s="13"/>
    </row>
    <row r="2156" spans="1:5" x14ac:dyDescent="0.25">
      <c r="A2156" s="13"/>
      <c r="B2156" s="13"/>
      <c r="C2156" s="13"/>
      <c r="D2156" s="13"/>
      <c r="E2156" s="13"/>
    </row>
    <row r="2157" spans="1:5" x14ac:dyDescent="0.25">
      <c r="A2157" s="13"/>
      <c r="B2157" s="13"/>
      <c r="C2157" s="13"/>
      <c r="D2157" s="13"/>
      <c r="E2157" s="13"/>
    </row>
    <row r="2158" spans="1:5" x14ac:dyDescent="0.25">
      <c r="A2158" s="13"/>
      <c r="B2158" s="13"/>
      <c r="C2158" s="13"/>
      <c r="D2158" s="13"/>
      <c r="E2158" s="13"/>
    </row>
    <row r="2159" spans="1:5" x14ac:dyDescent="0.25">
      <c r="A2159" s="13"/>
      <c r="B2159" s="13"/>
      <c r="C2159" s="13"/>
      <c r="D2159" s="13"/>
      <c r="E2159" s="13"/>
    </row>
    <row r="2160" spans="1:5" x14ac:dyDescent="0.25">
      <c r="A2160" s="13"/>
      <c r="B2160" s="13"/>
      <c r="C2160" s="13"/>
      <c r="D2160" s="13"/>
      <c r="E2160" s="13"/>
    </row>
    <row r="2161" spans="1:5" x14ac:dyDescent="0.25">
      <c r="A2161" s="13"/>
      <c r="B2161" s="13"/>
      <c r="C2161" s="13"/>
      <c r="D2161" s="13"/>
      <c r="E2161" s="13"/>
    </row>
    <row r="2162" spans="1:5" x14ac:dyDescent="0.25">
      <c r="A2162" s="13"/>
      <c r="B2162" s="13"/>
      <c r="C2162" s="13"/>
      <c r="D2162" s="13"/>
      <c r="E2162" s="13"/>
    </row>
    <row r="2163" spans="1:5" x14ac:dyDescent="0.25">
      <c r="A2163" s="13"/>
      <c r="B2163" s="13"/>
      <c r="C2163" s="13"/>
      <c r="D2163" s="13"/>
      <c r="E2163" s="13"/>
    </row>
    <row r="2164" spans="1:5" x14ac:dyDescent="0.25">
      <c r="A2164" s="13"/>
      <c r="B2164" s="13"/>
      <c r="C2164" s="13"/>
      <c r="D2164" s="13"/>
      <c r="E2164" s="13"/>
    </row>
    <row r="2165" spans="1:5" x14ac:dyDescent="0.25">
      <c r="A2165" s="13"/>
      <c r="B2165" s="13"/>
      <c r="C2165" s="13"/>
      <c r="D2165" s="13"/>
      <c r="E2165" s="13"/>
    </row>
    <row r="2166" spans="1:5" x14ac:dyDescent="0.25">
      <c r="A2166" s="13"/>
      <c r="B2166" s="13"/>
      <c r="C2166" s="13"/>
      <c r="D2166" s="13"/>
      <c r="E2166" s="13"/>
    </row>
    <row r="2167" spans="1:5" x14ac:dyDescent="0.25">
      <c r="A2167" s="13"/>
      <c r="B2167" s="13"/>
      <c r="C2167" s="13"/>
      <c r="D2167" s="13"/>
      <c r="E2167" s="13"/>
    </row>
    <row r="2168" spans="1:5" x14ac:dyDescent="0.25">
      <c r="A2168" s="13"/>
      <c r="B2168" s="13"/>
      <c r="C2168" s="13"/>
      <c r="D2168" s="13"/>
      <c r="E2168" s="13"/>
    </row>
    <row r="2169" spans="1:5" x14ac:dyDescent="0.25">
      <c r="A2169" s="13"/>
      <c r="B2169" s="13"/>
      <c r="C2169" s="13"/>
      <c r="D2169" s="13"/>
      <c r="E2169" s="13"/>
    </row>
    <row r="2170" spans="1:5" x14ac:dyDescent="0.25">
      <c r="A2170" s="13"/>
      <c r="B2170" s="13"/>
      <c r="C2170" s="13"/>
      <c r="D2170" s="13"/>
      <c r="E2170" s="13"/>
    </row>
    <row r="2171" spans="1:5" x14ac:dyDescent="0.25">
      <c r="A2171" s="13"/>
      <c r="B2171" s="13"/>
      <c r="C2171" s="13"/>
      <c r="D2171" s="13"/>
      <c r="E2171" s="13"/>
    </row>
    <row r="2172" spans="1:5" x14ac:dyDescent="0.25">
      <c r="A2172" s="13"/>
      <c r="B2172" s="13"/>
      <c r="C2172" s="13"/>
      <c r="D2172" s="13"/>
      <c r="E2172" s="13"/>
    </row>
    <row r="2173" spans="1:5" x14ac:dyDescent="0.25">
      <c r="A2173" s="13"/>
      <c r="B2173" s="13"/>
      <c r="C2173" s="13"/>
      <c r="D2173" s="13"/>
      <c r="E2173" s="13"/>
    </row>
    <row r="2174" spans="1:5" x14ac:dyDescent="0.25">
      <c r="A2174" s="13"/>
      <c r="B2174" s="13"/>
      <c r="C2174" s="13"/>
      <c r="D2174" s="13"/>
      <c r="E2174" s="13"/>
    </row>
    <row r="2175" spans="1:5" x14ac:dyDescent="0.25">
      <c r="A2175" s="13"/>
      <c r="B2175" s="13"/>
      <c r="C2175" s="13"/>
      <c r="D2175" s="13"/>
      <c r="E2175" s="13"/>
    </row>
    <row r="2176" spans="1:5" x14ac:dyDescent="0.25">
      <c r="A2176" s="13"/>
      <c r="B2176" s="13"/>
      <c r="C2176" s="13"/>
      <c r="D2176" s="13"/>
      <c r="E2176" s="13"/>
    </row>
    <row r="2177" spans="1:5" x14ac:dyDescent="0.25">
      <c r="A2177" s="13"/>
      <c r="B2177" s="13"/>
      <c r="C2177" s="13"/>
      <c r="D2177" s="13"/>
      <c r="E2177" s="13"/>
    </row>
    <row r="2178" spans="1:5" x14ac:dyDescent="0.25">
      <c r="A2178" s="13"/>
      <c r="B2178" s="13"/>
      <c r="C2178" s="13"/>
      <c r="D2178" s="13"/>
      <c r="E2178" s="13"/>
    </row>
    <row r="2179" spans="1:5" x14ac:dyDescent="0.25">
      <c r="A2179" s="13"/>
      <c r="B2179" s="13"/>
      <c r="C2179" s="13"/>
      <c r="D2179" s="13"/>
      <c r="E2179" s="13"/>
    </row>
    <row r="2180" spans="1:5" x14ac:dyDescent="0.25">
      <c r="A2180" s="13"/>
      <c r="B2180" s="13"/>
      <c r="C2180" s="13"/>
      <c r="D2180" s="13"/>
      <c r="E2180" s="13"/>
    </row>
    <row r="2181" spans="1:5" x14ac:dyDescent="0.25">
      <c r="A2181" s="13"/>
      <c r="B2181" s="13"/>
      <c r="C2181" s="13"/>
      <c r="D2181" s="13"/>
      <c r="E2181" s="13"/>
    </row>
    <row r="2182" spans="1:5" x14ac:dyDescent="0.25">
      <c r="A2182" s="13"/>
      <c r="B2182" s="13"/>
      <c r="C2182" s="13"/>
      <c r="D2182" s="13"/>
      <c r="E2182" s="13"/>
    </row>
    <row r="2183" spans="1:5" x14ac:dyDescent="0.25">
      <c r="A2183" s="13"/>
      <c r="B2183" s="13"/>
      <c r="C2183" s="13"/>
      <c r="D2183" s="13"/>
      <c r="E2183" s="13"/>
    </row>
    <row r="2184" spans="1:5" x14ac:dyDescent="0.25">
      <c r="A2184" s="13"/>
      <c r="B2184" s="13"/>
      <c r="C2184" s="13"/>
      <c r="D2184" s="13"/>
      <c r="E2184" s="13"/>
    </row>
    <row r="2185" spans="1:5" x14ac:dyDescent="0.25">
      <c r="A2185" s="13"/>
      <c r="B2185" s="13"/>
      <c r="C2185" s="13"/>
      <c r="D2185" s="13"/>
      <c r="E2185" s="13"/>
    </row>
    <row r="2186" spans="1:5" x14ac:dyDescent="0.25">
      <c r="A2186" s="13"/>
      <c r="B2186" s="13"/>
      <c r="C2186" s="13"/>
      <c r="D2186" s="13"/>
      <c r="E2186" s="13"/>
    </row>
    <row r="2187" spans="1:5" x14ac:dyDescent="0.25">
      <c r="A2187" s="13"/>
      <c r="B2187" s="13"/>
      <c r="C2187" s="13"/>
      <c r="D2187" s="13"/>
      <c r="E2187" s="13"/>
    </row>
    <row r="2188" spans="1:5" x14ac:dyDescent="0.25">
      <c r="A2188" s="13"/>
      <c r="B2188" s="13"/>
      <c r="C2188" s="13"/>
      <c r="D2188" s="13"/>
      <c r="E2188" s="13"/>
    </row>
    <row r="2189" spans="1:5" x14ac:dyDescent="0.25">
      <c r="A2189" s="13"/>
      <c r="B2189" s="13"/>
      <c r="C2189" s="13"/>
      <c r="D2189" s="13"/>
      <c r="E2189" s="13"/>
    </row>
    <row r="2190" spans="1:5" x14ac:dyDescent="0.25">
      <c r="A2190" s="13"/>
      <c r="B2190" s="13"/>
      <c r="C2190" s="13"/>
      <c r="D2190" s="13"/>
      <c r="E2190" s="13"/>
    </row>
    <row r="2191" spans="1:5" x14ac:dyDescent="0.25">
      <c r="A2191" s="13"/>
      <c r="B2191" s="13"/>
      <c r="C2191" s="13"/>
      <c r="D2191" s="13"/>
      <c r="E2191" s="13"/>
    </row>
    <row r="2192" spans="1:5" x14ac:dyDescent="0.25">
      <c r="A2192" s="13"/>
      <c r="B2192" s="13"/>
      <c r="C2192" s="13"/>
      <c r="D2192" s="13"/>
      <c r="E2192" s="13"/>
    </row>
    <row r="2193" spans="1:5" x14ac:dyDescent="0.25">
      <c r="A2193" s="13"/>
      <c r="B2193" s="13"/>
      <c r="C2193" s="13"/>
      <c r="D2193" s="13"/>
      <c r="E2193" s="13"/>
    </row>
    <row r="2194" spans="1:5" x14ac:dyDescent="0.25">
      <c r="A2194" s="13"/>
      <c r="B2194" s="13"/>
      <c r="C2194" s="13"/>
      <c r="D2194" s="13"/>
      <c r="E2194" s="13"/>
    </row>
    <row r="2195" spans="1:5" x14ac:dyDescent="0.25">
      <c r="A2195" s="13"/>
      <c r="B2195" s="13"/>
      <c r="C2195" s="13"/>
      <c r="D2195" s="13"/>
      <c r="E2195" s="13"/>
    </row>
    <row r="2196" spans="1:5" x14ac:dyDescent="0.25">
      <c r="A2196" s="13"/>
      <c r="B2196" s="13"/>
      <c r="C2196" s="13"/>
      <c r="D2196" s="13"/>
      <c r="E2196" s="13"/>
    </row>
    <row r="2197" spans="1:5" x14ac:dyDescent="0.25">
      <c r="A2197" s="13"/>
      <c r="B2197" s="13"/>
      <c r="C2197" s="13"/>
      <c r="D2197" s="13"/>
      <c r="E2197" s="13"/>
    </row>
    <row r="2198" spans="1:5" x14ac:dyDescent="0.25">
      <c r="A2198" s="13"/>
      <c r="B2198" s="13"/>
      <c r="C2198" s="13"/>
      <c r="D2198" s="13"/>
      <c r="E2198" s="13"/>
    </row>
    <row r="2199" spans="1:5" x14ac:dyDescent="0.25">
      <c r="A2199" s="13"/>
      <c r="B2199" s="13"/>
      <c r="C2199" s="13"/>
      <c r="D2199" s="13"/>
      <c r="E2199" s="13"/>
    </row>
    <row r="2200" spans="1:5" x14ac:dyDescent="0.25">
      <c r="A2200" s="13"/>
      <c r="B2200" s="13"/>
      <c r="C2200" s="13"/>
      <c r="D2200" s="13"/>
      <c r="E2200" s="13"/>
    </row>
    <row r="2201" spans="1:5" x14ac:dyDescent="0.25">
      <c r="A2201" s="13"/>
      <c r="B2201" s="13"/>
      <c r="C2201" s="13"/>
      <c r="D2201" s="13"/>
      <c r="E2201" s="13"/>
    </row>
    <row r="2202" spans="1:5" x14ac:dyDescent="0.25">
      <c r="A2202" s="13"/>
      <c r="B2202" s="13"/>
      <c r="C2202" s="13"/>
      <c r="D2202" s="13"/>
      <c r="E2202" s="13"/>
    </row>
    <row r="2203" spans="1:5" x14ac:dyDescent="0.25">
      <c r="A2203" s="13"/>
      <c r="B2203" s="13"/>
      <c r="C2203" s="13"/>
      <c r="D2203" s="13"/>
      <c r="E2203" s="13"/>
    </row>
    <row r="2204" spans="1:5" x14ac:dyDescent="0.25">
      <c r="A2204" s="13"/>
      <c r="B2204" s="13"/>
      <c r="C2204" s="13"/>
      <c r="D2204" s="13"/>
      <c r="E2204" s="13"/>
    </row>
    <row r="2205" spans="1:5" x14ac:dyDescent="0.25">
      <c r="A2205" s="13"/>
      <c r="B2205" s="13"/>
      <c r="C2205" s="13"/>
      <c r="D2205" s="13"/>
      <c r="E2205" s="13"/>
    </row>
    <row r="2206" spans="1:5" x14ac:dyDescent="0.25">
      <c r="A2206" s="13"/>
      <c r="B2206" s="13"/>
      <c r="C2206" s="13"/>
      <c r="D2206" s="13"/>
      <c r="E2206" s="13"/>
    </row>
    <row r="2207" spans="1:5" x14ac:dyDescent="0.25">
      <c r="A2207" s="13"/>
      <c r="B2207" s="13"/>
      <c r="C2207" s="13"/>
      <c r="D2207" s="13"/>
      <c r="E2207" s="13"/>
    </row>
    <row r="2208" spans="1:5" x14ac:dyDescent="0.25">
      <c r="A2208" s="13"/>
      <c r="B2208" s="13"/>
      <c r="C2208" s="13"/>
      <c r="D2208" s="13"/>
      <c r="E2208" s="13"/>
    </row>
    <row r="2209" spans="1:5" x14ac:dyDescent="0.25">
      <c r="A2209" s="13"/>
      <c r="B2209" s="13"/>
      <c r="C2209" s="13"/>
      <c r="D2209" s="13"/>
      <c r="E2209" s="13"/>
    </row>
    <row r="2210" spans="1:5" x14ac:dyDescent="0.25">
      <c r="A2210" s="13"/>
      <c r="B2210" s="13"/>
      <c r="C2210" s="13"/>
      <c r="D2210" s="13"/>
      <c r="E2210" s="13"/>
    </row>
    <row r="2211" spans="1:5" x14ac:dyDescent="0.25">
      <c r="A2211" s="13"/>
      <c r="B2211" s="13"/>
      <c r="C2211" s="13"/>
      <c r="D2211" s="13"/>
      <c r="E2211" s="13"/>
    </row>
    <row r="2212" spans="1:5" x14ac:dyDescent="0.25">
      <c r="A2212" s="13"/>
      <c r="B2212" s="13"/>
      <c r="C2212" s="13"/>
      <c r="D2212" s="13"/>
      <c r="E2212" s="13"/>
    </row>
    <row r="2213" spans="1:5" x14ac:dyDescent="0.25">
      <c r="A2213" s="13"/>
      <c r="B2213" s="13"/>
      <c r="C2213" s="13"/>
      <c r="D2213" s="13"/>
      <c r="E2213" s="13"/>
    </row>
    <row r="2214" spans="1:5" x14ac:dyDescent="0.25">
      <c r="A2214" s="13"/>
      <c r="B2214" s="13"/>
      <c r="C2214" s="13"/>
      <c r="D2214" s="13"/>
      <c r="E2214" s="13"/>
    </row>
    <row r="2215" spans="1:5" x14ac:dyDescent="0.25">
      <c r="A2215" s="13"/>
      <c r="B2215" s="13"/>
      <c r="C2215" s="13"/>
      <c r="D2215" s="13"/>
      <c r="E2215" s="13"/>
    </row>
    <row r="2216" spans="1:5" x14ac:dyDescent="0.25">
      <c r="A2216" s="13"/>
      <c r="B2216" s="13"/>
      <c r="C2216" s="13"/>
      <c r="D2216" s="13"/>
      <c r="E2216" s="13"/>
    </row>
    <row r="2217" spans="1:5" x14ac:dyDescent="0.25">
      <c r="A2217" s="13"/>
      <c r="B2217" s="13"/>
      <c r="C2217" s="13"/>
      <c r="D2217" s="13"/>
      <c r="E2217" s="13"/>
    </row>
    <row r="2218" spans="1:5" x14ac:dyDescent="0.25">
      <c r="A2218" s="13"/>
      <c r="B2218" s="13"/>
      <c r="C2218" s="13"/>
      <c r="D2218" s="13"/>
      <c r="E2218" s="13"/>
    </row>
    <row r="2219" spans="1:5" x14ac:dyDescent="0.25">
      <c r="A2219" s="13"/>
      <c r="B2219" s="13"/>
      <c r="C2219" s="13"/>
      <c r="D2219" s="13"/>
      <c r="E2219" s="13"/>
    </row>
    <row r="2220" spans="1:5" x14ac:dyDescent="0.25">
      <c r="A2220" s="13"/>
      <c r="B2220" s="13"/>
      <c r="C2220" s="13"/>
      <c r="D2220" s="13"/>
      <c r="E2220" s="13"/>
    </row>
    <row r="2221" spans="1:5" x14ac:dyDescent="0.25">
      <c r="A2221" s="13"/>
      <c r="B2221" s="13"/>
      <c r="C2221" s="13"/>
      <c r="D2221" s="13"/>
      <c r="E2221" s="13"/>
    </row>
    <row r="2222" spans="1:5" x14ac:dyDescent="0.25">
      <c r="A2222" s="13"/>
      <c r="B2222" s="13"/>
      <c r="C2222" s="13"/>
      <c r="D2222" s="13"/>
      <c r="E2222" s="13"/>
    </row>
    <row r="2223" spans="1:5" x14ac:dyDescent="0.25">
      <c r="A2223" s="13"/>
      <c r="B2223" s="13"/>
      <c r="C2223" s="13"/>
      <c r="D2223" s="13"/>
      <c r="E2223" s="13"/>
    </row>
    <row r="2224" spans="1:5" x14ac:dyDescent="0.25">
      <c r="A2224" s="13"/>
      <c r="B2224" s="13"/>
      <c r="C2224" s="13"/>
      <c r="D2224" s="13"/>
      <c r="E2224" s="13"/>
    </row>
    <row r="2225" spans="1:5" x14ac:dyDescent="0.25">
      <c r="A2225" s="13"/>
      <c r="B2225" s="13"/>
      <c r="C2225" s="13"/>
      <c r="D2225" s="13"/>
      <c r="E2225" s="13"/>
    </row>
    <row r="2226" spans="1:5" x14ac:dyDescent="0.25">
      <c r="A2226" s="13"/>
      <c r="B2226" s="13"/>
      <c r="C2226" s="13"/>
      <c r="D2226" s="13"/>
      <c r="E2226" s="13"/>
    </row>
    <row r="2227" spans="1:5" x14ac:dyDescent="0.25">
      <c r="A2227" s="13"/>
      <c r="B2227" s="13"/>
      <c r="C2227" s="13"/>
      <c r="D2227" s="13"/>
      <c r="E2227" s="13"/>
    </row>
    <row r="2228" spans="1:5" x14ac:dyDescent="0.25">
      <c r="A2228" s="13"/>
      <c r="B2228" s="13"/>
      <c r="C2228" s="13"/>
      <c r="D2228" s="13"/>
      <c r="E2228" s="13"/>
    </row>
    <row r="2229" spans="1:5" x14ac:dyDescent="0.25">
      <c r="A2229" s="13"/>
      <c r="B2229" s="13"/>
      <c r="C2229" s="13"/>
      <c r="D2229" s="13"/>
      <c r="E2229" s="13"/>
    </row>
    <row r="2230" spans="1:5" x14ac:dyDescent="0.25">
      <c r="A2230" s="13"/>
      <c r="B2230" s="13"/>
      <c r="C2230" s="13"/>
      <c r="D2230" s="13"/>
      <c r="E2230" s="13"/>
    </row>
    <row r="2231" spans="1:5" x14ac:dyDescent="0.25">
      <c r="A2231" s="13"/>
      <c r="B2231" s="13"/>
      <c r="C2231" s="13"/>
      <c r="D2231" s="13"/>
      <c r="E2231" s="13"/>
    </row>
    <row r="2232" spans="1:5" x14ac:dyDescent="0.25">
      <c r="A2232" s="13"/>
      <c r="B2232" s="13"/>
      <c r="C2232" s="13"/>
      <c r="D2232" s="13"/>
      <c r="E2232" s="13"/>
    </row>
    <row r="2233" spans="1:5" x14ac:dyDescent="0.25">
      <c r="A2233" s="13"/>
      <c r="B2233" s="13"/>
      <c r="C2233" s="13"/>
      <c r="D2233" s="13"/>
      <c r="E2233" s="13"/>
    </row>
    <row r="2234" spans="1:5" x14ac:dyDescent="0.25">
      <c r="A2234" s="13"/>
      <c r="B2234" s="13"/>
      <c r="C2234" s="13"/>
      <c r="D2234" s="13"/>
      <c r="E2234" s="13"/>
    </row>
    <row r="2235" spans="1:5" x14ac:dyDescent="0.25">
      <c r="A2235" s="13"/>
      <c r="B2235" s="13"/>
      <c r="C2235" s="13"/>
      <c r="D2235" s="13"/>
      <c r="E2235" s="13"/>
    </row>
    <row r="2236" spans="1:5" x14ac:dyDescent="0.25">
      <c r="A2236" s="13"/>
      <c r="B2236" s="13"/>
      <c r="C2236" s="13"/>
      <c r="D2236" s="13"/>
      <c r="E2236" s="13"/>
    </row>
    <row r="2237" spans="1:5" x14ac:dyDescent="0.25">
      <c r="A2237" s="13"/>
      <c r="B2237" s="13"/>
      <c r="C2237" s="13"/>
      <c r="D2237" s="13"/>
      <c r="E2237" s="13"/>
    </row>
    <row r="2238" spans="1:5" x14ac:dyDescent="0.25">
      <c r="A2238" s="13"/>
      <c r="B2238" s="13"/>
      <c r="C2238" s="13"/>
      <c r="D2238" s="13"/>
      <c r="E2238" s="13"/>
    </row>
    <row r="2239" spans="1:5" x14ac:dyDescent="0.25">
      <c r="A2239" s="13"/>
      <c r="B2239" s="13"/>
      <c r="C2239" s="13"/>
      <c r="D2239" s="13"/>
      <c r="E2239" s="13"/>
    </row>
    <row r="2240" spans="1:5" x14ac:dyDescent="0.25">
      <c r="A2240" s="13"/>
      <c r="B2240" s="13"/>
      <c r="C2240" s="13"/>
      <c r="D2240" s="13"/>
      <c r="E2240" s="13"/>
    </row>
    <row r="2241" spans="1:5" x14ac:dyDescent="0.25">
      <c r="A2241" s="13"/>
      <c r="B2241" s="13"/>
      <c r="C2241" s="13"/>
      <c r="D2241" s="13"/>
      <c r="E2241" s="13"/>
    </row>
    <row r="2242" spans="1:5" x14ac:dyDescent="0.25">
      <c r="A2242" s="13"/>
      <c r="B2242" s="13"/>
      <c r="C2242" s="13"/>
      <c r="D2242" s="13"/>
      <c r="E2242" s="13"/>
    </row>
    <row r="2243" spans="1:5" x14ac:dyDescent="0.25">
      <c r="A2243" s="13"/>
      <c r="B2243" s="13"/>
      <c r="C2243" s="13"/>
      <c r="D2243" s="13"/>
      <c r="E2243" s="13"/>
    </row>
    <row r="2244" spans="1:5" x14ac:dyDescent="0.25">
      <c r="A2244" s="13"/>
      <c r="B2244" s="13"/>
      <c r="C2244" s="13"/>
      <c r="D2244" s="13"/>
      <c r="E2244" s="13"/>
    </row>
    <row r="2245" spans="1:5" x14ac:dyDescent="0.25">
      <c r="A2245" s="13"/>
      <c r="B2245" s="13"/>
      <c r="C2245" s="13"/>
      <c r="D2245" s="13"/>
      <c r="E2245" s="13"/>
    </row>
    <row r="2246" spans="1:5" x14ac:dyDescent="0.25">
      <c r="A2246" s="13"/>
      <c r="B2246" s="13"/>
      <c r="C2246" s="13"/>
      <c r="D2246" s="13"/>
      <c r="E2246" s="13"/>
    </row>
    <row r="2247" spans="1:5" x14ac:dyDescent="0.25">
      <c r="A2247" s="13"/>
      <c r="B2247" s="13"/>
      <c r="C2247" s="13"/>
      <c r="D2247" s="13"/>
      <c r="E2247" s="13"/>
    </row>
    <row r="2248" spans="1:5" x14ac:dyDescent="0.25">
      <c r="A2248" s="13"/>
      <c r="B2248" s="13"/>
      <c r="C2248" s="13"/>
      <c r="D2248" s="13"/>
      <c r="E2248" s="13"/>
    </row>
    <row r="2249" spans="1:5" x14ac:dyDescent="0.25">
      <c r="A2249" s="13"/>
      <c r="B2249" s="13"/>
      <c r="C2249" s="13"/>
      <c r="D2249" s="13"/>
      <c r="E2249" s="13"/>
    </row>
    <row r="2250" spans="1:5" x14ac:dyDescent="0.25">
      <c r="A2250" s="13"/>
      <c r="B2250" s="13"/>
      <c r="C2250" s="13"/>
      <c r="D2250" s="13"/>
      <c r="E2250" s="13"/>
    </row>
    <row r="2251" spans="1:5" x14ac:dyDescent="0.25">
      <c r="A2251" s="13"/>
      <c r="B2251" s="13"/>
      <c r="C2251" s="13"/>
      <c r="D2251" s="13"/>
      <c r="E2251" s="13"/>
    </row>
    <row r="2252" spans="1:5" x14ac:dyDescent="0.25">
      <c r="A2252" s="13"/>
      <c r="B2252" s="13"/>
      <c r="C2252" s="13"/>
      <c r="D2252" s="13"/>
      <c r="E2252" s="13"/>
    </row>
    <row r="2253" spans="1:5" x14ac:dyDescent="0.25">
      <c r="A2253" s="13"/>
      <c r="B2253" s="13"/>
      <c r="C2253" s="13"/>
      <c r="D2253" s="13"/>
      <c r="E2253" s="13"/>
    </row>
    <row r="2254" spans="1:5" x14ac:dyDescent="0.25">
      <c r="A2254" s="13"/>
      <c r="B2254" s="13"/>
      <c r="C2254" s="13"/>
      <c r="D2254" s="13"/>
      <c r="E2254" s="13"/>
    </row>
    <row r="2255" spans="1:5" x14ac:dyDescent="0.25">
      <c r="A2255" s="13"/>
      <c r="B2255" s="13"/>
      <c r="C2255" s="13"/>
      <c r="D2255" s="13"/>
      <c r="E2255" s="13"/>
    </row>
    <row r="2256" spans="1:5" x14ac:dyDescent="0.25">
      <c r="A2256" s="13"/>
      <c r="B2256" s="13"/>
      <c r="C2256" s="13"/>
      <c r="D2256" s="13"/>
      <c r="E2256" s="13"/>
    </row>
    <row r="2257" spans="1:5" x14ac:dyDescent="0.25">
      <c r="A2257" s="13"/>
      <c r="B2257" s="13"/>
      <c r="C2257" s="13"/>
      <c r="D2257" s="13"/>
      <c r="E2257" s="13"/>
    </row>
    <row r="2258" spans="1:5" x14ac:dyDescent="0.25">
      <c r="A2258" s="13"/>
      <c r="B2258" s="13"/>
      <c r="C2258" s="13"/>
      <c r="D2258" s="13"/>
      <c r="E2258" s="13"/>
    </row>
    <row r="2259" spans="1:5" x14ac:dyDescent="0.25">
      <c r="A2259" s="13"/>
      <c r="B2259" s="13"/>
      <c r="C2259" s="13"/>
      <c r="D2259" s="13"/>
      <c r="E2259" s="13"/>
    </row>
    <row r="2260" spans="1:5" x14ac:dyDescent="0.25">
      <c r="A2260" s="13"/>
      <c r="B2260" s="13"/>
      <c r="C2260" s="13"/>
      <c r="D2260" s="13"/>
      <c r="E2260" s="13"/>
    </row>
    <row r="2261" spans="1:5" x14ac:dyDescent="0.25">
      <c r="A2261" s="13"/>
      <c r="B2261" s="13"/>
      <c r="C2261" s="13"/>
      <c r="D2261" s="13"/>
      <c r="E2261" s="13"/>
    </row>
    <row r="2262" spans="1:5" x14ac:dyDescent="0.25">
      <c r="A2262" s="13"/>
      <c r="B2262" s="13"/>
      <c r="C2262" s="13"/>
      <c r="D2262" s="13"/>
      <c r="E2262" s="13"/>
    </row>
    <row r="2263" spans="1:5" x14ac:dyDescent="0.25">
      <c r="A2263" s="13"/>
      <c r="B2263" s="13"/>
      <c r="C2263" s="13"/>
      <c r="D2263" s="13"/>
      <c r="E2263" s="13"/>
    </row>
    <row r="2264" spans="1:5" x14ac:dyDescent="0.25">
      <c r="A2264" s="13"/>
      <c r="B2264" s="13"/>
      <c r="C2264" s="13"/>
      <c r="D2264" s="13"/>
      <c r="E2264" s="13"/>
    </row>
    <row r="2265" spans="1:5" x14ac:dyDescent="0.25">
      <c r="A2265" s="13"/>
      <c r="B2265" s="13"/>
      <c r="C2265" s="13"/>
      <c r="D2265" s="13"/>
      <c r="E2265" s="13"/>
    </row>
    <row r="2266" spans="1:5" x14ac:dyDescent="0.25">
      <c r="A2266" s="13"/>
      <c r="B2266" s="13"/>
      <c r="C2266" s="13"/>
      <c r="D2266" s="13"/>
      <c r="E2266" s="13"/>
    </row>
    <row r="2267" spans="1:5" x14ac:dyDescent="0.25">
      <c r="A2267" s="13"/>
      <c r="B2267" s="13"/>
      <c r="C2267" s="13"/>
      <c r="D2267" s="13"/>
      <c r="E2267" s="13"/>
    </row>
    <row r="2268" spans="1:5" x14ac:dyDescent="0.25">
      <c r="A2268" s="13"/>
      <c r="B2268" s="13"/>
      <c r="C2268" s="13"/>
      <c r="D2268" s="13"/>
      <c r="E2268" s="13"/>
    </row>
    <row r="2269" spans="1:5" x14ac:dyDescent="0.25">
      <c r="A2269" s="13"/>
      <c r="B2269" s="13"/>
      <c r="C2269" s="13"/>
      <c r="D2269" s="13"/>
      <c r="E2269" s="13"/>
    </row>
    <row r="2270" spans="1:5" x14ac:dyDescent="0.25">
      <c r="A2270" s="13"/>
      <c r="B2270" s="13"/>
      <c r="C2270" s="13"/>
      <c r="D2270" s="13"/>
      <c r="E2270" s="13"/>
    </row>
    <row r="2271" spans="1:5" x14ac:dyDescent="0.25">
      <c r="A2271" s="13"/>
      <c r="B2271" s="13"/>
      <c r="C2271" s="13"/>
      <c r="D2271" s="13"/>
      <c r="E2271" s="13"/>
    </row>
    <row r="2272" spans="1:5" x14ac:dyDescent="0.25">
      <c r="A2272" s="13"/>
      <c r="B2272" s="13"/>
      <c r="C2272" s="13"/>
      <c r="D2272" s="13"/>
      <c r="E2272" s="13"/>
    </row>
    <row r="2273" spans="1:5" x14ac:dyDescent="0.25">
      <c r="A2273" s="13"/>
      <c r="B2273" s="13"/>
      <c r="C2273" s="13"/>
      <c r="D2273" s="13"/>
      <c r="E2273" s="13"/>
    </row>
    <row r="2274" spans="1:5" x14ac:dyDescent="0.25">
      <c r="A2274" s="13"/>
      <c r="B2274" s="13"/>
      <c r="C2274" s="13"/>
      <c r="D2274" s="13"/>
      <c r="E2274" s="13"/>
    </row>
    <row r="2275" spans="1:5" x14ac:dyDescent="0.25">
      <c r="A2275" s="13"/>
      <c r="B2275" s="13"/>
      <c r="C2275" s="13"/>
      <c r="D2275" s="13"/>
      <c r="E2275" s="13"/>
    </row>
    <row r="2276" spans="1:5" x14ac:dyDescent="0.25">
      <c r="A2276" s="13"/>
      <c r="B2276" s="13"/>
      <c r="C2276" s="13"/>
      <c r="D2276" s="13"/>
      <c r="E2276" s="13"/>
    </row>
    <row r="2277" spans="1:5" x14ac:dyDescent="0.25">
      <c r="A2277" s="13"/>
      <c r="B2277" s="13"/>
      <c r="C2277" s="13"/>
      <c r="D2277" s="13"/>
      <c r="E2277" s="13"/>
    </row>
    <row r="2278" spans="1:5" x14ac:dyDescent="0.25">
      <c r="A2278" s="13"/>
      <c r="B2278" s="13"/>
      <c r="C2278" s="13"/>
      <c r="D2278" s="13"/>
      <c r="E2278" s="13"/>
    </row>
    <row r="2279" spans="1:5" x14ac:dyDescent="0.25">
      <c r="A2279" s="13"/>
      <c r="B2279" s="13"/>
      <c r="C2279" s="13"/>
      <c r="D2279" s="13"/>
      <c r="E2279" s="13"/>
    </row>
    <row r="2280" spans="1:5" x14ac:dyDescent="0.25">
      <c r="A2280" s="13"/>
      <c r="B2280" s="13"/>
      <c r="C2280" s="13"/>
      <c r="D2280" s="13"/>
      <c r="E2280" s="13"/>
    </row>
    <row r="2281" spans="1:5" x14ac:dyDescent="0.25">
      <c r="A2281" s="13"/>
      <c r="B2281" s="13"/>
      <c r="C2281" s="13"/>
      <c r="D2281" s="13"/>
      <c r="E2281" s="13"/>
    </row>
    <row r="2282" spans="1:5" x14ac:dyDescent="0.25">
      <c r="A2282" s="13"/>
      <c r="B2282" s="13"/>
      <c r="C2282" s="13"/>
      <c r="D2282" s="13"/>
      <c r="E2282" s="13"/>
    </row>
    <row r="2283" spans="1:5" x14ac:dyDescent="0.25">
      <c r="A2283" s="13"/>
      <c r="B2283" s="13"/>
      <c r="C2283" s="13"/>
      <c r="D2283" s="13"/>
      <c r="E2283" s="13"/>
    </row>
    <row r="2284" spans="1:5" x14ac:dyDescent="0.25">
      <c r="A2284" s="13"/>
      <c r="B2284" s="13"/>
      <c r="C2284" s="13"/>
      <c r="D2284" s="13"/>
      <c r="E2284" s="13"/>
    </row>
    <row r="2285" spans="1:5" x14ac:dyDescent="0.25">
      <c r="A2285" s="13"/>
      <c r="B2285" s="13"/>
      <c r="C2285" s="13"/>
      <c r="D2285" s="13"/>
      <c r="E2285" s="13"/>
    </row>
    <row r="2286" spans="1:5" x14ac:dyDescent="0.25">
      <c r="A2286" s="13"/>
      <c r="B2286" s="13"/>
      <c r="C2286" s="13"/>
      <c r="D2286" s="13"/>
      <c r="E2286" s="13"/>
    </row>
    <row r="2287" spans="1:5" x14ac:dyDescent="0.25">
      <c r="A2287" s="13"/>
      <c r="B2287" s="13"/>
      <c r="C2287" s="13"/>
      <c r="D2287" s="13"/>
      <c r="E2287" s="13"/>
    </row>
    <row r="2288" spans="1:5" x14ac:dyDescent="0.25">
      <c r="A2288" s="13"/>
      <c r="B2288" s="13"/>
      <c r="C2288" s="13"/>
      <c r="D2288" s="13"/>
      <c r="E2288" s="13"/>
    </row>
    <row r="2289" spans="1:5" x14ac:dyDescent="0.25">
      <c r="A2289" s="13"/>
      <c r="B2289" s="13"/>
      <c r="C2289" s="13"/>
      <c r="D2289" s="13"/>
      <c r="E2289" s="13"/>
    </row>
    <row r="2290" spans="1:5" x14ac:dyDescent="0.25">
      <c r="A2290" s="13"/>
      <c r="B2290" s="13"/>
      <c r="C2290" s="13"/>
      <c r="D2290" s="13"/>
      <c r="E2290" s="13"/>
    </row>
    <row r="2291" spans="1:5" x14ac:dyDescent="0.25">
      <c r="A2291" s="13"/>
      <c r="B2291" s="13"/>
      <c r="C2291" s="13"/>
      <c r="D2291" s="13"/>
      <c r="E2291" s="13"/>
    </row>
    <row r="2292" spans="1:5" x14ac:dyDescent="0.25">
      <c r="A2292" s="13"/>
      <c r="B2292" s="13"/>
      <c r="C2292" s="13"/>
      <c r="D2292" s="13"/>
      <c r="E2292" s="13"/>
    </row>
    <row r="2293" spans="1:5" x14ac:dyDescent="0.25">
      <c r="A2293" s="13"/>
      <c r="B2293" s="13"/>
      <c r="C2293" s="13"/>
      <c r="D2293" s="13"/>
      <c r="E2293" s="13"/>
    </row>
    <row r="2294" spans="1:5" x14ac:dyDescent="0.25">
      <c r="A2294" s="13"/>
      <c r="B2294" s="13"/>
      <c r="C2294" s="13"/>
      <c r="D2294" s="13"/>
      <c r="E2294" s="13"/>
    </row>
    <row r="2295" spans="1:5" x14ac:dyDescent="0.25">
      <c r="A2295" s="13"/>
      <c r="B2295" s="13"/>
      <c r="C2295" s="13"/>
      <c r="D2295" s="13"/>
      <c r="E2295" s="13"/>
    </row>
    <row r="2296" spans="1:5" x14ac:dyDescent="0.25">
      <c r="A2296" s="13"/>
      <c r="B2296" s="13"/>
      <c r="C2296" s="13"/>
      <c r="D2296" s="13"/>
      <c r="E2296" s="13"/>
    </row>
    <row r="2297" spans="1:5" x14ac:dyDescent="0.25">
      <c r="A2297" s="13"/>
      <c r="B2297" s="13"/>
      <c r="C2297" s="13"/>
      <c r="D2297" s="13"/>
      <c r="E2297" s="13"/>
    </row>
    <row r="2298" spans="1:5" x14ac:dyDescent="0.25">
      <c r="A2298" s="13"/>
      <c r="B2298" s="13"/>
      <c r="C2298" s="13"/>
      <c r="D2298" s="13"/>
      <c r="E2298" s="13"/>
    </row>
    <row r="2299" spans="1:5" x14ac:dyDescent="0.25">
      <c r="A2299" s="13"/>
      <c r="B2299" s="13"/>
      <c r="C2299" s="13"/>
      <c r="D2299" s="13"/>
      <c r="E2299" s="13"/>
    </row>
    <row r="2300" spans="1:5" x14ac:dyDescent="0.25">
      <c r="A2300" s="13"/>
      <c r="B2300" s="13"/>
      <c r="C2300" s="13"/>
      <c r="D2300" s="13"/>
      <c r="E2300" s="13"/>
    </row>
    <row r="2301" spans="1:5" x14ac:dyDescent="0.25">
      <c r="A2301" s="13"/>
      <c r="B2301" s="13"/>
      <c r="C2301" s="13"/>
      <c r="D2301" s="13"/>
      <c r="E2301" s="13"/>
    </row>
    <row r="2302" spans="1:5" x14ac:dyDescent="0.25">
      <c r="A2302" s="13"/>
      <c r="B2302" s="13"/>
      <c r="C2302" s="13"/>
      <c r="D2302" s="13"/>
      <c r="E2302" s="13"/>
    </row>
    <row r="2303" spans="1:5" x14ac:dyDescent="0.25">
      <c r="A2303" s="13"/>
      <c r="B2303" s="13"/>
      <c r="C2303" s="13"/>
      <c r="D2303" s="13"/>
      <c r="E2303" s="13"/>
    </row>
    <row r="2304" spans="1:5" x14ac:dyDescent="0.25">
      <c r="A2304" s="13"/>
      <c r="B2304" s="13"/>
      <c r="C2304" s="13"/>
      <c r="D2304" s="13"/>
      <c r="E2304" s="13"/>
    </row>
    <row r="2305" spans="1:5" x14ac:dyDescent="0.25">
      <c r="A2305" s="13"/>
      <c r="B2305" s="13"/>
      <c r="C2305" s="13"/>
      <c r="D2305" s="13"/>
      <c r="E2305" s="13"/>
    </row>
    <row r="2306" spans="1:5" x14ac:dyDescent="0.25">
      <c r="A2306" s="13"/>
      <c r="B2306" s="13"/>
      <c r="C2306" s="13"/>
      <c r="D2306" s="13"/>
      <c r="E2306" s="13"/>
    </row>
    <row r="2307" spans="1:5" x14ac:dyDescent="0.25">
      <c r="A2307" s="13"/>
      <c r="B2307" s="13"/>
      <c r="C2307" s="13"/>
      <c r="D2307" s="13"/>
      <c r="E2307" s="13"/>
    </row>
    <row r="2308" spans="1:5" x14ac:dyDescent="0.25">
      <c r="A2308" s="13"/>
      <c r="B2308" s="13"/>
      <c r="C2308" s="13"/>
      <c r="D2308" s="13"/>
      <c r="E2308" s="13"/>
    </row>
    <row r="2309" spans="1:5" x14ac:dyDescent="0.25">
      <c r="A2309" s="13"/>
      <c r="B2309" s="13"/>
      <c r="C2309" s="13"/>
      <c r="D2309" s="13"/>
      <c r="E2309" s="13"/>
    </row>
    <row r="2310" spans="1:5" x14ac:dyDescent="0.25">
      <c r="A2310" s="13"/>
      <c r="B2310" s="13"/>
      <c r="C2310" s="13"/>
      <c r="D2310" s="13"/>
      <c r="E2310" s="13"/>
    </row>
    <row r="2311" spans="1:5" x14ac:dyDescent="0.25">
      <c r="A2311" s="13"/>
      <c r="B2311" s="13"/>
      <c r="C2311" s="13"/>
      <c r="D2311" s="13"/>
      <c r="E2311" s="13"/>
    </row>
    <row r="2312" spans="1:5" x14ac:dyDescent="0.25">
      <c r="A2312" s="13"/>
      <c r="B2312" s="13"/>
      <c r="C2312" s="13"/>
      <c r="D2312" s="13"/>
      <c r="E2312" s="13"/>
    </row>
    <row r="2313" spans="1:5" x14ac:dyDescent="0.25">
      <c r="A2313" s="13"/>
      <c r="B2313" s="13"/>
      <c r="C2313" s="13"/>
      <c r="D2313" s="13"/>
      <c r="E2313" s="13"/>
    </row>
    <row r="2314" spans="1:5" x14ac:dyDescent="0.25">
      <c r="A2314" s="13"/>
      <c r="B2314" s="13"/>
      <c r="C2314" s="13"/>
      <c r="D2314" s="13"/>
      <c r="E2314" s="13"/>
    </row>
    <row r="2315" spans="1:5" x14ac:dyDescent="0.25">
      <c r="A2315" s="13"/>
      <c r="B2315" s="13"/>
      <c r="C2315" s="13"/>
      <c r="D2315" s="13"/>
      <c r="E2315" s="13"/>
    </row>
    <row r="2316" spans="1:5" x14ac:dyDescent="0.25">
      <c r="A2316" s="13"/>
      <c r="B2316" s="13"/>
      <c r="C2316" s="13"/>
      <c r="D2316" s="13"/>
      <c r="E2316" s="13"/>
    </row>
    <row r="2317" spans="1:5" x14ac:dyDescent="0.25">
      <c r="A2317" s="13"/>
      <c r="B2317" s="13"/>
      <c r="C2317" s="13"/>
      <c r="D2317" s="13"/>
      <c r="E2317" s="13"/>
    </row>
    <row r="2318" spans="1:5" x14ac:dyDescent="0.25">
      <c r="A2318" s="13"/>
      <c r="B2318" s="13"/>
      <c r="C2318" s="13"/>
      <c r="D2318" s="13"/>
      <c r="E2318" s="13"/>
    </row>
    <row r="2319" spans="1:5" x14ac:dyDescent="0.25">
      <c r="A2319" s="13"/>
      <c r="B2319" s="13"/>
      <c r="C2319" s="13"/>
      <c r="D2319" s="13"/>
      <c r="E2319" s="13"/>
    </row>
    <row r="2320" spans="1:5" x14ac:dyDescent="0.25">
      <c r="A2320" s="13"/>
      <c r="B2320" s="13"/>
      <c r="C2320" s="13"/>
      <c r="D2320" s="13"/>
      <c r="E2320" s="13"/>
    </row>
    <row r="2321" spans="1:5" x14ac:dyDescent="0.25">
      <c r="A2321" s="13"/>
      <c r="B2321" s="13"/>
      <c r="C2321" s="13"/>
      <c r="D2321" s="13"/>
      <c r="E2321" s="13"/>
    </row>
    <row r="2322" spans="1:5" x14ac:dyDescent="0.25">
      <c r="A2322" s="13"/>
      <c r="B2322" s="13"/>
      <c r="C2322" s="13"/>
      <c r="D2322" s="13"/>
      <c r="E2322" s="13"/>
    </row>
    <row r="2323" spans="1:5" x14ac:dyDescent="0.25">
      <c r="A2323" s="13"/>
      <c r="B2323" s="13"/>
      <c r="C2323" s="13"/>
      <c r="D2323" s="13"/>
      <c r="E2323" s="13"/>
    </row>
    <row r="2324" spans="1:5" x14ac:dyDescent="0.25">
      <c r="A2324" s="13"/>
      <c r="B2324" s="13"/>
      <c r="C2324" s="13"/>
      <c r="D2324" s="13"/>
      <c r="E2324" s="13"/>
    </row>
    <row r="2325" spans="1:5" x14ac:dyDescent="0.25">
      <c r="A2325" s="13"/>
      <c r="B2325" s="13"/>
      <c r="C2325" s="13"/>
      <c r="D2325" s="13"/>
      <c r="E2325" s="13"/>
    </row>
    <row r="2326" spans="1:5" x14ac:dyDescent="0.25">
      <c r="A2326" s="13"/>
      <c r="B2326" s="13"/>
      <c r="C2326" s="13"/>
      <c r="D2326" s="13"/>
      <c r="E2326" s="13"/>
    </row>
    <row r="2327" spans="1:5" x14ac:dyDescent="0.25">
      <c r="A2327" s="13"/>
      <c r="B2327" s="13"/>
      <c r="C2327" s="13"/>
      <c r="D2327" s="13"/>
      <c r="E2327" s="13"/>
    </row>
    <row r="2328" spans="1:5" x14ac:dyDescent="0.25">
      <c r="A2328" s="13"/>
      <c r="B2328" s="13"/>
      <c r="C2328" s="13"/>
      <c r="D2328" s="13"/>
      <c r="E2328" s="13"/>
    </row>
    <row r="2329" spans="1:5" x14ac:dyDescent="0.25">
      <c r="A2329" s="13"/>
      <c r="B2329" s="13"/>
      <c r="C2329" s="13"/>
      <c r="D2329" s="13"/>
      <c r="E2329" s="13"/>
    </row>
    <row r="2330" spans="1:5" x14ac:dyDescent="0.25">
      <c r="A2330" s="13"/>
      <c r="B2330" s="13"/>
      <c r="C2330" s="13"/>
      <c r="D2330" s="13"/>
      <c r="E2330" s="13"/>
    </row>
    <row r="2331" spans="1:5" x14ac:dyDescent="0.25">
      <c r="A2331" s="13"/>
      <c r="B2331" s="13"/>
      <c r="C2331" s="13"/>
      <c r="D2331" s="13"/>
      <c r="E2331" s="13"/>
    </row>
    <row r="2332" spans="1:5" x14ac:dyDescent="0.25">
      <c r="A2332" s="13"/>
      <c r="B2332" s="13"/>
      <c r="C2332" s="13"/>
      <c r="D2332" s="13"/>
      <c r="E2332" s="13"/>
    </row>
    <row r="2333" spans="1:5" x14ac:dyDescent="0.25">
      <c r="A2333" s="13"/>
      <c r="B2333" s="13"/>
      <c r="C2333" s="13"/>
      <c r="D2333" s="13"/>
      <c r="E2333" s="13"/>
    </row>
    <row r="2334" spans="1:5" x14ac:dyDescent="0.25">
      <c r="A2334" s="13"/>
      <c r="B2334" s="13"/>
      <c r="C2334" s="13"/>
      <c r="D2334" s="13"/>
      <c r="E2334" s="13"/>
    </row>
    <row r="2335" spans="1:5" x14ac:dyDescent="0.25">
      <c r="A2335" s="13"/>
      <c r="B2335" s="13"/>
      <c r="C2335" s="13"/>
      <c r="D2335" s="13"/>
      <c r="E2335" s="13"/>
    </row>
    <row r="2336" spans="1:5" x14ac:dyDescent="0.25">
      <c r="A2336" s="13"/>
      <c r="B2336" s="13"/>
      <c r="C2336" s="13"/>
      <c r="D2336" s="13"/>
      <c r="E2336" s="13"/>
    </row>
    <row r="2337" spans="1:5" x14ac:dyDescent="0.25">
      <c r="A2337" s="13"/>
      <c r="B2337" s="13"/>
      <c r="C2337" s="13"/>
      <c r="D2337" s="13"/>
      <c r="E2337" s="13"/>
    </row>
    <row r="2338" spans="1:5" x14ac:dyDescent="0.25">
      <c r="A2338" s="13"/>
      <c r="B2338" s="13"/>
      <c r="C2338" s="13"/>
      <c r="D2338" s="13"/>
      <c r="E2338" s="13"/>
    </row>
    <row r="2339" spans="1:5" x14ac:dyDescent="0.25">
      <c r="A2339" s="13"/>
      <c r="B2339" s="13"/>
      <c r="C2339" s="13"/>
      <c r="D2339" s="13"/>
      <c r="E2339" s="13"/>
    </row>
    <row r="2340" spans="1:5" x14ac:dyDescent="0.25">
      <c r="A2340" s="13"/>
      <c r="B2340" s="13"/>
      <c r="C2340" s="13"/>
      <c r="D2340" s="13"/>
      <c r="E2340" s="13"/>
    </row>
    <row r="2341" spans="1:5" x14ac:dyDescent="0.25">
      <c r="A2341" s="13"/>
      <c r="B2341" s="13"/>
      <c r="C2341" s="13"/>
      <c r="D2341" s="13"/>
      <c r="E2341" s="13"/>
    </row>
    <row r="2342" spans="1:5" x14ac:dyDescent="0.25">
      <c r="A2342" s="13"/>
      <c r="B2342" s="13"/>
      <c r="C2342" s="13"/>
      <c r="D2342" s="13"/>
      <c r="E2342" s="13"/>
    </row>
    <row r="2343" spans="1:5" x14ac:dyDescent="0.25">
      <c r="A2343" s="13"/>
      <c r="B2343" s="13"/>
      <c r="C2343" s="13"/>
      <c r="D2343" s="13"/>
      <c r="E2343" s="13"/>
    </row>
    <row r="2344" spans="1:5" x14ac:dyDescent="0.25">
      <c r="A2344" s="13"/>
      <c r="B2344" s="13"/>
      <c r="C2344" s="13"/>
      <c r="D2344" s="13"/>
      <c r="E2344" s="13"/>
    </row>
    <row r="2345" spans="1:5" x14ac:dyDescent="0.25">
      <c r="A2345" s="13"/>
      <c r="B2345" s="13"/>
      <c r="C2345" s="13"/>
      <c r="D2345" s="13"/>
      <c r="E2345" s="13"/>
    </row>
    <row r="2346" spans="1:5" x14ac:dyDescent="0.25">
      <c r="A2346" s="13"/>
      <c r="B2346" s="13"/>
      <c r="C2346" s="13"/>
      <c r="D2346" s="13"/>
      <c r="E2346" s="13"/>
    </row>
    <row r="2347" spans="1:5" x14ac:dyDescent="0.25">
      <c r="A2347" s="13"/>
      <c r="B2347" s="13"/>
      <c r="C2347" s="13"/>
      <c r="D2347" s="13"/>
      <c r="E2347" s="13"/>
    </row>
    <row r="2348" spans="1:5" x14ac:dyDescent="0.25">
      <c r="A2348" s="13"/>
      <c r="B2348" s="13"/>
      <c r="C2348" s="13"/>
      <c r="D2348" s="13"/>
      <c r="E2348" s="13"/>
    </row>
    <row r="2349" spans="1:5" x14ac:dyDescent="0.25">
      <c r="A2349" s="13"/>
      <c r="B2349" s="13"/>
      <c r="C2349" s="13"/>
      <c r="D2349" s="13"/>
      <c r="E2349" s="13"/>
    </row>
    <row r="2350" spans="1:5" x14ac:dyDescent="0.25">
      <c r="A2350" s="13"/>
      <c r="B2350" s="13"/>
      <c r="C2350" s="13"/>
      <c r="D2350" s="13"/>
      <c r="E2350" s="13"/>
    </row>
    <row r="2351" spans="1:5" x14ac:dyDescent="0.25">
      <c r="A2351" s="13"/>
      <c r="B2351" s="13"/>
      <c r="C2351" s="13"/>
      <c r="D2351" s="13"/>
      <c r="E2351" s="13"/>
    </row>
    <row r="2352" spans="1:5" x14ac:dyDescent="0.25">
      <c r="A2352" s="13"/>
      <c r="B2352" s="13"/>
      <c r="C2352" s="13"/>
      <c r="D2352" s="13"/>
      <c r="E2352" s="13"/>
    </row>
    <row r="2353" spans="1:5" x14ac:dyDescent="0.25">
      <c r="A2353" s="13"/>
      <c r="B2353" s="13"/>
      <c r="C2353" s="13"/>
      <c r="D2353" s="13"/>
      <c r="E2353" s="13"/>
    </row>
    <row r="2354" spans="1:5" x14ac:dyDescent="0.25">
      <c r="A2354" s="13"/>
      <c r="B2354" s="13"/>
      <c r="C2354" s="13"/>
      <c r="D2354" s="13"/>
      <c r="E2354" s="13"/>
    </row>
    <row r="2355" spans="1:5" x14ac:dyDescent="0.25">
      <c r="A2355" s="13"/>
      <c r="B2355" s="13"/>
      <c r="C2355" s="13"/>
      <c r="D2355" s="13"/>
      <c r="E2355" s="13"/>
    </row>
    <row r="2356" spans="1:5" x14ac:dyDescent="0.25">
      <c r="A2356" s="13"/>
      <c r="B2356" s="13"/>
      <c r="C2356" s="13"/>
      <c r="D2356" s="13"/>
      <c r="E2356" s="13"/>
    </row>
    <row r="2357" spans="1:5" x14ac:dyDescent="0.25">
      <c r="A2357" s="13"/>
      <c r="B2357" s="13"/>
      <c r="C2357" s="13"/>
      <c r="D2357" s="13"/>
      <c r="E2357" s="13"/>
    </row>
    <row r="2358" spans="1:5" x14ac:dyDescent="0.25">
      <c r="A2358" s="13"/>
      <c r="B2358" s="13"/>
      <c r="C2358" s="13"/>
      <c r="D2358" s="13"/>
      <c r="E2358" s="13"/>
    </row>
    <row r="2359" spans="1:5" x14ac:dyDescent="0.25">
      <c r="A2359" s="13"/>
      <c r="B2359" s="13"/>
      <c r="C2359" s="13"/>
      <c r="D2359" s="13"/>
      <c r="E2359" s="13"/>
    </row>
    <row r="2360" spans="1:5" x14ac:dyDescent="0.25">
      <c r="A2360" s="13"/>
      <c r="B2360" s="13"/>
      <c r="C2360" s="13"/>
      <c r="D2360" s="13"/>
      <c r="E2360" s="13"/>
    </row>
    <row r="2361" spans="1:5" x14ac:dyDescent="0.25">
      <c r="A2361" s="13"/>
      <c r="B2361" s="13"/>
      <c r="C2361" s="13"/>
      <c r="D2361" s="13"/>
      <c r="E2361" s="13"/>
    </row>
    <row r="2362" spans="1:5" x14ac:dyDescent="0.25">
      <c r="A2362" s="13"/>
      <c r="B2362" s="13"/>
      <c r="C2362" s="13"/>
      <c r="D2362" s="13"/>
      <c r="E2362" s="13"/>
    </row>
    <row r="2363" spans="1:5" x14ac:dyDescent="0.25">
      <c r="A2363" s="13"/>
      <c r="B2363" s="13"/>
      <c r="C2363" s="13"/>
      <c r="D2363" s="13"/>
      <c r="E2363" s="13"/>
    </row>
    <row r="2364" spans="1:5" x14ac:dyDescent="0.25">
      <c r="A2364" s="13"/>
      <c r="B2364" s="13"/>
      <c r="C2364" s="13"/>
      <c r="D2364" s="13"/>
      <c r="E2364" s="13"/>
    </row>
    <row r="2365" spans="1:5" x14ac:dyDescent="0.25">
      <c r="A2365" s="13"/>
      <c r="B2365" s="13"/>
      <c r="C2365" s="13"/>
      <c r="D2365" s="13"/>
      <c r="E2365" s="13"/>
    </row>
    <row r="2366" spans="1:5" x14ac:dyDescent="0.25">
      <c r="A2366" s="13"/>
      <c r="B2366" s="13"/>
      <c r="C2366" s="13"/>
      <c r="D2366" s="13"/>
      <c r="E2366" s="13"/>
    </row>
    <row r="2367" spans="1:5" x14ac:dyDescent="0.25">
      <c r="A2367" s="13"/>
      <c r="B2367" s="13"/>
      <c r="C2367" s="13"/>
      <c r="D2367" s="13"/>
      <c r="E2367" s="13"/>
    </row>
    <row r="2368" spans="1:5" x14ac:dyDescent="0.25">
      <c r="A2368" s="13"/>
      <c r="B2368" s="13"/>
      <c r="C2368" s="13"/>
      <c r="D2368" s="13"/>
      <c r="E2368" s="13"/>
    </row>
    <row r="2369" spans="1:5" x14ac:dyDescent="0.25">
      <c r="A2369" s="13"/>
      <c r="B2369" s="13"/>
      <c r="C2369" s="13"/>
      <c r="D2369" s="13"/>
      <c r="E2369" s="13"/>
    </row>
    <row r="2370" spans="1:5" x14ac:dyDescent="0.25">
      <c r="A2370" s="13"/>
      <c r="B2370" s="13"/>
      <c r="C2370" s="13"/>
      <c r="D2370" s="13"/>
      <c r="E2370" s="13"/>
    </row>
    <row r="2371" spans="1:5" x14ac:dyDescent="0.25">
      <c r="A2371" s="13"/>
      <c r="B2371" s="13"/>
      <c r="C2371" s="13"/>
      <c r="D2371" s="13"/>
      <c r="E2371" s="13"/>
    </row>
    <row r="2372" spans="1:5" x14ac:dyDescent="0.25">
      <c r="A2372" s="13"/>
      <c r="B2372" s="13"/>
      <c r="C2372" s="13"/>
      <c r="D2372" s="13"/>
      <c r="E2372" s="13"/>
    </row>
    <row r="2373" spans="1:5" x14ac:dyDescent="0.25">
      <c r="A2373" s="13"/>
      <c r="B2373" s="13"/>
      <c r="C2373" s="13"/>
      <c r="D2373" s="13"/>
      <c r="E2373" s="13"/>
    </row>
    <row r="2374" spans="1:5" x14ac:dyDescent="0.25">
      <c r="A2374" s="13"/>
      <c r="B2374" s="13"/>
      <c r="C2374" s="13"/>
      <c r="D2374" s="13"/>
      <c r="E2374" s="13"/>
    </row>
    <row r="2375" spans="1:5" x14ac:dyDescent="0.25">
      <c r="A2375" s="13"/>
      <c r="B2375" s="13"/>
      <c r="C2375" s="13"/>
      <c r="D2375" s="13"/>
      <c r="E2375" s="13"/>
    </row>
    <row r="2376" spans="1:5" x14ac:dyDescent="0.25">
      <c r="A2376" s="13"/>
      <c r="B2376" s="13"/>
      <c r="C2376" s="13"/>
      <c r="D2376" s="13"/>
      <c r="E2376" s="13"/>
    </row>
    <row r="2377" spans="1:5" x14ac:dyDescent="0.25">
      <c r="A2377" s="13"/>
      <c r="B2377" s="13"/>
      <c r="C2377" s="13"/>
      <c r="D2377" s="13"/>
      <c r="E2377" s="13"/>
    </row>
    <row r="2378" spans="1:5" x14ac:dyDescent="0.25">
      <c r="A2378" s="13"/>
      <c r="B2378" s="13"/>
      <c r="C2378" s="13"/>
      <c r="D2378" s="13"/>
      <c r="E2378" s="13"/>
    </row>
    <row r="2379" spans="1:5" x14ac:dyDescent="0.25">
      <c r="A2379" s="13"/>
      <c r="B2379" s="13"/>
      <c r="C2379" s="13"/>
      <c r="D2379" s="13"/>
      <c r="E2379" s="13"/>
    </row>
    <row r="2380" spans="1:5" x14ac:dyDescent="0.25">
      <c r="A2380" s="13"/>
      <c r="B2380" s="13"/>
      <c r="C2380" s="13"/>
      <c r="D2380" s="13"/>
      <c r="E2380" s="13"/>
    </row>
    <row r="2381" spans="1:5" x14ac:dyDescent="0.25">
      <c r="A2381" s="13"/>
      <c r="B2381" s="13"/>
      <c r="C2381" s="13"/>
      <c r="D2381" s="13"/>
      <c r="E2381" s="13"/>
    </row>
    <row r="2382" spans="1:5" x14ac:dyDescent="0.25">
      <c r="A2382" s="13"/>
      <c r="B2382" s="13"/>
      <c r="C2382" s="13"/>
      <c r="D2382" s="13"/>
      <c r="E2382" s="13"/>
    </row>
    <row r="2383" spans="1:5" x14ac:dyDescent="0.25">
      <c r="A2383" s="13"/>
      <c r="B2383" s="13"/>
      <c r="C2383" s="13"/>
      <c r="D2383" s="13"/>
      <c r="E2383" s="13"/>
    </row>
    <row r="2384" spans="1:5" x14ac:dyDescent="0.25">
      <c r="A2384" s="13"/>
      <c r="B2384" s="13"/>
      <c r="C2384" s="13"/>
      <c r="D2384" s="13"/>
      <c r="E2384" s="13"/>
    </row>
    <row r="2385" spans="1:5" x14ac:dyDescent="0.25">
      <c r="A2385" s="13"/>
      <c r="B2385" s="13"/>
      <c r="C2385" s="13"/>
      <c r="D2385" s="13"/>
      <c r="E2385" s="13"/>
    </row>
    <row r="2386" spans="1:5" x14ac:dyDescent="0.25">
      <c r="A2386" s="13"/>
      <c r="B2386" s="13"/>
      <c r="C2386" s="13"/>
      <c r="D2386" s="13"/>
      <c r="E2386" s="13"/>
    </row>
    <row r="2387" spans="1:5" x14ac:dyDescent="0.25">
      <c r="A2387" s="13"/>
      <c r="B2387" s="13"/>
      <c r="C2387" s="13"/>
      <c r="D2387" s="13"/>
      <c r="E2387" s="13"/>
    </row>
    <row r="2388" spans="1:5" x14ac:dyDescent="0.25">
      <c r="A2388" s="13"/>
      <c r="B2388" s="13"/>
      <c r="C2388" s="13"/>
      <c r="D2388" s="13"/>
      <c r="E2388" s="13"/>
    </row>
    <row r="2389" spans="1:5" x14ac:dyDescent="0.25">
      <c r="A2389" s="13"/>
      <c r="B2389" s="13"/>
      <c r="C2389" s="13"/>
      <c r="D2389" s="13"/>
      <c r="E2389" s="13"/>
    </row>
    <row r="2390" spans="1:5" x14ac:dyDescent="0.25">
      <c r="A2390" s="13"/>
      <c r="B2390" s="13"/>
      <c r="C2390" s="13"/>
      <c r="D2390" s="13"/>
      <c r="E2390" s="13"/>
    </row>
    <row r="2391" spans="1:5" x14ac:dyDescent="0.25">
      <c r="A2391" s="13"/>
      <c r="B2391" s="13"/>
      <c r="C2391" s="13"/>
      <c r="D2391" s="13"/>
      <c r="E2391" s="13"/>
    </row>
    <row r="2392" spans="1:5" x14ac:dyDescent="0.25">
      <c r="A2392" s="13"/>
      <c r="B2392" s="13"/>
      <c r="C2392" s="13"/>
      <c r="D2392" s="13"/>
      <c r="E2392" s="13"/>
    </row>
    <row r="2393" spans="1:5" x14ac:dyDescent="0.25">
      <c r="A2393" s="13"/>
      <c r="B2393" s="13"/>
      <c r="C2393" s="13"/>
      <c r="D2393" s="13"/>
      <c r="E2393" s="13"/>
    </row>
    <row r="2394" spans="1:5" x14ac:dyDescent="0.25">
      <c r="A2394" s="13"/>
      <c r="B2394" s="13"/>
      <c r="C2394" s="13"/>
      <c r="D2394" s="13"/>
      <c r="E2394" s="13"/>
    </row>
    <row r="2395" spans="1:5" x14ac:dyDescent="0.25">
      <c r="A2395" s="13"/>
      <c r="B2395" s="13"/>
      <c r="C2395" s="13"/>
      <c r="D2395" s="13"/>
      <c r="E2395" s="13"/>
    </row>
    <row r="2396" spans="1:5" x14ac:dyDescent="0.25">
      <c r="A2396" s="13"/>
      <c r="B2396" s="13"/>
      <c r="C2396" s="13"/>
      <c r="D2396" s="13"/>
      <c r="E2396" s="13"/>
    </row>
    <row r="2397" spans="1:5" x14ac:dyDescent="0.25">
      <c r="A2397" s="13"/>
      <c r="B2397" s="13"/>
      <c r="C2397" s="13"/>
      <c r="D2397" s="13"/>
      <c r="E2397" s="13"/>
    </row>
    <row r="2398" spans="1:5" x14ac:dyDescent="0.25">
      <c r="A2398" s="13"/>
      <c r="B2398" s="13"/>
      <c r="C2398" s="13"/>
      <c r="D2398" s="13"/>
      <c r="E2398" s="13"/>
    </row>
    <row r="2399" spans="1:5" x14ac:dyDescent="0.25">
      <c r="A2399" s="13"/>
      <c r="B2399" s="13"/>
      <c r="C2399" s="13"/>
      <c r="D2399" s="13"/>
      <c r="E2399" s="13"/>
    </row>
    <row r="2400" spans="1:5" x14ac:dyDescent="0.25">
      <c r="A2400" s="13"/>
      <c r="B2400" s="13"/>
      <c r="C2400" s="13"/>
      <c r="D2400" s="13"/>
      <c r="E2400" s="13"/>
    </row>
    <row r="2401" spans="1:5" x14ac:dyDescent="0.25">
      <c r="A2401" s="13"/>
      <c r="B2401" s="13"/>
      <c r="C2401" s="13"/>
      <c r="D2401" s="13"/>
      <c r="E2401" s="13"/>
    </row>
    <row r="2402" spans="1:5" x14ac:dyDescent="0.25">
      <c r="A2402" s="13"/>
      <c r="B2402" s="13"/>
      <c r="C2402" s="13"/>
      <c r="D2402" s="13"/>
      <c r="E2402" s="13"/>
    </row>
    <row r="2403" spans="1:5" x14ac:dyDescent="0.25">
      <c r="A2403" s="13"/>
      <c r="B2403" s="13"/>
      <c r="C2403" s="13"/>
      <c r="D2403" s="13"/>
      <c r="E2403" s="13"/>
    </row>
    <row r="2404" spans="1:5" x14ac:dyDescent="0.25">
      <c r="A2404" s="13"/>
      <c r="B2404" s="13"/>
      <c r="C2404" s="13"/>
      <c r="D2404" s="13"/>
      <c r="E2404" s="13"/>
    </row>
    <row r="2405" spans="1:5" x14ac:dyDescent="0.25">
      <c r="A2405" s="13"/>
      <c r="B2405" s="13"/>
      <c r="C2405" s="13"/>
      <c r="D2405" s="13"/>
      <c r="E2405" s="13"/>
    </row>
    <row r="2406" spans="1:5" x14ac:dyDescent="0.25">
      <c r="A2406" s="13"/>
      <c r="B2406" s="13"/>
      <c r="C2406" s="13"/>
      <c r="D2406" s="13"/>
      <c r="E2406" s="13"/>
    </row>
    <row r="2407" spans="1:5" x14ac:dyDescent="0.25">
      <c r="A2407" s="13"/>
      <c r="B2407" s="13"/>
      <c r="C2407" s="13"/>
      <c r="D2407" s="13"/>
      <c r="E2407" s="13"/>
    </row>
    <row r="2408" spans="1:5" x14ac:dyDescent="0.25">
      <c r="A2408" s="13"/>
      <c r="B2408" s="13"/>
      <c r="C2408" s="13"/>
      <c r="D2408" s="13"/>
      <c r="E2408" s="13"/>
    </row>
    <row r="2409" spans="1:5" x14ac:dyDescent="0.25">
      <c r="A2409" s="13"/>
      <c r="B2409" s="13"/>
      <c r="C2409" s="13"/>
      <c r="D2409" s="13"/>
      <c r="E2409" s="13"/>
    </row>
    <row r="2410" spans="1:5" x14ac:dyDescent="0.25">
      <c r="A2410" s="13"/>
      <c r="B2410" s="13"/>
      <c r="C2410" s="13"/>
      <c r="D2410" s="13"/>
      <c r="E2410" s="13"/>
    </row>
    <row r="2411" spans="1:5" x14ac:dyDescent="0.25">
      <c r="A2411" s="13"/>
      <c r="B2411" s="13"/>
      <c r="C2411" s="13"/>
      <c r="D2411" s="13"/>
      <c r="E2411" s="13"/>
    </row>
    <row r="2412" spans="1:5" x14ac:dyDescent="0.25">
      <c r="A2412" s="13"/>
      <c r="B2412" s="13"/>
      <c r="C2412" s="13"/>
      <c r="D2412" s="13"/>
      <c r="E2412" s="13"/>
    </row>
    <row r="2413" spans="1:5" x14ac:dyDescent="0.25">
      <c r="A2413" s="13"/>
      <c r="B2413" s="13"/>
      <c r="C2413" s="13"/>
      <c r="D2413" s="13"/>
      <c r="E2413" s="13"/>
    </row>
    <row r="2414" spans="1:5" x14ac:dyDescent="0.25">
      <c r="A2414" s="13"/>
      <c r="B2414" s="13"/>
      <c r="C2414" s="13"/>
      <c r="D2414" s="13"/>
      <c r="E2414" s="13"/>
    </row>
    <row r="2415" spans="1:5" x14ac:dyDescent="0.25">
      <c r="A2415" s="13"/>
      <c r="B2415" s="13"/>
      <c r="C2415" s="13"/>
      <c r="D2415" s="13"/>
      <c r="E2415" s="13"/>
    </row>
    <row r="2416" spans="1:5" x14ac:dyDescent="0.25">
      <c r="A2416" s="13"/>
      <c r="B2416" s="13"/>
      <c r="C2416" s="13"/>
      <c r="D2416" s="13"/>
      <c r="E2416" s="13"/>
    </row>
    <row r="2417" spans="1:5" x14ac:dyDescent="0.25">
      <c r="A2417" s="13"/>
      <c r="B2417" s="13"/>
      <c r="C2417" s="13"/>
      <c r="D2417" s="13"/>
      <c r="E2417" s="13"/>
    </row>
    <row r="2418" spans="1:5" x14ac:dyDescent="0.25">
      <c r="A2418" s="13"/>
      <c r="B2418" s="13"/>
      <c r="C2418" s="13"/>
      <c r="D2418" s="13"/>
      <c r="E2418" s="13"/>
    </row>
    <row r="2419" spans="1:5" x14ac:dyDescent="0.25">
      <c r="A2419" s="13"/>
      <c r="B2419" s="13"/>
      <c r="C2419" s="13"/>
      <c r="D2419" s="13"/>
      <c r="E2419" s="13"/>
    </row>
    <row r="2420" spans="1:5" x14ac:dyDescent="0.25">
      <c r="A2420" s="13"/>
      <c r="B2420" s="13"/>
      <c r="C2420" s="13"/>
      <c r="D2420" s="13"/>
      <c r="E2420" s="13"/>
    </row>
    <row r="2421" spans="1:5" x14ac:dyDescent="0.25">
      <c r="A2421" s="13"/>
      <c r="B2421" s="13"/>
      <c r="C2421" s="13"/>
      <c r="D2421" s="13"/>
      <c r="E2421" s="13"/>
    </row>
    <row r="2422" spans="1:5" x14ac:dyDescent="0.25">
      <c r="A2422" s="13"/>
      <c r="B2422" s="13"/>
      <c r="C2422" s="13"/>
      <c r="D2422" s="13"/>
      <c r="E2422" s="13"/>
    </row>
    <row r="2423" spans="1:5" x14ac:dyDescent="0.25">
      <c r="A2423" s="13"/>
      <c r="B2423" s="13"/>
      <c r="C2423" s="13"/>
      <c r="D2423" s="13"/>
      <c r="E2423" s="13"/>
    </row>
    <row r="2424" spans="1:5" x14ac:dyDescent="0.25">
      <c r="A2424" s="13"/>
      <c r="B2424" s="13"/>
      <c r="C2424" s="13"/>
      <c r="D2424" s="13"/>
      <c r="E2424" s="13"/>
    </row>
    <row r="2425" spans="1:5" x14ac:dyDescent="0.25">
      <c r="A2425" s="13"/>
      <c r="B2425" s="13"/>
      <c r="C2425" s="13"/>
      <c r="D2425" s="13"/>
      <c r="E2425" s="13"/>
    </row>
    <row r="2426" spans="1:5" x14ac:dyDescent="0.25">
      <c r="A2426" s="13"/>
      <c r="B2426" s="13"/>
      <c r="C2426" s="13"/>
      <c r="D2426" s="13"/>
      <c r="E2426" s="13"/>
    </row>
    <row r="2427" spans="1:5" x14ac:dyDescent="0.25">
      <c r="A2427" s="13"/>
      <c r="B2427" s="13"/>
      <c r="C2427" s="13"/>
      <c r="D2427" s="13"/>
      <c r="E2427" s="13"/>
    </row>
    <row r="2428" spans="1:5" x14ac:dyDescent="0.25">
      <c r="A2428" s="13"/>
      <c r="B2428" s="13"/>
      <c r="C2428" s="13"/>
      <c r="D2428" s="13"/>
      <c r="E2428" s="13"/>
    </row>
    <row r="2429" spans="1:5" x14ac:dyDescent="0.25">
      <c r="A2429" s="13"/>
      <c r="B2429" s="13"/>
      <c r="C2429" s="13"/>
      <c r="D2429" s="13"/>
      <c r="E2429" s="13"/>
    </row>
    <row r="2430" spans="1:5" x14ac:dyDescent="0.25">
      <c r="A2430" s="13"/>
      <c r="B2430" s="13"/>
      <c r="C2430" s="13"/>
      <c r="D2430" s="13"/>
      <c r="E2430" s="13"/>
    </row>
    <row r="2431" spans="1:5" x14ac:dyDescent="0.25">
      <c r="A2431" s="13"/>
      <c r="B2431" s="13"/>
      <c r="C2431" s="13"/>
      <c r="D2431" s="13"/>
      <c r="E2431" s="13"/>
    </row>
    <row r="2432" spans="1:5" x14ac:dyDescent="0.25">
      <c r="A2432" s="13"/>
      <c r="B2432" s="13"/>
      <c r="C2432" s="13"/>
      <c r="D2432" s="13"/>
      <c r="E2432" s="13"/>
    </row>
    <row r="2433" spans="1:5" x14ac:dyDescent="0.25">
      <c r="A2433" s="13"/>
      <c r="B2433" s="13"/>
      <c r="C2433" s="13"/>
      <c r="D2433" s="13"/>
      <c r="E2433" s="13"/>
    </row>
    <row r="2434" spans="1:5" x14ac:dyDescent="0.25">
      <c r="A2434" s="13"/>
      <c r="B2434" s="13"/>
      <c r="C2434" s="13"/>
      <c r="D2434" s="13"/>
      <c r="E2434" s="13"/>
    </row>
    <row r="2435" spans="1:5" x14ac:dyDescent="0.25">
      <c r="A2435" s="13"/>
      <c r="B2435" s="13"/>
      <c r="C2435" s="13"/>
      <c r="D2435" s="13"/>
      <c r="E2435" s="13"/>
    </row>
    <row r="2436" spans="1:5" x14ac:dyDescent="0.25">
      <c r="A2436" s="13"/>
      <c r="B2436" s="13"/>
      <c r="C2436" s="13"/>
      <c r="D2436" s="13"/>
      <c r="E2436" s="13"/>
    </row>
    <row r="2437" spans="1:5" x14ac:dyDescent="0.25">
      <c r="A2437" s="13"/>
      <c r="B2437" s="13"/>
      <c r="C2437" s="13"/>
      <c r="D2437" s="13"/>
      <c r="E2437" s="13"/>
    </row>
    <row r="2438" spans="1:5" x14ac:dyDescent="0.25">
      <c r="A2438" s="13"/>
      <c r="B2438" s="13"/>
      <c r="C2438" s="13"/>
      <c r="D2438" s="13"/>
      <c r="E2438" s="13"/>
    </row>
    <row r="2439" spans="1:5" x14ac:dyDescent="0.25">
      <c r="A2439" s="13"/>
      <c r="B2439" s="13"/>
      <c r="C2439" s="13"/>
      <c r="D2439" s="13"/>
      <c r="E2439" s="13"/>
    </row>
    <row r="2440" spans="1:5" x14ac:dyDescent="0.25">
      <c r="A2440" s="13"/>
      <c r="B2440" s="13"/>
      <c r="C2440" s="13"/>
      <c r="D2440" s="13"/>
      <c r="E2440" s="13"/>
    </row>
    <row r="2441" spans="1:5" x14ac:dyDescent="0.25">
      <c r="A2441" s="13"/>
      <c r="B2441" s="13"/>
      <c r="C2441" s="13"/>
      <c r="D2441" s="13"/>
      <c r="E2441" s="13"/>
    </row>
    <row r="2442" spans="1:5" x14ac:dyDescent="0.25">
      <c r="A2442" s="13"/>
      <c r="B2442" s="13"/>
      <c r="C2442" s="13"/>
      <c r="D2442" s="13"/>
      <c r="E2442" s="13"/>
    </row>
    <row r="2443" spans="1:5" x14ac:dyDescent="0.25">
      <c r="A2443" s="13"/>
      <c r="B2443" s="13"/>
      <c r="C2443" s="13"/>
      <c r="D2443" s="13"/>
      <c r="E2443" s="13"/>
    </row>
    <row r="2444" spans="1:5" x14ac:dyDescent="0.25">
      <c r="A2444" s="13"/>
      <c r="B2444" s="13"/>
      <c r="C2444" s="13"/>
      <c r="D2444" s="13"/>
      <c r="E2444" s="13"/>
    </row>
    <row r="2445" spans="1:5" x14ac:dyDescent="0.25">
      <c r="A2445" s="13"/>
      <c r="B2445" s="13"/>
      <c r="C2445" s="13"/>
      <c r="D2445" s="13"/>
      <c r="E2445" s="13"/>
    </row>
    <row r="2446" spans="1:5" x14ac:dyDescent="0.25">
      <c r="A2446" s="13"/>
      <c r="B2446" s="13"/>
      <c r="C2446" s="13"/>
      <c r="D2446" s="13"/>
      <c r="E2446" s="13"/>
    </row>
    <row r="2447" spans="1:5" x14ac:dyDescent="0.25">
      <c r="A2447" s="13"/>
      <c r="B2447" s="13"/>
      <c r="C2447" s="13"/>
      <c r="D2447" s="13"/>
      <c r="E2447" s="13"/>
    </row>
    <row r="2448" spans="1:5" x14ac:dyDescent="0.25">
      <c r="A2448" s="13"/>
      <c r="B2448" s="13"/>
      <c r="C2448" s="13"/>
      <c r="D2448" s="13"/>
      <c r="E2448" s="13"/>
    </row>
    <row r="2449" spans="1:5" x14ac:dyDescent="0.25">
      <c r="A2449" s="13"/>
      <c r="B2449" s="13"/>
      <c r="C2449" s="13"/>
      <c r="D2449" s="13"/>
      <c r="E2449" s="13"/>
    </row>
    <row r="2450" spans="1:5" x14ac:dyDescent="0.25">
      <c r="A2450" s="13"/>
      <c r="B2450" s="13"/>
      <c r="C2450" s="13"/>
      <c r="D2450" s="13"/>
      <c r="E2450" s="13"/>
    </row>
    <row r="2451" spans="1:5" x14ac:dyDescent="0.25">
      <c r="A2451" s="13"/>
      <c r="B2451" s="13"/>
      <c r="C2451" s="13"/>
      <c r="D2451" s="13"/>
      <c r="E2451" s="13"/>
    </row>
    <row r="2452" spans="1:5" x14ac:dyDescent="0.25">
      <c r="A2452" s="13"/>
      <c r="B2452" s="13"/>
      <c r="C2452" s="13"/>
      <c r="D2452" s="13"/>
      <c r="E2452" s="13"/>
    </row>
    <row r="2453" spans="1:5" x14ac:dyDescent="0.25">
      <c r="A2453" s="13"/>
      <c r="B2453" s="13"/>
      <c r="C2453" s="13"/>
      <c r="D2453" s="13"/>
      <c r="E2453" s="13"/>
    </row>
    <row r="2454" spans="1:5" x14ac:dyDescent="0.25">
      <c r="A2454" s="13"/>
      <c r="B2454" s="13"/>
      <c r="C2454" s="13"/>
      <c r="D2454" s="13"/>
      <c r="E2454" s="13"/>
    </row>
    <row r="2455" spans="1:5" x14ac:dyDescent="0.25">
      <c r="A2455" s="13"/>
      <c r="B2455" s="13"/>
      <c r="C2455" s="13"/>
      <c r="D2455" s="13"/>
      <c r="E2455" s="13"/>
    </row>
    <row r="2456" spans="1:5" x14ac:dyDescent="0.25">
      <c r="A2456" s="13"/>
      <c r="B2456" s="13"/>
      <c r="C2456" s="13"/>
      <c r="D2456" s="13"/>
      <c r="E2456" s="13"/>
    </row>
    <row r="2457" spans="1:5" x14ac:dyDescent="0.25">
      <c r="A2457" s="13"/>
      <c r="B2457" s="13"/>
      <c r="C2457" s="13"/>
      <c r="D2457" s="13"/>
      <c r="E2457" s="13"/>
    </row>
    <row r="2458" spans="1:5" x14ac:dyDescent="0.25">
      <c r="A2458" s="13"/>
      <c r="B2458" s="13"/>
      <c r="C2458" s="13"/>
      <c r="D2458" s="13"/>
      <c r="E2458" s="13"/>
    </row>
    <row r="2459" spans="1:5" x14ac:dyDescent="0.25">
      <c r="A2459" s="13"/>
      <c r="B2459" s="13"/>
      <c r="C2459" s="13"/>
      <c r="D2459" s="13"/>
      <c r="E2459" s="13"/>
    </row>
    <row r="2460" spans="1:5" x14ac:dyDescent="0.25">
      <c r="A2460" s="13"/>
      <c r="B2460" s="13"/>
      <c r="C2460" s="13"/>
      <c r="D2460" s="13"/>
      <c r="E2460" s="13"/>
    </row>
    <row r="2461" spans="1:5" x14ac:dyDescent="0.25">
      <c r="A2461" s="13"/>
      <c r="B2461" s="13"/>
      <c r="C2461" s="13"/>
      <c r="D2461" s="13"/>
      <c r="E2461" s="13"/>
    </row>
    <row r="2462" spans="1:5" x14ac:dyDescent="0.25">
      <c r="A2462" s="13"/>
      <c r="B2462" s="13"/>
      <c r="C2462" s="13"/>
      <c r="D2462" s="13"/>
      <c r="E2462" s="13"/>
    </row>
    <row r="2463" spans="1:5" x14ac:dyDescent="0.25">
      <c r="A2463" s="13"/>
      <c r="B2463" s="13"/>
      <c r="C2463" s="13"/>
      <c r="D2463" s="13"/>
      <c r="E2463" s="13"/>
    </row>
    <row r="2464" spans="1:5" x14ac:dyDescent="0.25">
      <c r="A2464" s="13"/>
      <c r="B2464" s="13"/>
      <c r="C2464" s="13"/>
      <c r="D2464" s="13"/>
      <c r="E2464" s="13"/>
    </row>
    <row r="2465" spans="1:5" x14ac:dyDescent="0.25">
      <c r="A2465" s="13"/>
      <c r="B2465" s="13"/>
      <c r="C2465" s="13"/>
      <c r="D2465" s="13"/>
      <c r="E2465" s="13"/>
    </row>
    <row r="2466" spans="1:5" x14ac:dyDescent="0.25">
      <c r="A2466" s="13"/>
      <c r="B2466" s="13"/>
      <c r="C2466" s="13"/>
      <c r="D2466" s="13"/>
      <c r="E2466" s="13"/>
    </row>
    <row r="2467" spans="1:5" x14ac:dyDescent="0.25">
      <c r="A2467" s="13"/>
      <c r="B2467" s="13"/>
      <c r="C2467" s="13"/>
      <c r="D2467" s="13"/>
      <c r="E2467" s="13"/>
    </row>
    <row r="2468" spans="1:5" x14ac:dyDescent="0.25">
      <c r="A2468" s="13"/>
      <c r="B2468" s="13"/>
      <c r="C2468" s="13"/>
      <c r="D2468" s="13"/>
      <c r="E2468" s="13"/>
    </row>
    <row r="2469" spans="1:5" x14ac:dyDescent="0.25">
      <c r="A2469" s="13"/>
      <c r="B2469" s="13"/>
      <c r="C2469" s="13"/>
      <c r="D2469" s="13"/>
      <c r="E2469" s="13"/>
    </row>
    <row r="2470" spans="1:5" x14ac:dyDescent="0.25">
      <c r="A2470" s="13"/>
      <c r="B2470" s="13"/>
      <c r="C2470" s="13"/>
      <c r="D2470" s="13"/>
      <c r="E2470" s="13"/>
    </row>
    <row r="2471" spans="1:5" x14ac:dyDescent="0.25">
      <c r="A2471" s="13"/>
      <c r="B2471" s="13"/>
      <c r="C2471" s="13"/>
      <c r="D2471" s="13"/>
      <c r="E2471" s="13"/>
    </row>
    <row r="2472" spans="1:5" x14ac:dyDescent="0.25">
      <c r="A2472" s="13"/>
      <c r="B2472" s="13"/>
      <c r="C2472" s="13"/>
      <c r="D2472" s="13"/>
      <c r="E2472" s="13"/>
    </row>
    <row r="2473" spans="1:5" x14ac:dyDescent="0.25">
      <c r="A2473" s="13"/>
      <c r="B2473" s="13"/>
      <c r="C2473" s="13"/>
      <c r="D2473" s="13"/>
      <c r="E2473" s="13"/>
    </row>
    <row r="2474" spans="1:5" x14ac:dyDescent="0.25">
      <c r="A2474" s="13"/>
      <c r="B2474" s="13"/>
      <c r="C2474" s="13"/>
      <c r="D2474" s="13"/>
      <c r="E2474" s="13"/>
    </row>
    <row r="2475" spans="1:5" x14ac:dyDescent="0.25">
      <c r="A2475" s="13"/>
      <c r="B2475" s="13"/>
      <c r="C2475" s="13"/>
      <c r="D2475" s="13"/>
      <c r="E2475" s="13"/>
    </row>
    <row r="2476" spans="1:5" x14ac:dyDescent="0.25">
      <c r="A2476" s="13"/>
      <c r="B2476" s="13"/>
      <c r="C2476" s="13"/>
      <c r="D2476" s="13"/>
      <c r="E2476" s="13"/>
    </row>
    <row r="2477" spans="1:5" x14ac:dyDescent="0.25">
      <c r="A2477" s="13"/>
      <c r="B2477" s="13"/>
      <c r="C2477" s="13"/>
      <c r="D2477" s="13"/>
      <c r="E2477" s="13"/>
    </row>
    <row r="2478" spans="1:5" x14ac:dyDescent="0.25">
      <c r="A2478" s="13"/>
      <c r="B2478" s="13"/>
      <c r="C2478" s="13"/>
      <c r="D2478" s="13"/>
      <c r="E2478" s="13"/>
    </row>
    <row r="2479" spans="1:5" x14ac:dyDescent="0.25">
      <c r="A2479" s="13"/>
      <c r="B2479" s="13"/>
      <c r="C2479" s="13"/>
      <c r="D2479" s="13"/>
      <c r="E2479" s="13"/>
    </row>
    <row r="2480" spans="1:5" x14ac:dyDescent="0.25">
      <c r="A2480" s="13"/>
      <c r="B2480" s="13"/>
      <c r="C2480" s="13"/>
      <c r="D2480" s="13"/>
      <c r="E2480" s="13"/>
    </row>
    <row r="2481" spans="1:5" x14ac:dyDescent="0.25">
      <c r="A2481" s="13"/>
      <c r="B2481" s="13"/>
      <c r="C2481" s="13"/>
      <c r="D2481" s="13"/>
      <c r="E2481" s="13"/>
    </row>
    <row r="2482" spans="1:5" x14ac:dyDescent="0.25">
      <c r="A2482" s="13"/>
      <c r="B2482" s="13"/>
      <c r="C2482" s="13"/>
      <c r="D2482" s="13"/>
      <c r="E2482" s="13"/>
    </row>
    <row r="2483" spans="1:5" x14ac:dyDescent="0.25">
      <c r="A2483" s="13"/>
      <c r="B2483" s="13"/>
      <c r="C2483" s="13"/>
      <c r="D2483" s="13"/>
      <c r="E2483" s="13"/>
    </row>
    <row r="2484" spans="1:5" x14ac:dyDescent="0.25">
      <c r="A2484" s="13"/>
      <c r="B2484" s="13"/>
      <c r="C2484" s="13"/>
      <c r="D2484" s="13"/>
      <c r="E2484" s="13"/>
    </row>
    <row r="2485" spans="1:5" x14ac:dyDescent="0.25">
      <c r="A2485" s="13"/>
      <c r="B2485" s="13"/>
      <c r="C2485" s="13"/>
      <c r="D2485" s="13"/>
      <c r="E2485" s="13"/>
    </row>
    <row r="2486" spans="1:5" x14ac:dyDescent="0.25">
      <c r="A2486" s="13"/>
      <c r="B2486" s="13"/>
      <c r="C2486" s="13"/>
      <c r="D2486" s="13"/>
      <c r="E2486" s="13"/>
    </row>
    <row r="2487" spans="1:5" x14ac:dyDescent="0.25">
      <c r="A2487" s="13"/>
      <c r="B2487" s="13"/>
      <c r="C2487" s="13"/>
      <c r="D2487" s="13"/>
      <c r="E2487" s="13"/>
    </row>
    <row r="2488" spans="1:5" x14ac:dyDescent="0.25">
      <c r="A2488" s="13"/>
      <c r="B2488" s="13"/>
      <c r="C2488" s="13"/>
      <c r="D2488" s="13"/>
      <c r="E2488" s="13"/>
    </row>
    <row r="2489" spans="1:5" x14ac:dyDescent="0.25">
      <c r="A2489" s="13"/>
      <c r="B2489" s="13"/>
      <c r="C2489" s="13"/>
      <c r="D2489" s="13"/>
      <c r="E2489" s="13"/>
    </row>
    <row r="2490" spans="1:5" x14ac:dyDescent="0.25">
      <c r="A2490" s="13"/>
      <c r="B2490" s="13"/>
      <c r="C2490" s="13"/>
      <c r="D2490" s="13"/>
      <c r="E2490" s="13"/>
    </row>
    <row r="2491" spans="1:5" x14ac:dyDescent="0.25">
      <c r="A2491" s="13"/>
      <c r="B2491" s="13"/>
      <c r="C2491" s="13"/>
      <c r="D2491" s="13"/>
      <c r="E2491" s="13"/>
    </row>
    <row r="2492" spans="1:5" x14ac:dyDescent="0.25">
      <c r="A2492" s="13"/>
      <c r="B2492" s="13"/>
      <c r="C2492" s="13"/>
      <c r="D2492" s="13"/>
      <c r="E2492" s="13"/>
    </row>
    <row r="2493" spans="1:5" x14ac:dyDescent="0.25">
      <c r="A2493" s="13"/>
      <c r="B2493" s="13"/>
      <c r="C2493" s="13"/>
      <c r="D2493" s="13"/>
      <c r="E2493" s="13"/>
    </row>
    <row r="2494" spans="1:5" x14ac:dyDescent="0.25">
      <c r="A2494" s="13"/>
      <c r="B2494" s="13"/>
      <c r="C2494" s="13"/>
      <c r="D2494" s="13"/>
      <c r="E2494" s="13"/>
    </row>
    <row r="2495" spans="1:5" x14ac:dyDescent="0.25">
      <c r="A2495" s="13"/>
      <c r="B2495" s="13"/>
      <c r="C2495" s="13"/>
      <c r="D2495" s="13"/>
      <c r="E2495" s="13"/>
    </row>
    <row r="2496" spans="1:5" x14ac:dyDescent="0.25">
      <c r="A2496" s="13"/>
      <c r="B2496" s="13"/>
      <c r="C2496" s="13"/>
      <c r="D2496" s="13"/>
      <c r="E2496" s="13"/>
    </row>
    <row r="2497" spans="1:5" x14ac:dyDescent="0.25">
      <c r="A2497" s="13"/>
      <c r="B2497" s="13"/>
      <c r="C2497" s="13"/>
      <c r="D2497" s="13"/>
      <c r="E2497" s="13"/>
    </row>
    <row r="2498" spans="1:5" x14ac:dyDescent="0.25">
      <c r="A2498" s="13"/>
      <c r="B2498" s="13"/>
      <c r="C2498" s="13"/>
      <c r="D2498" s="13"/>
      <c r="E2498" s="13"/>
    </row>
    <row r="2499" spans="1:5" x14ac:dyDescent="0.25">
      <c r="A2499" s="13"/>
      <c r="B2499" s="13"/>
      <c r="C2499" s="13"/>
      <c r="D2499" s="13"/>
      <c r="E2499" s="13"/>
    </row>
    <row r="2500" spans="1:5" x14ac:dyDescent="0.25">
      <c r="A2500" s="13"/>
      <c r="B2500" s="13"/>
      <c r="C2500" s="13"/>
      <c r="D2500" s="13"/>
      <c r="E2500" s="13"/>
    </row>
    <row r="2501" spans="1:5" x14ac:dyDescent="0.25">
      <c r="A2501" s="13"/>
      <c r="B2501" s="13"/>
      <c r="C2501" s="13"/>
      <c r="D2501" s="13"/>
      <c r="E2501" s="13"/>
    </row>
    <row r="2502" spans="1:5" x14ac:dyDescent="0.25">
      <c r="A2502" s="13"/>
      <c r="B2502" s="13"/>
      <c r="C2502" s="13"/>
      <c r="D2502" s="13"/>
      <c r="E2502" s="13"/>
    </row>
    <row r="2503" spans="1:5" x14ac:dyDescent="0.25">
      <c r="A2503" s="13"/>
      <c r="B2503" s="13"/>
      <c r="C2503" s="13"/>
      <c r="D2503" s="13"/>
      <c r="E2503" s="13"/>
    </row>
    <row r="2504" spans="1:5" x14ac:dyDescent="0.25">
      <c r="A2504" s="13"/>
      <c r="B2504" s="13"/>
      <c r="C2504" s="13"/>
      <c r="D2504" s="13"/>
      <c r="E2504" s="13"/>
    </row>
    <row r="2505" spans="1:5" x14ac:dyDescent="0.25">
      <c r="A2505" s="13"/>
      <c r="B2505" s="13"/>
      <c r="C2505" s="13"/>
      <c r="D2505" s="13"/>
      <c r="E2505" s="13"/>
    </row>
    <row r="2506" spans="1:5" x14ac:dyDescent="0.25">
      <c r="A2506" s="13"/>
      <c r="B2506" s="13"/>
      <c r="C2506" s="13"/>
      <c r="D2506" s="13"/>
      <c r="E2506" s="13"/>
    </row>
    <row r="2507" spans="1:5" x14ac:dyDescent="0.25">
      <c r="A2507" s="13"/>
      <c r="B2507" s="13"/>
      <c r="C2507" s="13"/>
      <c r="D2507" s="13"/>
      <c r="E2507" s="13"/>
    </row>
    <row r="2508" spans="1:5" x14ac:dyDescent="0.25">
      <c r="A2508" s="13"/>
      <c r="B2508" s="13"/>
      <c r="C2508" s="13"/>
      <c r="D2508" s="13"/>
      <c r="E2508" s="13"/>
    </row>
    <row r="2509" spans="1:5" x14ac:dyDescent="0.25">
      <c r="A2509" s="13"/>
      <c r="B2509" s="13"/>
      <c r="C2509" s="13"/>
      <c r="D2509" s="13"/>
      <c r="E2509" s="13"/>
    </row>
    <row r="2510" spans="1:5" x14ac:dyDescent="0.25">
      <c r="A2510" s="13"/>
      <c r="B2510" s="13"/>
      <c r="C2510" s="13"/>
      <c r="D2510" s="13"/>
      <c r="E2510" s="13"/>
    </row>
    <row r="2511" spans="1:5" x14ac:dyDescent="0.25">
      <c r="A2511" s="13"/>
      <c r="B2511" s="13"/>
      <c r="C2511" s="13"/>
      <c r="D2511" s="13"/>
      <c r="E2511" s="13"/>
    </row>
    <row r="2512" spans="1:5" x14ac:dyDescent="0.25">
      <c r="A2512" s="13"/>
      <c r="B2512" s="13"/>
      <c r="C2512" s="13"/>
      <c r="D2512" s="13"/>
      <c r="E2512" s="13"/>
    </row>
    <row r="2513" spans="1:5" x14ac:dyDescent="0.25">
      <c r="A2513" s="13"/>
      <c r="B2513" s="13"/>
      <c r="C2513" s="13"/>
      <c r="D2513" s="13"/>
      <c r="E2513" s="13"/>
    </row>
    <row r="2514" spans="1:5" x14ac:dyDescent="0.25">
      <c r="A2514" s="13"/>
      <c r="B2514" s="13"/>
      <c r="C2514" s="13"/>
      <c r="D2514" s="13"/>
      <c r="E2514" s="13"/>
    </row>
    <row r="2515" spans="1:5" x14ac:dyDescent="0.25">
      <c r="A2515" s="13"/>
      <c r="B2515" s="13"/>
      <c r="C2515" s="13"/>
      <c r="D2515" s="13"/>
      <c r="E2515" s="13"/>
    </row>
    <row r="2516" spans="1:5" x14ac:dyDescent="0.25">
      <c r="A2516" s="13"/>
      <c r="B2516" s="13"/>
      <c r="C2516" s="13"/>
      <c r="D2516" s="13"/>
      <c r="E2516" s="13"/>
    </row>
    <row r="2517" spans="1:5" x14ac:dyDescent="0.25">
      <c r="A2517" s="13"/>
      <c r="B2517" s="13"/>
      <c r="C2517" s="13"/>
      <c r="D2517" s="13"/>
      <c r="E2517" s="13"/>
    </row>
    <row r="2518" spans="1:5" x14ac:dyDescent="0.25">
      <c r="A2518" s="13"/>
      <c r="B2518" s="13"/>
      <c r="C2518" s="13"/>
      <c r="D2518" s="13"/>
      <c r="E2518" s="13"/>
    </row>
    <row r="2519" spans="1:5" x14ac:dyDescent="0.25">
      <c r="A2519" s="13"/>
      <c r="B2519" s="13"/>
      <c r="C2519" s="13"/>
      <c r="D2519" s="13"/>
      <c r="E2519" s="13"/>
    </row>
    <row r="2520" spans="1:5" x14ac:dyDescent="0.25">
      <c r="A2520" s="13"/>
      <c r="B2520" s="13"/>
      <c r="C2520" s="13"/>
      <c r="D2520" s="13"/>
      <c r="E2520" s="13"/>
    </row>
    <row r="2521" spans="1:5" x14ac:dyDescent="0.25">
      <c r="A2521" s="13"/>
      <c r="B2521" s="13"/>
      <c r="C2521" s="13"/>
      <c r="D2521" s="13"/>
      <c r="E2521" s="13"/>
    </row>
    <row r="2522" spans="1:5" x14ac:dyDescent="0.25">
      <c r="A2522" s="13"/>
      <c r="B2522" s="13"/>
      <c r="C2522" s="13"/>
      <c r="D2522" s="13"/>
      <c r="E2522" s="13"/>
    </row>
    <row r="2523" spans="1:5" x14ac:dyDescent="0.25">
      <c r="A2523" s="13"/>
      <c r="B2523" s="13"/>
      <c r="C2523" s="13"/>
      <c r="D2523" s="13"/>
      <c r="E2523" s="13"/>
    </row>
    <row r="2524" spans="1:5" x14ac:dyDescent="0.25">
      <c r="A2524" s="13"/>
      <c r="B2524" s="13"/>
      <c r="C2524" s="13"/>
      <c r="D2524" s="13"/>
      <c r="E2524" s="13"/>
    </row>
    <row r="2525" spans="1:5" x14ac:dyDescent="0.25">
      <c r="A2525" s="13"/>
      <c r="B2525" s="13"/>
      <c r="C2525" s="13"/>
      <c r="D2525" s="13"/>
      <c r="E2525" s="13"/>
    </row>
    <row r="2526" spans="1:5" x14ac:dyDescent="0.25">
      <c r="A2526" s="13"/>
      <c r="B2526" s="13"/>
      <c r="C2526" s="13"/>
      <c r="D2526" s="13"/>
      <c r="E2526" s="13"/>
    </row>
    <row r="2527" spans="1:5" x14ac:dyDescent="0.25">
      <c r="A2527" s="13"/>
      <c r="B2527" s="13"/>
      <c r="C2527" s="13"/>
      <c r="D2527" s="13"/>
      <c r="E2527" s="13"/>
    </row>
    <row r="2528" spans="1:5" x14ac:dyDescent="0.25">
      <c r="A2528" s="13"/>
      <c r="B2528" s="13"/>
      <c r="C2528" s="13"/>
      <c r="D2528" s="13"/>
      <c r="E2528" s="13"/>
    </row>
    <row r="2529" spans="1:5" x14ac:dyDescent="0.25">
      <c r="A2529" s="13"/>
      <c r="B2529" s="13"/>
      <c r="C2529" s="13"/>
      <c r="D2529" s="13"/>
      <c r="E2529" s="13"/>
    </row>
    <row r="2530" spans="1:5" x14ac:dyDescent="0.25">
      <c r="A2530" s="13"/>
      <c r="B2530" s="13"/>
      <c r="C2530" s="13"/>
      <c r="D2530" s="13"/>
      <c r="E2530" s="13"/>
    </row>
    <row r="2531" spans="1:5" x14ac:dyDescent="0.25">
      <c r="A2531" s="13"/>
      <c r="B2531" s="13"/>
      <c r="C2531" s="13"/>
      <c r="D2531" s="13"/>
      <c r="E2531" s="13"/>
    </row>
    <row r="2532" spans="1:5" x14ac:dyDescent="0.25">
      <c r="A2532" s="13"/>
      <c r="B2532" s="13"/>
      <c r="C2532" s="13"/>
      <c r="D2532" s="13"/>
      <c r="E2532" s="13"/>
    </row>
    <row r="2533" spans="1:5" x14ac:dyDescent="0.25">
      <c r="A2533" s="13"/>
      <c r="B2533" s="13"/>
      <c r="C2533" s="13"/>
      <c r="D2533" s="13"/>
      <c r="E2533" s="13"/>
    </row>
    <row r="2534" spans="1:5" x14ac:dyDescent="0.25">
      <c r="A2534" s="13"/>
      <c r="B2534" s="13"/>
      <c r="C2534" s="13"/>
      <c r="D2534" s="13"/>
      <c r="E2534" s="13"/>
    </row>
    <row r="2535" spans="1:5" x14ac:dyDescent="0.25">
      <c r="A2535" s="13"/>
      <c r="B2535" s="13"/>
      <c r="C2535" s="13"/>
      <c r="D2535" s="13"/>
      <c r="E2535" s="13"/>
    </row>
    <row r="2536" spans="1:5" x14ac:dyDescent="0.25">
      <c r="A2536" s="13"/>
      <c r="B2536" s="13"/>
      <c r="C2536" s="13"/>
      <c r="D2536" s="13"/>
      <c r="E2536" s="13"/>
    </row>
    <row r="2537" spans="1:5" x14ac:dyDescent="0.25">
      <c r="A2537" s="13"/>
      <c r="B2537" s="13"/>
      <c r="C2537" s="13"/>
      <c r="D2537" s="13"/>
      <c r="E2537" s="13"/>
    </row>
    <row r="2538" spans="1:5" x14ac:dyDescent="0.25">
      <c r="A2538" s="13"/>
      <c r="B2538" s="13"/>
      <c r="C2538" s="13"/>
      <c r="D2538" s="13"/>
      <c r="E2538" s="13"/>
    </row>
    <row r="2539" spans="1:5" x14ac:dyDescent="0.25">
      <c r="A2539" s="13"/>
      <c r="B2539" s="13"/>
      <c r="C2539" s="13"/>
      <c r="D2539" s="13"/>
      <c r="E2539" s="13"/>
    </row>
    <row r="2540" spans="1:5" x14ac:dyDescent="0.25">
      <c r="A2540" s="13"/>
      <c r="B2540" s="13"/>
      <c r="C2540" s="13"/>
      <c r="D2540" s="13"/>
      <c r="E2540" s="13"/>
    </row>
    <row r="2541" spans="1:5" x14ac:dyDescent="0.25">
      <c r="A2541" s="13"/>
      <c r="B2541" s="13"/>
      <c r="C2541" s="13"/>
      <c r="D2541" s="13"/>
      <c r="E2541" s="13"/>
    </row>
    <row r="2542" spans="1:5" x14ac:dyDescent="0.25">
      <c r="A2542" s="13"/>
      <c r="B2542" s="13"/>
      <c r="C2542" s="13"/>
      <c r="D2542" s="13"/>
      <c r="E2542" s="13"/>
    </row>
    <row r="2543" spans="1:5" x14ac:dyDescent="0.25">
      <c r="A2543" s="13"/>
      <c r="B2543" s="13"/>
      <c r="C2543" s="13"/>
      <c r="D2543" s="13"/>
      <c r="E2543" s="13"/>
    </row>
    <row r="2544" spans="1:5" x14ac:dyDescent="0.25">
      <c r="A2544" s="13"/>
      <c r="B2544" s="13"/>
      <c r="C2544" s="13"/>
      <c r="D2544" s="13"/>
      <c r="E2544" s="13"/>
    </row>
    <row r="2545" spans="1:5" x14ac:dyDescent="0.25">
      <c r="A2545" s="13"/>
      <c r="B2545" s="13"/>
      <c r="C2545" s="13"/>
      <c r="D2545" s="13"/>
      <c r="E2545" s="13"/>
    </row>
    <row r="2546" spans="1:5" x14ac:dyDescent="0.25">
      <c r="A2546" s="13"/>
      <c r="B2546" s="13"/>
      <c r="C2546" s="13"/>
      <c r="D2546" s="13"/>
      <c r="E2546" s="13"/>
    </row>
    <row r="2547" spans="1:5" x14ac:dyDescent="0.25">
      <c r="A2547" s="13"/>
      <c r="B2547" s="13"/>
      <c r="C2547" s="13"/>
      <c r="D2547" s="13"/>
      <c r="E2547" s="13"/>
    </row>
    <row r="2548" spans="1:5" x14ac:dyDescent="0.25">
      <c r="A2548" s="13"/>
      <c r="B2548" s="13"/>
      <c r="C2548" s="13"/>
      <c r="D2548" s="13"/>
      <c r="E2548" s="13"/>
    </row>
    <row r="2549" spans="1:5" x14ac:dyDescent="0.25">
      <c r="A2549" s="13"/>
      <c r="B2549" s="13"/>
      <c r="C2549" s="13"/>
      <c r="D2549" s="13"/>
      <c r="E2549" s="13"/>
    </row>
    <row r="2550" spans="1:5" x14ac:dyDescent="0.25">
      <c r="A2550" s="13"/>
      <c r="B2550" s="13"/>
      <c r="C2550" s="13"/>
      <c r="D2550" s="13"/>
      <c r="E2550" s="13"/>
    </row>
    <row r="2551" spans="1:5" x14ac:dyDescent="0.25">
      <c r="A2551" s="13"/>
      <c r="B2551" s="13"/>
      <c r="C2551" s="13"/>
      <c r="D2551" s="13"/>
      <c r="E2551" s="13"/>
    </row>
    <row r="2552" spans="1:5" x14ac:dyDescent="0.25">
      <c r="A2552" s="13"/>
      <c r="B2552" s="13"/>
      <c r="C2552" s="13"/>
      <c r="D2552" s="13"/>
      <c r="E2552" s="13"/>
    </row>
    <row r="2553" spans="1:5" x14ac:dyDescent="0.25">
      <c r="A2553" s="13"/>
      <c r="B2553" s="13"/>
      <c r="C2553" s="13"/>
      <c r="D2553" s="13"/>
      <c r="E2553" s="13"/>
    </row>
    <row r="2554" spans="1:5" x14ac:dyDescent="0.25">
      <c r="A2554" s="13"/>
      <c r="B2554" s="13"/>
      <c r="C2554" s="13"/>
      <c r="D2554" s="13"/>
      <c r="E2554" s="13"/>
    </row>
    <row r="2555" spans="1:5" x14ac:dyDescent="0.25">
      <c r="A2555" s="13"/>
      <c r="B2555" s="13"/>
      <c r="C2555" s="13"/>
      <c r="D2555" s="13"/>
      <c r="E2555" s="13"/>
    </row>
    <row r="2556" spans="1:5" x14ac:dyDescent="0.25">
      <c r="A2556" s="13"/>
      <c r="B2556" s="13"/>
      <c r="C2556" s="13"/>
      <c r="D2556" s="13"/>
      <c r="E2556" s="13"/>
    </row>
    <row r="2557" spans="1:5" x14ac:dyDescent="0.25">
      <c r="A2557" s="13"/>
      <c r="B2557" s="13"/>
      <c r="C2557" s="13"/>
      <c r="D2557" s="13"/>
      <c r="E2557" s="13"/>
    </row>
    <row r="2558" spans="1:5" x14ac:dyDescent="0.25">
      <c r="A2558" s="13"/>
      <c r="B2558" s="13"/>
      <c r="C2558" s="13"/>
      <c r="D2558" s="13"/>
      <c r="E2558" s="13"/>
    </row>
    <row r="2559" spans="1:5" x14ac:dyDescent="0.25">
      <c r="A2559" s="13"/>
      <c r="B2559" s="13"/>
      <c r="C2559" s="13"/>
      <c r="D2559" s="13"/>
      <c r="E2559" s="13"/>
    </row>
    <row r="2560" spans="1:5" x14ac:dyDescent="0.25">
      <c r="A2560" s="13"/>
      <c r="B2560" s="13"/>
      <c r="C2560" s="13"/>
      <c r="D2560" s="13"/>
      <c r="E2560" s="13"/>
    </row>
    <row r="2561" spans="1:5" x14ac:dyDescent="0.25">
      <c r="A2561" s="13"/>
      <c r="B2561" s="13"/>
      <c r="C2561" s="13"/>
      <c r="D2561" s="13"/>
      <c r="E2561" s="13"/>
    </row>
    <row r="2562" spans="1:5" x14ac:dyDescent="0.25">
      <c r="A2562" s="13"/>
      <c r="B2562" s="13"/>
      <c r="C2562" s="13"/>
      <c r="D2562" s="13"/>
      <c r="E2562" s="13"/>
    </row>
    <row r="2563" spans="1:5" x14ac:dyDescent="0.25">
      <c r="A2563" s="13"/>
      <c r="B2563" s="13"/>
      <c r="C2563" s="13"/>
      <c r="D2563" s="13"/>
      <c r="E2563" s="13"/>
    </row>
    <row r="2564" spans="1:5" x14ac:dyDescent="0.25">
      <c r="A2564" s="13"/>
      <c r="B2564" s="13"/>
      <c r="C2564" s="13"/>
      <c r="D2564" s="13"/>
      <c r="E2564" s="13"/>
    </row>
    <row r="2565" spans="1:5" x14ac:dyDescent="0.25">
      <c r="A2565" s="13"/>
      <c r="B2565" s="13"/>
      <c r="C2565" s="13"/>
      <c r="D2565" s="13"/>
      <c r="E2565" s="13"/>
    </row>
    <row r="2566" spans="1:5" x14ac:dyDescent="0.25">
      <c r="A2566" s="13"/>
      <c r="B2566" s="13"/>
      <c r="C2566" s="13"/>
      <c r="D2566" s="13"/>
      <c r="E2566" s="13"/>
    </row>
    <row r="2567" spans="1:5" x14ac:dyDescent="0.25">
      <c r="A2567" s="13"/>
      <c r="B2567" s="13"/>
      <c r="C2567" s="13"/>
      <c r="D2567" s="13"/>
      <c r="E2567" s="13"/>
    </row>
    <row r="2568" spans="1:5" x14ac:dyDescent="0.25">
      <c r="A2568" s="13"/>
      <c r="B2568" s="13"/>
      <c r="C2568" s="13"/>
      <c r="D2568" s="13"/>
      <c r="E2568" s="13"/>
    </row>
    <row r="2569" spans="1:5" x14ac:dyDescent="0.25">
      <c r="A2569" s="13"/>
      <c r="B2569" s="13"/>
      <c r="C2569" s="13"/>
      <c r="D2569" s="13"/>
      <c r="E2569" s="13"/>
    </row>
    <row r="2570" spans="1:5" x14ac:dyDescent="0.25">
      <c r="A2570" s="13"/>
      <c r="B2570" s="13"/>
      <c r="C2570" s="13"/>
      <c r="D2570" s="13"/>
      <c r="E2570" s="13"/>
    </row>
    <row r="2571" spans="1:5" x14ac:dyDescent="0.25">
      <c r="A2571" s="13"/>
      <c r="B2571" s="13"/>
      <c r="C2571" s="13"/>
      <c r="D2571" s="13"/>
      <c r="E2571" s="13"/>
    </row>
    <row r="2572" spans="1:5" x14ac:dyDescent="0.25">
      <c r="A2572" s="13"/>
      <c r="B2572" s="13"/>
      <c r="C2572" s="13"/>
      <c r="D2572" s="13"/>
      <c r="E2572" s="13"/>
    </row>
    <row r="2573" spans="1:5" x14ac:dyDescent="0.25">
      <c r="A2573" s="13"/>
      <c r="B2573" s="13"/>
      <c r="C2573" s="13"/>
      <c r="D2573" s="13"/>
      <c r="E2573" s="13"/>
    </row>
    <row r="2574" spans="1:5" x14ac:dyDescent="0.25">
      <c r="A2574" s="13"/>
      <c r="B2574" s="13"/>
      <c r="C2574" s="13"/>
      <c r="D2574" s="13"/>
      <c r="E2574" s="13"/>
    </row>
    <row r="2575" spans="1:5" x14ac:dyDescent="0.25">
      <c r="A2575" s="13"/>
      <c r="B2575" s="13"/>
      <c r="C2575" s="13"/>
      <c r="D2575" s="13"/>
      <c r="E2575" s="13"/>
    </row>
    <row r="2576" spans="1:5" x14ac:dyDescent="0.25">
      <c r="A2576" s="13"/>
      <c r="B2576" s="13"/>
      <c r="C2576" s="13"/>
      <c r="D2576" s="13"/>
      <c r="E2576" s="13"/>
    </row>
    <row r="2577" spans="1:5" x14ac:dyDescent="0.25">
      <c r="A2577" s="13"/>
      <c r="B2577" s="13"/>
      <c r="C2577" s="13"/>
      <c r="D2577" s="13"/>
      <c r="E2577" s="13"/>
    </row>
    <row r="2578" spans="1:5" x14ac:dyDescent="0.25">
      <c r="A2578" s="13"/>
      <c r="B2578" s="13"/>
      <c r="C2578" s="13"/>
      <c r="D2578" s="13"/>
      <c r="E2578" s="13"/>
    </row>
    <row r="2579" spans="1:5" x14ac:dyDescent="0.25">
      <c r="A2579" s="13"/>
      <c r="B2579" s="13"/>
      <c r="C2579" s="13"/>
      <c r="D2579" s="13"/>
      <c r="E2579" s="13"/>
    </row>
    <row r="2580" spans="1:5" x14ac:dyDescent="0.25">
      <c r="A2580" s="13"/>
      <c r="B2580" s="13"/>
      <c r="C2580" s="13"/>
      <c r="D2580" s="13"/>
      <c r="E2580" s="13"/>
    </row>
    <row r="2581" spans="1:5" x14ac:dyDescent="0.25">
      <c r="A2581" s="13"/>
      <c r="B2581" s="13"/>
      <c r="C2581" s="13"/>
      <c r="D2581" s="13"/>
      <c r="E2581" s="13"/>
    </row>
    <row r="2582" spans="1:5" x14ac:dyDescent="0.25">
      <c r="A2582" s="13"/>
      <c r="B2582" s="13"/>
      <c r="C2582" s="13"/>
      <c r="D2582" s="13"/>
      <c r="E2582" s="13"/>
    </row>
    <row r="2583" spans="1:5" x14ac:dyDescent="0.25">
      <c r="A2583" s="13"/>
      <c r="B2583" s="13"/>
      <c r="C2583" s="13"/>
      <c r="D2583" s="13"/>
      <c r="E2583" s="13"/>
    </row>
    <row r="2584" spans="1:5" x14ac:dyDescent="0.25">
      <c r="A2584" s="13"/>
      <c r="B2584" s="13"/>
      <c r="C2584" s="13"/>
      <c r="D2584" s="13"/>
      <c r="E2584" s="13"/>
    </row>
    <row r="2585" spans="1:5" x14ac:dyDescent="0.25">
      <c r="A2585" s="13"/>
      <c r="B2585" s="13"/>
      <c r="C2585" s="13"/>
      <c r="D2585" s="13"/>
      <c r="E2585" s="13"/>
    </row>
    <row r="2586" spans="1:5" x14ac:dyDescent="0.25">
      <c r="A2586" s="13"/>
      <c r="B2586" s="13"/>
      <c r="C2586" s="13"/>
      <c r="D2586" s="13"/>
      <c r="E2586" s="13"/>
    </row>
    <row r="2587" spans="1:5" x14ac:dyDescent="0.25">
      <c r="A2587" s="13"/>
      <c r="B2587" s="13"/>
      <c r="C2587" s="13"/>
      <c r="D2587" s="13"/>
      <c r="E2587" s="13"/>
    </row>
    <row r="2588" spans="1:5" x14ac:dyDescent="0.25">
      <c r="A2588" s="13"/>
      <c r="B2588" s="13"/>
      <c r="C2588" s="13"/>
      <c r="D2588" s="13"/>
      <c r="E2588" s="13"/>
    </row>
    <row r="2589" spans="1:5" x14ac:dyDescent="0.25">
      <c r="A2589" s="13"/>
      <c r="B2589" s="13"/>
      <c r="C2589" s="13"/>
      <c r="D2589" s="13"/>
      <c r="E2589" s="13"/>
    </row>
    <row r="2590" spans="1:5" x14ac:dyDescent="0.25">
      <c r="A2590" s="13"/>
      <c r="B2590" s="13"/>
      <c r="C2590" s="13"/>
      <c r="D2590" s="13"/>
      <c r="E2590" s="13"/>
    </row>
    <row r="2591" spans="1:5" x14ac:dyDescent="0.25">
      <c r="A2591" s="13"/>
      <c r="B2591" s="13"/>
      <c r="C2591" s="13"/>
      <c r="D2591" s="13"/>
      <c r="E2591" s="13"/>
    </row>
    <row r="2592" spans="1:5" x14ac:dyDescent="0.25">
      <c r="A2592" s="13"/>
      <c r="B2592" s="13"/>
      <c r="C2592" s="13"/>
      <c r="D2592" s="13"/>
      <c r="E2592" s="13"/>
    </row>
    <row r="2593" spans="1:5" x14ac:dyDescent="0.25">
      <c r="A2593" s="13"/>
      <c r="B2593" s="13"/>
      <c r="C2593" s="13"/>
      <c r="D2593" s="13"/>
      <c r="E2593" s="13"/>
    </row>
    <row r="2594" spans="1:5" x14ac:dyDescent="0.25">
      <c r="A2594" s="13"/>
      <c r="B2594" s="13"/>
      <c r="C2594" s="13"/>
      <c r="D2594" s="13"/>
      <c r="E2594" s="13"/>
    </row>
    <row r="2595" spans="1:5" x14ac:dyDescent="0.25">
      <c r="A2595" s="13"/>
      <c r="B2595" s="13"/>
      <c r="C2595" s="13"/>
      <c r="D2595" s="13"/>
      <c r="E2595" s="13"/>
    </row>
    <row r="2596" spans="1:5" x14ac:dyDescent="0.25">
      <c r="A2596" s="13"/>
      <c r="B2596" s="13"/>
      <c r="C2596" s="13"/>
      <c r="D2596" s="13"/>
      <c r="E2596" s="13"/>
    </row>
    <row r="2597" spans="1:5" x14ac:dyDescent="0.25">
      <c r="A2597" s="13"/>
      <c r="B2597" s="13"/>
      <c r="C2597" s="13"/>
      <c r="D2597" s="13"/>
      <c r="E2597" s="13"/>
    </row>
    <row r="2598" spans="1:5" x14ac:dyDescent="0.25">
      <c r="A2598" s="13"/>
      <c r="B2598" s="13"/>
      <c r="C2598" s="13"/>
      <c r="D2598" s="13"/>
      <c r="E2598" s="13"/>
    </row>
    <row r="2599" spans="1:5" x14ac:dyDescent="0.25">
      <c r="A2599" s="13"/>
      <c r="B2599" s="13"/>
      <c r="C2599" s="13"/>
      <c r="D2599" s="13"/>
      <c r="E2599" s="13"/>
    </row>
    <row r="2600" spans="1:5" x14ac:dyDescent="0.25">
      <c r="A2600" s="13"/>
      <c r="B2600" s="13"/>
      <c r="C2600" s="13"/>
      <c r="D2600" s="13"/>
      <c r="E2600" s="13"/>
    </row>
    <row r="2601" spans="1:5" x14ac:dyDescent="0.25">
      <c r="A2601" s="13"/>
      <c r="B2601" s="13"/>
      <c r="C2601" s="13"/>
      <c r="D2601" s="13"/>
      <c r="E2601" s="13"/>
    </row>
    <row r="2602" spans="1:5" x14ac:dyDescent="0.25">
      <c r="A2602" s="13"/>
      <c r="B2602" s="13"/>
      <c r="C2602" s="13"/>
      <c r="D2602" s="13"/>
      <c r="E2602" s="13"/>
    </row>
    <row r="2603" spans="1:5" x14ac:dyDescent="0.25">
      <c r="A2603" s="13"/>
      <c r="B2603" s="13"/>
      <c r="C2603" s="13"/>
      <c r="D2603" s="13"/>
      <c r="E2603" s="13"/>
    </row>
    <row r="2604" spans="1:5" x14ac:dyDescent="0.25">
      <c r="A2604" s="13"/>
      <c r="B2604" s="13"/>
      <c r="C2604" s="13"/>
      <c r="D2604" s="13"/>
      <c r="E2604" s="13"/>
    </row>
    <row r="2605" spans="1:5" x14ac:dyDescent="0.25">
      <c r="A2605" s="13"/>
      <c r="B2605" s="13"/>
      <c r="C2605" s="13"/>
      <c r="D2605" s="13"/>
      <c r="E2605" s="13"/>
    </row>
    <row r="2606" spans="1:5" x14ac:dyDescent="0.25">
      <c r="A2606" s="13"/>
      <c r="B2606" s="13"/>
      <c r="C2606" s="13"/>
      <c r="D2606" s="13"/>
      <c r="E2606" s="13"/>
    </row>
    <row r="2607" spans="1:5" x14ac:dyDescent="0.25">
      <c r="A2607" s="13"/>
      <c r="B2607" s="13"/>
      <c r="C2607" s="13"/>
      <c r="D2607" s="13"/>
      <c r="E2607" s="13"/>
    </row>
    <row r="2608" spans="1:5" x14ac:dyDescent="0.25">
      <c r="A2608" s="13"/>
      <c r="B2608" s="13"/>
      <c r="C2608" s="13"/>
      <c r="D2608" s="13"/>
      <c r="E2608" s="13"/>
    </row>
    <row r="2609" spans="1:5" x14ac:dyDescent="0.25">
      <c r="A2609" s="13"/>
      <c r="B2609" s="13"/>
      <c r="C2609" s="13"/>
      <c r="D2609" s="13"/>
      <c r="E2609" s="13"/>
    </row>
    <row r="2610" spans="1:5" x14ac:dyDescent="0.25">
      <c r="A2610" s="13"/>
      <c r="B2610" s="13"/>
      <c r="C2610" s="13"/>
      <c r="D2610" s="13"/>
      <c r="E2610" s="13"/>
    </row>
    <row r="2611" spans="1:5" x14ac:dyDescent="0.25">
      <c r="A2611" s="13"/>
      <c r="B2611" s="13"/>
      <c r="C2611" s="13"/>
      <c r="D2611" s="13"/>
      <c r="E2611" s="13"/>
    </row>
    <row r="2612" spans="1:5" x14ac:dyDescent="0.25">
      <c r="A2612" s="13"/>
      <c r="B2612" s="13"/>
      <c r="C2612" s="13"/>
      <c r="D2612" s="13"/>
      <c r="E2612" s="13"/>
    </row>
    <row r="2613" spans="1:5" x14ac:dyDescent="0.25">
      <c r="A2613" s="13"/>
      <c r="B2613" s="13"/>
      <c r="C2613" s="13"/>
      <c r="D2613" s="13"/>
      <c r="E2613" s="13"/>
    </row>
    <row r="2614" spans="1:5" x14ac:dyDescent="0.25">
      <c r="A2614" s="13"/>
      <c r="B2614" s="13"/>
      <c r="C2614" s="13"/>
      <c r="D2614" s="13"/>
      <c r="E2614" s="13"/>
    </row>
    <row r="2615" spans="1:5" x14ac:dyDescent="0.25">
      <c r="A2615" s="13"/>
      <c r="B2615" s="13"/>
      <c r="C2615" s="13"/>
      <c r="D2615" s="13"/>
      <c r="E2615" s="13"/>
    </row>
    <row r="2616" spans="1:5" x14ac:dyDescent="0.25">
      <c r="A2616" s="13"/>
      <c r="B2616" s="13"/>
      <c r="C2616" s="13"/>
      <c r="D2616" s="13"/>
      <c r="E2616" s="13"/>
    </row>
    <row r="2617" spans="1:5" x14ac:dyDescent="0.25">
      <c r="A2617" s="13"/>
      <c r="B2617" s="13"/>
      <c r="C2617" s="13"/>
      <c r="D2617" s="13"/>
      <c r="E2617" s="13"/>
    </row>
    <row r="2618" spans="1:5" x14ac:dyDescent="0.25">
      <c r="A2618" s="13"/>
      <c r="B2618" s="13"/>
      <c r="C2618" s="13"/>
      <c r="D2618" s="13"/>
      <c r="E2618" s="13"/>
    </row>
    <row r="2619" spans="1:5" x14ac:dyDescent="0.25">
      <c r="A2619" s="13"/>
      <c r="B2619" s="13"/>
      <c r="C2619" s="13"/>
      <c r="D2619" s="13"/>
      <c r="E2619" s="13"/>
    </row>
    <row r="2620" spans="1:5" x14ac:dyDescent="0.25">
      <c r="A2620" s="13"/>
      <c r="B2620" s="13"/>
      <c r="C2620" s="13"/>
      <c r="D2620" s="13"/>
      <c r="E2620" s="13"/>
    </row>
    <row r="2621" spans="1:5" x14ac:dyDescent="0.25">
      <c r="A2621" s="13"/>
      <c r="B2621" s="13"/>
      <c r="C2621" s="13"/>
      <c r="D2621" s="13"/>
      <c r="E2621" s="13"/>
    </row>
    <row r="2622" spans="1:5" x14ac:dyDescent="0.25">
      <c r="A2622" s="13"/>
      <c r="B2622" s="13"/>
      <c r="C2622" s="13"/>
      <c r="D2622" s="13"/>
      <c r="E2622" s="13"/>
    </row>
    <row r="2623" spans="1:5" x14ac:dyDescent="0.25">
      <c r="A2623" s="13"/>
      <c r="B2623" s="13"/>
      <c r="C2623" s="13"/>
      <c r="D2623" s="13"/>
      <c r="E2623" s="13"/>
    </row>
    <row r="2624" spans="1:5" x14ac:dyDescent="0.25">
      <c r="A2624" s="13"/>
      <c r="B2624" s="13"/>
      <c r="C2624" s="13"/>
      <c r="D2624" s="13"/>
      <c r="E2624" s="13"/>
    </row>
    <row r="2625" spans="1:5" x14ac:dyDescent="0.25">
      <c r="A2625" s="13"/>
      <c r="B2625" s="13"/>
      <c r="C2625" s="13"/>
      <c r="D2625" s="13"/>
      <c r="E2625" s="13"/>
    </row>
    <row r="2626" spans="1:5" x14ac:dyDescent="0.25">
      <c r="A2626" s="13"/>
      <c r="B2626" s="13"/>
      <c r="C2626" s="13"/>
      <c r="D2626" s="13"/>
      <c r="E2626" s="13"/>
    </row>
    <row r="2627" spans="1:5" x14ac:dyDescent="0.25">
      <c r="A2627" s="13"/>
      <c r="B2627" s="13"/>
      <c r="C2627" s="13"/>
      <c r="D2627" s="13"/>
      <c r="E2627" s="13"/>
    </row>
    <row r="2628" spans="1:5" x14ac:dyDescent="0.25">
      <c r="A2628" s="13"/>
      <c r="B2628" s="13"/>
      <c r="C2628" s="13"/>
      <c r="D2628" s="13"/>
      <c r="E2628" s="13"/>
    </row>
    <row r="2629" spans="1:5" x14ac:dyDescent="0.25">
      <c r="A2629" s="13"/>
      <c r="B2629" s="13"/>
      <c r="C2629" s="13"/>
      <c r="D2629" s="13"/>
      <c r="E2629" s="13"/>
    </row>
    <row r="2630" spans="1:5" x14ac:dyDescent="0.25">
      <c r="A2630" s="13"/>
      <c r="B2630" s="13"/>
      <c r="C2630" s="13"/>
      <c r="D2630" s="13"/>
      <c r="E2630" s="13"/>
    </row>
    <row r="2631" spans="1:5" x14ac:dyDescent="0.25">
      <c r="A2631" s="13"/>
      <c r="B2631" s="13"/>
      <c r="C2631" s="13"/>
      <c r="D2631" s="13"/>
      <c r="E2631" s="13"/>
    </row>
    <row r="2632" spans="1:5" x14ac:dyDescent="0.25">
      <c r="A2632" s="13"/>
      <c r="B2632" s="13"/>
      <c r="C2632" s="13"/>
      <c r="D2632" s="13"/>
      <c r="E2632" s="13"/>
    </row>
    <row r="2633" spans="1:5" x14ac:dyDescent="0.25">
      <c r="A2633" s="13"/>
      <c r="B2633" s="13"/>
      <c r="C2633" s="13"/>
      <c r="D2633" s="13"/>
      <c r="E2633" s="13"/>
    </row>
    <row r="2634" spans="1:5" x14ac:dyDescent="0.25">
      <c r="A2634" s="13"/>
      <c r="B2634" s="13"/>
      <c r="C2634" s="13"/>
      <c r="D2634" s="13"/>
      <c r="E2634" s="13"/>
    </row>
    <row r="2635" spans="1:5" x14ac:dyDescent="0.25">
      <c r="A2635" s="13"/>
      <c r="B2635" s="13"/>
      <c r="C2635" s="13"/>
      <c r="D2635" s="13"/>
      <c r="E2635" s="13"/>
    </row>
    <row r="2636" spans="1:5" x14ac:dyDescent="0.25">
      <c r="A2636" s="13"/>
      <c r="B2636" s="13"/>
      <c r="C2636" s="13"/>
      <c r="D2636" s="13"/>
      <c r="E2636" s="13"/>
    </row>
    <row r="2637" spans="1:5" x14ac:dyDescent="0.25">
      <c r="A2637" s="13"/>
      <c r="B2637" s="13"/>
      <c r="C2637" s="13"/>
      <c r="D2637" s="13"/>
      <c r="E2637" s="13"/>
    </row>
    <row r="2638" spans="1:5" x14ac:dyDescent="0.25">
      <c r="A2638" s="13"/>
      <c r="B2638" s="13"/>
      <c r="C2638" s="13"/>
      <c r="D2638" s="13"/>
      <c r="E2638" s="13"/>
    </row>
    <row r="2639" spans="1:5" x14ac:dyDescent="0.25">
      <c r="A2639" s="13"/>
      <c r="B2639" s="13"/>
      <c r="C2639" s="13"/>
      <c r="D2639" s="13"/>
      <c r="E2639" s="13"/>
    </row>
    <row r="2640" spans="1:5" x14ac:dyDescent="0.25">
      <c r="A2640" s="13"/>
      <c r="B2640" s="13"/>
      <c r="C2640" s="13"/>
      <c r="D2640" s="13"/>
      <c r="E2640" s="13"/>
    </row>
    <row r="2641" spans="1:5" x14ac:dyDescent="0.25">
      <c r="A2641" s="13"/>
      <c r="B2641" s="13"/>
      <c r="C2641" s="13"/>
      <c r="D2641" s="13"/>
      <c r="E2641" s="13"/>
    </row>
    <row r="2642" spans="1:5" x14ac:dyDescent="0.25">
      <c r="A2642" s="13"/>
      <c r="B2642" s="13"/>
      <c r="C2642" s="13"/>
      <c r="D2642" s="13"/>
      <c r="E2642" s="13"/>
    </row>
    <row r="2643" spans="1:5" x14ac:dyDescent="0.25">
      <c r="A2643" s="13"/>
      <c r="B2643" s="13"/>
      <c r="C2643" s="13"/>
      <c r="D2643" s="13"/>
      <c r="E2643" s="13"/>
    </row>
    <row r="2644" spans="1:5" x14ac:dyDescent="0.25">
      <c r="A2644" s="13"/>
      <c r="B2644" s="13"/>
      <c r="C2644" s="13"/>
      <c r="D2644" s="13"/>
      <c r="E2644" s="13"/>
    </row>
    <row r="2645" spans="1:5" x14ac:dyDescent="0.25">
      <c r="A2645" s="13"/>
      <c r="B2645" s="13"/>
      <c r="C2645" s="13"/>
      <c r="D2645" s="13"/>
      <c r="E2645" s="13"/>
    </row>
    <row r="2646" spans="1:5" x14ac:dyDescent="0.25">
      <c r="A2646" s="13"/>
      <c r="B2646" s="13"/>
      <c r="C2646" s="13"/>
      <c r="D2646" s="13"/>
      <c r="E2646" s="13"/>
    </row>
    <row r="2647" spans="1:5" x14ac:dyDescent="0.25">
      <c r="A2647" s="13"/>
      <c r="B2647" s="13"/>
      <c r="C2647" s="13"/>
      <c r="D2647" s="13"/>
      <c r="E2647" s="13"/>
    </row>
    <row r="2648" spans="1:5" x14ac:dyDescent="0.25">
      <c r="A2648" s="13"/>
      <c r="B2648" s="13"/>
      <c r="C2648" s="13"/>
      <c r="D2648" s="13"/>
      <c r="E2648" s="13"/>
    </row>
    <row r="2649" spans="1:5" x14ac:dyDescent="0.25">
      <c r="A2649" s="13"/>
      <c r="B2649" s="13"/>
      <c r="C2649" s="13"/>
      <c r="D2649" s="13"/>
      <c r="E2649" s="13"/>
    </row>
    <row r="2650" spans="1:5" x14ac:dyDescent="0.25">
      <c r="A2650" s="13"/>
      <c r="B2650" s="13"/>
      <c r="C2650" s="13"/>
      <c r="D2650" s="13"/>
      <c r="E2650" s="13"/>
    </row>
    <row r="2651" spans="1:5" x14ac:dyDescent="0.25">
      <c r="A2651" s="13"/>
      <c r="B2651" s="13"/>
      <c r="C2651" s="13"/>
      <c r="D2651" s="13"/>
      <c r="E2651" s="13"/>
    </row>
    <row r="2652" spans="1:5" x14ac:dyDescent="0.25">
      <c r="A2652" s="13"/>
      <c r="B2652" s="13"/>
      <c r="C2652" s="13"/>
      <c r="D2652" s="13"/>
      <c r="E2652" s="13"/>
    </row>
    <row r="2653" spans="1:5" x14ac:dyDescent="0.25">
      <c r="A2653" s="13"/>
      <c r="B2653" s="13"/>
      <c r="C2653" s="13"/>
      <c r="D2653" s="13"/>
      <c r="E2653" s="13"/>
    </row>
    <row r="2654" spans="1:5" x14ac:dyDescent="0.25">
      <c r="A2654" s="13"/>
      <c r="B2654" s="13"/>
      <c r="C2654" s="13"/>
      <c r="D2654" s="13"/>
      <c r="E2654" s="13"/>
    </row>
    <row r="2655" spans="1:5" x14ac:dyDescent="0.25">
      <c r="A2655" s="13"/>
      <c r="B2655" s="13"/>
      <c r="C2655" s="13"/>
      <c r="D2655" s="13"/>
      <c r="E2655" s="13"/>
    </row>
    <row r="2656" spans="1:5" x14ac:dyDescent="0.25">
      <c r="A2656" s="13"/>
      <c r="B2656" s="13"/>
      <c r="C2656" s="13"/>
      <c r="D2656" s="13"/>
      <c r="E2656" s="13"/>
    </row>
    <row r="2657" spans="1:5" x14ac:dyDescent="0.25">
      <c r="A2657" s="13"/>
      <c r="B2657" s="13"/>
      <c r="C2657" s="13"/>
      <c r="D2657" s="13"/>
      <c r="E2657" s="13"/>
    </row>
    <row r="2658" spans="1:5" x14ac:dyDescent="0.25">
      <c r="A2658" s="13"/>
      <c r="B2658" s="13"/>
      <c r="C2658" s="13"/>
      <c r="D2658" s="13"/>
      <c r="E2658" s="13"/>
    </row>
    <row r="2659" spans="1:5" x14ac:dyDescent="0.25">
      <c r="A2659" s="13"/>
      <c r="B2659" s="13"/>
      <c r="C2659" s="13"/>
      <c r="D2659" s="13"/>
      <c r="E2659" s="13"/>
    </row>
    <row r="2660" spans="1:5" x14ac:dyDescent="0.25">
      <c r="A2660" s="13"/>
      <c r="B2660" s="13"/>
      <c r="C2660" s="13"/>
      <c r="D2660" s="13"/>
      <c r="E2660" s="13"/>
    </row>
    <row r="2661" spans="1:5" x14ac:dyDescent="0.25">
      <c r="A2661" s="13"/>
      <c r="B2661" s="13"/>
      <c r="C2661" s="13"/>
      <c r="D2661" s="13"/>
      <c r="E2661" s="13"/>
    </row>
    <row r="2662" spans="1:5" x14ac:dyDescent="0.25">
      <c r="A2662" s="13"/>
      <c r="B2662" s="13"/>
      <c r="C2662" s="13"/>
      <c r="D2662" s="13"/>
      <c r="E2662" s="13"/>
    </row>
    <row r="2663" spans="1:5" x14ac:dyDescent="0.25">
      <c r="A2663" s="13"/>
      <c r="B2663" s="13"/>
      <c r="C2663" s="13"/>
      <c r="D2663" s="13"/>
      <c r="E2663" s="13"/>
    </row>
    <row r="2664" spans="1:5" x14ac:dyDescent="0.25">
      <c r="A2664" s="13"/>
      <c r="B2664" s="13"/>
      <c r="C2664" s="13"/>
      <c r="D2664" s="13"/>
      <c r="E2664" s="13"/>
    </row>
    <row r="2665" spans="1:5" x14ac:dyDescent="0.25">
      <c r="A2665" s="13"/>
      <c r="B2665" s="13"/>
      <c r="C2665" s="13"/>
      <c r="D2665" s="13"/>
      <c r="E2665" s="13"/>
    </row>
    <row r="2666" spans="1:5" x14ac:dyDescent="0.25">
      <c r="A2666" s="13"/>
      <c r="B2666" s="13"/>
      <c r="C2666" s="13"/>
      <c r="D2666" s="13"/>
      <c r="E2666" s="13"/>
    </row>
    <row r="2667" spans="1:5" x14ac:dyDescent="0.25">
      <c r="A2667" s="13"/>
      <c r="B2667" s="13"/>
      <c r="C2667" s="13"/>
      <c r="D2667" s="13"/>
      <c r="E2667" s="13"/>
    </row>
    <row r="2668" spans="1:5" x14ac:dyDescent="0.25">
      <c r="A2668" s="13"/>
      <c r="B2668" s="13"/>
      <c r="C2668" s="13"/>
      <c r="D2668" s="13"/>
      <c r="E2668" s="13"/>
    </row>
    <row r="2669" spans="1:5" x14ac:dyDescent="0.25">
      <c r="A2669" s="13"/>
      <c r="B2669" s="13"/>
      <c r="C2669" s="13"/>
      <c r="D2669" s="13"/>
      <c r="E2669" s="13"/>
    </row>
    <row r="2670" spans="1:5" x14ac:dyDescent="0.25">
      <c r="A2670" s="13"/>
      <c r="B2670" s="13"/>
      <c r="C2670" s="13"/>
      <c r="D2670" s="13"/>
      <c r="E2670" s="13"/>
    </row>
    <row r="2671" spans="1:5" x14ac:dyDescent="0.25">
      <c r="A2671" s="13"/>
      <c r="B2671" s="13"/>
      <c r="C2671" s="13"/>
      <c r="D2671" s="13"/>
      <c r="E2671" s="13"/>
    </row>
    <row r="2672" spans="1:5" x14ac:dyDescent="0.25">
      <c r="A2672" s="13"/>
      <c r="B2672" s="13"/>
      <c r="C2672" s="13"/>
      <c r="D2672" s="13"/>
      <c r="E2672" s="13"/>
    </row>
    <row r="2673" spans="1:5" x14ac:dyDescent="0.25">
      <c r="A2673" s="13"/>
      <c r="B2673" s="13"/>
      <c r="C2673" s="13"/>
      <c r="D2673" s="13"/>
      <c r="E2673" s="13"/>
    </row>
    <row r="2674" spans="1:5" x14ac:dyDescent="0.25">
      <c r="A2674" s="13"/>
      <c r="B2674" s="13"/>
      <c r="C2674" s="13"/>
      <c r="D2674" s="13"/>
      <c r="E2674" s="13"/>
    </row>
    <row r="2675" spans="1:5" x14ac:dyDescent="0.25">
      <c r="A2675" s="13"/>
      <c r="B2675" s="13"/>
      <c r="C2675" s="13"/>
      <c r="D2675" s="13"/>
      <c r="E2675" s="13"/>
    </row>
    <row r="2676" spans="1:5" x14ac:dyDescent="0.25">
      <c r="A2676" s="13"/>
      <c r="B2676" s="13"/>
      <c r="C2676" s="13"/>
      <c r="D2676" s="13"/>
      <c r="E2676" s="13"/>
    </row>
    <row r="2677" spans="1:5" x14ac:dyDescent="0.25">
      <c r="A2677" s="13"/>
      <c r="B2677" s="13"/>
      <c r="C2677" s="13"/>
      <c r="D2677" s="13"/>
      <c r="E2677" s="13"/>
    </row>
    <row r="2678" spans="1:5" x14ac:dyDescent="0.25">
      <c r="A2678" s="13"/>
      <c r="B2678" s="13"/>
      <c r="C2678" s="13"/>
      <c r="D2678" s="13"/>
      <c r="E2678" s="13"/>
    </row>
    <row r="2679" spans="1:5" x14ac:dyDescent="0.25">
      <c r="A2679" s="13"/>
      <c r="B2679" s="13"/>
      <c r="C2679" s="13"/>
      <c r="D2679" s="13"/>
      <c r="E2679" s="13"/>
    </row>
    <row r="2680" spans="1:5" x14ac:dyDescent="0.25">
      <c r="A2680" s="13"/>
      <c r="B2680" s="13"/>
      <c r="C2680" s="13"/>
      <c r="D2680" s="13"/>
      <c r="E2680" s="13"/>
    </row>
    <row r="2681" spans="1:5" x14ac:dyDescent="0.25">
      <c r="A2681" s="13"/>
      <c r="B2681" s="13"/>
      <c r="C2681" s="13"/>
      <c r="D2681" s="13"/>
      <c r="E2681" s="13"/>
    </row>
    <row r="2682" spans="1:5" x14ac:dyDescent="0.25">
      <c r="A2682" s="13"/>
      <c r="B2682" s="13"/>
      <c r="C2682" s="13"/>
      <c r="D2682" s="13"/>
      <c r="E2682" s="13"/>
    </row>
    <row r="2683" spans="1:5" x14ac:dyDescent="0.25">
      <c r="A2683" s="13"/>
      <c r="B2683" s="13"/>
      <c r="C2683" s="13"/>
      <c r="D2683" s="13"/>
      <c r="E2683" s="13"/>
    </row>
    <row r="2684" spans="1:5" x14ac:dyDescent="0.25">
      <c r="A2684" s="13"/>
      <c r="B2684" s="13"/>
      <c r="C2684" s="13"/>
      <c r="D2684" s="13"/>
      <c r="E2684" s="13"/>
    </row>
    <row r="2685" spans="1:5" x14ac:dyDescent="0.25">
      <c r="A2685" s="13"/>
      <c r="B2685" s="13"/>
      <c r="C2685" s="13"/>
      <c r="D2685" s="13"/>
      <c r="E2685" s="13"/>
    </row>
    <row r="2686" spans="1:5" x14ac:dyDescent="0.25">
      <c r="A2686" s="13"/>
      <c r="B2686" s="13"/>
      <c r="C2686" s="13"/>
      <c r="D2686" s="13"/>
      <c r="E2686" s="13"/>
    </row>
    <row r="2687" spans="1:5" x14ac:dyDescent="0.25">
      <c r="A2687" s="13"/>
      <c r="B2687" s="13"/>
      <c r="C2687" s="13"/>
      <c r="D2687" s="13"/>
      <c r="E2687" s="13"/>
    </row>
    <row r="2688" spans="1:5" x14ac:dyDescent="0.25">
      <c r="A2688" s="13"/>
      <c r="B2688" s="13"/>
      <c r="C2688" s="13"/>
      <c r="D2688" s="13"/>
      <c r="E2688" s="13"/>
    </row>
    <row r="2689" spans="1:5" x14ac:dyDescent="0.25">
      <c r="A2689" s="13"/>
      <c r="B2689" s="13"/>
      <c r="C2689" s="13"/>
      <c r="D2689" s="13"/>
      <c r="E2689" s="13"/>
    </row>
    <row r="2690" spans="1:5" x14ac:dyDescent="0.25">
      <c r="A2690" s="13"/>
      <c r="B2690" s="13"/>
      <c r="C2690" s="13"/>
      <c r="D2690" s="13"/>
      <c r="E2690" s="13"/>
    </row>
    <row r="2691" spans="1:5" x14ac:dyDescent="0.25">
      <c r="A2691" s="13"/>
      <c r="B2691" s="13"/>
      <c r="C2691" s="13"/>
      <c r="D2691" s="13"/>
      <c r="E2691" s="13"/>
    </row>
    <row r="2692" spans="1:5" x14ac:dyDescent="0.25">
      <c r="A2692" s="13"/>
      <c r="B2692" s="13"/>
      <c r="C2692" s="13"/>
      <c r="D2692" s="13"/>
      <c r="E2692" s="13"/>
    </row>
    <row r="2693" spans="1:5" x14ac:dyDescent="0.25">
      <c r="A2693" s="13"/>
      <c r="B2693" s="13"/>
      <c r="C2693" s="13"/>
      <c r="D2693" s="13"/>
      <c r="E2693" s="13"/>
    </row>
    <row r="2694" spans="1:5" x14ac:dyDescent="0.25">
      <c r="A2694" s="13"/>
      <c r="B2694" s="13"/>
      <c r="C2694" s="13"/>
      <c r="D2694" s="13"/>
      <c r="E2694" s="13"/>
    </row>
    <row r="2695" spans="1:5" x14ac:dyDescent="0.25">
      <c r="A2695" s="13"/>
      <c r="B2695" s="13"/>
      <c r="C2695" s="13"/>
      <c r="D2695" s="13"/>
      <c r="E2695" s="13"/>
    </row>
    <row r="2696" spans="1:5" x14ac:dyDescent="0.25">
      <c r="A2696" s="13"/>
      <c r="B2696" s="13"/>
      <c r="C2696" s="13"/>
      <c r="D2696" s="13"/>
      <c r="E2696" s="13"/>
    </row>
    <row r="2697" spans="1:5" x14ac:dyDescent="0.25">
      <c r="A2697" s="13"/>
      <c r="B2697" s="13"/>
      <c r="C2697" s="13"/>
      <c r="D2697" s="13"/>
      <c r="E2697" s="13"/>
    </row>
    <row r="2698" spans="1:5" x14ac:dyDescent="0.25">
      <c r="A2698" s="13"/>
      <c r="B2698" s="13"/>
      <c r="C2698" s="13"/>
      <c r="D2698" s="13"/>
      <c r="E2698" s="13"/>
    </row>
    <row r="2699" spans="1:5" x14ac:dyDescent="0.25">
      <c r="A2699" s="13"/>
      <c r="B2699" s="13"/>
      <c r="C2699" s="13"/>
      <c r="D2699" s="13"/>
      <c r="E2699" s="13"/>
    </row>
    <row r="2700" spans="1:5" x14ac:dyDescent="0.25">
      <c r="A2700" s="13"/>
      <c r="B2700" s="13"/>
      <c r="C2700" s="13"/>
      <c r="D2700" s="13"/>
      <c r="E2700" s="13"/>
    </row>
    <row r="2701" spans="1:5" x14ac:dyDescent="0.25">
      <c r="A2701" s="13"/>
      <c r="B2701" s="13"/>
      <c r="C2701" s="13"/>
      <c r="D2701" s="13"/>
      <c r="E2701" s="13"/>
    </row>
    <row r="2702" spans="1:5" x14ac:dyDescent="0.25">
      <c r="A2702" s="13"/>
      <c r="B2702" s="13"/>
      <c r="C2702" s="13"/>
      <c r="D2702" s="13"/>
      <c r="E2702" s="13"/>
    </row>
    <row r="2703" spans="1:5" x14ac:dyDescent="0.25">
      <c r="A2703" s="13"/>
      <c r="B2703" s="13"/>
      <c r="C2703" s="13"/>
      <c r="D2703" s="13"/>
      <c r="E2703" s="13"/>
    </row>
    <row r="2704" spans="1:5" x14ac:dyDescent="0.25">
      <c r="A2704" s="13"/>
      <c r="B2704" s="13"/>
      <c r="C2704" s="13"/>
      <c r="D2704" s="13"/>
      <c r="E2704" s="13"/>
    </row>
    <row r="2705" spans="1:5" x14ac:dyDescent="0.25">
      <c r="A2705" s="13"/>
      <c r="B2705" s="13"/>
      <c r="C2705" s="13"/>
      <c r="D2705" s="13"/>
      <c r="E2705" s="13"/>
    </row>
    <row r="2706" spans="1:5" x14ac:dyDescent="0.25">
      <c r="A2706" s="13"/>
      <c r="B2706" s="13"/>
      <c r="C2706" s="13"/>
      <c r="D2706" s="13"/>
      <c r="E2706" s="13"/>
    </row>
    <row r="2707" spans="1:5" x14ac:dyDescent="0.25">
      <c r="A2707" s="13"/>
      <c r="B2707" s="13"/>
      <c r="C2707" s="13"/>
      <c r="D2707" s="13"/>
      <c r="E2707" s="13"/>
    </row>
    <row r="2708" spans="1:5" x14ac:dyDescent="0.25">
      <c r="A2708" s="13"/>
      <c r="B2708" s="13"/>
      <c r="C2708" s="13"/>
      <c r="D2708" s="13"/>
      <c r="E2708" s="13"/>
    </row>
    <row r="2709" spans="1:5" x14ac:dyDescent="0.25">
      <c r="A2709" s="13"/>
      <c r="B2709" s="13"/>
      <c r="C2709" s="13"/>
      <c r="D2709" s="13"/>
      <c r="E2709" s="13"/>
    </row>
    <row r="2710" spans="1:5" x14ac:dyDescent="0.25">
      <c r="A2710" s="13"/>
      <c r="B2710" s="13"/>
      <c r="C2710" s="13"/>
      <c r="D2710" s="13"/>
      <c r="E2710" s="13"/>
    </row>
    <row r="2711" spans="1:5" x14ac:dyDescent="0.25">
      <c r="A2711" s="13"/>
      <c r="B2711" s="13"/>
      <c r="C2711" s="13"/>
      <c r="D2711" s="13"/>
      <c r="E2711" s="13"/>
    </row>
    <row r="2712" spans="1:5" x14ac:dyDescent="0.25">
      <c r="A2712" s="13"/>
      <c r="B2712" s="13"/>
      <c r="C2712" s="13"/>
      <c r="D2712" s="13"/>
      <c r="E2712" s="13"/>
    </row>
    <row r="2713" spans="1:5" x14ac:dyDescent="0.25">
      <c r="A2713" s="13"/>
      <c r="B2713" s="13"/>
      <c r="C2713" s="13"/>
      <c r="D2713" s="13"/>
      <c r="E2713" s="13"/>
    </row>
    <row r="2714" spans="1:5" x14ac:dyDescent="0.25">
      <c r="A2714" s="13"/>
      <c r="B2714" s="13"/>
      <c r="C2714" s="13"/>
      <c r="D2714" s="13"/>
      <c r="E2714" s="13"/>
    </row>
    <row r="2715" spans="1:5" x14ac:dyDescent="0.25">
      <c r="A2715" s="13"/>
      <c r="B2715" s="13"/>
      <c r="C2715" s="13"/>
      <c r="D2715" s="13"/>
      <c r="E2715" s="13"/>
    </row>
    <row r="2716" spans="1:5" x14ac:dyDescent="0.25">
      <c r="A2716" s="13"/>
      <c r="B2716" s="13"/>
      <c r="C2716" s="13"/>
      <c r="D2716" s="13"/>
      <c r="E2716" s="13"/>
    </row>
    <row r="2717" spans="1:5" x14ac:dyDescent="0.25">
      <c r="A2717" s="13"/>
      <c r="B2717" s="13"/>
      <c r="C2717" s="13"/>
      <c r="D2717" s="13"/>
      <c r="E2717" s="13"/>
    </row>
    <row r="2718" spans="1:5" x14ac:dyDescent="0.25">
      <c r="A2718" s="13"/>
      <c r="B2718" s="13"/>
      <c r="C2718" s="13"/>
      <c r="D2718" s="13"/>
      <c r="E2718" s="13"/>
    </row>
    <row r="2719" spans="1:5" x14ac:dyDescent="0.25">
      <c r="A2719" s="13"/>
      <c r="B2719" s="13"/>
      <c r="C2719" s="13"/>
      <c r="D2719" s="13"/>
      <c r="E2719" s="13"/>
    </row>
    <row r="2720" spans="1:5" x14ac:dyDescent="0.25">
      <c r="A2720" s="13"/>
      <c r="B2720" s="13"/>
      <c r="C2720" s="13"/>
      <c r="D2720" s="13"/>
      <c r="E2720" s="13"/>
    </row>
    <row r="2721" spans="1:5" x14ac:dyDescent="0.25">
      <c r="A2721" s="13"/>
      <c r="B2721" s="13"/>
      <c r="C2721" s="13"/>
      <c r="D2721" s="13"/>
      <c r="E2721" s="13"/>
    </row>
    <row r="2722" spans="1:5" x14ac:dyDescent="0.25">
      <c r="A2722" s="13"/>
      <c r="B2722" s="13"/>
      <c r="C2722" s="13"/>
      <c r="D2722" s="13"/>
      <c r="E2722" s="13"/>
    </row>
    <row r="2723" spans="1:5" x14ac:dyDescent="0.25">
      <c r="A2723" s="13"/>
      <c r="B2723" s="13"/>
      <c r="C2723" s="13"/>
      <c r="D2723" s="13"/>
      <c r="E2723" s="13"/>
    </row>
    <row r="2724" spans="1:5" x14ac:dyDescent="0.25">
      <c r="A2724" s="13"/>
      <c r="B2724" s="13"/>
      <c r="C2724" s="13"/>
      <c r="D2724" s="13"/>
      <c r="E2724" s="13"/>
    </row>
    <row r="2725" spans="1:5" x14ac:dyDescent="0.25">
      <c r="A2725" s="13"/>
      <c r="B2725" s="13"/>
      <c r="C2725" s="13"/>
      <c r="D2725" s="13"/>
      <c r="E2725" s="13"/>
    </row>
    <row r="2726" spans="1:5" x14ac:dyDescent="0.25">
      <c r="A2726" s="13"/>
      <c r="B2726" s="13"/>
      <c r="C2726" s="13"/>
      <c r="D2726" s="13"/>
      <c r="E2726" s="13"/>
    </row>
    <row r="2727" spans="1:5" x14ac:dyDescent="0.25">
      <c r="A2727" s="13"/>
      <c r="B2727" s="13"/>
      <c r="C2727" s="13"/>
      <c r="D2727" s="13"/>
      <c r="E2727" s="13"/>
    </row>
    <row r="2728" spans="1:5" x14ac:dyDescent="0.25">
      <c r="A2728" s="13"/>
      <c r="B2728" s="13"/>
      <c r="C2728" s="13"/>
      <c r="D2728" s="13"/>
      <c r="E2728" s="13"/>
    </row>
    <row r="2729" spans="1:5" x14ac:dyDescent="0.25">
      <c r="A2729" s="13"/>
      <c r="B2729" s="13"/>
      <c r="C2729" s="13"/>
      <c r="D2729" s="13"/>
      <c r="E2729" s="13"/>
    </row>
    <row r="2730" spans="1:5" x14ac:dyDescent="0.25">
      <c r="A2730" s="13"/>
      <c r="B2730" s="13"/>
      <c r="C2730" s="13"/>
      <c r="D2730" s="13"/>
      <c r="E2730" s="13"/>
    </row>
    <row r="2731" spans="1:5" x14ac:dyDescent="0.25">
      <c r="A2731" s="13"/>
      <c r="B2731" s="13"/>
      <c r="C2731" s="13"/>
      <c r="D2731" s="13"/>
      <c r="E2731" s="13"/>
    </row>
    <row r="2732" spans="1:5" x14ac:dyDescent="0.25">
      <c r="A2732" s="13"/>
      <c r="B2732" s="13"/>
      <c r="C2732" s="13"/>
      <c r="D2732" s="13"/>
      <c r="E2732" s="13"/>
    </row>
    <row r="2733" spans="1:5" x14ac:dyDescent="0.25">
      <c r="A2733" s="13"/>
      <c r="B2733" s="13"/>
      <c r="C2733" s="13"/>
      <c r="D2733" s="13"/>
      <c r="E2733" s="13"/>
    </row>
    <row r="2734" spans="1:5" x14ac:dyDescent="0.25">
      <c r="A2734" s="13"/>
      <c r="B2734" s="13"/>
      <c r="C2734" s="13"/>
      <c r="D2734" s="13"/>
      <c r="E2734" s="13"/>
    </row>
    <row r="2735" spans="1:5" x14ac:dyDescent="0.25">
      <c r="A2735" s="13"/>
      <c r="B2735" s="13"/>
      <c r="C2735" s="13"/>
      <c r="D2735" s="13"/>
      <c r="E2735" s="13"/>
    </row>
    <row r="2736" spans="1:5" x14ac:dyDescent="0.25">
      <c r="A2736" s="13"/>
      <c r="B2736" s="13"/>
      <c r="C2736" s="13"/>
      <c r="D2736" s="13"/>
      <c r="E2736" s="13"/>
    </row>
    <row r="2737" spans="1:5" x14ac:dyDescent="0.25">
      <c r="A2737" s="13"/>
      <c r="B2737" s="13"/>
      <c r="C2737" s="13"/>
      <c r="D2737" s="13"/>
      <c r="E2737" s="13"/>
    </row>
    <row r="2738" spans="1:5" x14ac:dyDescent="0.25">
      <c r="A2738" s="13"/>
      <c r="B2738" s="13"/>
      <c r="C2738" s="13"/>
      <c r="D2738" s="13"/>
      <c r="E2738" s="13"/>
    </row>
    <row r="2739" spans="1:5" x14ac:dyDescent="0.25">
      <c r="A2739" s="13"/>
      <c r="B2739" s="13"/>
      <c r="C2739" s="13"/>
      <c r="D2739" s="13"/>
      <c r="E2739" s="13"/>
    </row>
    <row r="2740" spans="1:5" x14ac:dyDescent="0.25">
      <c r="A2740" s="13"/>
      <c r="B2740" s="13"/>
      <c r="C2740" s="13"/>
      <c r="D2740" s="13"/>
      <c r="E2740" s="13"/>
    </row>
    <row r="2741" spans="1:5" x14ac:dyDescent="0.25">
      <c r="A2741" s="13"/>
      <c r="B2741" s="13"/>
      <c r="C2741" s="13"/>
      <c r="D2741" s="13"/>
      <c r="E2741" s="13"/>
    </row>
    <row r="2742" spans="1:5" x14ac:dyDescent="0.25">
      <c r="A2742" s="13"/>
      <c r="B2742" s="13"/>
      <c r="C2742" s="13"/>
      <c r="D2742" s="13"/>
      <c r="E2742" s="13"/>
    </row>
    <row r="2743" spans="1:5" x14ac:dyDescent="0.25">
      <c r="A2743" s="13"/>
      <c r="B2743" s="13"/>
      <c r="C2743" s="13"/>
      <c r="D2743" s="13"/>
      <c r="E2743" s="13"/>
    </row>
    <row r="2744" spans="1:5" x14ac:dyDescent="0.25">
      <c r="A2744" s="13"/>
      <c r="B2744" s="13"/>
      <c r="C2744" s="13"/>
      <c r="D2744" s="13"/>
      <c r="E2744" s="13"/>
    </row>
    <row r="2745" spans="1:5" x14ac:dyDescent="0.25">
      <c r="A2745" s="13"/>
      <c r="B2745" s="13"/>
      <c r="C2745" s="13"/>
      <c r="D2745" s="13"/>
      <c r="E2745" s="13"/>
    </row>
    <row r="2746" spans="1:5" x14ac:dyDescent="0.25">
      <c r="A2746" s="13"/>
      <c r="B2746" s="13"/>
      <c r="C2746" s="13"/>
      <c r="D2746" s="13"/>
      <c r="E2746" s="13"/>
    </row>
    <row r="2747" spans="1:5" x14ac:dyDescent="0.25">
      <c r="A2747" s="13"/>
      <c r="B2747" s="13"/>
      <c r="C2747" s="13"/>
      <c r="D2747" s="13"/>
      <c r="E2747" s="13"/>
    </row>
    <row r="2748" spans="1:5" x14ac:dyDescent="0.25">
      <c r="A2748" s="13"/>
      <c r="B2748" s="13"/>
      <c r="C2748" s="13"/>
      <c r="D2748" s="13"/>
      <c r="E2748" s="13"/>
    </row>
    <row r="2749" spans="1:5" x14ac:dyDescent="0.25">
      <c r="A2749" s="13"/>
      <c r="B2749" s="13"/>
      <c r="C2749" s="13"/>
      <c r="D2749" s="13"/>
      <c r="E2749" s="13"/>
    </row>
    <row r="2750" spans="1:5" x14ac:dyDescent="0.25">
      <c r="A2750" s="13"/>
      <c r="B2750" s="13"/>
      <c r="C2750" s="13"/>
      <c r="D2750" s="13"/>
      <c r="E2750" s="13"/>
    </row>
    <row r="2751" spans="1:5" x14ac:dyDescent="0.25">
      <c r="A2751" s="13"/>
      <c r="B2751" s="13"/>
      <c r="C2751" s="13"/>
      <c r="D2751" s="13"/>
      <c r="E2751" s="13"/>
    </row>
    <row r="2752" spans="1:5" x14ac:dyDescent="0.25">
      <c r="A2752" s="13"/>
      <c r="B2752" s="13"/>
      <c r="C2752" s="13"/>
      <c r="D2752" s="13"/>
      <c r="E2752" s="13"/>
    </row>
    <row r="2753" spans="1:5" x14ac:dyDescent="0.25">
      <c r="A2753" s="13"/>
      <c r="B2753" s="13"/>
      <c r="C2753" s="13"/>
      <c r="D2753" s="13"/>
      <c r="E2753" s="13"/>
    </row>
    <row r="2754" spans="1:5" x14ac:dyDescent="0.25">
      <c r="A2754" s="13"/>
      <c r="B2754" s="13"/>
      <c r="C2754" s="13"/>
      <c r="D2754" s="13"/>
      <c r="E2754" s="13"/>
    </row>
    <row r="2755" spans="1:5" x14ac:dyDescent="0.25">
      <c r="A2755" s="13"/>
      <c r="B2755" s="13"/>
      <c r="C2755" s="13"/>
      <c r="D2755" s="13"/>
      <c r="E2755" s="13"/>
    </row>
    <row r="2756" spans="1:5" x14ac:dyDescent="0.25">
      <c r="A2756" s="13"/>
      <c r="B2756" s="13"/>
      <c r="C2756" s="13"/>
      <c r="D2756" s="13"/>
      <c r="E2756" s="13"/>
    </row>
    <row r="2757" spans="1:5" x14ac:dyDescent="0.25">
      <c r="A2757" s="13"/>
      <c r="B2757" s="13"/>
      <c r="C2757" s="13"/>
      <c r="D2757" s="13"/>
      <c r="E2757" s="13"/>
    </row>
    <row r="2758" spans="1:5" x14ac:dyDescent="0.25">
      <c r="A2758" s="13"/>
      <c r="B2758" s="13"/>
      <c r="C2758" s="13"/>
      <c r="D2758" s="13"/>
      <c r="E2758" s="13"/>
    </row>
    <row r="2759" spans="1:5" x14ac:dyDescent="0.25">
      <c r="A2759" s="13"/>
      <c r="B2759" s="13"/>
      <c r="C2759" s="13"/>
      <c r="D2759" s="13"/>
      <c r="E2759" s="13"/>
    </row>
    <row r="2760" spans="1:5" x14ac:dyDescent="0.25">
      <c r="A2760" s="13"/>
      <c r="B2760" s="13"/>
      <c r="C2760" s="13"/>
      <c r="D2760" s="13"/>
      <c r="E2760" s="13"/>
    </row>
    <row r="2761" spans="1:5" x14ac:dyDescent="0.25">
      <c r="A2761" s="13"/>
      <c r="B2761" s="13"/>
      <c r="C2761" s="13"/>
      <c r="D2761" s="13"/>
      <c r="E2761" s="13"/>
    </row>
    <row r="2762" spans="1:5" x14ac:dyDescent="0.25">
      <c r="A2762" s="13"/>
      <c r="B2762" s="13"/>
      <c r="C2762" s="13"/>
      <c r="D2762" s="13"/>
      <c r="E2762" s="13"/>
    </row>
    <row r="2763" spans="1:5" x14ac:dyDescent="0.25">
      <c r="A2763" s="13"/>
      <c r="B2763" s="13"/>
      <c r="C2763" s="13"/>
      <c r="D2763" s="13"/>
      <c r="E2763" s="13"/>
    </row>
    <row r="2764" spans="1:5" x14ac:dyDescent="0.25">
      <c r="A2764" s="13"/>
      <c r="B2764" s="13"/>
      <c r="C2764" s="13"/>
      <c r="D2764" s="13"/>
      <c r="E2764" s="13"/>
    </row>
    <row r="2765" spans="1:5" x14ac:dyDescent="0.25">
      <c r="A2765" s="13"/>
      <c r="B2765" s="13"/>
      <c r="C2765" s="13"/>
      <c r="D2765" s="13"/>
      <c r="E2765" s="13"/>
    </row>
    <row r="2766" spans="1:5" x14ac:dyDescent="0.25">
      <c r="A2766" s="13"/>
      <c r="B2766" s="13"/>
      <c r="C2766" s="13"/>
      <c r="D2766" s="13"/>
      <c r="E2766" s="13"/>
    </row>
    <row r="2767" spans="1:5" x14ac:dyDescent="0.25">
      <c r="A2767" s="13"/>
      <c r="B2767" s="13"/>
      <c r="C2767" s="13"/>
      <c r="D2767" s="13"/>
      <c r="E2767" s="13"/>
    </row>
    <row r="2768" spans="1:5" x14ac:dyDescent="0.25">
      <c r="A2768" s="13"/>
      <c r="B2768" s="13"/>
      <c r="C2768" s="13"/>
      <c r="D2768" s="13"/>
      <c r="E2768" s="13"/>
    </row>
    <row r="2769" spans="1:5" x14ac:dyDescent="0.25">
      <c r="A2769" s="13"/>
      <c r="B2769" s="13"/>
      <c r="C2769" s="13"/>
      <c r="D2769" s="13"/>
      <c r="E2769" s="13"/>
    </row>
    <row r="2770" spans="1:5" x14ac:dyDescent="0.25">
      <c r="A2770" s="13"/>
      <c r="B2770" s="13"/>
      <c r="C2770" s="13"/>
      <c r="D2770" s="13"/>
      <c r="E2770" s="13"/>
    </row>
    <row r="2771" spans="1:5" x14ac:dyDescent="0.25">
      <c r="A2771" s="13"/>
      <c r="B2771" s="13"/>
      <c r="C2771" s="13"/>
      <c r="D2771" s="13"/>
      <c r="E2771" s="13"/>
    </row>
    <row r="2772" spans="1:5" x14ac:dyDescent="0.25">
      <c r="A2772" s="13"/>
      <c r="B2772" s="13"/>
      <c r="C2772" s="13"/>
      <c r="D2772" s="13"/>
      <c r="E2772" s="13"/>
    </row>
    <row r="2773" spans="1:5" x14ac:dyDescent="0.25">
      <c r="A2773" s="13"/>
      <c r="B2773" s="13"/>
      <c r="C2773" s="13"/>
      <c r="D2773" s="13"/>
      <c r="E2773" s="13"/>
    </row>
    <row r="2774" spans="1:5" x14ac:dyDescent="0.25">
      <c r="A2774" s="13"/>
      <c r="B2774" s="13"/>
      <c r="C2774" s="13"/>
      <c r="D2774" s="13"/>
      <c r="E2774" s="13"/>
    </row>
    <row r="2775" spans="1:5" x14ac:dyDescent="0.25">
      <c r="A2775" s="13"/>
      <c r="B2775" s="13"/>
      <c r="C2775" s="13"/>
      <c r="D2775" s="13"/>
      <c r="E2775" s="13"/>
    </row>
    <row r="2776" spans="1:5" x14ac:dyDescent="0.25">
      <c r="A2776" s="13"/>
      <c r="B2776" s="13"/>
      <c r="C2776" s="13"/>
      <c r="D2776" s="13"/>
      <c r="E2776" s="13"/>
    </row>
    <row r="2777" spans="1:5" x14ac:dyDescent="0.25">
      <c r="A2777" s="13"/>
      <c r="B2777" s="13"/>
      <c r="C2777" s="13"/>
      <c r="D2777" s="13"/>
      <c r="E2777" s="13"/>
    </row>
    <row r="2778" spans="1:5" x14ac:dyDescent="0.25">
      <c r="A2778" s="13"/>
      <c r="B2778" s="13"/>
      <c r="C2778" s="13"/>
      <c r="D2778" s="13"/>
      <c r="E2778" s="13"/>
    </row>
    <row r="2779" spans="1:5" x14ac:dyDescent="0.25">
      <c r="A2779" s="13"/>
      <c r="B2779" s="13"/>
      <c r="C2779" s="13"/>
      <c r="D2779" s="13"/>
      <c r="E2779" s="13"/>
    </row>
    <row r="2780" spans="1:5" x14ac:dyDescent="0.25">
      <c r="A2780" s="13"/>
      <c r="B2780" s="13"/>
      <c r="C2780" s="13"/>
      <c r="D2780" s="13"/>
      <c r="E2780" s="13"/>
    </row>
    <row r="2781" spans="1:5" x14ac:dyDescent="0.25">
      <c r="A2781" s="13"/>
      <c r="B2781" s="13"/>
      <c r="C2781" s="13"/>
      <c r="D2781" s="13"/>
      <c r="E2781" s="13"/>
    </row>
    <row r="2782" spans="1:5" x14ac:dyDescent="0.25">
      <c r="A2782" s="13"/>
      <c r="B2782" s="13"/>
      <c r="C2782" s="13"/>
      <c r="D2782" s="13"/>
      <c r="E2782" s="13"/>
    </row>
    <row r="2783" spans="1:5" x14ac:dyDescent="0.25">
      <c r="A2783" s="13"/>
      <c r="B2783" s="13"/>
      <c r="C2783" s="13"/>
      <c r="D2783" s="13"/>
      <c r="E2783" s="13"/>
    </row>
    <row r="2784" spans="1:5" x14ac:dyDescent="0.25">
      <c r="A2784" s="13"/>
      <c r="B2784" s="13"/>
      <c r="C2784" s="13"/>
      <c r="D2784" s="13"/>
      <c r="E2784" s="13"/>
    </row>
    <row r="2785" spans="1:7" x14ac:dyDescent="0.25">
      <c r="A2785" s="13"/>
      <c r="B2785" s="13"/>
      <c r="C2785" s="13"/>
      <c r="D2785" s="13"/>
      <c r="E2785" s="13"/>
    </row>
    <row r="2786" spans="1:7" x14ac:dyDescent="0.25">
      <c r="A2786" s="13"/>
      <c r="B2786" s="13"/>
      <c r="C2786" s="13"/>
      <c r="D2786" s="13"/>
      <c r="E2786" s="13"/>
    </row>
    <row r="2787" spans="1:7" x14ac:dyDescent="0.25">
      <c r="A2787" s="13"/>
      <c r="B2787" s="13"/>
      <c r="C2787" s="13"/>
      <c r="D2787" s="13"/>
      <c r="E2787" s="13"/>
    </row>
    <row r="2788" spans="1:7" x14ac:dyDescent="0.25">
      <c r="A2788" s="13"/>
      <c r="B2788" s="13"/>
      <c r="C2788" s="13"/>
      <c r="D2788" s="13"/>
      <c r="E2788" s="13"/>
    </row>
    <row r="2789" spans="1:7" x14ac:dyDescent="0.25">
      <c r="A2789" s="13"/>
      <c r="B2789" s="13"/>
      <c r="C2789" s="13"/>
      <c r="D2789" s="13"/>
      <c r="E2789" s="13"/>
    </row>
    <row r="2790" spans="1:7" x14ac:dyDescent="0.25">
      <c r="A2790" s="13"/>
      <c r="B2790" s="13"/>
      <c r="C2790" s="13"/>
      <c r="D2790" s="13"/>
      <c r="E2790" s="13"/>
    </row>
    <row r="2791" spans="1:7" x14ac:dyDescent="0.25">
      <c r="A2791" s="13"/>
      <c r="B2791" s="13"/>
      <c r="C2791" s="13"/>
      <c r="D2791" s="13"/>
      <c r="E2791" s="13"/>
    </row>
    <row r="2792" spans="1:7" x14ac:dyDescent="0.25">
      <c r="A2792" s="13"/>
      <c r="B2792" s="13"/>
      <c r="C2792" s="13"/>
      <c r="D2792" s="13"/>
      <c r="E2792" s="13"/>
    </row>
    <row r="2793" spans="1:7" x14ac:dyDescent="0.25">
      <c r="A2793" s="13"/>
      <c r="B2793" s="13"/>
      <c r="C2793" s="13"/>
      <c r="D2793" s="13"/>
      <c r="E2793" s="13"/>
    </row>
    <row r="2794" spans="1:7" x14ac:dyDescent="0.25">
      <c r="A2794" s="13"/>
      <c r="B2794" s="13"/>
      <c r="C2794" s="13"/>
      <c r="D2794" s="13"/>
      <c r="E2794" s="13"/>
      <c r="G2794" s="13"/>
    </row>
    <row r="2795" spans="1:7" x14ac:dyDescent="0.25">
      <c r="A2795" s="13"/>
      <c r="B2795" s="13"/>
      <c r="C2795" s="13"/>
      <c r="D2795" s="13"/>
      <c r="E2795" s="13"/>
      <c r="G2795" s="13"/>
    </row>
    <row r="2796" spans="1:7" x14ac:dyDescent="0.25">
      <c r="A2796" s="13"/>
      <c r="B2796" s="13"/>
      <c r="C2796" s="13"/>
      <c r="D2796" s="13"/>
      <c r="E2796" s="13"/>
      <c r="G2796" s="13"/>
    </row>
    <row r="2797" spans="1:7" x14ac:dyDescent="0.25">
      <c r="A2797" s="13"/>
      <c r="B2797" s="13"/>
      <c r="C2797" s="13"/>
      <c r="D2797" s="13"/>
      <c r="E2797" s="13"/>
      <c r="G2797" s="13"/>
    </row>
    <row r="2798" spans="1:7" x14ac:dyDescent="0.25">
      <c r="A2798" s="13"/>
      <c r="B2798" s="13"/>
      <c r="C2798" s="13"/>
      <c r="D2798" s="13"/>
      <c r="E2798" s="13"/>
      <c r="G2798" s="13"/>
    </row>
    <row r="2799" spans="1:7" x14ac:dyDescent="0.25">
      <c r="A2799" s="13"/>
      <c r="B2799" s="13"/>
      <c r="C2799" s="13"/>
      <c r="D2799" s="13"/>
      <c r="E2799" s="13"/>
      <c r="G2799" s="13"/>
    </row>
    <row r="2800" spans="1:7" x14ac:dyDescent="0.25">
      <c r="A2800" s="13"/>
      <c r="B2800" s="13"/>
      <c r="C2800" s="13"/>
      <c r="D2800" s="13"/>
      <c r="E2800" s="13"/>
      <c r="G2800" s="13"/>
    </row>
    <row r="2801" spans="1:7" x14ac:dyDescent="0.25">
      <c r="A2801" s="13"/>
      <c r="B2801" s="13"/>
      <c r="C2801" s="13"/>
      <c r="D2801" s="13"/>
      <c r="E2801" s="13"/>
      <c r="G2801" s="13"/>
    </row>
    <row r="2802" spans="1:7" x14ac:dyDescent="0.25">
      <c r="A2802" s="13"/>
      <c r="B2802" s="13"/>
      <c r="C2802" s="13"/>
      <c r="D2802" s="13"/>
      <c r="E2802" s="13"/>
      <c r="G2802" s="13"/>
    </row>
    <row r="2803" spans="1:7" x14ac:dyDescent="0.25">
      <c r="A2803" s="13"/>
      <c r="B2803" s="13"/>
      <c r="C2803" s="13"/>
      <c r="D2803" s="13"/>
      <c r="E2803" s="13"/>
      <c r="G2803" s="13"/>
    </row>
    <row r="2804" spans="1:7" x14ac:dyDescent="0.25">
      <c r="A2804" s="13"/>
      <c r="B2804" s="13"/>
      <c r="C2804" s="13"/>
      <c r="D2804" s="13"/>
      <c r="E2804" s="13"/>
      <c r="G2804" s="13"/>
    </row>
    <row r="2805" spans="1:7" x14ac:dyDescent="0.25">
      <c r="A2805" s="13"/>
      <c r="B2805" s="13"/>
      <c r="C2805" s="13"/>
      <c r="D2805" s="13"/>
      <c r="E2805" s="13"/>
      <c r="G2805" s="13"/>
    </row>
    <row r="2806" spans="1:7" x14ac:dyDescent="0.25">
      <c r="A2806" s="13"/>
      <c r="B2806" s="13"/>
      <c r="C2806" s="13"/>
      <c r="D2806" s="13"/>
      <c r="E2806" s="13"/>
      <c r="G2806" s="13"/>
    </row>
    <row r="2807" spans="1:7" x14ac:dyDescent="0.25">
      <c r="A2807" s="13"/>
      <c r="B2807" s="13"/>
      <c r="C2807" s="13"/>
      <c r="D2807" s="13"/>
      <c r="E2807" s="13"/>
      <c r="G2807" s="13"/>
    </row>
    <row r="2808" spans="1:7" x14ac:dyDescent="0.25">
      <c r="A2808" s="13"/>
      <c r="B2808" s="13"/>
      <c r="C2808" s="13"/>
      <c r="D2808" s="13"/>
      <c r="E2808" s="13"/>
      <c r="G2808" s="13"/>
    </row>
    <row r="2809" spans="1:7" x14ac:dyDescent="0.25">
      <c r="A2809" s="13"/>
      <c r="B2809" s="13"/>
      <c r="C2809" s="13"/>
      <c r="D2809" s="13"/>
      <c r="E2809" s="13"/>
      <c r="G2809" s="13"/>
    </row>
    <row r="2810" spans="1:7" x14ac:dyDescent="0.25">
      <c r="A2810" s="13"/>
      <c r="B2810" s="13"/>
      <c r="C2810" s="13"/>
      <c r="D2810" s="13"/>
      <c r="E2810" s="13"/>
      <c r="G2810" s="13"/>
    </row>
    <row r="2811" spans="1:7" x14ac:dyDescent="0.25">
      <c r="A2811" s="13"/>
      <c r="B2811" s="13"/>
      <c r="C2811" s="13"/>
      <c r="D2811" s="13"/>
      <c r="E2811" s="13"/>
      <c r="G2811" s="13"/>
    </row>
    <row r="2812" spans="1:7" x14ac:dyDescent="0.25">
      <c r="A2812" s="13"/>
      <c r="B2812" s="13"/>
      <c r="C2812" s="13"/>
      <c r="D2812" s="13"/>
      <c r="E2812" s="13"/>
      <c r="G2812" s="13"/>
    </row>
    <row r="2813" spans="1:7" x14ac:dyDescent="0.25">
      <c r="A2813" s="13"/>
      <c r="B2813" s="13"/>
      <c r="C2813" s="13"/>
      <c r="D2813" s="13"/>
      <c r="E2813" s="13"/>
      <c r="G2813" s="13"/>
    </row>
    <row r="2814" spans="1:7" x14ac:dyDescent="0.25">
      <c r="A2814" s="13"/>
      <c r="B2814" s="13"/>
      <c r="C2814" s="13"/>
      <c r="D2814" s="13"/>
      <c r="E2814" s="13"/>
      <c r="G2814" s="13"/>
    </row>
    <row r="2815" spans="1:7" x14ac:dyDescent="0.25">
      <c r="A2815" s="13"/>
      <c r="B2815" s="13"/>
      <c r="C2815" s="13"/>
      <c r="D2815" s="13"/>
      <c r="E2815" s="13"/>
      <c r="G2815" s="13"/>
    </row>
    <row r="2816" spans="1:7" x14ac:dyDescent="0.25">
      <c r="A2816" s="13"/>
      <c r="B2816" s="13"/>
      <c r="C2816" s="13"/>
      <c r="D2816" s="13"/>
      <c r="E2816" s="13"/>
      <c r="G2816" s="13"/>
    </row>
    <row r="2817" spans="1:7" x14ac:dyDescent="0.25">
      <c r="A2817" s="13"/>
      <c r="B2817" s="13"/>
      <c r="C2817" s="13"/>
      <c r="D2817" s="13"/>
      <c r="E2817" s="13"/>
      <c r="G2817" s="13"/>
    </row>
    <row r="2818" spans="1:7" x14ac:dyDescent="0.25">
      <c r="A2818" s="13"/>
      <c r="B2818" s="13"/>
      <c r="C2818" s="13"/>
      <c r="D2818" s="13"/>
      <c r="E2818" s="13"/>
      <c r="G2818" s="13"/>
    </row>
    <row r="2819" spans="1:7" x14ac:dyDescent="0.25">
      <c r="A2819" s="13"/>
      <c r="B2819" s="13"/>
      <c r="C2819" s="13"/>
      <c r="D2819" s="13"/>
      <c r="E2819" s="13"/>
      <c r="G2819" s="13"/>
    </row>
    <row r="2820" spans="1:7" x14ac:dyDescent="0.25">
      <c r="A2820" s="13"/>
      <c r="B2820" s="13"/>
      <c r="C2820" s="13"/>
      <c r="D2820" s="13"/>
      <c r="E2820" s="13"/>
      <c r="G2820" s="13"/>
    </row>
    <row r="2821" spans="1:7" x14ac:dyDescent="0.25">
      <c r="A2821" s="13"/>
      <c r="B2821" s="13"/>
      <c r="C2821" s="13"/>
      <c r="D2821" s="13"/>
      <c r="E2821" s="13"/>
      <c r="G2821" s="13"/>
    </row>
    <row r="2822" spans="1:7" x14ac:dyDescent="0.25">
      <c r="A2822" s="13"/>
      <c r="B2822" s="13"/>
      <c r="C2822" s="13"/>
      <c r="D2822" s="13"/>
      <c r="E2822" s="13"/>
      <c r="G2822" s="13"/>
    </row>
    <row r="2823" spans="1:7" x14ac:dyDescent="0.25">
      <c r="A2823" s="13"/>
      <c r="B2823" s="13"/>
      <c r="C2823" s="13"/>
      <c r="D2823" s="13"/>
      <c r="E2823" s="13"/>
      <c r="G2823" s="13"/>
    </row>
    <row r="2824" spans="1:7" x14ac:dyDescent="0.25">
      <c r="A2824" s="13"/>
      <c r="B2824" s="13"/>
      <c r="C2824" s="13"/>
      <c r="D2824" s="13"/>
      <c r="E2824" s="13"/>
      <c r="G2824" s="13"/>
    </row>
    <row r="2825" spans="1:7" x14ac:dyDescent="0.25">
      <c r="A2825" s="13"/>
      <c r="B2825" s="13"/>
      <c r="C2825" s="13"/>
      <c r="D2825" s="13"/>
      <c r="E2825" s="13"/>
      <c r="G2825" s="13"/>
    </row>
    <row r="2826" spans="1:7" x14ac:dyDescent="0.25">
      <c r="A2826" s="13"/>
      <c r="B2826" s="13"/>
      <c r="C2826" s="13"/>
      <c r="D2826" s="13"/>
      <c r="E2826" s="13"/>
      <c r="G2826" s="13"/>
    </row>
    <row r="2827" spans="1:7" x14ac:dyDescent="0.25">
      <c r="A2827" s="13"/>
      <c r="B2827" s="13"/>
      <c r="C2827" s="13"/>
      <c r="D2827" s="13"/>
      <c r="E2827" s="13"/>
      <c r="G2827" s="13"/>
    </row>
    <row r="2828" spans="1:7" x14ac:dyDescent="0.25">
      <c r="A2828" s="13"/>
      <c r="B2828" s="13"/>
      <c r="C2828" s="13"/>
      <c r="D2828" s="13"/>
      <c r="E2828" s="13"/>
      <c r="G2828" s="13"/>
    </row>
    <row r="2829" spans="1:7" x14ac:dyDescent="0.25">
      <c r="A2829" s="13"/>
      <c r="B2829" s="13"/>
      <c r="C2829" s="13"/>
      <c r="D2829" s="13"/>
      <c r="E2829" s="13"/>
      <c r="G2829" s="13"/>
    </row>
    <row r="2830" spans="1:7" x14ac:dyDescent="0.25">
      <c r="A2830" s="13"/>
      <c r="B2830" s="13"/>
      <c r="C2830" s="13"/>
      <c r="D2830" s="13"/>
      <c r="E2830" s="13"/>
      <c r="G2830" s="13"/>
    </row>
    <row r="2831" spans="1:7" x14ac:dyDescent="0.25">
      <c r="A2831" s="13"/>
      <c r="B2831" s="13"/>
      <c r="C2831" s="13"/>
      <c r="D2831" s="13"/>
      <c r="E2831" s="13"/>
      <c r="G2831" s="13"/>
    </row>
    <row r="2832" spans="1:7" x14ac:dyDescent="0.25">
      <c r="A2832" s="13"/>
      <c r="B2832" s="13"/>
      <c r="C2832" s="13"/>
      <c r="D2832" s="13"/>
      <c r="E2832" s="13"/>
      <c r="G2832" s="13"/>
    </row>
    <row r="2833" spans="1:7" x14ac:dyDescent="0.25">
      <c r="A2833" s="13"/>
      <c r="B2833" s="13"/>
      <c r="C2833" s="13"/>
      <c r="D2833" s="13"/>
      <c r="E2833" s="13"/>
      <c r="G2833" s="13"/>
    </row>
    <row r="2834" spans="1:7" x14ac:dyDescent="0.25">
      <c r="A2834" s="13"/>
      <c r="B2834" s="13"/>
      <c r="C2834" s="13"/>
      <c r="D2834" s="13"/>
      <c r="E2834" s="13"/>
      <c r="G2834" s="13"/>
    </row>
    <row r="2835" spans="1:7" x14ac:dyDescent="0.25">
      <c r="A2835" s="13"/>
      <c r="B2835" s="13"/>
      <c r="C2835" s="13"/>
      <c r="D2835" s="13"/>
      <c r="E2835" s="13"/>
      <c r="G2835" s="13"/>
    </row>
    <row r="2836" spans="1:7" x14ac:dyDescent="0.25">
      <c r="A2836" s="13"/>
      <c r="B2836" s="13"/>
      <c r="C2836" s="13"/>
      <c r="D2836" s="13"/>
      <c r="E2836" s="13"/>
      <c r="G2836" s="13"/>
    </row>
    <row r="2837" spans="1:7" x14ac:dyDescent="0.25">
      <c r="A2837" s="13"/>
      <c r="B2837" s="13"/>
      <c r="C2837" s="13"/>
      <c r="D2837" s="13"/>
      <c r="E2837" s="13"/>
      <c r="G2837" s="13"/>
    </row>
    <row r="2838" spans="1:7" x14ac:dyDescent="0.25">
      <c r="A2838" s="13"/>
      <c r="B2838" s="13"/>
      <c r="C2838" s="13"/>
      <c r="D2838" s="13"/>
      <c r="E2838" s="13"/>
      <c r="G2838" s="13"/>
    </row>
    <row r="2839" spans="1:7" x14ac:dyDescent="0.25">
      <c r="A2839" s="13"/>
      <c r="B2839" s="13"/>
      <c r="C2839" s="13"/>
      <c r="D2839" s="13"/>
      <c r="E2839" s="13"/>
      <c r="G2839" s="13"/>
    </row>
    <row r="2840" spans="1:7" x14ac:dyDescent="0.25">
      <c r="A2840" s="13"/>
      <c r="B2840" s="13"/>
      <c r="C2840" s="13"/>
      <c r="D2840" s="13"/>
      <c r="E2840" s="13"/>
      <c r="G2840" s="13"/>
    </row>
    <row r="2841" spans="1:7" x14ac:dyDescent="0.25">
      <c r="A2841" s="13"/>
      <c r="B2841" s="13"/>
      <c r="C2841" s="13"/>
      <c r="D2841" s="13"/>
      <c r="E2841" s="13"/>
      <c r="G2841" s="13"/>
    </row>
    <row r="2842" spans="1:7" x14ac:dyDescent="0.25">
      <c r="A2842" s="13"/>
      <c r="B2842" s="13"/>
      <c r="C2842" s="13"/>
      <c r="D2842" s="13"/>
      <c r="E2842" s="13"/>
      <c r="G2842" s="13"/>
    </row>
    <row r="2843" spans="1:7" x14ac:dyDescent="0.25">
      <c r="A2843" s="13"/>
      <c r="B2843" s="13"/>
      <c r="C2843" s="13"/>
      <c r="D2843" s="13"/>
      <c r="E2843" s="13"/>
      <c r="G2843" s="13"/>
    </row>
    <row r="2844" spans="1:7" x14ac:dyDescent="0.25">
      <c r="A2844" s="13"/>
      <c r="B2844" s="13"/>
      <c r="C2844" s="13"/>
      <c r="D2844" s="13"/>
      <c r="E2844" s="13"/>
      <c r="G2844" s="13"/>
    </row>
    <row r="2845" spans="1:7" x14ac:dyDescent="0.25">
      <c r="A2845" s="13"/>
      <c r="B2845" s="13"/>
      <c r="C2845" s="13"/>
      <c r="D2845" s="13"/>
      <c r="E2845" s="13"/>
      <c r="G2845" s="13"/>
    </row>
    <row r="2846" spans="1:7" x14ac:dyDescent="0.25">
      <c r="A2846" s="13"/>
      <c r="B2846" s="13"/>
      <c r="C2846" s="13"/>
      <c r="D2846" s="13"/>
      <c r="E2846" s="13"/>
      <c r="G2846" s="13"/>
    </row>
    <row r="2847" spans="1:7" x14ac:dyDescent="0.25">
      <c r="A2847" s="13"/>
      <c r="B2847" s="13"/>
      <c r="C2847" s="13"/>
      <c r="D2847" s="13"/>
      <c r="E2847" s="13"/>
      <c r="G2847" s="13"/>
    </row>
    <row r="2848" spans="1:7" x14ac:dyDescent="0.25">
      <c r="A2848" s="13"/>
      <c r="B2848" s="13"/>
      <c r="C2848" s="13"/>
      <c r="D2848" s="13"/>
      <c r="E2848" s="13"/>
      <c r="G2848" s="13"/>
    </row>
    <row r="2849" spans="1:7" x14ac:dyDescent="0.25">
      <c r="A2849" s="13"/>
      <c r="B2849" s="13"/>
      <c r="C2849" s="13"/>
      <c r="D2849" s="13"/>
      <c r="E2849" s="13"/>
      <c r="G2849" s="13"/>
    </row>
    <row r="2850" spans="1:7" x14ac:dyDescent="0.25">
      <c r="A2850" s="13"/>
      <c r="B2850" s="13"/>
      <c r="C2850" s="13"/>
      <c r="D2850" s="13"/>
      <c r="E2850" s="13"/>
      <c r="G2850" s="13"/>
    </row>
    <row r="2851" spans="1:7" x14ac:dyDescent="0.25">
      <c r="A2851" s="13"/>
      <c r="B2851" s="13"/>
      <c r="C2851" s="13"/>
      <c r="D2851" s="13"/>
      <c r="E2851" s="13"/>
      <c r="G2851" s="13"/>
    </row>
    <row r="2852" spans="1:7" x14ac:dyDescent="0.25">
      <c r="A2852" s="13"/>
      <c r="B2852" s="13"/>
      <c r="C2852" s="13"/>
      <c r="D2852" s="13"/>
      <c r="E2852" s="13"/>
      <c r="G2852" s="13"/>
    </row>
    <row r="2853" spans="1:7" x14ac:dyDescent="0.25">
      <c r="A2853" s="13"/>
      <c r="B2853" s="13"/>
      <c r="C2853" s="13"/>
      <c r="D2853" s="13"/>
      <c r="E2853" s="13"/>
      <c r="G2853" s="13"/>
    </row>
    <row r="2854" spans="1:7" x14ac:dyDescent="0.25">
      <c r="A2854" s="13"/>
      <c r="B2854" s="13"/>
      <c r="C2854" s="13"/>
      <c r="D2854" s="13"/>
      <c r="E2854" s="13"/>
      <c r="G2854" s="13"/>
    </row>
    <row r="2855" spans="1:7" x14ac:dyDescent="0.25">
      <c r="A2855" s="13"/>
      <c r="B2855" s="13"/>
      <c r="C2855" s="13"/>
      <c r="D2855" s="13"/>
      <c r="E2855" s="13"/>
      <c r="G2855" s="13"/>
    </row>
    <row r="2856" spans="1:7" x14ac:dyDescent="0.25">
      <c r="A2856" s="13"/>
      <c r="B2856" s="13"/>
      <c r="C2856" s="13"/>
      <c r="D2856" s="13"/>
      <c r="E2856" s="13"/>
      <c r="G2856" s="13"/>
    </row>
    <row r="2857" spans="1:7" x14ac:dyDescent="0.25">
      <c r="A2857" s="13"/>
      <c r="B2857" s="13"/>
      <c r="C2857" s="13"/>
      <c r="D2857" s="13"/>
      <c r="E2857" s="13"/>
      <c r="G2857" s="13"/>
    </row>
    <row r="2858" spans="1:7" x14ac:dyDescent="0.25">
      <c r="A2858" s="13"/>
      <c r="B2858" s="13"/>
      <c r="C2858" s="13"/>
      <c r="D2858" s="13"/>
      <c r="E2858" s="13"/>
      <c r="G2858" s="13"/>
    </row>
    <row r="2859" spans="1:7" x14ac:dyDescent="0.25">
      <c r="A2859" s="13"/>
      <c r="B2859" s="13"/>
      <c r="C2859" s="13"/>
      <c r="D2859" s="13"/>
      <c r="E2859" s="13"/>
      <c r="G2859" s="13"/>
    </row>
    <row r="2860" spans="1:7" x14ac:dyDescent="0.25">
      <c r="A2860" s="13"/>
      <c r="B2860" s="13"/>
      <c r="C2860" s="13"/>
      <c r="D2860" s="13"/>
      <c r="E2860" s="13"/>
      <c r="G2860" s="13"/>
    </row>
    <row r="2861" spans="1:7" x14ac:dyDescent="0.25">
      <c r="A2861" s="13"/>
      <c r="B2861" s="13"/>
      <c r="C2861" s="13"/>
      <c r="D2861" s="13"/>
      <c r="E2861" s="13"/>
      <c r="G2861" s="13"/>
    </row>
    <row r="2862" spans="1:7" x14ac:dyDescent="0.25">
      <c r="A2862" s="13"/>
      <c r="B2862" s="13"/>
      <c r="C2862" s="13"/>
      <c r="D2862" s="13"/>
      <c r="E2862" s="13"/>
      <c r="G2862" s="13"/>
    </row>
    <row r="2863" spans="1:7" x14ac:dyDescent="0.25">
      <c r="A2863" s="13"/>
      <c r="B2863" s="13"/>
      <c r="C2863" s="13"/>
      <c r="D2863" s="13"/>
      <c r="E2863" s="13"/>
      <c r="G2863" s="13"/>
    </row>
    <row r="2864" spans="1:7" x14ac:dyDescent="0.25">
      <c r="A2864" s="13"/>
      <c r="B2864" s="13"/>
      <c r="C2864" s="13"/>
      <c r="D2864" s="13"/>
      <c r="E2864" s="13"/>
      <c r="G2864" s="13"/>
    </row>
    <row r="2865" spans="1:7" x14ac:dyDescent="0.25">
      <c r="A2865" s="13"/>
      <c r="B2865" s="13"/>
      <c r="C2865" s="13"/>
      <c r="D2865" s="13"/>
      <c r="E2865" s="13"/>
      <c r="G2865" s="13"/>
    </row>
    <row r="2866" spans="1:7" x14ac:dyDescent="0.25">
      <c r="A2866" s="13"/>
      <c r="B2866" s="13"/>
      <c r="C2866" s="13"/>
      <c r="D2866" s="13"/>
      <c r="E2866" s="13"/>
      <c r="G2866" s="13"/>
    </row>
    <row r="2867" spans="1:7" x14ac:dyDescent="0.25">
      <c r="A2867" s="13"/>
      <c r="B2867" s="13"/>
      <c r="C2867" s="13"/>
      <c r="D2867" s="13"/>
      <c r="E2867" s="13"/>
      <c r="G2867" s="13"/>
    </row>
    <row r="2868" spans="1:7" x14ac:dyDescent="0.25">
      <c r="A2868" s="13"/>
      <c r="B2868" s="13"/>
      <c r="C2868" s="13"/>
      <c r="D2868" s="13"/>
      <c r="E2868" s="13"/>
      <c r="G2868" s="13"/>
    </row>
    <row r="2869" spans="1:7" x14ac:dyDescent="0.25">
      <c r="A2869" s="13"/>
      <c r="B2869" s="13"/>
      <c r="C2869" s="13"/>
      <c r="D2869" s="13"/>
      <c r="E2869" s="13"/>
      <c r="G2869" s="13"/>
    </row>
    <row r="2870" spans="1:7" x14ac:dyDescent="0.25">
      <c r="A2870" s="13"/>
      <c r="B2870" s="13"/>
      <c r="C2870" s="13"/>
      <c r="D2870" s="13"/>
      <c r="E2870" s="13"/>
      <c r="G2870" s="13"/>
    </row>
    <row r="2871" spans="1:7" x14ac:dyDescent="0.25">
      <c r="A2871" s="13"/>
      <c r="B2871" s="13"/>
      <c r="C2871" s="13"/>
      <c r="D2871" s="13"/>
      <c r="E2871" s="13"/>
      <c r="G2871" s="13"/>
    </row>
    <row r="2872" spans="1:7" x14ac:dyDescent="0.25">
      <c r="A2872" s="13"/>
      <c r="B2872" s="13"/>
      <c r="C2872" s="13"/>
      <c r="D2872" s="13"/>
      <c r="E2872" s="13"/>
      <c r="G2872" s="13"/>
    </row>
    <row r="2873" spans="1:7" x14ac:dyDescent="0.25">
      <c r="A2873" s="13"/>
      <c r="B2873" s="13"/>
      <c r="C2873" s="13"/>
      <c r="D2873" s="13"/>
      <c r="E2873" s="13"/>
      <c r="G2873" s="13"/>
    </row>
    <row r="2874" spans="1:7" x14ac:dyDescent="0.25">
      <c r="A2874" s="13"/>
      <c r="B2874" s="13"/>
      <c r="C2874" s="13"/>
      <c r="D2874" s="13"/>
      <c r="E2874" s="13"/>
      <c r="G2874" s="13"/>
    </row>
    <row r="2875" spans="1:7" x14ac:dyDescent="0.25">
      <c r="A2875" s="13"/>
      <c r="B2875" s="13"/>
      <c r="C2875" s="13"/>
      <c r="D2875" s="13"/>
      <c r="E2875" s="13"/>
      <c r="G2875" s="13"/>
    </row>
    <row r="2876" spans="1:7" x14ac:dyDescent="0.25">
      <c r="A2876" s="13"/>
      <c r="B2876" s="13"/>
      <c r="C2876" s="13"/>
      <c r="D2876" s="13"/>
      <c r="E2876" s="13"/>
      <c r="G2876" s="13"/>
    </row>
    <row r="2877" spans="1:7" x14ac:dyDescent="0.25">
      <c r="A2877" s="13"/>
      <c r="B2877" s="13"/>
      <c r="C2877" s="13"/>
      <c r="D2877" s="13"/>
      <c r="E2877" s="13"/>
      <c r="G2877" s="13"/>
    </row>
    <row r="2878" spans="1:7" x14ac:dyDescent="0.25">
      <c r="A2878" s="13"/>
      <c r="B2878" s="13"/>
      <c r="C2878" s="13"/>
      <c r="D2878" s="13"/>
      <c r="E2878" s="13"/>
      <c r="G2878" s="13"/>
    </row>
    <row r="2879" spans="1:7" x14ac:dyDescent="0.25">
      <c r="A2879" s="13"/>
      <c r="B2879" s="13"/>
      <c r="C2879" s="13"/>
      <c r="D2879" s="13"/>
      <c r="E2879" s="13"/>
      <c r="G2879" s="13"/>
    </row>
    <row r="2880" spans="1:7" x14ac:dyDescent="0.25">
      <c r="A2880" s="13"/>
      <c r="B2880" s="13"/>
      <c r="C2880" s="13"/>
      <c r="D2880" s="13"/>
      <c r="E2880" s="13"/>
      <c r="G2880" s="13"/>
    </row>
    <row r="2881" spans="1:7" x14ac:dyDescent="0.25">
      <c r="A2881" s="13"/>
      <c r="B2881" s="13"/>
      <c r="C2881" s="13"/>
      <c r="D2881" s="13"/>
      <c r="E2881" s="13"/>
      <c r="G2881" s="13"/>
    </row>
    <row r="2882" spans="1:7" x14ac:dyDescent="0.25">
      <c r="A2882" s="13"/>
      <c r="B2882" s="13"/>
      <c r="C2882" s="13"/>
      <c r="D2882" s="13"/>
      <c r="E2882" s="13"/>
      <c r="G2882" s="13"/>
    </row>
    <row r="2883" spans="1:7" x14ac:dyDescent="0.25">
      <c r="A2883" s="13"/>
      <c r="B2883" s="13"/>
      <c r="C2883" s="13"/>
      <c r="D2883" s="13"/>
      <c r="E2883" s="13"/>
      <c r="G2883" s="13"/>
    </row>
    <row r="2884" spans="1:7" x14ac:dyDescent="0.25">
      <c r="A2884" s="13"/>
      <c r="B2884" s="13"/>
      <c r="C2884" s="13"/>
      <c r="D2884" s="13"/>
      <c r="E2884" s="13"/>
      <c r="G2884" s="13"/>
    </row>
    <row r="2885" spans="1:7" x14ac:dyDescent="0.25">
      <c r="A2885" s="13"/>
      <c r="B2885" s="13"/>
      <c r="C2885" s="13"/>
      <c r="D2885" s="13"/>
      <c r="E2885" s="13"/>
      <c r="G2885" s="13"/>
    </row>
    <row r="2886" spans="1:7" x14ac:dyDescent="0.25">
      <c r="A2886" s="13"/>
      <c r="B2886" s="13"/>
      <c r="C2886" s="13"/>
      <c r="D2886" s="13"/>
      <c r="E2886" s="13"/>
      <c r="G2886" s="13"/>
    </row>
    <row r="2887" spans="1:7" x14ac:dyDescent="0.25">
      <c r="A2887" s="13"/>
      <c r="B2887" s="13"/>
      <c r="C2887" s="13"/>
      <c r="D2887" s="13"/>
      <c r="E2887" s="13"/>
      <c r="G2887" s="13"/>
    </row>
    <row r="2888" spans="1:7" x14ac:dyDescent="0.25">
      <c r="A2888" s="13"/>
      <c r="B2888" s="13"/>
      <c r="C2888" s="13"/>
      <c r="D2888" s="13"/>
      <c r="E2888" s="13"/>
      <c r="G2888" s="13"/>
    </row>
    <row r="2889" spans="1:7" x14ac:dyDescent="0.25">
      <c r="A2889" s="13"/>
      <c r="B2889" s="13"/>
      <c r="C2889" s="13"/>
      <c r="D2889" s="13"/>
      <c r="E2889" s="13"/>
      <c r="G2889" s="13"/>
    </row>
    <row r="2890" spans="1:7" x14ac:dyDescent="0.25">
      <c r="A2890" s="13"/>
      <c r="B2890" s="13"/>
      <c r="C2890" s="13"/>
      <c r="D2890" s="13"/>
      <c r="E2890" s="13"/>
      <c r="G2890" s="13"/>
    </row>
    <row r="2891" spans="1:7" x14ac:dyDescent="0.25">
      <c r="A2891" s="13"/>
      <c r="B2891" s="13"/>
      <c r="C2891" s="13"/>
      <c r="D2891" s="13"/>
      <c r="E2891" s="13"/>
      <c r="G2891" s="13"/>
    </row>
    <row r="2892" spans="1:7" x14ac:dyDescent="0.25">
      <c r="A2892" s="13"/>
      <c r="B2892" s="13"/>
      <c r="C2892" s="13"/>
      <c r="D2892" s="13"/>
      <c r="E2892" s="13"/>
      <c r="G2892" s="13"/>
    </row>
    <row r="2893" spans="1:7" x14ac:dyDescent="0.25">
      <c r="A2893" s="13"/>
      <c r="B2893" s="13"/>
      <c r="C2893" s="13"/>
      <c r="D2893" s="13"/>
      <c r="E2893" s="13"/>
      <c r="G2893" s="13"/>
    </row>
    <row r="2894" spans="1:7" x14ac:dyDescent="0.25">
      <c r="A2894" s="13"/>
      <c r="B2894" s="13"/>
      <c r="C2894" s="13"/>
      <c r="D2894" s="13"/>
      <c r="E2894" s="13"/>
      <c r="G2894" s="13"/>
    </row>
    <row r="2895" spans="1:7" x14ac:dyDescent="0.25">
      <c r="A2895" s="13"/>
      <c r="B2895" s="13"/>
      <c r="C2895" s="13"/>
      <c r="D2895" s="13"/>
      <c r="E2895" s="13"/>
      <c r="G2895" s="13"/>
    </row>
    <row r="2896" spans="1:7" x14ac:dyDescent="0.25">
      <c r="A2896" s="13"/>
      <c r="B2896" s="13"/>
      <c r="C2896" s="13"/>
      <c r="D2896" s="13"/>
      <c r="E2896" s="13"/>
      <c r="G2896" s="13"/>
    </row>
    <row r="2897" spans="1:7" x14ac:dyDescent="0.25">
      <c r="A2897" s="13"/>
      <c r="B2897" s="13"/>
      <c r="C2897" s="13"/>
      <c r="D2897" s="13"/>
      <c r="E2897" s="13"/>
      <c r="G2897" s="13"/>
    </row>
    <row r="2898" spans="1:7" x14ac:dyDescent="0.25">
      <c r="A2898" s="13"/>
      <c r="B2898" s="13"/>
      <c r="C2898" s="13"/>
      <c r="D2898" s="13"/>
      <c r="E2898" s="13"/>
      <c r="G2898" s="13"/>
    </row>
    <row r="2899" spans="1:7" x14ac:dyDescent="0.25">
      <c r="A2899" s="13"/>
      <c r="B2899" s="13"/>
      <c r="C2899" s="13"/>
      <c r="D2899" s="13"/>
      <c r="E2899" s="13"/>
      <c r="G2899" s="13"/>
    </row>
    <row r="2900" spans="1:7" x14ac:dyDescent="0.25">
      <c r="A2900" s="13"/>
      <c r="B2900" s="13"/>
      <c r="C2900" s="13"/>
      <c r="D2900" s="13"/>
      <c r="E2900" s="13"/>
      <c r="G2900" s="13"/>
    </row>
    <row r="2901" spans="1:7" x14ac:dyDescent="0.25">
      <c r="A2901" s="13"/>
      <c r="B2901" s="13"/>
      <c r="C2901" s="13"/>
      <c r="D2901" s="13"/>
      <c r="E2901" s="13"/>
      <c r="G2901" s="13"/>
    </row>
    <row r="2902" spans="1:7" x14ac:dyDescent="0.25">
      <c r="A2902" s="13"/>
      <c r="B2902" s="13"/>
      <c r="C2902" s="13"/>
      <c r="D2902" s="13"/>
      <c r="E2902" s="13"/>
      <c r="G2902" s="13"/>
    </row>
    <row r="2903" spans="1:7" x14ac:dyDescent="0.25">
      <c r="A2903" s="13"/>
      <c r="B2903" s="13"/>
      <c r="C2903" s="13"/>
      <c r="D2903" s="13"/>
      <c r="E2903" s="13"/>
      <c r="G2903" s="13"/>
    </row>
    <row r="2904" spans="1:7" x14ac:dyDescent="0.25">
      <c r="A2904" s="13"/>
      <c r="B2904" s="13"/>
      <c r="C2904" s="13"/>
      <c r="D2904" s="13"/>
      <c r="E2904" s="13"/>
      <c r="G2904" s="13"/>
    </row>
    <row r="2905" spans="1:7" x14ac:dyDescent="0.25">
      <c r="A2905" s="13"/>
      <c r="B2905" s="13"/>
      <c r="C2905" s="13"/>
      <c r="D2905" s="13"/>
      <c r="E2905" s="13"/>
      <c r="G2905" s="13"/>
    </row>
    <row r="2906" spans="1:7" x14ac:dyDescent="0.25">
      <c r="A2906" s="13"/>
      <c r="B2906" s="13"/>
      <c r="C2906" s="13"/>
      <c r="D2906" s="13"/>
      <c r="E2906" s="13"/>
      <c r="G2906" s="13"/>
    </row>
    <row r="2907" spans="1:7" x14ac:dyDescent="0.25">
      <c r="A2907" s="13"/>
      <c r="B2907" s="13"/>
      <c r="C2907" s="13"/>
      <c r="D2907" s="13"/>
      <c r="E2907" s="13"/>
      <c r="G2907" s="13"/>
    </row>
    <row r="2908" spans="1:7" x14ac:dyDescent="0.25">
      <c r="A2908" s="13"/>
      <c r="B2908" s="13"/>
      <c r="C2908" s="13"/>
      <c r="D2908" s="13"/>
      <c r="E2908" s="13"/>
      <c r="G2908" s="13"/>
    </row>
    <row r="2909" spans="1:7" x14ac:dyDescent="0.25">
      <c r="A2909" s="13"/>
      <c r="B2909" s="13"/>
      <c r="C2909" s="13"/>
      <c r="D2909" s="13"/>
      <c r="E2909" s="13"/>
      <c r="G2909" s="13"/>
    </row>
    <row r="2910" spans="1:7" x14ac:dyDescent="0.25">
      <c r="A2910" s="13"/>
      <c r="B2910" s="13"/>
      <c r="C2910" s="13"/>
      <c r="D2910" s="13"/>
      <c r="E2910" s="13"/>
      <c r="G2910" s="13"/>
    </row>
    <row r="2911" spans="1:7" x14ac:dyDescent="0.25">
      <c r="A2911" s="13"/>
      <c r="B2911" s="13"/>
      <c r="C2911" s="13"/>
      <c r="D2911" s="13"/>
      <c r="E2911" s="13"/>
      <c r="G2911" s="13"/>
    </row>
    <row r="2912" spans="1:7" x14ac:dyDescent="0.25">
      <c r="A2912" s="13"/>
      <c r="B2912" s="13"/>
      <c r="C2912" s="13"/>
      <c r="D2912" s="13"/>
      <c r="E2912" s="13"/>
      <c r="G2912" s="13"/>
    </row>
    <row r="2913" spans="1:7" x14ac:dyDescent="0.25">
      <c r="A2913" s="13"/>
      <c r="B2913" s="13"/>
      <c r="C2913" s="13"/>
      <c r="D2913" s="13"/>
      <c r="E2913" s="13"/>
      <c r="G2913" s="13"/>
    </row>
    <row r="2914" spans="1:7" x14ac:dyDescent="0.25">
      <c r="A2914" s="13"/>
      <c r="B2914" s="13"/>
      <c r="C2914" s="13"/>
      <c r="D2914" s="13"/>
      <c r="E2914" s="13"/>
      <c r="G2914" s="13"/>
    </row>
    <row r="2915" spans="1:7" x14ac:dyDescent="0.25">
      <c r="A2915" s="13"/>
      <c r="B2915" s="13"/>
      <c r="C2915" s="13"/>
      <c r="D2915" s="13"/>
      <c r="E2915" s="13"/>
      <c r="G2915" s="13"/>
    </row>
    <row r="2916" spans="1:7" x14ac:dyDescent="0.25">
      <c r="A2916" s="13"/>
      <c r="B2916" s="13"/>
      <c r="C2916" s="13"/>
      <c r="D2916" s="13"/>
      <c r="E2916" s="13"/>
      <c r="G2916" s="13"/>
    </row>
    <row r="2917" spans="1:7" x14ac:dyDescent="0.25">
      <c r="A2917" s="13"/>
      <c r="B2917" s="13"/>
      <c r="C2917" s="13"/>
      <c r="D2917" s="13"/>
      <c r="E2917" s="13"/>
      <c r="G2917" s="13"/>
    </row>
    <row r="2918" spans="1:7" x14ac:dyDescent="0.25">
      <c r="A2918" s="13"/>
      <c r="B2918" s="13"/>
      <c r="C2918" s="13"/>
      <c r="D2918" s="13"/>
      <c r="E2918" s="13"/>
      <c r="G2918" s="13"/>
    </row>
    <row r="2919" spans="1:7" x14ac:dyDescent="0.25">
      <c r="A2919" s="13"/>
      <c r="B2919" s="13"/>
      <c r="C2919" s="13"/>
      <c r="D2919" s="13"/>
      <c r="E2919" s="13"/>
      <c r="G2919" s="13"/>
    </row>
    <row r="2920" spans="1:7" x14ac:dyDescent="0.25">
      <c r="A2920" s="13"/>
      <c r="B2920" s="13"/>
      <c r="C2920" s="13"/>
      <c r="D2920" s="13"/>
      <c r="E2920" s="13"/>
      <c r="G2920" s="13"/>
    </row>
    <row r="2921" spans="1:7" x14ac:dyDescent="0.25">
      <c r="A2921" s="13"/>
      <c r="B2921" s="13"/>
      <c r="C2921" s="13"/>
      <c r="D2921" s="13"/>
      <c r="E2921" s="13"/>
      <c r="G2921" s="13"/>
    </row>
    <row r="2922" spans="1:7" x14ac:dyDescent="0.25">
      <c r="A2922" s="13"/>
      <c r="B2922" s="13"/>
      <c r="C2922" s="13"/>
      <c r="D2922" s="13"/>
      <c r="E2922" s="13"/>
      <c r="G2922" s="13"/>
    </row>
    <row r="2923" spans="1:7" x14ac:dyDescent="0.25">
      <c r="A2923" s="13"/>
      <c r="B2923" s="13"/>
      <c r="C2923" s="13"/>
      <c r="D2923" s="13"/>
      <c r="E2923" s="13"/>
      <c r="G2923" s="13"/>
    </row>
    <row r="2924" spans="1:7" x14ac:dyDescent="0.25">
      <c r="A2924" s="13"/>
      <c r="B2924" s="13"/>
      <c r="C2924" s="13"/>
      <c r="D2924" s="13"/>
      <c r="E2924" s="13"/>
      <c r="G2924" s="13"/>
    </row>
    <row r="2925" spans="1:7" x14ac:dyDescent="0.25">
      <c r="A2925" s="13"/>
      <c r="B2925" s="13"/>
      <c r="C2925" s="13"/>
      <c r="D2925" s="13"/>
      <c r="E2925" s="13"/>
      <c r="G2925" s="13"/>
    </row>
    <row r="2926" spans="1:7" x14ac:dyDescent="0.25">
      <c r="A2926" s="13"/>
      <c r="B2926" s="13"/>
      <c r="C2926" s="13"/>
      <c r="D2926" s="13"/>
      <c r="E2926" s="13"/>
      <c r="G2926" s="13"/>
    </row>
    <row r="2927" spans="1:7" x14ac:dyDescent="0.25">
      <c r="A2927" s="13"/>
      <c r="B2927" s="13"/>
      <c r="C2927" s="13"/>
      <c r="D2927" s="13"/>
      <c r="E2927" s="13"/>
      <c r="G2927" s="13"/>
    </row>
    <row r="2928" spans="1:7" x14ac:dyDescent="0.25">
      <c r="A2928" s="13"/>
      <c r="B2928" s="13"/>
      <c r="C2928" s="13"/>
      <c r="D2928" s="13"/>
      <c r="E2928" s="13"/>
      <c r="G2928" s="13"/>
    </row>
    <row r="2929" spans="1:7" x14ac:dyDescent="0.25">
      <c r="A2929" s="13"/>
      <c r="B2929" s="13"/>
      <c r="C2929" s="13"/>
      <c r="D2929" s="13"/>
      <c r="E2929" s="13"/>
      <c r="G2929" s="13"/>
    </row>
    <row r="2930" spans="1:7" x14ac:dyDescent="0.25">
      <c r="A2930" s="13"/>
      <c r="B2930" s="13"/>
      <c r="C2930" s="13"/>
      <c r="D2930" s="13"/>
      <c r="E2930" s="13"/>
      <c r="G2930" s="13"/>
    </row>
    <row r="2931" spans="1:7" x14ac:dyDescent="0.25">
      <c r="A2931" s="13"/>
      <c r="B2931" s="13"/>
      <c r="C2931" s="13"/>
      <c r="D2931" s="13"/>
      <c r="E2931" s="13"/>
      <c r="G2931" s="13"/>
    </row>
    <row r="2932" spans="1:7" x14ac:dyDescent="0.25">
      <c r="A2932" s="13"/>
      <c r="B2932" s="13"/>
      <c r="C2932" s="13"/>
      <c r="D2932" s="13"/>
      <c r="E2932" s="13"/>
      <c r="G2932" s="13"/>
    </row>
    <row r="2933" spans="1:7" x14ac:dyDescent="0.25">
      <c r="A2933" s="13"/>
      <c r="B2933" s="13"/>
      <c r="C2933" s="13"/>
      <c r="D2933" s="13"/>
      <c r="E2933" s="13"/>
      <c r="G2933" s="13"/>
    </row>
    <row r="2934" spans="1:7" x14ac:dyDescent="0.25">
      <c r="A2934" s="13"/>
      <c r="B2934" s="13"/>
      <c r="C2934" s="13"/>
      <c r="D2934" s="13"/>
      <c r="E2934" s="13"/>
      <c r="G2934" s="13"/>
    </row>
    <row r="2935" spans="1:7" x14ac:dyDescent="0.25">
      <c r="A2935" s="13"/>
      <c r="B2935" s="13"/>
      <c r="C2935" s="13"/>
      <c r="D2935" s="13"/>
      <c r="E2935" s="13"/>
      <c r="G2935" s="13"/>
    </row>
    <row r="2936" spans="1:7" x14ac:dyDescent="0.25">
      <c r="A2936" s="13"/>
      <c r="B2936" s="13"/>
      <c r="C2936" s="13"/>
      <c r="D2936" s="13"/>
      <c r="E2936" s="13"/>
      <c r="G2936" s="13"/>
    </row>
    <row r="2937" spans="1:7" x14ac:dyDescent="0.25">
      <c r="A2937" s="13"/>
      <c r="B2937" s="13"/>
      <c r="C2937" s="13"/>
      <c r="D2937" s="13"/>
      <c r="E2937" s="13"/>
      <c r="G2937" s="13"/>
    </row>
    <row r="2938" spans="1:7" x14ac:dyDescent="0.25">
      <c r="A2938" s="13"/>
      <c r="B2938" s="13"/>
      <c r="C2938" s="13"/>
      <c r="D2938" s="13"/>
      <c r="E2938" s="13"/>
      <c r="G2938" s="13"/>
    </row>
    <row r="2939" spans="1:7" x14ac:dyDescent="0.25">
      <c r="A2939" s="13"/>
      <c r="B2939" s="13"/>
      <c r="C2939" s="13"/>
      <c r="D2939" s="13"/>
      <c r="E2939" s="13"/>
      <c r="G2939" s="13"/>
    </row>
    <row r="2940" spans="1:7" x14ac:dyDescent="0.25">
      <c r="A2940" s="13"/>
      <c r="B2940" s="13"/>
      <c r="C2940" s="13"/>
      <c r="D2940" s="13"/>
      <c r="E2940" s="13"/>
      <c r="G2940" s="13"/>
    </row>
    <row r="2941" spans="1:7" x14ac:dyDescent="0.25">
      <c r="A2941" s="13"/>
      <c r="B2941" s="13"/>
      <c r="C2941" s="13"/>
      <c r="D2941" s="13"/>
      <c r="E2941" s="13"/>
      <c r="G2941" s="13"/>
    </row>
    <row r="2942" spans="1:7" x14ac:dyDescent="0.25">
      <c r="A2942" s="13"/>
      <c r="B2942" s="13"/>
      <c r="C2942" s="13"/>
      <c r="D2942" s="13"/>
      <c r="E2942" s="13"/>
      <c r="G2942" s="13"/>
    </row>
    <row r="2943" spans="1:7" x14ac:dyDescent="0.25">
      <c r="A2943" s="13"/>
      <c r="B2943" s="13"/>
      <c r="C2943" s="13"/>
      <c r="D2943" s="13"/>
      <c r="E2943" s="13"/>
      <c r="G2943" s="13"/>
    </row>
    <row r="2944" spans="1:7" x14ac:dyDescent="0.25">
      <c r="A2944" s="13"/>
      <c r="B2944" s="13"/>
      <c r="C2944" s="13"/>
      <c r="D2944" s="13"/>
      <c r="E2944" s="13"/>
      <c r="G2944" s="13"/>
    </row>
    <row r="2945" spans="1:7" x14ac:dyDescent="0.25">
      <c r="A2945" s="13"/>
      <c r="B2945" s="13"/>
      <c r="C2945" s="13"/>
      <c r="D2945" s="13"/>
      <c r="E2945" s="13"/>
      <c r="G2945" s="13"/>
    </row>
    <row r="2946" spans="1:7" x14ac:dyDescent="0.25">
      <c r="A2946" s="13"/>
      <c r="B2946" s="13"/>
      <c r="C2946" s="13"/>
      <c r="D2946" s="13"/>
      <c r="E2946" s="13"/>
      <c r="G2946" s="13"/>
    </row>
    <row r="2947" spans="1:7" x14ac:dyDescent="0.25">
      <c r="A2947" s="13"/>
      <c r="B2947" s="13"/>
      <c r="C2947" s="13"/>
      <c r="D2947" s="13"/>
      <c r="E2947" s="13"/>
      <c r="G2947" s="13"/>
    </row>
    <row r="2948" spans="1:7" x14ac:dyDescent="0.25">
      <c r="A2948" s="13"/>
      <c r="B2948" s="13"/>
      <c r="C2948" s="13"/>
      <c r="D2948" s="13"/>
      <c r="E2948" s="13"/>
      <c r="G2948" s="13"/>
    </row>
    <row r="2949" spans="1:7" x14ac:dyDescent="0.25">
      <c r="A2949" s="13"/>
      <c r="B2949" s="13"/>
      <c r="C2949" s="13"/>
      <c r="D2949" s="13"/>
      <c r="E2949" s="13"/>
      <c r="G2949" s="13"/>
    </row>
    <row r="2950" spans="1:7" x14ac:dyDescent="0.25">
      <c r="A2950" s="13"/>
      <c r="B2950" s="13"/>
      <c r="C2950" s="13"/>
      <c r="D2950" s="13"/>
      <c r="E2950" s="13"/>
      <c r="G2950" s="13"/>
    </row>
    <row r="2951" spans="1:7" x14ac:dyDescent="0.25">
      <c r="A2951" s="13"/>
      <c r="B2951" s="13"/>
      <c r="C2951" s="13"/>
      <c r="D2951" s="13"/>
      <c r="E2951" s="13"/>
      <c r="G2951" s="13"/>
    </row>
    <row r="2952" spans="1:7" x14ac:dyDescent="0.25">
      <c r="A2952" s="13"/>
      <c r="B2952" s="13"/>
      <c r="C2952" s="13"/>
      <c r="D2952" s="13"/>
      <c r="E2952" s="13"/>
      <c r="G2952" s="13"/>
    </row>
    <row r="2953" spans="1:7" x14ac:dyDescent="0.25">
      <c r="A2953" s="13"/>
      <c r="B2953" s="13"/>
      <c r="C2953" s="13"/>
      <c r="D2953" s="13"/>
      <c r="E2953" s="13"/>
      <c r="G2953" s="13"/>
    </row>
    <row r="2954" spans="1:7" x14ac:dyDescent="0.25">
      <c r="A2954" s="13"/>
      <c r="B2954" s="13"/>
      <c r="C2954" s="13"/>
      <c r="D2954" s="13"/>
      <c r="E2954" s="13"/>
      <c r="G2954" s="13"/>
    </row>
    <row r="2955" spans="1:7" x14ac:dyDescent="0.25">
      <c r="A2955" s="13"/>
      <c r="B2955" s="13"/>
      <c r="C2955" s="13"/>
      <c r="D2955" s="13"/>
      <c r="E2955" s="13"/>
      <c r="G2955" s="13"/>
    </row>
    <row r="2956" spans="1:7" x14ac:dyDescent="0.25">
      <c r="A2956" s="13"/>
      <c r="B2956" s="13"/>
      <c r="C2956" s="13"/>
      <c r="D2956" s="13"/>
      <c r="E2956" s="13"/>
      <c r="G2956" s="13"/>
    </row>
    <row r="2957" spans="1:7" x14ac:dyDescent="0.25">
      <c r="A2957" s="13"/>
      <c r="B2957" s="13"/>
      <c r="C2957" s="13"/>
      <c r="D2957" s="13"/>
      <c r="E2957" s="13"/>
      <c r="G2957" s="13"/>
    </row>
    <row r="2958" spans="1:7" x14ac:dyDescent="0.25">
      <c r="A2958" s="13"/>
      <c r="B2958" s="13"/>
      <c r="C2958" s="13"/>
      <c r="D2958" s="13"/>
      <c r="E2958" s="13"/>
      <c r="G2958" s="13"/>
    </row>
    <row r="2959" spans="1:7" x14ac:dyDescent="0.25">
      <c r="A2959" s="13"/>
      <c r="B2959" s="13"/>
      <c r="C2959" s="13"/>
      <c r="D2959" s="13"/>
      <c r="E2959" s="13"/>
      <c r="G2959" s="13"/>
    </row>
    <row r="2960" spans="1:7" x14ac:dyDescent="0.25">
      <c r="A2960" s="13"/>
      <c r="B2960" s="13"/>
      <c r="C2960" s="13"/>
      <c r="D2960" s="13"/>
      <c r="E2960" s="13"/>
      <c r="G2960" s="13"/>
    </row>
    <row r="2961" spans="1:7" x14ac:dyDescent="0.25">
      <c r="A2961" s="13"/>
      <c r="B2961" s="13"/>
      <c r="C2961" s="13"/>
      <c r="D2961" s="13"/>
      <c r="E2961" s="13"/>
      <c r="G2961" s="13"/>
    </row>
    <row r="2962" spans="1:7" x14ac:dyDescent="0.25">
      <c r="A2962" s="13"/>
      <c r="B2962" s="13"/>
      <c r="C2962" s="13"/>
      <c r="D2962" s="13"/>
      <c r="E2962" s="13"/>
      <c r="G2962" s="13"/>
    </row>
    <row r="2963" spans="1:7" x14ac:dyDescent="0.25">
      <c r="A2963" s="13"/>
      <c r="B2963" s="13"/>
      <c r="C2963" s="13"/>
      <c r="D2963" s="13"/>
      <c r="E2963" s="13"/>
      <c r="G2963" s="13"/>
    </row>
    <row r="2964" spans="1:7" x14ac:dyDescent="0.25">
      <c r="A2964" s="13"/>
      <c r="B2964" s="13"/>
      <c r="C2964" s="13"/>
      <c r="D2964" s="13"/>
      <c r="E2964" s="13"/>
      <c r="G2964" s="13"/>
    </row>
    <row r="2965" spans="1:7" x14ac:dyDescent="0.25">
      <c r="A2965" s="13"/>
      <c r="B2965" s="13"/>
      <c r="C2965" s="13"/>
      <c r="D2965" s="13"/>
      <c r="E2965" s="13"/>
      <c r="G2965" s="13"/>
    </row>
    <row r="2966" spans="1:7" x14ac:dyDescent="0.25">
      <c r="A2966" s="13"/>
      <c r="B2966" s="13"/>
      <c r="C2966" s="13"/>
      <c r="D2966" s="13"/>
      <c r="E2966" s="13"/>
      <c r="G2966" s="13"/>
    </row>
    <row r="2967" spans="1:7" x14ac:dyDescent="0.25">
      <c r="A2967" s="13"/>
      <c r="B2967" s="13"/>
      <c r="C2967" s="13"/>
      <c r="D2967" s="13"/>
      <c r="E2967" s="13"/>
      <c r="G2967" s="13"/>
    </row>
    <row r="2968" spans="1:7" x14ac:dyDescent="0.25">
      <c r="A2968" s="13"/>
      <c r="B2968" s="13"/>
      <c r="C2968" s="13"/>
      <c r="D2968" s="13"/>
      <c r="E2968" s="13"/>
      <c r="G2968" s="13"/>
    </row>
    <row r="2969" spans="1:7" x14ac:dyDescent="0.25">
      <c r="A2969" s="13"/>
      <c r="B2969" s="13"/>
      <c r="C2969" s="13"/>
      <c r="D2969" s="13"/>
      <c r="E2969" s="13"/>
      <c r="G2969" s="13"/>
    </row>
    <row r="2970" spans="1:7" x14ac:dyDescent="0.25">
      <c r="A2970" s="13"/>
      <c r="B2970" s="13"/>
      <c r="C2970" s="13"/>
      <c r="D2970" s="13"/>
      <c r="E2970" s="13"/>
      <c r="G2970" s="13"/>
    </row>
    <row r="2971" spans="1:7" x14ac:dyDescent="0.25">
      <c r="A2971" s="13"/>
      <c r="B2971" s="13"/>
      <c r="C2971" s="13"/>
      <c r="D2971" s="13"/>
      <c r="E2971" s="13"/>
      <c r="G2971" s="13"/>
    </row>
    <row r="2972" spans="1:7" x14ac:dyDescent="0.25">
      <c r="A2972" s="13"/>
      <c r="B2972" s="13"/>
      <c r="C2972" s="13"/>
      <c r="D2972" s="13"/>
      <c r="E2972" s="13"/>
      <c r="G2972" s="13"/>
    </row>
    <row r="2973" spans="1:7" x14ac:dyDescent="0.25">
      <c r="A2973" s="13"/>
      <c r="B2973" s="13"/>
      <c r="C2973" s="13"/>
      <c r="D2973" s="13"/>
      <c r="E2973" s="13"/>
      <c r="G2973" s="13"/>
    </row>
    <row r="2974" spans="1:7" x14ac:dyDescent="0.25">
      <c r="A2974" s="13"/>
      <c r="B2974" s="13"/>
      <c r="C2974" s="13"/>
      <c r="D2974" s="13"/>
      <c r="E2974" s="13"/>
      <c r="G2974" s="13"/>
    </row>
    <row r="2975" spans="1:7" x14ac:dyDescent="0.25">
      <c r="A2975" s="13"/>
      <c r="B2975" s="13"/>
      <c r="C2975" s="13"/>
      <c r="D2975" s="13"/>
      <c r="E2975" s="13"/>
      <c r="G2975" s="13"/>
    </row>
    <row r="2976" spans="1:7" x14ac:dyDescent="0.25">
      <c r="A2976" s="13"/>
      <c r="B2976" s="13"/>
      <c r="C2976" s="13"/>
      <c r="D2976" s="13"/>
      <c r="E2976" s="13"/>
      <c r="G2976" s="13"/>
    </row>
    <row r="2977" spans="1:7" x14ac:dyDescent="0.25">
      <c r="A2977" s="13"/>
      <c r="B2977" s="13"/>
      <c r="C2977" s="13"/>
      <c r="D2977" s="13"/>
      <c r="E2977" s="13"/>
      <c r="G2977" s="13"/>
    </row>
    <row r="2978" spans="1:7" x14ac:dyDescent="0.25">
      <c r="A2978" s="13"/>
      <c r="B2978" s="13"/>
      <c r="C2978" s="13"/>
      <c r="D2978" s="13"/>
      <c r="E2978" s="13"/>
      <c r="G2978" s="13"/>
    </row>
    <row r="2979" spans="1:7" x14ac:dyDescent="0.25">
      <c r="A2979" s="13"/>
      <c r="B2979" s="13"/>
      <c r="C2979" s="13"/>
      <c r="D2979" s="13"/>
      <c r="E2979" s="13"/>
      <c r="G2979" s="13"/>
    </row>
    <row r="2980" spans="1:7" x14ac:dyDescent="0.25">
      <c r="A2980" s="13"/>
      <c r="B2980" s="13"/>
      <c r="C2980" s="13"/>
      <c r="D2980" s="13"/>
      <c r="E2980" s="13"/>
      <c r="G2980" s="13"/>
    </row>
    <row r="2981" spans="1:7" x14ac:dyDescent="0.25">
      <c r="A2981" s="13"/>
      <c r="B2981" s="13"/>
      <c r="C2981" s="13"/>
      <c r="D2981" s="13"/>
      <c r="E2981" s="13"/>
      <c r="G2981" s="13"/>
    </row>
    <row r="2982" spans="1:7" x14ac:dyDescent="0.25">
      <c r="A2982" s="13"/>
      <c r="B2982" s="13"/>
      <c r="C2982" s="13"/>
      <c r="D2982" s="13"/>
      <c r="E2982" s="13"/>
      <c r="G2982" s="13"/>
    </row>
    <row r="2983" spans="1:7" x14ac:dyDescent="0.25">
      <c r="A2983" s="13"/>
      <c r="B2983" s="13"/>
      <c r="C2983" s="13"/>
      <c r="D2983" s="13"/>
      <c r="E2983" s="13"/>
      <c r="G2983" s="13"/>
    </row>
    <row r="2984" spans="1:7" x14ac:dyDescent="0.25">
      <c r="A2984" s="13"/>
      <c r="B2984" s="13"/>
      <c r="C2984" s="13"/>
      <c r="D2984" s="13"/>
      <c r="E2984" s="13"/>
      <c r="G2984" s="13"/>
    </row>
    <row r="2985" spans="1:7" x14ac:dyDescent="0.25">
      <c r="A2985" s="13"/>
      <c r="B2985" s="13"/>
      <c r="C2985" s="13"/>
      <c r="D2985" s="13"/>
      <c r="E2985" s="13"/>
      <c r="G2985" s="13"/>
    </row>
    <row r="2986" spans="1:7" x14ac:dyDescent="0.25">
      <c r="A2986" s="13"/>
      <c r="B2986" s="13"/>
      <c r="C2986" s="13"/>
      <c r="D2986" s="13"/>
      <c r="E2986" s="13"/>
      <c r="G2986" s="13"/>
    </row>
    <row r="2987" spans="1:7" x14ac:dyDescent="0.25">
      <c r="A2987" s="13"/>
      <c r="B2987" s="13"/>
      <c r="C2987" s="13"/>
      <c r="D2987" s="13"/>
      <c r="E2987" s="13"/>
      <c r="G2987" s="13"/>
    </row>
    <row r="2988" spans="1:7" x14ac:dyDescent="0.25">
      <c r="A2988" s="13"/>
      <c r="B2988" s="13"/>
      <c r="C2988" s="13"/>
      <c r="D2988" s="13"/>
      <c r="E2988" s="13"/>
      <c r="G2988" s="13"/>
    </row>
    <row r="2989" spans="1:7" x14ac:dyDescent="0.25">
      <c r="A2989" s="13"/>
      <c r="B2989" s="13"/>
      <c r="C2989" s="13"/>
      <c r="D2989" s="13"/>
      <c r="E2989" s="13"/>
      <c r="G2989" s="13"/>
    </row>
    <row r="2990" spans="1:7" x14ac:dyDescent="0.25">
      <c r="A2990" s="13"/>
      <c r="B2990" s="13"/>
      <c r="C2990" s="13"/>
      <c r="D2990" s="13"/>
      <c r="E2990" s="13"/>
      <c r="G2990" s="13"/>
    </row>
    <row r="2991" spans="1:7" x14ac:dyDescent="0.25">
      <c r="A2991" s="13"/>
      <c r="B2991" s="13"/>
      <c r="C2991" s="13"/>
      <c r="D2991" s="13"/>
      <c r="E2991" s="13"/>
      <c r="G2991" s="13"/>
    </row>
    <row r="2992" spans="1:7" x14ac:dyDescent="0.25">
      <c r="A2992" s="13"/>
      <c r="B2992" s="13"/>
      <c r="C2992" s="13"/>
      <c r="D2992" s="13"/>
      <c r="E2992" s="13"/>
      <c r="G2992" s="13"/>
    </row>
    <row r="2993" spans="1:7" x14ac:dyDescent="0.25">
      <c r="A2993" s="13"/>
      <c r="B2993" s="13"/>
      <c r="C2993" s="13"/>
      <c r="D2993" s="13"/>
      <c r="E2993" s="13"/>
      <c r="G2993" s="13"/>
    </row>
    <row r="2994" spans="1:7" x14ac:dyDescent="0.25">
      <c r="A2994" s="13"/>
      <c r="B2994" s="13"/>
      <c r="C2994" s="13"/>
      <c r="D2994" s="13"/>
      <c r="E2994" s="13"/>
      <c r="G2994" s="13"/>
    </row>
    <row r="2995" spans="1:7" x14ac:dyDescent="0.25">
      <c r="A2995" s="13"/>
      <c r="B2995" s="13"/>
      <c r="C2995" s="13"/>
      <c r="D2995" s="13"/>
      <c r="E2995" s="13"/>
      <c r="G2995" s="13"/>
    </row>
    <row r="2996" spans="1:7" x14ac:dyDescent="0.25">
      <c r="A2996" s="13"/>
      <c r="B2996" s="13"/>
      <c r="C2996" s="13"/>
      <c r="D2996" s="13"/>
      <c r="E2996" s="13"/>
      <c r="G2996" s="13"/>
    </row>
    <row r="2997" spans="1:7" x14ac:dyDescent="0.25">
      <c r="A2997" s="13"/>
      <c r="B2997" s="13"/>
      <c r="C2997" s="13"/>
      <c r="D2997" s="13"/>
      <c r="E2997" s="13"/>
      <c r="G2997" s="13"/>
    </row>
    <row r="2998" spans="1:7" x14ac:dyDescent="0.25">
      <c r="A2998" s="13"/>
      <c r="B2998" s="13"/>
      <c r="C2998" s="13"/>
      <c r="D2998" s="13"/>
      <c r="E2998" s="13"/>
      <c r="G2998" s="13"/>
    </row>
    <row r="2999" spans="1:7" x14ac:dyDescent="0.25">
      <c r="A2999" s="13"/>
      <c r="B2999" s="13"/>
      <c r="C2999" s="13"/>
      <c r="D2999" s="13"/>
      <c r="E2999" s="13"/>
      <c r="G2999" s="13"/>
    </row>
    <row r="3000" spans="1:7" x14ac:dyDescent="0.25">
      <c r="A3000" s="13"/>
      <c r="B3000" s="13"/>
      <c r="C3000" s="13"/>
      <c r="D3000" s="13"/>
      <c r="E3000" s="13"/>
      <c r="G3000" s="13"/>
    </row>
    <row r="3001" spans="1:7" x14ac:dyDescent="0.25">
      <c r="A3001" s="13"/>
      <c r="B3001" s="13"/>
      <c r="C3001" s="13"/>
      <c r="D3001" s="13"/>
      <c r="E3001" s="13"/>
      <c r="G3001" s="13"/>
    </row>
    <row r="3002" spans="1:7" x14ac:dyDescent="0.25">
      <c r="A3002" s="13"/>
      <c r="B3002" s="13"/>
      <c r="C3002" s="13"/>
      <c r="D3002" s="13"/>
      <c r="E3002" s="13"/>
      <c r="G3002" s="13"/>
    </row>
    <row r="3003" spans="1:7" x14ac:dyDescent="0.25">
      <c r="A3003" s="13"/>
      <c r="B3003" s="13"/>
      <c r="C3003" s="13"/>
      <c r="D3003" s="13"/>
      <c r="E3003" s="13"/>
      <c r="G3003" s="13"/>
    </row>
    <row r="3004" spans="1:7" x14ac:dyDescent="0.25">
      <c r="A3004" s="13"/>
      <c r="B3004" s="13"/>
      <c r="C3004" s="13"/>
      <c r="D3004" s="13"/>
      <c r="E3004" s="13"/>
      <c r="G3004" s="13"/>
    </row>
    <row r="3005" spans="1:7" x14ac:dyDescent="0.25">
      <c r="A3005" s="13"/>
      <c r="B3005" s="13"/>
      <c r="C3005" s="13"/>
      <c r="D3005" s="13"/>
      <c r="E3005" s="13"/>
      <c r="G3005" s="13"/>
    </row>
    <row r="3006" spans="1:7" x14ac:dyDescent="0.25">
      <c r="A3006" s="13"/>
      <c r="B3006" s="13"/>
      <c r="C3006" s="13"/>
      <c r="D3006" s="13"/>
      <c r="E3006" s="13"/>
      <c r="G3006" s="13"/>
    </row>
    <row r="3007" spans="1:7" x14ac:dyDescent="0.25">
      <c r="A3007" s="13"/>
      <c r="B3007" s="13"/>
      <c r="C3007" s="13"/>
      <c r="D3007" s="13"/>
      <c r="E3007" s="13"/>
      <c r="G3007" s="13"/>
    </row>
    <row r="3008" spans="1:7" x14ac:dyDescent="0.25">
      <c r="A3008" s="13"/>
      <c r="B3008" s="13"/>
      <c r="C3008" s="13"/>
      <c r="D3008" s="13"/>
      <c r="E3008" s="13"/>
      <c r="G3008" s="13"/>
    </row>
    <row r="3009" spans="1:7" x14ac:dyDescent="0.25">
      <c r="A3009" s="13"/>
      <c r="B3009" s="13"/>
      <c r="C3009" s="13"/>
      <c r="D3009" s="13"/>
      <c r="E3009" s="13"/>
      <c r="G3009" s="13"/>
    </row>
    <row r="3010" spans="1:7" x14ac:dyDescent="0.25">
      <c r="A3010" s="13"/>
      <c r="B3010" s="13"/>
      <c r="C3010" s="13"/>
      <c r="D3010" s="13"/>
      <c r="E3010" s="13"/>
      <c r="G3010" s="13"/>
    </row>
    <row r="3011" spans="1:7" x14ac:dyDescent="0.25">
      <c r="A3011" s="13"/>
      <c r="B3011" s="13"/>
      <c r="C3011" s="13"/>
      <c r="D3011" s="13"/>
      <c r="E3011" s="13"/>
      <c r="G3011" s="13"/>
    </row>
    <row r="3012" spans="1:7" x14ac:dyDescent="0.25">
      <c r="A3012" s="13"/>
      <c r="B3012" s="13"/>
      <c r="C3012" s="13"/>
      <c r="D3012" s="13"/>
      <c r="E3012" s="13"/>
      <c r="G3012" s="13"/>
    </row>
    <row r="3013" spans="1:7" x14ac:dyDescent="0.25">
      <c r="A3013" s="13"/>
      <c r="B3013" s="13"/>
      <c r="C3013" s="13"/>
      <c r="D3013" s="13"/>
      <c r="E3013" s="13"/>
      <c r="G3013" s="13"/>
    </row>
    <row r="3014" spans="1:7" x14ac:dyDescent="0.25">
      <c r="A3014" s="13"/>
      <c r="B3014" s="13"/>
      <c r="C3014" s="13"/>
      <c r="D3014" s="13"/>
      <c r="E3014" s="13"/>
      <c r="G3014" s="13"/>
    </row>
    <row r="3015" spans="1:7" x14ac:dyDescent="0.25">
      <c r="A3015" s="13"/>
      <c r="B3015" s="13"/>
      <c r="C3015" s="13"/>
      <c r="D3015" s="13"/>
      <c r="E3015" s="13"/>
      <c r="G3015" s="13"/>
    </row>
    <row r="3016" spans="1:7" x14ac:dyDescent="0.25">
      <c r="A3016" s="13"/>
      <c r="B3016" s="13"/>
      <c r="C3016" s="13"/>
      <c r="D3016" s="13"/>
      <c r="E3016" s="13"/>
      <c r="G3016" s="13"/>
    </row>
    <row r="3017" spans="1:7" x14ac:dyDescent="0.25">
      <c r="A3017" s="13"/>
      <c r="B3017" s="13"/>
      <c r="C3017" s="13"/>
      <c r="D3017" s="13"/>
      <c r="E3017" s="13"/>
      <c r="G3017" s="13"/>
    </row>
    <row r="3018" spans="1:7" x14ac:dyDescent="0.25">
      <c r="A3018" s="13"/>
      <c r="B3018" s="13"/>
      <c r="C3018" s="13"/>
      <c r="D3018" s="13"/>
      <c r="E3018" s="13"/>
      <c r="G3018" s="13"/>
    </row>
    <row r="3019" spans="1:7" x14ac:dyDescent="0.25">
      <c r="A3019" s="13"/>
      <c r="B3019" s="13"/>
      <c r="C3019" s="13"/>
      <c r="D3019" s="13"/>
      <c r="E3019" s="13"/>
      <c r="G3019" s="13"/>
    </row>
    <row r="3020" spans="1:7" x14ac:dyDescent="0.25">
      <c r="A3020" s="13"/>
      <c r="B3020" s="13"/>
      <c r="C3020" s="13"/>
      <c r="D3020" s="13"/>
      <c r="E3020" s="13"/>
      <c r="G3020" s="13"/>
    </row>
    <row r="3021" spans="1:7" x14ac:dyDescent="0.25">
      <c r="A3021" s="13"/>
      <c r="B3021" s="13"/>
      <c r="C3021" s="13"/>
      <c r="D3021" s="13"/>
      <c r="E3021" s="13"/>
      <c r="G3021" s="13"/>
    </row>
    <row r="3022" spans="1:7" x14ac:dyDescent="0.25">
      <c r="A3022" s="13"/>
      <c r="B3022" s="13"/>
      <c r="C3022" s="13"/>
      <c r="D3022" s="13"/>
      <c r="E3022" s="13"/>
      <c r="G3022" s="13"/>
    </row>
    <row r="3023" spans="1:7" x14ac:dyDescent="0.25">
      <c r="A3023" s="13"/>
      <c r="B3023" s="13"/>
      <c r="C3023" s="13"/>
      <c r="D3023" s="13"/>
      <c r="E3023" s="13"/>
      <c r="G3023" s="13"/>
    </row>
    <row r="3024" spans="1:7" x14ac:dyDescent="0.25">
      <c r="A3024" s="13"/>
      <c r="B3024" s="13"/>
      <c r="C3024" s="13"/>
      <c r="D3024" s="13"/>
      <c r="E3024" s="13"/>
      <c r="G3024" s="13"/>
    </row>
    <row r="3025" spans="1:7" x14ac:dyDescent="0.25">
      <c r="A3025" s="13"/>
      <c r="B3025" s="13"/>
      <c r="C3025" s="13"/>
      <c r="D3025" s="13"/>
      <c r="E3025" s="13"/>
      <c r="G3025" s="13"/>
    </row>
    <row r="3026" spans="1:7" x14ac:dyDescent="0.25">
      <c r="A3026" s="13"/>
      <c r="B3026" s="13"/>
      <c r="C3026" s="13"/>
      <c r="D3026" s="13"/>
      <c r="E3026" s="13"/>
      <c r="G3026" s="13"/>
    </row>
    <row r="3027" spans="1:7" x14ac:dyDescent="0.25">
      <c r="A3027" s="13"/>
      <c r="B3027" s="13"/>
      <c r="C3027" s="13"/>
      <c r="D3027" s="13"/>
      <c r="E3027" s="13"/>
      <c r="G3027" s="13"/>
    </row>
    <row r="3028" spans="1:7" x14ac:dyDescent="0.25">
      <c r="A3028" s="13"/>
      <c r="B3028" s="13"/>
      <c r="C3028" s="13"/>
      <c r="D3028" s="13"/>
      <c r="E3028" s="13"/>
      <c r="G3028" s="13"/>
    </row>
    <row r="3029" spans="1:7" x14ac:dyDescent="0.25">
      <c r="A3029" s="13"/>
      <c r="B3029" s="13"/>
      <c r="C3029" s="13"/>
      <c r="D3029" s="13"/>
      <c r="E3029" s="13"/>
      <c r="G3029" s="13"/>
    </row>
    <row r="3030" spans="1:7" x14ac:dyDescent="0.25">
      <c r="A3030" s="13"/>
      <c r="B3030" s="13"/>
      <c r="C3030" s="13"/>
      <c r="D3030" s="13"/>
      <c r="E3030" s="13"/>
      <c r="G3030" s="13"/>
    </row>
    <row r="3031" spans="1:7" x14ac:dyDescent="0.25">
      <c r="A3031" s="13"/>
      <c r="B3031" s="13"/>
      <c r="C3031" s="13"/>
      <c r="D3031" s="13"/>
      <c r="E3031" s="13"/>
      <c r="G3031" s="13"/>
    </row>
    <row r="3032" spans="1:7" x14ac:dyDescent="0.25">
      <c r="A3032" s="13"/>
      <c r="B3032" s="13"/>
      <c r="C3032" s="13"/>
      <c r="D3032" s="13"/>
      <c r="E3032" s="13"/>
      <c r="G3032" s="13"/>
    </row>
    <row r="3033" spans="1:7" x14ac:dyDescent="0.25">
      <c r="A3033" s="13"/>
      <c r="B3033" s="13"/>
      <c r="C3033" s="13"/>
      <c r="D3033" s="13"/>
      <c r="E3033" s="13"/>
      <c r="G3033" s="13"/>
    </row>
    <row r="3034" spans="1:7" x14ac:dyDescent="0.25">
      <c r="A3034" s="13"/>
      <c r="B3034" s="13"/>
      <c r="C3034" s="13"/>
      <c r="D3034" s="13"/>
      <c r="E3034" s="13"/>
      <c r="G3034" s="13"/>
    </row>
    <row r="3035" spans="1:7" x14ac:dyDescent="0.25">
      <c r="A3035" s="13"/>
      <c r="B3035" s="13"/>
      <c r="C3035" s="13"/>
      <c r="D3035" s="13"/>
      <c r="E3035" s="13"/>
      <c r="G3035" s="13"/>
    </row>
    <row r="3036" spans="1:7" x14ac:dyDescent="0.25">
      <c r="A3036" s="13"/>
      <c r="B3036" s="13"/>
      <c r="C3036" s="13"/>
      <c r="D3036" s="13"/>
      <c r="E3036" s="13"/>
      <c r="G3036" s="13"/>
    </row>
    <row r="3037" spans="1:7" x14ac:dyDescent="0.25">
      <c r="A3037" s="13"/>
      <c r="B3037" s="13"/>
      <c r="C3037" s="13"/>
      <c r="D3037" s="13"/>
      <c r="E3037" s="13"/>
      <c r="G3037" s="13"/>
    </row>
    <row r="3038" spans="1:7" x14ac:dyDescent="0.25">
      <c r="A3038" s="13"/>
      <c r="B3038" s="13"/>
      <c r="C3038" s="13"/>
      <c r="D3038" s="13"/>
      <c r="E3038" s="13"/>
      <c r="G3038" s="13"/>
    </row>
    <row r="3039" spans="1:7" x14ac:dyDescent="0.25">
      <c r="A3039" s="13"/>
      <c r="B3039" s="13"/>
      <c r="C3039" s="13"/>
      <c r="D3039" s="13"/>
      <c r="E3039" s="13"/>
      <c r="G3039" s="13"/>
    </row>
    <row r="3040" spans="1:7" x14ac:dyDescent="0.25">
      <c r="A3040" s="13"/>
      <c r="B3040" s="13"/>
      <c r="C3040" s="13"/>
      <c r="D3040" s="13"/>
      <c r="E3040" s="13"/>
      <c r="G3040" s="13"/>
    </row>
    <row r="3041" spans="1:7" x14ac:dyDescent="0.25">
      <c r="A3041" s="13"/>
      <c r="B3041" s="13"/>
      <c r="C3041" s="13"/>
      <c r="D3041" s="13"/>
      <c r="E3041" s="13"/>
      <c r="G3041" s="13"/>
    </row>
    <row r="3042" spans="1:7" x14ac:dyDescent="0.25">
      <c r="A3042" s="13"/>
      <c r="B3042" s="13"/>
      <c r="C3042" s="13"/>
      <c r="D3042" s="13"/>
      <c r="E3042" s="13"/>
      <c r="G3042" s="13"/>
    </row>
    <row r="3043" spans="1:7" x14ac:dyDescent="0.25">
      <c r="A3043" s="13"/>
      <c r="B3043" s="13"/>
      <c r="C3043" s="13"/>
      <c r="D3043" s="13"/>
      <c r="E3043" s="13"/>
      <c r="G3043" s="13"/>
    </row>
    <row r="3044" spans="1:7" x14ac:dyDescent="0.25">
      <c r="A3044" s="13"/>
      <c r="B3044" s="13"/>
      <c r="C3044" s="13"/>
      <c r="D3044" s="13"/>
      <c r="E3044" s="13"/>
      <c r="G3044" s="13"/>
    </row>
    <row r="3045" spans="1:7" x14ac:dyDescent="0.25">
      <c r="A3045" s="13"/>
      <c r="B3045" s="13"/>
      <c r="C3045" s="13"/>
      <c r="D3045" s="13"/>
      <c r="E3045" s="13"/>
      <c r="G3045" s="13"/>
    </row>
    <row r="3046" spans="1:7" x14ac:dyDescent="0.25">
      <c r="A3046" s="13"/>
      <c r="B3046" s="13"/>
      <c r="C3046" s="13"/>
      <c r="D3046" s="13"/>
      <c r="E3046" s="13"/>
      <c r="G3046" s="13"/>
    </row>
    <row r="3047" spans="1:7" x14ac:dyDescent="0.25">
      <c r="A3047" s="13"/>
      <c r="B3047" s="13"/>
      <c r="C3047" s="13"/>
      <c r="D3047" s="13"/>
      <c r="E3047" s="13"/>
      <c r="G3047" s="13"/>
    </row>
    <row r="3048" spans="1:7" x14ac:dyDescent="0.25">
      <c r="A3048" s="13"/>
      <c r="B3048" s="13"/>
      <c r="C3048" s="13"/>
      <c r="D3048" s="13"/>
      <c r="E3048" s="13"/>
      <c r="G3048" s="13"/>
    </row>
    <row r="3049" spans="1:7" x14ac:dyDescent="0.25">
      <c r="A3049" s="13"/>
      <c r="B3049" s="13"/>
      <c r="C3049" s="13"/>
      <c r="D3049" s="13"/>
      <c r="E3049" s="13"/>
      <c r="G3049" s="13"/>
    </row>
    <row r="3050" spans="1:7" x14ac:dyDescent="0.25">
      <c r="A3050" s="13"/>
      <c r="B3050" s="13"/>
      <c r="C3050" s="13"/>
      <c r="D3050" s="13"/>
      <c r="E3050" s="13"/>
      <c r="G3050" s="13"/>
    </row>
    <row r="3051" spans="1:7" x14ac:dyDescent="0.25">
      <c r="A3051" s="13"/>
      <c r="B3051" s="13"/>
      <c r="C3051" s="13"/>
      <c r="D3051" s="13"/>
      <c r="E3051" s="13"/>
      <c r="G3051" s="13"/>
    </row>
    <row r="3052" spans="1:7" x14ac:dyDescent="0.25">
      <c r="A3052" s="13"/>
      <c r="B3052" s="13"/>
      <c r="C3052" s="13"/>
      <c r="D3052" s="13"/>
      <c r="E3052" s="13"/>
      <c r="G3052" s="13"/>
    </row>
    <row r="3053" spans="1:7" x14ac:dyDescent="0.25">
      <c r="A3053" s="13"/>
      <c r="B3053" s="13"/>
      <c r="C3053" s="13"/>
      <c r="D3053" s="13"/>
      <c r="E3053" s="13"/>
      <c r="G3053" s="13"/>
    </row>
    <row r="3054" spans="1:7" x14ac:dyDescent="0.25">
      <c r="A3054" s="13"/>
      <c r="B3054" s="13"/>
      <c r="C3054" s="13"/>
      <c r="D3054" s="13"/>
      <c r="E3054" s="13"/>
      <c r="G3054" s="13"/>
    </row>
    <row r="3055" spans="1:7" x14ac:dyDescent="0.25">
      <c r="A3055" s="13"/>
      <c r="B3055" s="13"/>
      <c r="C3055" s="13"/>
      <c r="D3055" s="13"/>
      <c r="E3055" s="13"/>
      <c r="G3055" s="13"/>
    </row>
    <row r="3056" spans="1:7" x14ac:dyDescent="0.25">
      <c r="A3056" s="13"/>
      <c r="B3056" s="13"/>
      <c r="C3056" s="13"/>
      <c r="D3056" s="13"/>
      <c r="E3056" s="13"/>
      <c r="G3056" s="13"/>
    </row>
    <row r="3057" spans="1:7" x14ac:dyDescent="0.25">
      <c r="A3057" s="13"/>
      <c r="B3057" s="13"/>
      <c r="C3057" s="13"/>
      <c r="D3057" s="13"/>
      <c r="E3057" s="13"/>
      <c r="G3057" s="13"/>
    </row>
    <row r="3058" spans="1:7" x14ac:dyDescent="0.25">
      <c r="A3058" s="13"/>
      <c r="B3058" s="13"/>
      <c r="C3058" s="13"/>
      <c r="D3058" s="13"/>
      <c r="E3058" s="13"/>
      <c r="G3058" s="13"/>
    </row>
    <row r="3059" spans="1:7" x14ac:dyDescent="0.25">
      <c r="A3059" s="13"/>
      <c r="B3059" s="13"/>
      <c r="C3059" s="13"/>
      <c r="D3059" s="13"/>
      <c r="E3059" s="13"/>
      <c r="G3059" s="13"/>
    </row>
    <row r="3060" spans="1:7" x14ac:dyDescent="0.25">
      <c r="A3060" s="13"/>
      <c r="B3060" s="13"/>
      <c r="C3060" s="13"/>
      <c r="D3060" s="13"/>
      <c r="E3060" s="13"/>
      <c r="G3060" s="13"/>
    </row>
    <row r="3061" spans="1:7" x14ac:dyDescent="0.25">
      <c r="A3061" s="13"/>
      <c r="B3061" s="13"/>
      <c r="C3061" s="13"/>
      <c r="D3061" s="13"/>
      <c r="E3061" s="13"/>
      <c r="G3061" s="13"/>
    </row>
    <row r="3062" spans="1:7" x14ac:dyDescent="0.25">
      <c r="A3062" s="13"/>
      <c r="B3062" s="13"/>
      <c r="C3062" s="13"/>
      <c r="D3062" s="13"/>
      <c r="E3062" s="13"/>
      <c r="G3062" s="13"/>
    </row>
    <row r="3063" spans="1:7" x14ac:dyDescent="0.25">
      <c r="A3063" s="13"/>
      <c r="B3063" s="13"/>
      <c r="C3063" s="13"/>
      <c r="D3063" s="13"/>
      <c r="E3063" s="13"/>
      <c r="G3063" s="13"/>
    </row>
    <row r="3064" spans="1:7" x14ac:dyDescent="0.25">
      <c r="A3064" s="13"/>
      <c r="B3064" s="13"/>
      <c r="C3064" s="13"/>
      <c r="D3064" s="13"/>
      <c r="E3064" s="13"/>
      <c r="G3064" s="13"/>
    </row>
    <row r="3065" spans="1:7" x14ac:dyDescent="0.25">
      <c r="A3065" s="13"/>
      <c r="B3065" s="13"/>
      <c r="C3065" s="13"/>
      <c r="D3065" s="13"/>
      <c r="E3065" s="13"/>
      <c r="G3065" s="13"/>
    </row>
    <row r="3066" spans="1:7" x14ac:dyDescent="0.25">
      <c r="A3066" s="13"/>
      <c r="B3066" s="13"/>
      <c r="C3066" s="13"/>
      <c r="D3066" s="13"/>
      <c r="E3066" s="13"/>
      <c r="G3066" s="13"/>
    </row>
    <row r="3067" spans="1:7" x14ac:dyDescent="0.25">
      <c r="A3067" s="13"/>
      <c r="B3067" s="13"/>
      <c r="C3067" s="13"/>
      <c r="D3067" s="13"/>
      <c r="E3067" s="13"/>
      <c r="G3067" s="13"/>
    </row>
    <row r="3068" spans="1:7" x14ac:dyDescent="0.25">
      <c r="A3068" s="13"/>
      <c r="B3068" s="13"/>
      <c r="C3068" s="13"/>
      <c r="D3068" s="13"/>
      <c r="E3068" s="13"/>
      <c r="G3068" s="13"/>
    </row>
    <row r="3069" spans="1:7" x14ac:dyDescent="0.25">
      <c r="A3069" s="13"/>
      <c r="B3069" s="13"/>
      <c r="C3069" s="13"/>
      <c r="D3069" s="13"/>
      <c r="E3069" s="13"/>
      <c r="G3069" s="13"/>
    </row>
    <row r="3070" spans="1:7" x14ac:dyDescent="0.25">
      <c r="A3070" s="13"/>
      <c r="B3070" s="13"/>
      <c r="C3070" s="13"/>
      <c r="D3070" s="13"/>
      <c r="E3070" s="13"/>
      <c r="G3070" s="13"/>
    </row>
    <row r="3071" spans="1:7" x14ac:dyDescent="0.25">
      <c r="A3071" s="13"/>
      <c r="B3071" s="13"/>
      <c r="C3071" s="13"/>
      <c r="D3071" s="13"/>
      <c r="E3071" s="13"/>
      <c r="G3071" s="13"/>
    </row>
    <row r="3072" spans="1:7" x14ac:dyDescent="0.25">
      <c r="A3072" s="13"/>
      <c r="B3072" s="13"/>
      <c r="C3072" s="13"/>
      <c r="D3072" s="13"/>
      <c r="E3072" s="13"/>
      <c r="G3072" s="13"/>
    </row>
    <row r="3073" spans="1:7" x14ac:dyDescent="0.25">
      <c r="A3073" s="13"/>
      <c r="B3073" s="13"/>
      <c r="C3073" s="13"/>
      <c r="D3073" s="13"/>
      <c r="E3073" s="13"/>
      <c r="G3073" s="13"/>
    </row>
    <row r="3074" spans="1:7" x14ac:dyDescent="0.25">
      <c r="A3074" s="13"/>
      <c r="B3074" s="13"/>
      <c r="C3074" s="13"/>
      <c r="D3074" s="13"/>
      <c r="E3074" s="13"/>
      <c r="G3074" s="13"/>
    </row>
    <row r="3075" spans="1:7" x14ac:dyDescent="0.25">
      <c r="A3075" s="13"/>
      <c r="B3075" s="13"/>
      <c r="C3075" s="13"/>
      <c r="D3075" s="13"/>
      <c r="E3075" s="13"/>
      <c r="G3075" s="13"/>
    </row>
    <row r="3076" spans="1:7" x14ac:dyDescent="0.25">
      <c r="A3076" s="13"/>
      <c r="B3076" s="13"/>
      <c r="C3076" s="13"/>
      <c r="D3076" s="13"/>
      <c r="E3076" s="13"/>
      <c r="G3076" s="13"/>
    </row>
    <row r="3077" spans="1:7" x14ac:dyDescent="0.25">
      <c r="A3077" s="13"/>
      <c r="B3077" s="13"/>
      <c r="C3077" s="13"/>
      <c r="D3077" s="13"/>
      <c r="E3077" s="13"/>
      <c r="G3077" s="13"/>
    </row>
    <row r="3078" spans="1:7" x14ac:dyDescent="0.25">
      <c r="A3078" s="13"/>
      <c r="B3078" s="13"/>
      <c r="C3078" s="13"/>
      <c r="D3078" s="13"/>
      <c r="E3078" s="13"/>
      <c r="G3078" s="13"/>
    </row>
    <row r="3079" spans="1:7" x14ac:dyDescent="0.25">
      <c r="A3079" s="13"/>
      <c r="B3079" s="13"/>
      <c r="C3079" s="13"/>
      <c r="D3079" s="13"/>
      <c r="E3079" s="13"/>
      <c r="G3079" s="13"/>
    </row>
    <row r="3080" spans="1:7" x14ac:dyDescent="0.25">
      <c r="A3080" s="13"/>
      <c r="B3080" s="13"/>
      <c r="C3080" s="13"/>
      <c r="D3080" s="13"/>
      <c r="E3080" s="13"/>
      <c r="G3080" s="13"/>
    </row>
    <row r="3081" spans="1:7" x14ac:dyDescent="0.25">
      <c r="A3081" s="13"/>
      <c r="B3081" s="13"/>
      <c r="C3081" s="13"/>
      <c r="D3081" s="13"/>
      <c r="E3081" s="13"/>
      <c r="G3081" s="13"/>
    </row>
    <row r="3082" spans="1:7" x14ac:dyDescent="0.25">
      <c r="A3082" s="13"/>
      <c r="B3082" s="13"/>
      <c r="C3082" s="13"/>
      <c r="D3082" s="13"/>
      <c r="E3082" s="13"/>
      <c r="G3082" s="13"/>
    </row>
    <row r="3083" spans="1:7" x14ac:dyDescent="0.25">
      <c r="A3083" s="13"/>
      <c r="B3083" s="13"/>
      <c r="C3083" s="13"/>
      <c r="D3083" s="13"/>
      <c r="E3083" s="13"/>
      <c r="G3083" s="13"/>
    </row>
    <row r="3084" spans="1:7" x14ac:dyDescent="0.25">
      <c r="A3084" s="13"/>
      <c r="B3084" s="13"/>
      <c r="C3084" s="13"/>
      <c r="D3084" s="13"/>
      <c r="E3084" s="13"/>
      <c r="G3084" s="13"/>
    </row>
    <row r="3085" spans="1:7" x14ac:dyDescent="0.25">
      <c r="A3085" s="13"/>
      <c r="B3085" s="13"/>
      <c r="C3085" s="13"/>
      <c r="D3085" s="13"/>
      <c r="E3085" s="13"/>
      <c r="G3085" s="13"/>
    </row>
    <row r="3086" spans="1:7" x14ac:dyDescent="0.25">
      <c r="A3086" s="13"/>
      <c r="B3086" s="13"/>
      <c r="C3086" s="13"/>
      <c r="D3086" s="13"/>
      <c r="E3086" s="13"/>
      <c r="G3086" s="13"/>
    </row>
    <row r="3087" spans="1:7" x14ac:dyDescent="0.25">
      <c r="A3087" s="13"/>
      <c r="B3087" s="13"/>
      <c r="C3087" s="13"/>
      <c r="D3087" s="13"/>
      <c r="E3087" s="13"/>
      <c r="G3087" s="13"/>
    </row>
    <row r="3088" spans="1:7" x14ac:dyDescent="0.25">
      <c r="A3088" s="13"/>
      <c r="B3088" s="13"/>
      <c r="C3088" s="13"/>
      <c r="D3088" s="13"/>
      <c r="E3088" s="13"/>
      <c r="G3088" s="13"/>
    </row>
    <row r="3089" spans="1:7" x14ac:dyDescent="0.25">
      <c r="A3089" s="13"/>
      <c r="B3089" s="13"/>
      <c r="C3089" s="13"/>
      <c r="D3089" s="13"/>
      <c r="E3089" s="13"/>
      <c r="G3089" s="13"/>
    </row>
    <row r="3090" spans="1:7" x14ac:dyDescent="0.25">
      <c r="A3090" s="13"/>
      <c r="B3090" s="13"/>
      <c r="C3090" s="13"/>
      <c r="D3090" s="13"/>
      <c r="E3090" s="13"/>
      <c r="G3090" s="13"/>
    </row>
    <row r="3091" spans="1:7" x14ac:dyDescent="0.25">
      <c r="A3091" s="13"/>
      <c r="B3091" s="13"/>
      <c r="C3091" s="13"/>
      <c r="D3091" s="13"/>
      <c r="E3091" s="13"/>
      <c r="G3091" s="13"/>
    </row>
    <row r="3092" spans="1:7" x14ac:dyDescent="0.25">
      <c r="A3092" s="13"/>
      <c r="B3092" s="13"/>
      <c r="C3092" s="13"/>
      <c r="D3092" s="13"/>
      <c r="E3092" s="13"/>
      <c r="G3092" s="13"/>
    </row>
    <row r="3093" spans="1:7" x14ac:dyDescent="0.25">
      <c r="A3093" s="13"/>
      <c r="B3093" s="13"/>
      <c r="C3093" s="13"/>
      <c r="D3093" s="13"/>
      <c r="E3093" s="13"/>
      <c r="G3093" s="13"/>
    </row>
    <row r="3094" spans="1:7" x14ac:dyDescent="0.25">
      <c r="A3094" s="13"/>
      <c r="B3094" s="13"/>
      <c r="C3094" s="13"/>
      <c r="D3094" s="13"/>
      <c r="E3094" s="13"/>
      <c r="G3094" s="13"/>
    </row>
    <row r="3095" spans="1:7" x14ac:dyDescent="0.25">
      <c r="A3095" s="13"/>
      <c r="B3095" s="13"/>
      <c r="C3095" s="13"/>
      <c r="D3095" s="13"/>
      <c r="E3095" s="13"/>
      <c r="G3095" s="13"/>
    </row>
    <row r="3096" spans="1:7" x14ac:dyDescent="0.25">
      <c r="A3096" s="13"/>
      <c r="B3096" s="13"/>
      <c r="C3096" s="13"/>
      <c r="D3096" s="13"/>
      <c r="E3096" s="13"/>
      <c r="G3096" s="13"/>
    </row>
    <row r="3097" spans="1:7" x14ac:dyDescent="0.25">
      <c r="A3097" s="13"/>
      <c r="B3097" s="13"/>
      <c r="C3097" s="13"/>
      <c r="D3097" s="13"/>
      <c r="E3097" s="13"/>
      <c r="G3097" s="13"/>
    </row>
    <row r="3098" spans="1:7" x14ac:dyDescent="0.25">
      <c r="A3098" s="13"/>
      <c r="B3098" s="13"/>
      <c r="C3098" s="13"/>
      <c r="D3098" s="13"/>
      <c r="E3098" s="13"/>
      <c r="G3098" s="13"/>
    </row>
    <row r="3099" spans="1:7" x14ac:dyDescent="0.25">
      <c r="A3099" s="13"/>
      <c r="B3099" s="13"/>
      <c r="C3099" s="13"/>
      <c r="D3099" s="13"/>
      <c r="E3099" s="13"/>
      <c r="G3099" s="13"/>
    </row>
    <row r="3100" spans="1:7" x14ac:dyDescent="0.25">
      <c r="A3100" s="13"/>
      <c r="B3100" s="13"/>
      <c r="C3100" s="13"/>
      <c r="D3100" s="13"/>
      <c r="E3100" s="13"/>
      <c r="G3100" s="13"/>
    </row>
    <row r="3101" spans="1:7" x14ac:dyDescent="0.25">
      <c r="A3101" s="13"/>
      <c r="B3101" s="13"/>
      <c r="C3101" s="13"/>
      <c r="D3101" s="13"/>
      <c r="E3101" s="13"/>
      <c r="G3101" s="13"/>
    </row>
    <row r="3102" spans="1:7" x14ac:dyDescent="0.25">
      <c r="A3102" s="13"/>
      <c r="B3102" s="13"/>
      <c r="C3102" s="13"/>
      <c r="D3102" s="13"/>
      <c r="E3102" s="13"/>
      <c r="G3102" s="13"/>
    </row>
    <row r="3103" spans="1:7" x14ac:dyDescent="0.25">
      <c r="A3103" s="13"/>
      <c r="B3103" s="13"/>
      <c r="C3103" s="13"/>
      <c r="D3103" s="13"/>
      <c r="E3103" s="13"/>
      <c r="G3103" s="13"/>
    </row>
    <row r="3104" spans="1:7" x14ac:dyDescent="0.25">
      <c r="A3104" s="13"/>
      <c r="B3104" s="13"/>
      <c r="C3104" s="13"/>
      <c r="D3104" s="13"/>
      <c r="E3104" s="13"/>
      <c r="G3104" s="13"/>
    </row>
    <row r="3105" spans="1:7" x14ac:dyDescent="0.25">
      <c r="A3105" s="13"/>
      <c r="B3105" s="13"/>
      <c r="C3105" s="13"/>
      <c r="D3105" s="13"/>
      <c r="E3105" s="13"/>
      <c r="G3105" s="13"/>
    </row>
    <row r="3106" spans="1:7" x14ac:dyDescent="0.25">
      <c r="A3106" s="13"/>
      <c r="B3106" s="13"/>
      <c r="C3106" s="13"/>
      <c r="D3106" s="13"/>
      <c r="E3106" s="13"/>
      <c r="G3106" s="13"/>
    </row>
    <row r="3107" spans="1:7" x14ac:dyDescent="0.25">
      <c r="A3107" s="13"/>
      <c r="B3107" s="13"/>
      <c r="C3107" s="13"/>
      <c r="D3107" s="13"/>
      <c r="E3107" s="13"/>
      <c r="G3107" s="13"/>
    </row>
    <row r="3108" spans="1:7" x14ac:dyDescent="0.25">
      <c r="A3108" s="13"/>
      <c r="B3108" s="13"/>
      <c r="C3108" s="13"/>
      <c r="D3108" s="13"/>
      <c r="E3108" s="13"/>
      <c r="G3108" s="13"/>
    </row>
    <row r="3109" spans="1:7" x14ac:dyDescent="0.25">
      <c r="A3109" s="13"/>
      <c r="B3109" s="13"/>
      <c r="C3109" s="13"/>
      <c r="D3109" s="13"/>
      <c r="E3109" s="13"/>
      <c r="G3109" s="13"/>
    </row>
    <row r="3110" spans="1:7" x14ac:dyDescent="0.25">
      <c r="A3110" s="13"/>
      <c r="B3110" s="13"/>
      <c r="C3110" s="13"/>
      <c r="D3110" s="13"/>
      <c r="E3110" s="13"/>
      <c r="G3110" s="13"/>
    </row>
    <row r="3111" spans="1:7" x14ac:dyDescent="0.25">
      <c r="A3111" s="13"/>
      <c r="B3111" s="13"/>
      <c r="C3111" s="13"/>
      <c r="D3111" s="13"/>
      <c r="E3111" s="13"/>
      <c r="G3111" s="13"/>
    </row>
    <row r="3112" spans="1:7" x14ac:dyDescent="0.25">
      <c r="A3112" s="13"/>
      <c r="B3112" s="13"/>
      <c r="C3112" s="13"/>
      <c r="D3112" s="13"/>
      <c r="E3112" s="13"/>
      <c r="G3112" s="13"/>
    </row>
    <row r="3113" spans="1:7" x14ac:dyDescent="0.25">
      <c r="A3113" s="13"/>
      <c r="B3113" s="13"/>
      <c r="C3113" s="13"/>
      <c r="D3113" s="13"/>
      <c r="E3113" s="13"/>
      <c r="G3113" s="13"/>
    </row>
    <row r="3114" spans="1:7" x14ac:dyDescent="0.25">
      <c r="A3114" s="13"/>
      <c r="B3114" s="13"/>
      <c r="C3114" s="13"/>
      <c r="D3114" s="13"/>
      <c r="E3114" s="13"/>
      <c r="G3114" s="13"/>
    </row>
    <row r="3115" spans="1:7" x14ac:dyDescent="0.25">
      <c r="A3115" s="13"/>
      <c r="B3115" s="13"/>
      <c r="C3115" s="13"/>
      <c r="D3115" s="13"/>
      <c r="E3115" s="13"/>
      <c r="G3115" s="13"/>
    </row>
    <row r="3116" spans="1:7" x14ac:dyDescent="0.25">
      <c r="A3116" s="13"/>
      <c r="B3116" s="13"/>
      <c r="C3116" s="13"/>
      <c r="D3116" s="13"/>
      <c r="E3116" s="13"/>
      <c r="G3116" s="13"/>
    </row>
    <row r="3117" spans="1:7" x14ac:dyDescent="0.25">
      <c r="A3117" s="13"/>
      <c r="B3117" s="13"/>
      <c r="C3117" s="13"/>
      <c r="D3117" s="13"/>
      <c r="E3117" s="13"/>
      <c r="G3117" s="13"/>
    </row>
    <row r="3118" spans="1:7" x14ac:dyDescent="0.25">
      <c r="A3118" s="13"/>
      <c r="B3118" s="13"/>
      <c r="C3118" s="13"/>
      <c r="D3118" s="13"/>
      <c r="E3118" s="13"/>
      <c r="G3118" s="13"/>
    </row>
    <row r="3119" spans="1:7" x14ac:dyDescent="0.25">
      <c r="A3119" s="13"/>
      <c r="B3119" s="13"/>
      <c r="C3119" s="13"/>
      <c r="D3119" s="13"/>
      <c r="E3119" s="13"/>
      <c r="G3119" s="13"/>
    </row>
    <row r="3120" spans="1:7" x14ac:dyDescent="0.25">
      <c r="A3120" s="13"/>
      <c r="B3120" s="13"/>
      <c r="C3120" s="13"/>
      <c r="D3120" s="13"/>
      <c r="E3120" s="13"/>
      <c r="G3120" s="13"/>
    </row>
    <row r="3121" spans="1:7" x14ac:dyDescent="0.25">
      <c r="A3121" s="13"/>
      <c r="B3121" s="13"/>
      <c r="C3121" s="13"/>
      <c r="D3121" s="13"/>
      <c r="E3121" s="13"/>
      <c r="G3121" s="13"/>
    </row>
    <row r="3122" spans="1:7" x14ac:dyDescent="0.25">
      <c r="A3122" s="13"/>
      <c r="B3122" s="13"/>
      <c r="C3122" s="13"/>
      <c r="D3122" s="13"/>
      <c r="E3122" s="13"/>
      <c r="G3122" s="13"/>
    </row>
    <row r="3123" spans="1:7" x14ac:dyDescent="0.25">
      <c r="A3123" s="13"/>
      <c r="B3123" s="13"/>
      <c r="C3123" s="13"/>
      <c r="D3123" s="13"/>
      <c r="E3123" s="13"/>
      <c r="G3123" s="13"/>
    </row>
    <row r="3124" spans="1:7" x14ac:dyDescent="0.25">
      <c r="A3124" s="13"/>
      <c r="B3124" s="13"/>
      <c r="C3124" s="13"/>
      <c r="D3124" s="13"/>
      <c r="E3124" s="13"/>
      <c r="G3124" s="13"/>
    </row>
    <row r="3125" spans="1:7" x14ac:dyDescent="0.25">
      <c r="A3125" s="13"/>
      <c r="B3125" s="13"/>
      <c r="C3125" s="13"/>
      <c r="D3125" s="13"/>
      <c r="E3125" s="13"/>
      <c r="G3125" s="13"/>
    </row>
    <row r="3126" spans="1:7" x14ac:dyDescent="0.25">
      <c r="A3126" s="13"/>
      <c r="B3126" s="13"/>
      <c r="C3126" s="13"/>
      <c r="D3126" s="13"/>
      <c r="E3126" s="13"/>
      <c r="G3126" s="13"/>
    </row>
    <row r="3127" spans="1:7" x14ac:dyDescent="0.25">
      <c r="A3127" s="13"/>
      <c r="B3127" s="13"/>
      <c r="C3127" s="13"/>
      <c r="D3127" s="13"/>
      <c r="E3127" s="13"/>
      <c r="G3127" s="13"/>
    </row>
    <row r="3128" spans="1:7" x14ac:dyDescent="0.25">
      <c r="A3128" s="13"/>
      <c r="B3128" s="13"/>
      <c r="C3128" s="13"/>
      <c r="D3128" s="13"/>
      <c r="E3128" s="13"/>
      <c r="G3128" s="13"/>
    </row>
    <row r="3129" spans="1:7" x14ac:dyDescent="0.25">
      <c r="A3129" s="13"/>
      <c r="B3129" s="13"/>
      <c r="C3129" s="13"/>
      <c r="D3129" s="13"/>
      <c r="E3129" s="13"/>
      <c r="G3129" s="13"/>
    </row>
    <row r="3130" spans="1:7" x14ac:dyDescent="0.25">
      <c r="A3130" s="13"/>
      <c r="B3130" s="13"/>
      <c r="C3130" s="13"/>
      <c r="D3130" s="13"/>
      <c r="E3130" s="13"/>
      <c r="G3130" s="13"/>
    </row>
    <row r="3131" spans="1:7" x14ac:dyDescent="0.25">
      <c r="A3131" s="13"/>
      <c r="B3131" s="13"/>
      <c r="C3131" s="13"/>
      <c r="D3131" s="13"/>
      <c r="E3131" s="13"/>
      <c r="G3131" s="13"/>
    </row>
    <row r="3132" spans="1:7" x14ac:dyDescent="0.25">
      <c r="A3132" s="13"/>
      <c r="B3132" s="13"/>
      <c r="C3132" s="13"/>
      <c r="D3132" s="13"/>
      <c r="E3132" s="13"/>
      <c r="G3132" s="13"/>
    </row>
    <row r="3133" spans="1:7" x14ac:dyDescent="0.25">
      <c r="A3133" s="13"/>
      <c r="B3133" s="13"/>
      <c r="C3133" s="13"/>
      <c r="D3133" s="13"/>
      <c r="E3133" s="13"/>
      <c r="G3133" s="13"/>
    </row>
    <row r="3134" spans="1:7" x14ac:dyDescent="0.25">
      <c r="A3134" s="13"/>
      <c r="B3134" s="13"/>
      <c r="C3134" s="13"/>
      <c r="D3134" s="13"/>
      <c r="E3134" s="13"/>
      <c r="G3134" s="13"/>
    </row>
    <row r="3135" spans="1:7" x14ac:dyDescent="0.25">
      <c r="A3135" s="13"/>
      <c r="B3135" s="13"/>
      <c r="C3135" s="13"/>
      <c r="D3135" s="13"/>
      <c r="E3135" s="13"/>
      <c r="G3135" s="13"/>
    </row>
    <row r="3136" spans="1:7" x14ac:dyDescent="0.25">
      <c r="A3136" s="13"/>
      <c r="B3136" s="13"/>
      <c r="C3136" s="13"/>
      <c r="D3136" s="13"/>
      <c r="E3136" s="13"/>
      <c r="G3136" s="13"/>
    </row>
    <row r="3137" spans="1:7" x14ac:dyDescent="0.25">
      <c r="A3137" s="13"/>
      <c r="B3137" s="13"/>
      <c r="C3137" s="13"/>
      <c r="D3137" s="13"/>
      <c r="E3137" s="13"/>
      <c r="G3137" s="13"/>
    </row>
    <row r="3138" spans="1:7" x14ac:dyDescent="0.25">
      <c r="A3138" s="13"/>
      <c r="B3138" s="13"/>
      <c r="C3138" s="13"/>
      <c r="D3138" s="13"/>
      <c r="E3138" s="13"/>
      <c r="G3138" s="13"/>
    </row>
    <row r="3139" spans="1:7" x14ac:dyDescent="0.25">
      <c r="A3139" s="13"/>
      <c r="B3139" s="13"/>
      <c r="C3139" s="13"/>
      <c r="D3139" s="13"/>
      <c r="E3139" s="13"/>
      <c r="G3139" s="13"/>
    </row>
    <row r="3140" spans="1:7" x14ac:dyDescent="0.25">
      <c r="A3140" s="13"/>
      <c r="B3140" s="13"/>
      <c r="C3140" s="13"/>
      <c r="D3140" s="13"/>
      <c r="E3140" s="13"/>
      <c r="G3140" s="13"/>
    </row>
    <row r="3141" spans="1:7" x14ac:dyDescent="0.25">
      <c r="A3141" s="13"/>
      <c r="B3141" s="13"/>
      <c r="C3141" s="13"/>
      <c r="D3141" s="13"/>
      <c r="E3141" s="13"/>
      <c r="G3141" s="13"/>
    </row>
    <row r="3142" spans="1:7" x14ac:dyDescent="0.25">
      <c r="A3142" s="13"/>
      <c r="B3142" s="13"/>
      <c r="C3142" s="13"/>
      <c r="D3142" s="13"/>
      <c r="E3142" s="13"/>
      <c r="G3142" s="13"/>
    </row>
    <row r="3143" spans="1:7" x14ac:dyDescent="0.25">
      <c r="A3143" s="13"/>
      <c r="B3143" s="13"/>
      <c r="C3143" s="13"/>
      <c r="D3143" s="13"/>
      <c r="E3143" s="13"/>
      <c r="G3143" s="13"/>
    </row>
    <row r="3144" spans="1:7" x14ac:dyDescent="0.25">
      <c r="A3144" s="13"/>
      <c r="B3144" s="13"/>
      <c r="C3144" s="13"/>
      <c r="D3144" s="13"/>
      <c r="E3144" s="13"/>
      <c r="G3144" s="13"/>
    </row>
    <row r="3145" spans="1:7" x14ac:dyDescent="0.25">
      <c r="A3145" s="13"/>
      <c r="B3145" s="13"/>
      <c r="C3145" s="13"/>
      <c r="D3145" s="13"/>
      <c r="E3145" s="13"/>
      <c r="G3145" s="13"/>
    </row>
    <row r="3146" spans="1:7" x14ac:dyDescent="0.25">
      <c r="A3146" s="13"/>
      <c r="B3146" s="13"/>
      <c r="C3146" s="13"/>
      <c r="D3146" s="13"/>
      <c r="E3146" s="13"/>
      <c r="G3146" s="13"/>
    </row>
    <row r="3147" spans="1:7" x14ac:dyDescent="0.25">
      <c r="A3147" s="13"/>
      <c r="B3147" s="13"/>
      <c r="C3147" s="13"/>
      <c r="D3147" s="13"/>
      <c r="E3147" s="13"/>
      <c r="G3147" s="13"/>
    </row>
    <row r="3148" spans="1:7" x14ac:dyDescent="0.25">
      <c r="A3148" s="13"/>
      <c r="B3148" s="13"/>
      <c r="C3148" s="13"/>
      <c r="D3148" s="13"/>
      <c r="E3148" s="13"/>
      <c r="G3148" s="13"/>
    </row>
    <row r="3149" spans="1:7" x14ac:dyDescent="0.25">
      <c r="A3149" s="13"/>
      <c r="B3149" s="13"/>
      <c r="C3149" s="13"/>
      <c r="D3149" s="13"/>
      <c r="E3149" s="13"/>
      <c r="G3149" s="13"/>
    </row>
    <row r="3150" spans="1:7" x14ac:dyDescent="0.25">
      <c r="A3150" s="13"/>
      <c r="B3150" s="13"/>
      <c r="C3150" s="13"/>
      <c r="D3150" s="13"/>
      <c r="E3150" s="13"/>
      <c r="G3150" s="13"/>
    </row>
    <row r="3151" spans="1:7" x14ac:dyDescent="0.25">
      <c r="A3151" s="13"/>
      <c r="B3151" s="13"/>
      <c r="C3151" s="13"/>
      <c r="D3151" s="13"/>
      <c r="E3151" s="13"/>
      <c r="G3151" s="13"/>
    </row>
    <row r="3152" spans="1:7" x14ac:dyDescent="0.25">
      <c r="A3152" s="13"/>
      <c r="B3152" s="13"/>
      <c r="C3152" s="13"/>
      <c r="D3152" s="13"/>
      <c r="E3152" s="13"/>
      <c r="G3152" s="13"/>
    </row>
    <row r="3153" spans="1:7" x14ac:dyDescent="0.25">
      <c r="A3153" s="13"/>
      <c r="B3153" s="13"/>
      <c r="C3153" s="13"/>
      <c r="D3153" s="13"/>
      <c r="E3153" s="13"/>
      <c r="G3153" s="13"/>
    </row>
    <row r="3154" spans="1:7" x14ac:dyDescent="0.25">
      <c r="A3154" s="13"/>
      <c r="B3154" s="13"/>
      <c r="C3154" s="13"/>
      <c r="D3154" s="13"/>
      <c r="E3154" s="13"/>
      <c r="G3154" s="13"/>
    </row>
    <row r="3155" spans="1:7" x14ac:dyDescent="0.25">
      <c r="A3155" s="13"/>
      <c r="B3155" s="13"/>
      <c r="C3155" s="13"/>
      <c r="D3155" s="13"/>
      <c r="E3155" s="13"/>
      <c r="G3155" s="13"/>
    </row>
    <row r="3156" spans="1:7" x14ac:dyDescent="0.25">
      <c r="A3156" s="13"/>
      <c r="B3156" s="13"/>
      <c r="C3156" s="13"/>
      <c r="D3156" s="13"/>
      <c r="E3156" s="13"/>
      <c r="G3156" s="13"/>
    </row>
    <row r="3157" spans="1:7" x14ac:dyDescent="0.25">
      <c r="A3157" s="13"/>
      <c r="B3157" s="13"/>
      <c r="C3157" s="13"/>
      <c r="D3157" s="13"/>
      <c r="E3157" s="13"/>
      <c r="G3157" s="13"/>
    </row>
    <row r="3158" spans="1:7" x14ac:dyDescent="0.25">
      <c r="A3158" s="13"/>
      <c r="B3158" s="13"/>
      <c r="C3158" s="13"/>
      <c r="D3158" s="13"/>
      <c r="E3158" s="13"/>
      <c r="G3158" s="13"/>
    </row>
    <row r="3159" spans="1:7" x14ac:dyDescent="0.25">
      <c r="A3159" s="13"/>
      <c r="B3159" s="13"/>
      <c r="C3159" s="13"/>
      <c r="D3159" s="13"/>
      <c r="E3159" s="13"/>
      <c r="G3159" s="13"/>
    </row>
    <row r="3160" spans="1:7" x14ac:dyDescent="0.25">
      <c r="A3160" s="13"/>
      <c r="B3160" s="13"/>
      <c r="C3160" s="13"/>
      <c r="D3160" s="13"/>
      <c r="E3160" s="13"/>
      <c r="G3160" s="13"/>
    </row>
    <row r="3161" spans="1:7" x14ac:dyDescent="0.25">
      <c r="A3161" s="13"/>
      <c r="B3161" s="13"/>
      <c r="C3161" s="13"/>
      <c r="D3161" s="13"/>
      <c r="E3161" s="13"/>
      <c r="G3161" s="13"/>
    </row>
    <row r="3162" spans="1:7" x14ac:dyDescent="0.25">
      <c r="A3162" s="13"/>
      <c r="B3162" s="13"/>
      <c r="C3162" s="13"/>
      <c r="D3162" s="13"/>
      <c r="E3162" s="13"/>
      <c r="G3162" s="13"/>
    </row>
    <row r="3163" spans="1:7" x14ac:dyDescent="0.25">
      <c r="A3163" s="13"/>
      <c r="B3163" s="13"/>
      <c r="C3163" s="13"/>
      <c r="D3163" s="13"/>
      <c r="E3163" s="13"/>
      <c r="G3163" s="13"/>
    </row>
    <row r="3164" spans="1:7" x14ac:dyDescent="0.25">
      <c r="A3164" s="13"/>
      <c r="B3164" s="13"/>
      <c r="C3164" s="13"/>
      <c r="D3164" s="13"/>
      <c r="E3164" s="13"/>
      <c r="G3164" s="13"/>
    </row>
    <row r="3165" spans="1:7" x14ac:dyDescent="0.25">
      <c r="A3165" s="13"/>
      <c r="B3165" s="13"/>
      <c r="C3165" s="13"/>
      <c r="D3165" s="13"/>
      <c r="E3165" s="13"/>
      <c r="G3165" s="13"/>
    </row>
    <row r="3166" spans="1:7" x14ac:dyDescent="0.25">
      <c r="A3166" s="13"/>
      <c r="B3166" s="13"/>
      <c r="C3166" s="13"/>
      <c r="D3166" s="13"/>
      <c r="E3166" s="13"/>
      <c r="G3166" s="13"/>
    </row>
    <row r="3167" spans="1:7" x14ac:dyDescent="0.25">
      <c r="A3167" s="13"/>
      <c r="B3167" s="13"/>
      <c r="C3167" s="13"/>
      <c r="D3167" s="13"/>
      <c r="E3167" s="13"/>
      <c r="G3167" s="13"/>
    </row>
    <row r="3168" spans="1:7" x14ac:dyDescent="0.25">
      <c r="A3168" s="13"/>
      <c r="B3168" s="13"/>
      <c r="C3168" s="13"/>
      <c r="D3168" s="13"/>
      <c r="E3168" s="13"/>
      <c r="G3168" s="13"/>
    </row>
    <row r="3169" spans="1:7" x14ac:dyDescent="0.25">
      <c r="A3169" s="13"/>
      <c r="B3169" s="13"/>
      <c r="C3169" s="13"/>
      <c r="D3169" s="13"/>
      <c r="E3169" s="13"/>
      <c r="G3169" s="13"/>
    </row>
    <row r="3170" spans="1:7" x14ac:dyDescent="0.25">
      <c r="A3170" s="13"/>
      <c r="B3170" s="13"/>
      <c r="C3170" s="13"/>
      <c r="D3170" s="13"/>
      <c r="E3170" s="13"/>
      <c r="G3170" s="13"/>
    </row>
    <row r="3171" spans="1:7" x14ac:dyDescent="0.25">
      <c r="A3171" s="13"/>
      <c r="B3171" s="13"/>
      <c r="C3171" s="13"/>
      <c r="D3171" s="13"/>
      <c r="E3171" s="13"/>
      <c r="G3171" s="13"/>
    </row>
    <row r="3172" spans="1:7" x14ac:dyDescent="0.25">
      <c r="A3172" s="13"/>
      <c r="B3172" s="13"/>
      <c r="C3172" s="13"/>
      <c r="D3172" s="13"/>
      <c r="E3172" s="13"/>
      <c r="G3172" s="13"/>
    </row>
    <row r="3173" spans="1:7" x14ac:dyDescent="0.25">
      <c r="A3173" s="13"/>
      <c r="B3173" s="13"/>
      <c r="C3173" s="13"/>
      <c r="D3173" s="13"/>
      <c r="E3173" s="13"/>
      <c r="G3173" s="13"/>
    </row>
    <row r="3174" spans="1:7" x14ac:dyDescent="0.25">
      <c r="A3174" s="13"/>
      <c r="B3174" s="13"/>
      <c r="C3174" s="13"/>
      <c r="D3174" s="13"/>
      <c r="E3174" s="13"/>
      <c r="G3174" s="13"/>
    </row>
    <row r="3175" spans="1:7" x14ac:dyDescent="0.25">
      <c r="A3175" s="13"/>
      <c r="B3175" s="13"/>
      <c r="C3175" s="13"/>
      <c r="D3175" s="13"/>
      <c r="E3175" s="13"/>
      <c r="G3175" s="13"/>
    </row>
    <row r="3176" spans="1:7" x14ac:dyDescent="0.25">
      <c r="A3176" s="13"/>
      <c r="B3176" s="13"/>
      <c r="C3176" s="13"/>
      <c r="D3176" s="13"/>
      <c r="E3176" s="13"/>
      <c r="G3176" s="13"/>
    </row>
    <row r="3177" spans="1:7" x14ac:dyDescent="0.25">
      <c r="A3177" s="13"/>
      <c r="B3177" s="13"/>
      <c r="C3177" s="13"/>
      <c r="D3177" s="13"/>
      <c r="E3177" s="13"/>
      <c r="G3177" s="13"/>
    </row>
    <row r="3178" spans="1:7" x14ac:dyDescent="0.25">
      <c r="A3178" s="13"/>
      <c r="B3178" s="13"/>
      <c r="C3178" s="13"/>
      <c r="D3178" s="13"/>
      <c r="E3178" s="13"/>
      <c r="G3178" s="13"/>
    </row>
    <row r="3179" spans="1:7" x14ac:dyDescent="0.25">
      <c r="A3179" s="13"/>
      <c r="B3179" s="13"/>
      <c r="C3179" s="13"/>
      <c r="D3179" s="13"/>
      <c r="E3179" s="13"/>
      <c r="G3179" s="13"/>
    </row>
    <row r="3180" spans="1:7" x14ac:dyDescent="0.25">
      <c r="A3180" s="13"/>
      <c r="B3180" s="13"/>
      <c r="C3180" s="13"/>
      <c r="D3180" s="13"/>
      <c r="E3180" s="13"/>
      <c r="G3180" s="13"/>
    </row>
    <row r="3181" spans="1:7" x14ac:dyDescent="0.25">
      <c r="A3181" s="13"/>
      <c r="B3181" s="13"/>
      <c r="C3181" s="13"/>
      <c r="D3181" s="13"/>
      <c r="E3181" s="13"/>
      <c r="G3181" s="13"/>
    </row>
    <row r="3182" spans="1:7" x14ac:dyDescent="0.25">
      <c r="A3182" s="13"/>
      <c r="B3182" s="13"/>
      <c r="C3182" s="13"/>
      <c r="D3182" s="13"/>
      <c r="E3182" s="13"/>
      <c r="G3182" s="13"/>
    </row>
    <row r="3183" spans="1:7" x14ac:dyDescent="0.25">
      <c r="A3183" s="13"/>
      <c r="B3183" s="13"/>
      <c r="C3183" s="13"/>
      <c r="D3183" s="13"/>
      <c r="E3183" s="13"/>
      <c r="G3183" s="13"/>
    </row>
    <row r="3184" spans="1:7" x14ac:dyDescent="0.25">
      <c r="A3184" s="13"/>
      <c r="B3184" s="13"/>
      <c r="C3184" s="13"/>
      <c r="D3184" s="13"/>
      <c r="E3184" s="13"/>
      <c r="G3184" s="13"/>
    </row>
    <row r="3185" spans="1:7" x14ac:dyDescent="0.25">
      <c r="A3185" s="13"/>
      <c r="B3185" s="13"/>
      <c r="C3185" s="13"/>
      <c r="D3185" s="13"/>
      <c r="E3185" s="13"/>
      <c r="G3185" s="13"/>
    </row>
    <row r="3186" spans="1:7" x14ac:dyDescent="0.25">
      <c r="A3186" s="13"/>
      <c r="B3186" s="13"/>
      <c r="C3186" s="13"/>
      <c r="D3186" s="13"/>
      <c r="E3186" s="13"/>
      <c r="G3186" s="13"/>
    </row>
    <row r="3187" spans="1:7" x14ac:dyDescent="0.25">
      <c r="A3187" s="13"/>
      <c r="B3187" s="13"/>
      <c r="C3187" s="13"/>
      <c r="D3187" s="13"/>
      <c r="E3187" s="13"/>
      <c r="G3187" s="13"/>
    </row>
    <row r="3188" spans="1:7" x14ac:dyDescent="0.25">
      <c r="A3188" s="13"/>
      <c r="B3188" s="13"/>
      <c r="C3188" s="13"/>
      <c r="D3188" s="13"/>
      <c r="E3188" s="13"/>
      <c r="G3188" s="13"/>
    </row>
    <row r="3189" spans="1:7" x14ac:dyDescent="0.25">
      <c r="A3189" s="13"/>
      <c r="B3189" s="13"/>
      <c r="C3189" s="13"/>
      <c r="D3189" s="13"/>
      <c r="E3189" s="13"/>
      <c r="G3189" s="13"/>
    </row>
    <row r="3190" spans="1:7" x14ac:dyDescent="0.25">
      <c r="A3190" s="13"/>
      <c r="B3190" s="13"/>
      <c r="C3190" s="13"/>
      <c r="D3190" s="13"/>
      <c r="E3190" s="13"/>
      <c r="G3190" s="13"/>
    </row>
    <row r="3191" spans="1:7" x14ac:dyDescent="0.25">
      <c r="A3191" s="13"/>
      <c r="B3191" s="13"/>
      <c r="C3191" s="13"/>
      <c r="D3191" s="13"/>
      <c r="E3191" s="13"/>
      <c r="G3191" s="13"/>
    </row>
    <row r="3192" spans="1:7" x14ac:dyDescent="0.25">
      <c r="A3192" s="13"/>
      <c r="B3192" s="13"/>
      <c r="C3192" s="13"/>
      <c r="D3192" s="13"/>
      <c r="E3192" s="13"/>
      <c r="G3192" s="13"/>
    </row>
    <row r="3193" spans="1:7" x14ac:dyDescent="0.25">
      <c r="A3193" s="13"/>
      <c r="B3193" s="13"/>
      <c r="C3193" s="13"/>
      <c r="D3193" s="13"/>
      <c r="E3193" s="13"/>
      <c r="G3193" s="13"/>
    </row>
    <row r="3194" spans="1:7" x14ac:dyDescent="0.25">
      <c r="A3194" s="13"/>
      <c r="B3194" s="13"/>
      <c r="C3194" s="13"/>
      <c r="D3194" s="13"/>
      <c r="E3194" s="13"/>
      <c r="G3194" s="13"/>
    </row>
    <row r="3195" spans="1:7" x14ac:dyDescent="0.25">
      <c r="A3195" s="13"/>
      <c r="B3195" s="13"/>
      <c r="C3195" s="13"/>
      <c r="D3195" s="13"/>
      <c r="E3195" s="13"/>
      <c r="G3195" s="13"/>
    </row>
    <row r="3196" spans="1:7" x14ac:dyDescent="0.25">
      <c r="A3196" s="13"/>
      <c r="B3196" s="13"/>
      <c r="C3196" s="13"/>
      <c r="D3196" s="13"/>
      <c r="E3196" s="13"/>
      <c r="G3196" s="13"/>
    </row>
    <row r="3197" spans="1:7" x14ac:dyDescent="0.25">
      <c r="A3197" s="13"/>
      <c r="B3197" s="13"/>
      <c r="C3197" s="13"/>
      <c r="D3197" s="13"/>
      <c r="E3197" s="13"/>
      <c r="G3197" s="13"/>
    </row>
    <row r="3198" spans="1:7" x14ac:dyDescent="0.25">
      <c r="A3198" s="13"/>
      <c r="B3198" s="13"/>
      <c r="C3198" s="13"/>
      <c r="D3198" s="13"/>
      <c r="E3198" s="13"/>
      <c r="G3198" s="13"/>
    </row>
    <row r="3199" spans="1:7" x14ac:dyDescent="0.25">
      <c r="A3199" s="13"/>
      <c r="B3199" s="13"/>
      <c r="C3199" s="13"/>
      <c r="D3199" s="13"/>
      <c r="E3199" s="13"/>
      <c r="G3199" s="13"/>
    </row>
    <row r="3200" spans="1:7" x14ac:dyDescent="0.25">
      <c r="A3200" s="13"/>
      <c r="B3200" s="13"/>
      <c r="C3200" s="13"/>
      <c r="D3200" s="13"/>
      <c r="E3200" s="13"/>
      <c r="G3200" s="13"/>
    </row>
    <row r="3201" spans="1:7" x14ac:dyDescent="0.25">
      <c r="A3201" s="13"/>
      <c r="B3201" s="13"/>
      <c r="C3201" s="13"/>
      <c r="D3201" s="13"/>
      <c r="E3201" s="13"/>
      <c r="G3201" s="13"/>
    </row>
    <row r="3202" spans="1:7" x14ac:dyDescent="0.25">
      <c r="A3202" s="13"/>
      <c r="B3202" s="13"/>
      <c r="C3202" s="13"/>
      <c r="D3202" s="13"/>
      <c r="E3202" s="13"/>
      <c r="G3202" s="13"/>
    </row>
    <row r="3203" spans="1:7" x14ac:dyDescent="0.25">
      <c r="A3203" s="13"/>
      <c r="B3203" s="13"/>
      <c r="C3203" s="13"/>
      <c r="D3203" s="13"/>
      <c r="E3203" s="13"/>
      <c r="G3203" s="13"/>
    </row>
    <row r="3204" spans="1:7" x14ac:dyDescent="0.25">
      <c r="A3204" s="13"/>
      <c r="B3204" s="13"/>
      <c r="C3204" s="13"/>
      <c r="D3204" s="13"/>
      <c r="E3204" s="13"/>
      <c r="G3204" s="13"/>
    </row>
    <row r="3205" spans="1:7" x14ac:dyDescent="0.25">
      <c r="A3205" s="13"/>
      <c r="B3205" s="13"/>
      <c r="C3205" s="13"/>
      <c r="D3205" s="13"/>
      <c r="E3205" s="13"/>
      <c r="G3205" s="13"/>
    </row>
    <row r="3206" spans="1:7" x14ac:dyDescent="0.25">
      <c r="A3206" s="13"/>
      <c r="B3206" s="13"/>
      <c r="C3206" s="13"/>
      <c r="D3206" s="13"/>
      <c r="E3206" s="13"/>
      <c r="G3206" s="13"/>
    </row>
    <row r="3207" spans="1:7" x14ac:dyDescent="0.25">
      <c r="A3207" s="13"/>
      <c r="B3207" s="13"/>
      <c r="C3207" s="13"/>
      <c r="D3207" s="13"/>
      <c r="E3207" s="13"/>
      <c r="G3207" s="13"/>
    </row>
    <row r="3208" spans="1:7" x14ac:dyDescent="0.25">
      <c r="A3208" s="13"/>
      <c r="B3208" s="13"/>
      <c r="C3208" s="13"/>
      <c r="D3208" s="13"/>
      <c r="E3208" s="13"/>
      <c r="G3208" s="13"/>
    </row>
    <row r="3209" spans="1:7" x14ac:dyDescent="0.25">
      <c r="A3209" s="13"/>
      <c r="B3209" s="13"/>
      <c r="C3209" s="13"/>
      <c r="D3209" s="13"/>
      <c r="E3209" s="13"/>
      <c r="G3209" s="13"/>
    </row>
    <row r="3210" spans="1:7" x14ac:dyDescent="0.25">
      <c r="A3210" s="13"/>
      <c r="B3210" s="13"/>
      <c r="C3210" s="13"/>
      <c r="D3210" s="13"/>
      <c r="E3210" s="13"/>
      <c r="G3210" s="13"/>
    </row>
    <row r="3211" spans="1:7" x14ac:dyDescent="0.25">
      <c r="A3211" s="13"/>
      <c r="B3211" s="13"/>
      <c r="C3211" s="13"/>
      <c r="D3211" s="13"/>
      <c r="E3211" s="13"/>
      <c r="G3211" s="13"/>
    </row>
    <row r="3212" spans="1:7" x14ac:dyDescent="0.25">
      <c r="A3212" s="13"/>
      <c r="B3212" s="13"/>
      <c r="C3212" s="13"/>
      <c r="D3212" s="13"/>
      <c r="E3212" s="13"/>
      <c r="G3212" s="13"/>
    </row>
    <row r="3213" spans="1:7" x14ac:dyDescent="0.25">
      <c r="A3213" s="13"/>
      <c r="B3213" s="13"/>
      <c r="C3213" s="13"/>
      <c r="D3213" s="13"/>
      <c r="E3213" s="13"/>
      <c r="G3213" s="13"/>
    </row>
    <row r="3214" spans="1:7" x14ac:dyDescent="0.25">
      <c r="A3214" s="13"/>
      <c r="B3214" s="13"/>
      <c r="C3214" s="13"/>
      <c r="D3214" s="13"/>
      <c r="E3214" s="13"/>
      <c r="G3214" s="13"/>
    </row>
    <row r="3215" spans="1:7" x14ac:dyDescent="0.25">
      <c r="A3215" s="13"/>
      <c r="B3215" s="13"/>
      <c r="C3215" s="13"/>
      <c r="D3215" s="13"/>
      <c r="E3215" s="13"/>
      <c r="G3215" s="13"/>
    </row>
    <row r="3216" spans="1:7" x14ac:dyDescent="0.25">
      <c r="A3216" s="13"/>
      <c r="B3216" s="13"/>
      <c r="C3216" s="13"/>
      <c r="D3216" s="13"/>
      <c r="E3216" s="13"/>
      <c r="G3216" s="13"/>
    </row>
    <row r="3217" spans="1:7" x14ac:dyDescent="0.25">
      <c r="A3217" s="13"/>
      <c r="B3217" s="13"/>
      <c r="C3217" s="13"/>
      <c r="D3217" s="13"/>
      <c r="E3217" s="13"/>
      <c r="G3217" s="13"/>
    </row>
    <row r="3218" spans="1:7" x14ac:dyDescent="0.25">
      <c r="A3218" s="13"/>
      <c r="B3218" s="13"/>
      <c r="C3218" s="13"/>
      <c r="D3218" s="13"/>
      <c r="E3218" s="13"/>
      <c r="G3218" s="13"/>
    </row>
    <row r="3219" spans="1:7" x14ac:dyDescent="0.25">
      <c r="A3219" s="13"/>
      <c r="B3219" s="13"/>
      <c r="C3219" s="13"/>
      <c r="D3219" s="13"/>
      <c r="E3219" s="13"/>
      <c r="G3219" s="13"/>
    </row>
    <row r="3220" spans="1:7" x14ac:dyDescent="0.25">
      <c r="A3220" s="13"/>
      <c r="B3220" s="13"/>
      <c r="C3220" s="13"/>
      <c r="D3220" s="13"/>
      <c r="E3220" s="13"/>
      <c r="G3220" s="13"/>
    </row>
    <row r="3221" spans="1:7" x14ac:dyDescent="0.25">
      <c r="A3221" s="13"/>
      <c r="B3221" s="13"/>
      <c r="C3221" s="13"/>
      <c r="D3221" s="13"/>
      <c r="E3221" s="13"/>
      <c r="G3221" s="13"/>
    </row>
    <row r="3222" spans="1:7" x14ac:dyDescent="0.25">
      <c r="A3222" s="13"/>
      <c r="B3222" s="13"/>
      <c r="C3222" s="13"/>
      <c r="D3222" s="13"/>
      <c r="E3222" s="13"/>
      <c r="G3222" s="13"/>
    </row>
    <row r="3223" spans="1:7" x14ac:dyDescent="0.25">
      <c r="A3223" s="13"/>
      <c r="B3223" s="13"/>
      <c r="C3223" s="13"/>
      <c r="D3223" s="13"/>
      <c r="E3223" s="13"/>
      <c r="G3223" s="13"/>
    </row>
    <row r="3224" spans="1:7" x14ac:dyDescent="0.25">
      <c r="A3224" s="13"/>
      <c r="B3224" s="13"/>
      <c r="C3224" s="13"/>
      <c r="D3224" s="13"/>
      <c r="E3224" s="13"/>
      <c r="G3224" s="13"/>
    </row>
    <row r="3225" spans="1:7" x14ac:dyDescent="0.25">
      <c r="A3225" s="13"/>
      <c r="B3225" s="13"/>
      <c r="C3225" s="13"/>
      <c r="D3225" s="13"/>
      <c r="E3225" s="13"/>
      <c r="G3225" s="13"/>
    </row>
    <row r="3226" spans="1:7" x14ac:dyDescent="0.25">
      <c r="A3226" s="13"/>
      <c r="B3226" s="13"/>
      <c r="C3226" s="13"/>
      <c r="D3226" s="13"/>
      <c r="E3226" s="13"/>
      <c r="G3226" s="13"/>
    </row>
    <row r="3227" spans="1:7" x14ac:dyDescent="0.25">
      <c r="A3227" s="13"/>
      <c r="B3227" s="13"/>
      <c r="C3227" s="13"/>
      <c r="D3227" s="13"/>
      <c r="E3227" s="13"/>
      <c r="G3227" s="13"/>
    </row>
    <row r="3228" spans="1:7" x14ac:dyDescent="0.25">
      <c r="A3228" s="13"/>
      <c r="B3228" s="13"/>
      <c r="C3228" s="13"/>
      <c r="D3228" s="13"/>
      <c r="E3228" s="13"/>
      <c r="G3228" s="13"/>
    </row>
    <row r="3229" spans="1:7" x14ac:dyDescent="0.25">
      <c r="A3229" s="13"/>
      <c r="B3229" s="13"/>
      <c r="C3229" s="13"/>
      <c r="D3229" s="13"/>
      <c r="E3229" s="13"/>
      <c r="G3229" s="13"/>
    </row>
    <row r="3230" spans="1:7" x14ac:dyDescent="0.25">
      <c r="A3230" s="13"/>
      <c r="B3230" s="13"/>
      <c r="C3230" s="13"/>
      <c r="D3230" s="13"/>
      <c r="E3230" s="13"/>
      <c r="G3230" s="13"/>
    </row>
    <row r="3231" spans="1:7" x14ac:dyDescent="0.25">
      <c r="A3231" s="13"/>
      <c r="B3231" s="13"/>
      <c r="C3231" s="13"/>
      <c r="D3231" s="13"/>
      <c r="E3231" s="13"/>
      <c r="G3231" s="13"/>
    </row>
    <row r="3232" spans="1:7" x14ac:dyDescent="0.25">
      <c r="A3232" s="13"/>
      <c r="B3232" s="13"/>
      <c r="C3232" s="13"/>
      <c r="D3232" s="13"/>
      <c r="E3232" s="13"/>
      <c r="G3232" s="13"/>
    </row>
    <row r="3233" spans="1:7" x14ac:dyDescent="0.25">
      <c r="A3233" s="13"/>
      <c r="B3233" s="13"/>
      <c r="C3233" s="13"/>
      <c r="D3233" s="13"/>
      <c r="E3233" s="13"/>
      <c r="G3233" s="13"/>
    </row>
    <row r="3234" spans="1:7" x14ac:dyDescent="0.25">
      <c r="A3234" s="13"/>
      <c r="B3234" s="13"/>
      <c r="C3234" s="13"/>
      <c r="D3234" s="13"/>
      <c r="E3234" s="13"/>
      <c r="G3234" s="13"/>
    </row>
    <row r="3235" spans="1:7" x14ac:dyDescent="0.25">
      <c r="A3235" s="13"/>
      <c r="B3235" s="13"/>
      <c r="C3235" s="13"/>
      <c r="D3235" s="13"/>
      <c r="E3235" s="13"/>
      <c r="G3235" s="13"/>
    </row>
    <row r="3236" spans="1:7" x14ac:dyDescent="0.25">
      <c r="A3236" s="13"/>
      <c r="B3236" s="13"/>
      <c r="C3236" s="13"/>
      <c r="D3236" s="13"/>
      <c r="E3236" s="13"/>
      <c r="G3236" s="13"/>
    </row>
    <row r="3237" spans="1:7" x14ac:dyDescent="0.25">
      <c r="A3237" s="13"/>
      <c r="B3237" s="13"/>
      <c r="C3237" s="13"/>
      <c r="D3237" s="13"/>
      <c r="E3237" s="13"/>
      <c r="G3237" s="13"/>
    </row>
    <row r="3238" spans="1:7" x14ac:dyDescent="0.25">
      <c r="A3238" s="13"/>
      <c r="B3238" s="13"/>
      <c r="C3238" s="13"/>
      <c r="D3238" s="13"/>
      <c r="E3238" s="13"/>
      <c r="G3238" s="13"/>
    </row>
    <row r="3239" spans="1:7" x14ac:dyDescent="0.25">
      <c r="A3239" s="13"/>
      <c r="B3239" s="13"/>
      <c r="C3239" s="13"/>
      <c r="D3239" s="13"/>
      <c r="E3239" s="13"/>
      <c r="G3239" s="13"/>
    </row>
    <row r="3240" spans="1:7" x14ac:dyDescent="0.25">
      <c r="A3240" s="13"/>
      <c r="B3240" s="13"/>
      <c r="C3240" s="13"/>
      <c r="D3240" s="13"/>
      <c r="E3240" s="13"/>
      <c r="G3240" s="13"/>
    </row>
    <row r="3241" spans="1:7" x14ac:dyDescent="0.25">
      <c r="A3241" s="13"/>
      <c r="B3241" s="13"/>
      <c r="C3241" s="13"/>
      <c r="D3241" s="13"/>
      <c r="E3241" s="13"/>
      <c r="G3241" s="13"/>
    </row>
    <row r="3242" spans="1:7" x14ac:dyDescent="0.25">
      <c r="A3242" s="13"/>
      <c r="B3242" s="13"/>
      <c r="C3242" s="13"/>
      <c r="D3242" s="13"/>
      <c r="E3242" s="13"/>
      <c r="G3242" s="13"/>
    </row>
    <row r="3243" spans="1:7" x14ac:dyDescent="0.25">
      <c r="A3243" s="13"/>
      <c r="B3243" s="13"/>
      <c r="C3243" s="13"/>
      <c r="D3243" s="13"/>
      <c r="E3243" s="13"/>
      <c r="G3243" s="13"/>
    </row>
    <row r="3244" spans="1:7" x14ac:dyDescent="0.25">
      <c r="A3244" s="13"/>
      <c r="B3244" s="13"/>
      <c r="C3244" s="13"/>
      <c r="D3244" s="13"/>
      <c r="E3244" s="13"/>
      <c r="G3244" s="13"/>
    </row>
    <row r="3245" spans="1:7" x14ac:dyDescent="0.25">
      <c r="A3245" s="13"/>
      <c r="B3245" s="13"/>
      <c r="C3245" s="13"/>
      <c r="D3245" s="13"/>
      <c r="E3245" s="13"/>
      <c r="G3245" s="13"/>
    </row>
    <row r="3246" spans="1:7" x14ac:dyDescent="0.25">
      <c r="A3246" s="13"/>
      <c r="B3246" s="13"/>
      <c r="C3246" s="13"/>
      <c r="D3246" s="13"/>
      <c r="E3246" s="13"/>
      <c r="G3246" s="13"/>
    </row>
    <row r="3247" spans="1:7" x14ac:dyDescent="0.25">
      <c r="A3247" s="13"/>
      <c r="B3247" s="13"/>
      <c r="C3247" s="13"/>
      <c r="D3247" s="13"/>
      <c r="E3247" s="13"/>
      <c r="G3247" s="13"/>
    </row>
    <row r="3248" spans="1:7" x14ac:dyDescent="0.25">
      <c r="A3248" s="13"/>
      <c r="B3248" s="13"/>
      <c r="C3248" s="13"/>
      <c r="D3248" s="13"/>
      <c r="E3248" s="13"/>
      <c r="G3248" s="13"/>
    </row>
    <row r="3249" spans="1:7" x14ac:dyDescent="0.25">
      <c r="A3249" s="13"/>
      <c r="B3249" s="13"/>
      <c r="C3249" s="13"/>
      <c r="D3249" s="13"/>
      <c r="E3249" s="13"/>
      <c r="G3249" s="13"/>
    </row>
    <row r="3250" spans="1:7" x14ac:dyDescent="0.25">
      <c r="A3250" s="13"/>
      <c r="B3250" s="13"/>
      <c r="C3250" s="13"/>
      <c r="D3250" s="13"/>
      <c r="E3250" s="13"/>
      <c r="G3250" s="13"/>
    </row>
    <row r="3251" spans="1:7" x14ac:dyDescent="0.25">
      <c r="A3251" s="13"/>
      <c r="B3251" s="13"/>
      <c r="C3251" s="13"/>
      <c r="D3251" s="13"/>
      <c r="E3251" s="13"/>
      <c r="G3251" s="13"/>
    </row>
    <row r="3252" spans="1:7" x14ac:dyDescent="0.25">
      <c r="A3252" s="13"/>
      <c r="B3252" s="13"/>
      <c r="C3252" s="13"/>
      <c r="D3252" s="13"/>
      <c r="E3252" s="13"/>
      <c r="G3252" s="13"/>
    </row>
    <row r="3253" spans="1:7" x14ac:dyDescent="0.25">
      <c r="A3253" s="13"/>
      <c r="B3253" s="13"/>
      <c r="C3253" s="13"/>
      <c r="D3253" s="13"/>
      <c r="E3253" s="13"/>
      <c r="G3253" s="13"/>
    </row>
    <row r="3254" spans="1:7" x14ac:dyDescent="0.25">
      <c r="A3254" s="13"/>
      <c r="B3254" s="13"/>
      <c r="C3254" s="13"/>
      <c r="D3254" s="13"/>
      <c r="E3254" s="13"/>
      <c r="G3254" s="13"/>
    </row>
    <row r="3255" spans="1:7" x14ac:dyDescent="0.25">
      <c r="A3255" s="13"/>
      <c r="B3255" s="13"/>
      <c r="C3255" s="13"/>
      <c r="D3255" s="13"/>
      <c r="E3255" s="13"/>
      <c r="G3255" s="13"/>
    </row>
    <row r="3256" spans="1:7" x14ac:dyDescent="0.25">
      <c r="A3256" s="13"/>
      <c r="B3256" s="13"/>
      <c r="C3256" s="13"/>
      <c r="D3256" s="13"/>
      <c r="E3256" s="13"/>
      <c r="G3256" s="13"/>
    </row>
    <row r="3257" spans="1:7" x14ac:dyDescent="0.25">
      <c r="A3257" s="13"/>
      <c r="B3257" s="13"/>
      <c r="C3257" s="13"/>
      <c r="D3257" s="13"/>
      <c r="E3257" s="13"/>
      <c r="G3257" s="13"/>
    </row>
    <row r="3258" spans="1:7" x14ac:dyDescent="0.25">
      <c r="A3258" s="13"/>
      <c r="B3258" s="13"/>
      <c r="C3258" s="13"/>
      <c r="D3258" s="13"/>
      <c r="E3258" s="13"/>
      <c r="G3258" s="13"/>
    </row>
    <row r="3259" spans="1:7" x14ac:dyDescent="0.25">
      <c r="A3259" s="13"/>
      <c r="B3259" s="13"/>
      <c r="C3259" s="13"/>
      <c r="D3259" s="13"/>
      <c r="E3259" s="13"/>
      <c r="G3259" s="13"/>
    </row>
    <row r="3260" spans="1:7" x14ac:dyDescent="0.25">
      <c r="A3260" s="13"/>
      <c r="B3260" s="13"/>
      <c r="C3260" s="13"/>
      <c r="D3260" s="13"/>
      <c r="E3260" s="13"/>
      <c r="G3260" s="13"/>
    </row>
    <row r="3261" spans="1:7" x14ac:dyDescent="0.25">
      <c r="A3261" s="13"/>
      <c r="B3261" s="13"/>
      <c r="C3261" s="13"/>
      <c r="D3261" s="13"/>
      <c r="E3261" s="13"/>
      <c r="G3261" s="13"/>
    </row>
    <row r="3262" spans="1:7" x14ac:dyDescent="0.25">
      <c r="A3262" s="13"/>
      <c r="B3262" s="13"/>
      <c r="C3262" s="13"/>
      <c r="D3262" s="13"/>
      <c r="E3262" s="13"/>
      <c r="G3262" s="13"/>
    </row>
    <row r="3263" spans="1:7" x14ac:dyDescent="0.25">
      <c r="A3263" s="13"/>
      <c r="B3263" s="13"/>
      <c r="C3263" s="13"/>
      <c r="D3263" s="13"/>
      <c r="E3263" s="13"/>
      <c r="G3263" s="13"/>
    </row>
    <row r="3264" spans="1:7" x14ac:dyDescent="0.25">
      <c r="A3264" s="13"/>
      <c r="B3264" s="13"/>
      <c r="C3264" s="13"/>
      <c r="D3264" s="13"/>
      <c r="E3264" s="13"/>
      <c r="G3264" s="13"/>
    </row>
    <row r="3265" spans="1:7" x14ac:dyDescent="0.25">
      <c r="A3265" s="13"/>
      <c r="B3265" s="13"/>
      <c r="C3265" s="13"/>
      <c r="D3265" s="13"/>
      <c r="E3265" s="13"/>
      <c r="G3265" s="13"/>
    </row>
    <row r="3266" spans="1:7" x14ac:dyDescent="0.25">
      <c r="A3266" s="13"/>
      <c r="B3266" s="13"/>
      <c r="C3266" s="13"/>
      <c r="D3266" s="13"/>
      <c r="E3266" s="13"/>
      <c r="G3266" s="13"/>
    </row>
    <row r="3267" spans="1:7" x14ac:dyDescent="0.25">
      <c r="A3267" s="13"/>
      <c r="B3267" s="13"/>
      <c r="C3267" s="13"/>
      <c r="D3267" s="13"/>
      <c r="E3267" s="13"/>
      <c r="G3267" s="13"/>
    </row>
    <row r="3268" spans="1:7" x14ac:dyDescent="0.25">
      <c r="A3268" s="13"/>
      <c r="B3268" s="13"/>
      <c r="C3268" s="13"/>
      <c r="D3268" s="13"/>
      <c r="E3268" s="13"/>
      <c r="G3268" s="13"/>
    </row>
    <row r="3269" spans="1:7" x14ac:dyDescent="0.25">
      <c r="A3269" s="13"/>
      <c r="B3269" s="13"/>
      <c r="C3269" s="13"/>
      <c r="D3269" s="13"/>
      <c r="E3269" s="13"/>
      <c r="G3269" s="13"/>
    </row>
    <row r="3270" spans="1:7" x14ac:dyDescent="0.25">
      <c r="A3270" s="13"/>
      <c r="B3270" s="13"/>
      <c r="C3270" s="13"/>
      <c r="D3270" s="13"/>
      <c r="E3270" s="13"/>
      <c r="G3270" s="13"/>
    </row>
    <row r="3271" spans="1:7" x14ac:dyDescent="0.25">
      <c r="A3271" s="13"/>
      <c r="B3271" s="13"/>
      <c r="C3271" s="13"/>
      <c r="D3271" s="13"/>
      <c r="E3271" s="13"/>
      <c r="G3271" s="13"/>
    </row>
    <row r="3272" spans="1:7" x14ac:dyDescent="0.25">
      <c r="A3272" s="13"/>
      <c r="B3272" s="13"/>
      <c r="C3272" s="13"/>
      <c r="D3272" s="13"/>
      <c r="E3272" s="13"/>
      <c r="G3272" s="13"/>
    </row>
    <row r="3273" spans="1:7" x14ac:dyDescent="0.25">
      <c r="A3273" s="13"/>
      <c r="B3273" s="13"/>
      <c r="C3273" s="13"/>
      <c r="D3273" s="13"/>
      <c r="E3273" s="13"/>
      <c r="G3273" s="13"/>
    </row>
    <row r="3274" spans="1:7" x14ac:dyDescent="0.25">
      <c r="A3274" s="13"/>
      <c r="B3274" s="13"/>
      <c r="C3274" s="13"/>
      <c r="D3274" s="13"/>
      <c r="E3274" s="13"/>
      <c r="G3274" s="13"/>
    </row>
    <row r="3275" spans="1:7" x14ac:dyDescent="0.25">
      <c r="A3275" s="13"/>
      <c r="B3275" s="13"/>
      <c r="C3275" s="13"/>
      <c r="D3275" s="13"/>
      <c r="E3275" s="13"/>
      <c r="G3275" s="13"/>
    </row>
    <row r="3276" spans="1:7" x14ac:dyDescent="0.25">
      <c r="A3276" s="13"/>
      <c r="B3276" s="13"/>
      <c r="C3276" s="13"/>
      <c r="D3276" s="13"/>
      <c r="E3276" s="13"/>
      <c r="G3276" s="13"/>
    </row>
    <row r="3277" spans="1:7" x14ac:dyDescent="0.25">
      <c r="A3277" s="13"/>
      <c r="B3277" s="13"/>
      <c r="C3277" s="13"/>
      <c r="D3277" s="13"/>
      <c r="E3277" s="13"/>
      <c r="G3277" s="13"/>
    </row>
    <row r="3278" spans="1:7" x14ac:dyDescent="0.25">
      <c r="A3278" s="13"/>
      <c r="B3278" s="13"/>
      <c r="C3278" s="13"/>
      <c r="D3278" s="13"/>
      <c r="E3278" s="13"/>
      <c r="G3278" s="13"/>
    </row>
    <row r="3279" spans="1:7" x14ac:dyDescent="0.25">
      <c r="A3279" s="13"/>
      <c r="B3279" s="13"/>
      <c r="C3279" s="13"/>
      <c r="D3279" s="13"/>
      <c r="E3279" s="13"/>
      <c r="G3279" s="13"/>
    </row>
    <row r="3280" spans="1:7" x14ac:dyDescent="0.25">
      <c r="A3280" s="13"/>
      <c r="B3280" s="13"/>
      <c r="C3280" s="13"/>
      <c r="D3280" s="13"/>
      <c r="E3280" s="13"/>
      <c r="G3280" s="13"/>
    </row>
    <row r="3281" spans="1:7" x14ac:dyDescent="0.25">
      <c r="A3281" s="13"/>
      <c r="B3281" s="13"/>
      <c r="C3281" s="13"/>
      <c r="D3281" s="13"/>
      <c r="E3281" s="13"/>
      <c r="G3281" s="13"/>
    </row>
    <row r="3282" spans="1:7" x14ac:dyDescent="0.25">
      <c r="A3282" s="13"/>
      <c r="B3282" s="13"/>
      <c r="C3282" s="13"/>
      <c r="D3282" s="13"/>
      <c r="E3282" s="13"/>
      <c r="G3282" s="13"/>
    </row>
    <row r="3283" spans="1:7" x14ac:dyDescent="0.25">
      <c r="A3283" s="13"/>
      <c r="B3283" s="13"/>
      <c r="C3283" s="13"/>
      <c r="D3283" s="13"/>
      <c r="E3283" s="13"/>
      <c r="G3283" s="13"/>
    </row>
    <row r="3284" spans="1:7" x14ac:dyDescent="0.25">
      <c r="A3284" s="13"/>
      <c r="B3284" s="13"/>
      <c r="C3284" s="13"/>
      <c r="D3284" s="13"/>
      <c r="E3284" s="13"/>
      <c r="G3284" s="13"/>
    </row>
    <row r="3285" spans="1:7" x14ac:dyDescent="0.25">
      <c r="A3285" s="13"/>
      <c r="B3285" s="13"/>
      <c r="C3285" s="13"/>
      <c r="D3285" s="13"/>
      <c r="E3285" s="13"/>
      <c r="G3285" s="13"/>
    </row>
    <row r="3286" spans="1:7" x14ac:dyDescent="0.25">
      <c r="A3286" s="13"/>
      <c r="B3286" s="13"/>
      <c r="C3286" s="13"/>
      <c r="D3286" s="13"/>
      <c r="E3286" s="13"/>
      <c r="G3286" s="13"/>
    </row>
    <row r="3287" spans="1:7" x14ac:dyDescent="0.25">
      <c r="A3287" s="13"/>
      <c r="B3287" s="13"/>
      <c r="C3287" s="13"/>
      <c r="D3287" s="13"/>
      <c r="E3287" s="13"/>
      <c r="G3287" s="13"/>
    </row>
    <row r="3288" spans="1:7" x14ac:dyDescent="0.25">
      <c r="A3288" s="13"/>
      <c r="B3288" s="13"/>
      <c r="C3288" s="13"/>
      <c r="D3288" s="13"/>
      <c r="E3288" s="13"/>
      <c r="G3288" s="13"/>
    </row>
    <row r="3289" spans="1:7" x14ac:dyDescent="0.25">
      <c r="A3289" s="13"/>
      <c r="B3289" s="13"/>
      <c r="C3289" s="13"/>
      <c r="D3289" s="13"/>
      <c r="E3289" s="13"/>
      <c r="G3289" s="13"/>
    </row>
    <row r="3290" spans="1:7" x14ac:dyDescent="0.25">
      <c r="A3290" s="13"/>
      <c r="B3290" s="13"/>
      <c r="C3290" s="13"/>
      <c r="D3290" s="13"/>
      <c r="E3290" s="13"/>
      <c r="G3290" s="13"/>
    </row>
    <row r="3291" spans="1:7" x14ac:dyDescent="0.25">
      <c r="A3291" s="13"/>
      <c r="B3291" s="13"/>
      <c r="C3291" s="13"/>
      <c r="D3291" s="13"/>
      <c r="E3291" s="13"/>
      <c r="G3291" s="13"/>
    </row>
    <row r="3292" spans="1:7" x14ac:dyDescent="0.25">
      <c r="A3292" s="13"/>
      <c r="B3292" s="13"/>
      <c r="C3292" s="13"/>
      <c r="D3292" s="13"/>
      <c r="E3292" s="13"/>
      <c r="G3292" s="13"/>
    </row>
    <row r="3293" spans="1:7" x14ac:dyDescent="0.25">
      <c r="A3293" s="13"/>
      <c r="B3293" s="13"/>
      <c r="C3293" s="13"/>
      <c r="D3293" s="13"/>
      <c r="E3293" s="13"/>
      <c r="G3293" s="13"/>
    </row>
    <row r="3294" spans="1:7" x14ac:dyDescent="0.25">
      <c r="A3294" s="13"/>
      <c r="B3294" s="13"/>
      <c r="C3294" s="13"/>
      <c r="D3294" s="13"/>
      <c r="E3294" s="13"/>
      <c r="G3294" s="13"/>
    </row>
    <row r="3295" spans="1:7" x14ac:dyDescent="0.25">
      <c r="A3295" s="13"/>
      <c r="B3295" s="13"/>
      <c r="C3295" s="13"/>
      <c r="D3295" s="13"/>
      <c r="E3295" s="13"/>
      <c r="G3295" s="13"/>
    </row>
    <row r="3296" spans="1:7" x14ac:dyDescent="0.25">
      <c r="A3296" s="13"/>
      <c r="B3296" s="13"/>
      <c r="C3296" s="13"/>
      <c r="D3296" s="13"/>
      <c r="E3296" s="13"/>
      <c r="G3296" s="13"/>
    </row>
    <row r="3297" spans="1:7" x14ac:dyDescent="0.25">
      <c r="A3297" s="13"/>
      <c r="B3297" s="13"/>
      <c r="C3297" s="13"/>
      <c r="D3297" s="13"/>
      <c r="E3297" s="13"/>
      <c r="G3297" s="13"/>
    </row>
    <row r="3298" spans="1:7" x14ac:dyDescent="0.25">
      <c r="A3298" s="13"/>
      <c r="B3298" s="13"/>
      <c r="C3298" s="13"/>
      <c r="D3298" s="13"/>
      <c r="E3298" s="13"/>
      <c r="G3298" s="13"/>
    </row>
    <row r="3299" spans="1:7" x14ac:dyDescent="0.25">
      <c r="A3299" s="13"/>
      <c r="B3299" s="13"/>
      <c r="C3299" s="13"/>
      <c r="D3299" s="13"/>
      <c r="E3299" s="13"/>
      <c r="G3299" s="13"/>
    </row>
    <row r="3300" spans="1:7" x14ac:dyDescent="0.25">
      <c r="A3300" s="13"/>
      <c r="B3300" s="13"/>
      <c r="C3300" s="13"/>
      <c r="D3300" s="13"/>
      <c r="E3300" s="13"/>
      <c r="G3300" s="13"/>
    </row>
    <row r="3301" spans="1:7" x14ac:dyDescent="0.25">
      <c r="A3301" s="13"/>
      <c r="B3301" s="13"/>
      <c r="C3301" s="13"/>
      <c r="D3301" s="13"/>
      <c r="E3301" s="13"/>
      <c r="G3301" s="13"/>
    </row>
    <row r="3302" spans="1:7" x14ac:dyDescent="0.25">
      <c r="A3302" s="13"/>
      <c r="B3302" s="13"/>
      <c r="C3302" s="13"/>
      <c r="D3302" s="13"/>
      <c r="E3302" s="13"/>
      <c r="G3302" s="13"/>
    </row>
    <row r="3303" spans="1:7" x14ac:dyDescent="0.25">
      <c r="A3303" s="13"/>
      <c r="B3303" s="13"/>
      <c r="C3303" s="13"/>
      <c r="D3303" s="13"/>
      <c r="E3303" s="13"/>
      <c r="G3303" s="13"/>
    </row>
    <row r="3304" spans="1:7" x14ac:dyDescent="0.25">
      <c r="A3304" s="13"/>
      <c r="B3304" s="13"/>
      <c r="C3304" s="13"/>
      <c r="D3304" s="13"/>
      <c r="E3304" s="13"/>
      <c r="G3304" s="13"/>
    </row>
    <row r="3305" spans="1:7" x14ac:dyDescent="0.25">
      <c r="A3305" s="13"/>
      <c r="B3305" s="13"/>
      <c r="C3305" s="13"/>
      <c r="D3305" s="13"/>
      <c r="E3305" s="13"/>
      <c r="G3305" s="13"/>
    </row>
    <row r="3306" spans="1:7" x14ac:dyDescent="0.25">
      <c r="A3306" s="13"/>
      <c r="B3306" s="13"/>
      <c r="C3306" s="13"/>
      <c r="D3306" s="13"/>
      <c r="E3306" s="13"/>
      <c r="G3306" s="13"/>
    </row>
    <row r="3307" spans="1:7" x14ac:dyDescent="0.25">
      <c r="A3307" s="13"/>
      <c r="B3307" s="13"/>
      <c r="C3307" s="13"/>
      <c r="D3307" s="13"/>
      <c r="E3307" s="13"/>
      <c r="G3307" s="13"/>
    </row>
    <row r="3308" spans="1:7" x14ac:dyDescent="0.25">
      <c r="A3308" s="13"/>
      <c r="B3308" s="13"/>
      <c r="C3308" s="13"/>
      <c r="D3308" s="13"/>
      <c r="E3308" s="13"/>
      <c r="G3308" s="13"/>
    </row>
    <row r="3309" spans="1:7" x14ac:dyDescent="0.25">
      <c r="A3309" s="13"/>
      <c r="B3309" s="13"/>
      <c r="C3309" s="13"/>
      <c r="D3309" s="13"/>
      <c r="E3309" s="13"/>
      <c r="G3309" s="13"/>
    </row>
    <row r="3310" spans="1:7" x14ac:dyDescent="0.25">
      <c r="A3310" s="13"/>
      <c r="B3310" s="13"/>
      <c r="C3310" s="13"/>
      <c r="D3310" s="13"/>
      <c r="E3310" s="13"/>
      <c r="G3310" s="13"/>
    </row>
    <row r="3311" spans="1:7" x14ac:dyDescent="0.25">
      <c r="A3311" s="13"/>
      <c r="B3311" s="13"/>
      <c r="C3311" s="13"/>
      <c r="D3311" s="13"/>
      <c r="E3311" s="13"/>
      <c r="G3311" s="13"/>
    </row>
    <row r="3312" spans="1:7" x14ac:dyDescent="0.25">
      <c r="A3312" s="13"/>
      <c r="B3312" s="13"/>
      <c r="C3312" s="13"/>
      <c r="D3312" s="13"/>
      <c r="E3312" s="13"/>
      <c r="G3312" s="13"/>
    </row>
    <row r="3313" spans="1:7" x14ac:dyDescent="0.25">
      <c r="A3313" s="13"/>
      <c r="B3313" s="13"/>
      <c r="C3313" s="13"/>
      <c r="D3313" s="13"/>
      <c r="E3313" s="13"/>
      <c r="G3313" s="13"/>
    </row>
    <row r="3314" spans="1:7" x14ac:dyDescent="0.25">
      <c r="A3314" s="13"/>
      <c r="B3314" s="13"/>
      <c r="C3314" s="13"/>
      <c r="D3314" s="13"/>
      <c r="E3314" s="13"/>
      <c r="G3314" s="13"/>
    </row>
    <row r="3315" spans="1:7" x14ac:dyDescent="0.25">
      <c r="A3315" s="13"/>
      <c r="B3315" s="13"/>
      <c r="C3315" s="13"/>
      <c r="D3315" s="13"/>
      <c r="E3315" s="13"/>
      <c r="G3315" s="13"/>
    </row>
    <row r="3316" spans="1:7" x14ac:dyDescent="0.25">
      <c r="A3316" s="13"/>
      <c r="B3316" s="13"/>
      <c r="C3316" s="13"/>
      <c r="D3316" s="13"/>
      <c r="E3316" s="13"/>
      <c r="G3316" s="13"/>
    </row>
    <row r="3317" spans="1:7" x14ac:dyDescent="0.25">
      <c r="A3317" s="13"/>
      <c r="B3317" s="13"/>
      <c r="C3317" s="13"/>
      <c r="D3317" s="13"/>
      <c r="E3317" s="13"/>
      <c r="G3317" s="13"/>
    </row>
    <row r="3318" spans="1:7" x14ac:dyDescent="0.25">
      <c r="A3318" s="13"/>
      <c r="B3318" s="13"/>
      <c r="C3318" s="13"/>
      <c r="D3318" s="13"/>
      <c r="E3318" s="13"/>
      <c r="G3318" s="13"/>
    </row>
    <row r="3319" spans="1:7" x14ac:dyDescent="0.25">
      <c r="A3319" s="13"/>
      <c r="B3319" s="13"/>
      <c r="C3319" s="13"/>
      <c r="D3319" s="13"/>
      <c r="E3319" s="13"/>
      <c r="G3319" s="13"/>
    </row>
    <row r="3320" spans="1:7" x14ac:dyDescent="0.25">
      <c r="A3320" s="13"/>
      <c r="B3320" s="13"/>
      <c r="C3320" s="13"/>
      <c r="D3320" s="13"/>
      <c r="E3320" s="13"/>
      <c r="G3320" s="13"/>
    </row>
    <row r="3321" spans="1:7" x14ac:dyDescent="0.25">
      <c r="A3321" s="13"/>
      <c r="B3321" s="13"/>
      <c r="C3321" s="13"/>
      <c r="D3321" s="13"/>
      <c r="E3321" s="13"/>
      <c r="G3321" s="13"/>
    </row>
    <row r="3322" spans="1:7" x14ac:dyDescent="0.25">
      <c r="A3322" s="13"/>
      <c r="B3322" s="13"/>
      <c r="C3322" s="13"/>
      <c r="D3322" s="13"/>
      <c r="E3322" s="13"/>
      <c r="G3322" s="13"/>
    </row>
    <row r="3323" spans="1:7" x14ac:dyDescent="0.25">
      <c r="A3323" s="13"/>
      <c r="B3323" s="13"/>
      <c r="C3323" s="13"/>
      <c r="D3323" s="13"/>
      <c r="E3323" s="13"/>
      <c r="G3323" s="13"/>
    </row>
    <row r="3324" spans="1:7" x14ac:dyDescent="0.25">
      <c r="A3324" s="13"/>
      <c r="B3324" s="13"/>
      <c r="C3324" s="13"/>
      <c r="D3324" s="13"/>
      <c r="E3324" s="13"/>
      <c r="G3324" s="13"/>
    </row>
    <row r="3325" spans="1:7" x14ac:dyDescent="0.25">
      <c r="A3325" s="13"/>
      <c r="B3325" s="13"/>
      <c r="C3325" s="13"/>
      <c r="D3325" s="13"/>
      <c r="E3325" s="13"/>
      <c r="G3325" s="13"/>
    </row>
    <row r="3326" spans="1:7" x14ac:dyDescent="0.25">
      <c r="A3326" s="13"/>
      <c r="B3326" s="13"/>
      <c r="C3326" s="13"/>
      <c r="D3326" s="13"/>
      <c r="E3326" s="13"/>
      <c r="G3326" s="13"/>
    </row>
    <row r="3327" spans="1:7" x14ac:dyDescent="0.25">
      <c r="A3327" s="13"/>
      <c r="B3327" s="13"/>
      <c r="C3327" s="13"/>
      <c r="D3327" s="13"/>
      <c r="E3327" s="13"/>
      <c r="G3327" s="13"/>
    </row>
    <row r="3328" spans="1:7" x14ac:dyDescent="0.25">
      <c r="A3328" s="13"/>
      <c r="B3328" s="13"/>
      <c r="C3328" s="13"/>
      <c r="D3328" s="13"/>
      <c r="E3328" s="13"/>
      <c r="G3328" s="13"/>
    </row>
    <row r="3329" spans="1:7" x14ac:dyDescent="0.25">
      <c r="A3329" s="13"/>
      <c r="B3329" s="13"/>
      <c r="C3329" s="13"/>
      <c r="D3329" s="13"/>
      <c r="E3329" s="13"/>
      <c r="G3329" s="13"/>
    </row>
    <row r="3330" spans="1:7" x14ac:dyDescent="0.25">
      <c r="A3330" s="13"/>
      <c r="B3330" s="13"/>
      <c r="C3330" s="13"/>
      <c r="D3330" s="13"/>
      <c r="E3330" s="13"/>
      <c r="G3330" s="13"/>
    </row>
    <row r="3331" spans="1:7" x14ac:dyDescent="0.25">
      <c r="A3331" s="13"/>
      <c r="B3331" s="13"/>
      <c r="C3331" s="13"/>
      <c r="D3331" s="13"/>
      <c r="E3331" s="13"/>
      <c r="G3331" s="13"/>
    </row>
    <row r="3332" spans="1:7" x14ac:dyDescent="0.25">
      <c r="A3332" s="13"/>
      <c r="B3332" s="13"/>
      <c r="C3332" s="13"/>
      <c r="D3332" s="13"/>
      <c r="E3332" s="13"/>
      <c r="G3332" s="13"/>
    </row>
    <row r="3333" spans="1:7" x14ac:dyDescent="0.25">
      <c r="A3333" s="13"/>
      <c r="B3333" s="13"/>
      <c r="C3333" s="13"/>
      <c r="D3333" s="13"/>
      <c r="E3333" s="13"/>
      <c r="G3333" s="13"/>
    </row>
    <row r="3334" spans="1:7" x14ac:dyDescent="0.25">
      <c r="A3334" s="13"/>
      <c r="B3334" s="13"/>
      <c r="C3334" s="13"/>
      <c r="D3334" s="13"/>
      <c r="E3334" s="13"/>
      <c r="G3334" s="13"/>
    </row>
    <row r="3335" spans="1:7" x14ac:dyDescent="0.25">
      <c r="A3335" s="13"/>
      <c r="B3335" s="13"/>
      <c r="C3335" s="13"/>
      <c r="D3335" s="13"/>
      <c r="E3335" s="13"/>
      <c r="G3335" s="13"/>
    </row>
    <row r="3336" spans="1:7" x14ac:dyDescent="0.25">
      <c r="A3336" s="13"/>
      <c r="B3336" s="13"/>
      <c r="C3336" s="13"/>
      <c r="D3336" s="13"/>
      <c r="E3336" s="13"/>
      <c r="G3336" s="13"/>
    </row>
    <row r="3337" spans="1:7" x14ac:dyDescent="0.25">
      <c r="A3337" s="13"/>
      <c r="B3337" s="13"/>
      <c r="C3337" s="13"/>
      <c r="D3337" s="13"/>
      <c r="E3337" s="13"/>
      <c r="G3337" s="13"/>
    </row>
    <row r="3338" spans="1:7" x14ac:dyDescent="0.25">
      <c r="A3338" s="13"/>
      <c r="B3338" s="13"/>
      <c r="C3338" s="13"/>
      <c r="D3338" s="13"/>
      <c r="E3338" s="13"/>
      <c r="G3338" s="13"/>
    </row>
    <row r="3339" spans="1:7" x14ac:dyDescent="0.25">
      <c r="A3339" s="13"/>
      <c r="B3339" s="13"/>
      <c r="C3339" s="13"/>
      <c r="D3339" s="13"/>
      <c r="E3339" s="13"/>
      <c r="G3339" s="13"/>
    </row>
    <row r="3340" spans="1:7" x14ac:dyDescent="0.25">
      <c r="A3340" s="13"/>
      <c r="B3340" s="13"/>
      <c r="C3340" s="13"/>
      <c r="D3340" s="13"/>
      <c r="E3340" s="13"/>
      <c r="G3340" s="13"/>
    </row>
    <row r="3341" spans="1:7" x14ac:dyDescent="0.25">
      <c r="A3341" s="13"/>
      <c r="B3341" s="13"/>
      <c r="C3341" s="13"/>
      <c r="D3341" s="13"/>
      <c r="E3341" s="13"/>
      <c r="G3341" s="13"/>
    </row>
    <row r="3342" spans="1:7" x14ac:dyDescent="0.25">
      <c r="A3342" s="13"/>
      <c r="B3342" s="13"/>
      <c r="C3342" s="13"/>
      <c r="D3342" s="13"/>
      <c r="E3342" s="13"/>
      <c r="G3342" s="13"/>
    </row>
    <row r="3343" spans="1:7" x14ac:dyDescent="0.25">
      <c r="A3343" s="13"/>
      <c r="B3343" s="13"/>
      <c r="C3343" s="13"/>
      <c r="D3343" s="13"/>
      <c r="E3343" s="13"/>
      <c r="G3343" s="13"/>
    </row>
    <row r="3344" spans="1:7" x14ac:dyDescent="0.25">
      <c r="A3344" s="13"/>
      <c r="B3344" s="13"/>
      <c r="C3344" s="13"/>
      <c r="D3344" s="13"/>
      <c r="E3344" s="13"/>
      <c r="G3344" s="13"/>
    </row>
    <row r="3345" spans="1:7" x14ac:dyDescent="0.25">
      <c r="A3345" s="13"/>
      <c r="B3345" s="13"/>
      <c r="C3345" s="13"/>
      <c r="D3345" s="13"/>
      <c r="E3345" s="13"/>
      <c r="G3345" s="13"/>
    </row>
    <row r="3346" spans="1:7" x14ac:dyDescent="0.25">
      <c r="A3346" s="13"/>
      <c r="B3346" s="13"/>
      <c r="C3346" s="13"/>
      <c r="D3346" s="13"/>
      <c r="E3346" s="13"/>
      <c r="G3346" s="13"/>
    </row>
    <row r="3347" spans="1:7" x14ac:dyDescent="0.25">
      <c r="A3347" s="13"/>
      <c r="B3347" s="13"/>
      <c r="C3347" s="13"/>
      <c r="D3347" s="13"/>
      <c r="E3347" s="13"/>
      <c r="G3347" s="13"/>
    </row>
    <row r="3348" spans="1:7" x14ac:dyDescent="0.25">
      <c r="A3348" s="13"/>
      <c r="B3348" s="13"/>
      <c r="C3348" s="13"/>
      <c r="D3348" s="13"/>
      <c r="E3348" s="13"/>
      <c r="G3348" s="13"/>
    </row>
    <row r="3349" spans="1:7" x14ac:dyDescent="0.25">
      <c r="A3349" s="13"/>
      <c r="B3349" s="13"/>
      <c r="C3349" s="13"/>
      <c r="D3349" s="13"/>
      <c r="E3349" s="13"/>
      <c r="G3349" s="13"/>
    </row>
    <row r="3350" spans="1:7" x14ac:dyDescent="0.25">
      <c r="A3350" s="13"/>
      <c r="B3350" s="13"/>
      <c r="C3350" s="13"/>
      <c r="D3350" s="13"/>
      <c r="E3350" s="13"/>
      <c r="G3350" s="13"/>
    </row>
    <row r="3351" spans="1:7" x14ac:dyDescent="0.25">
      <c r="A3351" s="13"/>
      <c r="B3351" s="13"/>
      <c r="C3351" s="13"/>
      <c r="D3351" s="13"/>
      <c r="E3351" s="13"/>
      <c r="G3351" s="13"/>
    </row>
    <row r="3352" spans="1:7" x14ac:dyDescent="0.25">
      <c r="A3352" s="13"/>
      <c r="B3352" s="13"/>
      <c r="C3352" s="13"/>
      <c r="D3352" s="13"/>
      <c r="E3352" s="13"/>
      <c r="G3352" s="13"/>
    </row>
    <row r="3353" spans="1:7" x14ac:dyDescent="0.25">
      <c r="A3353" s="13"/>
      <c r="B3353" s="13"/>
      <c r="C3353" s="13"/>
      <c r="D3353" s="13"/>
      <c r="E3353" s="13"/>
      <c r="G3353" s="13"/>
    </row>
    <row r="3354" spans="1:7" x14ac:dyDescent="0.25">
      <c r="A3354" s="13"/>
      <c r="B3354" s="13"/>
      <c r="C3354" s="13"/>
      <c r="D3354" s="13"/>
      <c r="E3354" s="13"/>
      <c r="G3354" s="13"/>
    </row>
    <row r="3355" spans="1:7" x14ac:dyDescent="0.25">
      <c r="A3355" s="13"/>
      <c r="B3355" s="13"/>
      <c r="C3355" s="13"/>
      <c r="D3355" s="13"/>
      <c r="E3355" s="13"/>
      <c r="G3355" s="13"/>
    </row>
    <row r="3356" spans="1:7" x14ac:dyDescent="0.25">
      <c r="A3356" s="13"/>
      <c r="B3356" s="13"/>
      <c r="C3356" s="13"/>
      <c r="D3356" s="13"/>
      <c r="E3356" s="13"/>
      <c r="G3356" s="13"/>
    </row>
    <row r="3357" spans="1:7" x14ac:dyDescent="0.25">
      <c r="A3357" s="13"/>
      <c r="B3357" s="13"/>
      <c r="C3357" s="13"/>
      <c r="D3357" s="13"/>
      <c r="E3357" s="13"/>
      <c r="G3357" s="13"/>
    </row>
    <row r="3358" spans="1:7" x14ac:dyDescent="0.25">
      <c r="A3358" s="13"/>
      <c r="B3358" s="13"/>
      <c r="C3358" s="13"/>
      <c r="D3358" s="13"/>
      <c r="E3358" s="13"/>
      <c r="G3358" s="13"/>
    </row>
    <row r="3359" spans="1:7" x14ac:dyDescent="0.25">
      <c r="A3359" s="13"/>
      <c r="B3359" s="13"/>
      <c r="C3359" s="13"/>
      <c r="D3359" s="13"/>
      <c r="E3359" s="13"/>
      <c r="G3359" s="13"/>
    </row>
    <row r="3360" spans="1:7" x14ac:dyDescent="0.25">
      <c r="A3360" s="13"/>
      <c r="B3360" s="13"/>
      <c r="C3360" s="13"/>
      <c r="D3360" s="13"/>
      <c r="E3360" s="13"/>
      <c r="G3360" s="13"/>
    </row>
    <row r="3361" spans="1:7" x14ac:dyDescent="0.25">
      <c r="A3361" s="13"/>
      <c r="B3361" s="13"/>
      <c r="C3361" s="13"/>
      <c r="D3361" s="13"/>
      <c r="E3361" s="13"/>
      <c r="G3361" s="13"/>
    </row>
    <row r="3362" spans="1:7" x14ac:dyDescent="0.25">
      <c r="A3362" s="13"/>
      <c r="B3362" s="13"/>
      <c r="C3362" s="13"/>
      <c r="D3362" s="13"/>
      <c r="E3362" s="13"/>
      <c r="G3362" s="13"/>
    </row>
    <row r="3363" spans="1:7" x14ac:dyDescent="0.25">
      <c r="A3363" s="13"/>
      <c r="B3363" s="13"/>
      <c r="C3363" s="13"/>
      <c r="D3363" s="13"/>
      <c r="E3363" s="13"/>
      <c r="G3363" s="13"/>
    </row>
    <row r="3364" spans="1:7" x14ac:dyDescent="0.25">
      <c r="A3364" s="13"/>
      <c r="B3364" s="13"/>
      <c r="C3364" s="13"/>
      <c r="D3364" s="13"/>
      <c r="E3364" s="13"/>
      <c r="G3364" s="13"/>
    </row>
    <row r="3365" spans="1:7" x14ac:dyDescent="0.25">
      <c r="A3365" s="13"/>
      <c r="B3365" s="13"/>
      <c r="C3365" s="13"/>
      <c r="D3365" s="13"/>
      <c r="E3365" s="13"/>
      <c r="G3365" s="13"/>
    </row>
    <row r="3366" spans="1:7" x14ac:dyDescent="0.25">
      <c r="A3366" s="13"/>
      <c r="B3366" s="13"/>
      <c r="C3366" s="13"/>
      <c r="D3366" s="13"/>
      <c r="E3366" s="13"/>
      <c r="G3366" s="13"/>
    </row>
    <row r="3367" spans="1:7" x14ac:dyDescent="0.25">
      <c r="A3367" s="13"/>
      <c r="B3367" s="13"/>
      <c r="C3367" s="13"/>
      <c r="D3367" s="13"/>
      <c r="E3367" s="13"/>
      <c r="G3367" s="13"/>
    </row>
    <row r="3368" spans="1:7" x14ac:dyDescent="0.25">
      <c r="A3368" s="13"/>
      <c r="B3368" s="13"/>
      <c r="C3368" s="13"/>
      <c r="D3368" s="13"/>
      <c r="E3368" s="13"/>
      <c r="G3368" s="13"/>
    </row>
    <row r="3369" spans="1:7" x14ac:dyDescent="0.25">
      <c r="A3369" s="13"/>
      <c r="B3369" s="13"/>
      <c r="C3369" s="13"/>
      <c r="D3369" s="13"/>
      <c r="E3369" s="13"/>
      <c r="G3369" s="13"/>
    </row>
    <row r="3370" spans="1:7" x14ac:dyDescent="0.25">
      <c r="A3370" s="13"/>
      <c r="B3370" s="13"/>
      <c r="C3370" s="13"/>
      <c r="D3370" s="13"/>
      <c r="E3370" s="13"/>
      <c r="G3370" s="13"/>
    </row>
    <row r="3371" spans="1:7" x14ac:dyDescent="0.25">
      <c r="A3371" s="13"/>
      <c r="B3371" s="13"/>
      <c r="C3371" s="13"/>
      <c r="D3371" s="13"/>
      <c r="E3371" s="13"/>
      <c r="G3371" s="13"/>
    </row>
    <row r="3372" spans="1:7" x14ac:dyDescent="0.25">
      <c r="A3372" s="13"/>
      <c r="B3372" s="13"/>
      <c r="C3372" s="13"/>
      <c r="D3372" s="13"/>
      <c r="E3372" s="13"/>
      <c r="G3372" s="13"/>
    </row>
    <row r="3373" spans="1:7" x14ac:dyDescent="0.25">
      <c r="A3373" s="13"/>
      <c r="B3373" s="13"/>
      <c r="C3373" s="13"/>
      <c r="D3373" s="13"/>
      <c r="E3373" s="13"/>
      <c r="G3373" s="13"/>
    </row>
    <row r="3374" spans="1:7" x14ac:dyDescent="0.25">
      <c r="A3374" s="13"/>
      <c r="B3374" s="13"/>
      <c r="C3374" s="13"/>
      <c r="D3374" s="13"/>
      <c r="E3374" s="13"/>
      <c r="G3374" s="13"/>
    </row>
    <row r="3375" spans="1:7" x14ac:dyDescent="0.25">
      <c r="A3375" s="13"/>
      <c r="B3375" s="13"/>
      <c r="C3375" s="13"/>
      <c r="D3375" s="13"/>
      <c r="E3375" s="13"/>
      <c r="G3375" s="13"/>
    </row>
    <row r="3376" spans="1:7" x14ac:dyDescent="0.25">
      <c r="A3376" s="13"/>
      <c r="B3376" s="13"/>
      <c r="C3376" s="13"/>
      <c r="D3376" s="13"/>
      <c r="E3376" s="13"/>
      <c r="G3376" s="13"/>
    </row>
    <row r="3377" spans="1:7" x14ac:dyDescent="0.25">
      <c r="A3377" s="13"/>
      <c r="B3377" s="13"/>
      <c r="C3377" s="13"/>
      <c r="D3377" s="13"/>
      <c r="E3377" s="13"/>
      <c r="G3377" s="13"/>
    </row>
    <row r="3378" spans="1:7" x14ac:dyDescent="0.25">
      <c r="A3378" s="13"/>
      <c r="B3378" s="13"/>
      <c r="C3378" s="13"/>
      <c r="D3378" s="13"/>
      <c r="E3378" s="13"/>
      <c r="G3378" s="13"/>
    </row>
    <row r="3379" spans="1:7" x14ac:dyDescent="0.25">
      <c r="A3379" s="13"/>
      <c r="B3379" s="13"/>
      <c r="C3379" s="13"/>
      <c r="D3379" s="13"/>
      <c r="E3379" s="13"/>
      <c r="G3379" s="13"/>
    </row>
    <row r="3380" spans="1:7" x14ac:dyDescent="0.25">
      <c r="A3380" s="13"/>
      <c r="B3380" s="13"/>
      <c r="C3380" s="13"/>
      <c r="D3380" s="13"/>
      <c r="E3380" s="13"/>
      <c r="G3380" s="13"/>
    </row>
    <row r="3381" spans="1:7" x14ac:dyDescent="0.25">
      <c r="A3381" s="13"/>
      <c r="B3381" s="13"/>
      <c r="C3381" s="13"/>
      <c r="D3381" s="13"/>
      <c r="E3381" s="13"/>
      <c r="G3381" s="13"/>
    </row>
    <row r="3382" spans="1:7" x14ac:dyDescent="0.25">
      <c r="A3382" s="13"/>
      <c r="B3382" s="13"/>
      <c r="C3382" s="13"/>
      <c r="D3382" s="13"/>
      <c r="E3382" s="13"/>
      <c r="G3382" s="13"/>
    </row>
    <row r="3383" spans="1:7" x14ac:dyDescent="0.25">
      <c r="A3383" s="13"/>
      <c r="B3383" s="13"/>
      <c r="C3383" s="13"/>
      <c r="D3383" s="13"/>
      <c r="E3383" s="13"/>
      <c r="G3383" s="13"/>
    </row>
    <row r="3384" spans="1:7" x14ac:dyDescent="0.25">
      <c r="A3384" s="13"/>
      <c r="B3384" s="13"/>
      <c r="C3384" s="13"/>
      <c r="D3384" s="13"/>
      <c r="E3384" s="13"/>
      <c r="G3384" s="13"/>
    </row>
    <row r="3385" spans="1:7" x14ac:dyDescent="0.25">
      <c r="A3385" s="13"/>
      <c r="B3385" s="13"/>
      <c r="C3385" s="13"/>
      <c r="D3385" s="13"/>
      <c r="E3385" s="13"/>
      <c r="G3385" s="13"/>
    </row>
    <row r="3386" spans="1:7" x14ac:dyDescent="0.25">
      <c r="A3386" s="13"/>
      <c r="B3386" s="13"/>
      <c r="C3386" s="13"/>
      <c r="D3386" s="13"/>
      <c r="E3386" s="13"/>
      <c r="G3386" s="13"/>
    </row>
    <row r="3387" spans="1:7" x14ac:dyDescent="0.25">
      <c r="A3387" s="13"/>
      <c r="B3387" s="13"/>
      <c r="C3387" s="13"/>
      <c r="D3387" s="13"/>
      <c r="E3387" s="13"/>
      <c r="G3387" s="13"/>
    </row>
    <row r="3388" spans="1:7" x14ac:dyDescent="0.25">
      <c r="A3388" s="13"/>
      <c r="B3388" s="13"/>
      <c r="C3388" s="13"/>
      <c r="D3388" s="13"/>
      <c r="E3388" s="13"/>
      <c r="G3388" s="13"/>
    </row>
    <row r="3389" spans="1:7" x14ac:dyDescent="0.25">
      <c r="A3389" s="13"/>
      <c r="B3389" s="13"/>
      <c r="C3389" s="13"/>
      <c r="D3389" s="13"/>
      <c r="E3389" s="13"/>
      <c r="G3389" s="13"/>
    </row>
    <row r="3390" spans="1:7" x14ac:dyDescent="0.25">
      <c r="A3390" s="13"/>
      <c r="B3390" s="13"/>
      <c r="C3390" s="13"/>
      <c r="D3390" s="13"/>
      <c r="E3390" s="13"/>
      <c r="G3390" s="13"/>
    </row>
    <row r="3391" spans="1:7" x14ac:dyDescent="0.25">
      <c r="A3391" s="13"/>
      <c r="B3391" s="13"/>
      <c r="C3391" s="13"/>
      <c r="D3391" s="13"/>
      <c r="E3391" s="13"/>
      <c r="G3391" s="13"/>
    </row>
    <row r="3392" spans="1:7" x14ac:dyDescent="0.25">
      <c r="A3392" s="13"/>
      <c r="B3392" s="13"/>
      <c r="C3392" s="13"/>
      <c r="D3392" s="13"/>
      <c r="E3392" s="13"/>
      <c r="G3392" s="13"/>
    </row>
    <row r="3393" spans="1:7" x14ac:dyDescent="0.25">
      <c r="A3393" s="13"/>
      <c r="B3393" s="13"/>
      <c r="C3393" s="13"/>
      <c r="D3393" s="13"/>
      <c r="E3393" s="13"/>
      <c r="G3393" s="13"/>
    </row>
    <row r="3394" spans="1:7" x14ac:dyDescent="0.25">
      <c r="A3394" s="13"/>
      <c r="B3394" s="13"/>
      <c r="C3394" s="13"/>
      <c r="D3394" s="13"/>
      <c r="E3394" s="13"/>
      <c r="G3394" s="13"/>
    </row>
    <row r="3395" spans="1:7" x14ac:dyDescent="0.25">
      <c r="A3395" s="13"/>
      <c r="B3395" s="13"/>
      <c r="C3395" s="13"/>
      <c r="D3395" s="13"/>
      <c r="E3395" s="13"/>
      <c r="G3395" s="13"/>
    </row>
    <row r="3396" spans="1:7" x14ac:dyDescent="0.25">
      <c r="A3396" s="13"/>
      <c r="B3396" s="13"/>
      <c r="C3396" s="13"/>
      <c r="D3396" s="13"/>
      <c r="E3396" s="13"/>
      <c r="G3396" s="13"/>
    </row>
    <row r="3397" spans="1:7" x14ac:dyDescent="0.25">
      <c r="A3397" s="13"/>
      <c r="B3397" s="13"/>
      <c r="C3397" s="13"/>
      <c r="D3397" s="13"/>
      <c r="E3397" s="13"/>
      <c r="G3397" s="13"/>
    </row>
    <row r="3398" spans="1:7" x14ac:dyDescent="0.25">
      <c r="A3398" s="13"/>
      <c r="B3398" s="13"/>
      <c r="C3398" s="13"/>
      <c r="D3398" s="13"/>
      <c r="E3398" s="13"/>
      <c r="G3398" s="13"/>
    </row>
    <row r="3399" spans="1:7" x14ac:dyDescent="0.25">
      <c r="A3399" s="13"/>
      <c r="B3399" s="13"/>
      <c r="C3399" s="13"/>
      <c r="D3399" s="13"/>
      <c r="E3399" s="13"/>
      <c r="G3399" s="13"/>
    </row>
    <row r="3400" spans="1:7" x14ac:dyDescent="0.25">
      <c r="A3400" s="13"/>
      <c r="B3400" s="13"/>
      <c r="C3400" s="13"/>
      <c r="D3400" s="13"/>
      <c r="E3400" s="13"/>
      <c r="G3400" s="13"/>
    </row>
    <row r="3401" spans="1:7" x14ac:dyDescent="0.25">
      <c r="A3401" s="13"/>
      <c r="B3401" s="13"/>
      <c r="C3401" s="13"/>
      <c r="D3401" s="13"/>
      <c r="E3401" s="13"/>
      <c r="G3401" s="13"/>
    </row>
    <row r="3402" spans="1:7" x14ac:dyDescent="0.25">
      <c r="A3402" s="13"/>
      <c r="B3402" s="13"/>
      <c r="C3402" s="13"/>
      <c r="D3402" s="13"/>
      <c r="E3402" s="13"/>
      <c r="G3402" s="13"/>
    </row>
    <row r="3403" spans="1:7" x14ac:dyDescent="0.25">
      <c r="A3403" s="13"/>
      <c r="B3403" s="13"/>
      <c r="C3403" s="13"/>
      <c r="D3403" s="13"/>
      <c r="E3403" s="13"/>
      <c r="G3403" s="13"/>
    </row>
    <row r="3404" spans="1:7" x14ac:dyDescent="0.25">
      <c r="A3404" s="13"/>
      <c r="B3404" s="13"/>
      <c r="C3404" s="13"/>
      <c r="D3404" s="13"/>
      <c r="E3404" s="13"/>
      <c r="G3404" s="13"/>
    </row>
    <row r="3405" spans="1:7" x14ac:dyDescent="0.25">
      <c r="A3405" s="13"/>
      <c r="B3405" s="13"/>
      <c r="C3405" s="13"/>
      <c r="D3405" s="13"/>
      <c r="E3405" s="13"/>
      <c r="G3405" s="13"/>
    </row>
    <row r="3406" spans="1:7" x14ac:dyDescent="0.25">
      <c r="A3406" s="13"/>
      <c r="B3406" s="13"/>
      <c r="C3406" s="13"/>
      <c r="D3406" s="13"/>
      <c r="E3406" s="13"/>
      <c r="G3406" s="13"/>
    </row>
    <row r="3407" spans="1:7" x14ac:dyDescent="0.25">
      <c r="A3407" s="13"/>
      <c r="B3407" s="13"/>
      <c r="C3407" s="13"/>
      <c r="D3407" s="13"/>
      <c r="E3407" s="13"/>
      <c r="G3407" s="13"/>
    </row>
    <row r="3408" spans="1:7" x14ac:dyDescent="0.25">
      <c r="A3408" s="13"/>
      <c r="B3408" s="13"/>
      <c r="C3408" s="13"/>
      <c r="D3408" s="13"/>
      <c r="E3408" s="13"/>
      <c r="G3408" s="13"/>
    </row>
    <row r="3409" spans="1:7" x14ac:dyDescent="0.25">
      <c r="A3409" s="13"/>
      <c r="B3409" s="13"/>
      <c r="C3409" s="13"/>
      <c r="D3409" s="13"/>
      <c r="E3409" s="13"/>
      <c r="G3409" s="13"/>
    </row>
    <row r="3410" spans="1:7" x14ac:dyDescent="0.25">
      <c r="A3410" s="13"/>
      <c r="B3410" s="13"/>
      <c r="C3410" s="13"/>
      <c r="D3410" s="13"/>
      <c r="E3410" s="13"/>
      <c r="G3410" s="13"/>
    </row>
    <row r="3411" spans="1:7" x14ac:dyDescent="0.25">
      <c r="A3411" s="13"/>
      <c r="B3411" s="13"/>
      <c r="C3411" s="13"/>
      <c r="D3411" s="13"/>
      <c r="E3411" s="13"/>
      <c r="G3411" s="13"/>
    </row>
    <row r="3412" spans="1:7" x14ac:dyDescent="0.25">
      <c r="A3412" s="13"/>
      <c r="B3412" s="13"/>
      <c r="C3412" s="13"/>
      <c r="D3412" s="13"/>
      <c r="E3412" s="13"/>
      <c r="G3412" s="13"/>
    </row>
    <row r="3413" spans="1:7" x14ac:dyDescent="0.25">
      <c r="A3413" s="13"/>
      <c r="B3413" s="13"/>
      <c r="C3413" s="13"/>
      <c r="D3413" s="13"/>
      <c r="E3413" s="13"/>
      <c r="G3413" s="13"/>
    </row>
    <row r="3414" spans="1:7" x14ac:dyDescent="0.25">
      <c r="A3414" s="13"/>
      <c r="B3414" s="13"/>
      <c r="C3414" s="13"/>
      <c r="D3414" s="13"/>
      <c r="E3414" s="13"/>
      <c r="G3414" s="13"/>
    </row>
    <row r="3415" spans="1:7" x14ac:dyDescent="0.25">
      <c r="A3415" s="13"/>
      <c r="B3415" s="13"/>
      <c r="C3415" s="13"/>
      <c r="D3415" s="13"/>
      <c r="E3415" s="13"/>
      <c r="G3415" s="13"/>
    </row>
    <row r="3416" spans="1:7" x14ac:dyDescent="0.25">
      <c r="A3416" s="13"/>
      <c r="B3416" s="13"/>
      <c r="C3416" s="13"/>
      <c r="D3416" s="13"/>
      <c r="E3416" s="13"/>
      <c r="G3416" s="13"/>
    </row>
    <row r="3417" spans="1:7" x14ac:dyDescent="0.25">
      <c r="A3417" s="13"/>
      <c r="B3417" s="13"/>
      <c r="C3417" s="13"/>
      <c r="D3417" s="13"/>
      <c r="E3417" s="13"/>
      <c r="G3417" s="13"/>
    </row>
    <row r="3418" spans="1:7" x14ac:dyDescent="0.25">
      <c r="A3418" s="13"/>
      <c r="B3418" s="13"/>
      <c r="C3418" s="13"/>
      <c r="D3418" s="13"/>
      <c r="E3418" s="13"/>
      <c r="G3418" s="13"/>
    </row>
    <row r="3419" spans="1:7" x14ac:dyDescent="0.25">
      <c r="A3419" s="13"/>
      <c r="B3419" s="13"/>
      <c r="C3419" s="13"/>
      <c r="D3419" s="13"/>
      <c r="E3419" s="13"/>
      <c r="G3419" s="13"/>
    </row>
    <row r="3420" spans="1:7" x14ac:dyDescent="0.25">
      <c r="A3420" s="13"/>
      <c r="B3420" s="13"/>
      <c r="C3420" s="13"/>
      <c r="D3420" s="13"/>
      <c r="E3420" s="13"/>
      <c r="G3420" s="13"/>
    </row>
    <row r="3421" spans="1:7" x14ac:dyDescent="0.25">
      <c r="A3421" s="13"/>
      <c r="B3421" s="13"/>
      <c r="C3421" s="13"/>
      <c r="D3421" s="13"/>
      <c r="E3421" s="13"/>
      <c r="G3421" s="13"/>
    </row>
    <row r="3422" spans="1:7" x14ac:dyDescent="0.25">
      <c r="A3422" s="13"/>
      <c r="B3422" s="13"/>
      <c r="C3422" s="13"/>
      <c r="D3422" s="13"/>
      <c r="E3422" s="13"/>
      <c r="G3422" s="13"/>
    </row>
    <row r="3423" spans="1:7" x14ac:dyDescent="0.25">
      <c r="A3423" s="13"/>
      <c r="B3423" s="13"/>
      <c r="C3423" s="13"/>
      <c r="D3423" s="13"/>
      <c r="E3423" s="13"/>
      <c r="G3423" s="13"/>
    </row>
    <row r="3424" spans="1:7" x14ac:dyDescent="0.25">
      <c r="A3424" s="13"/>
      <c r="B3424" s="13"/>
      <c r="C3424" s="13"/>
      <c r="D3424" s="13"/>
      <c r="E3424" s="13"/>
      <c r="G3424" s="13"/>
    </row>
    <row r="3425" spans="1:7" x14ac:dyDescent="0.25">
      <c r="A3425" s="13"/>
      <c r="B3425" s="13"/>
      <c r="C3425" s="13"/>
      <c r="D3425" s="13"/>
      <c r="E3425" s="13"/>
      <c r="G3425" s="13"/>
    </row>
    <row r="3426" spans="1:7" x14ac:dyDescent="0.25">
      <c r="A3426" s="13"/>
      <c r="B3426" s="13"/>
      <c r="C3426" s="13"/>
      <c r="D3426" s="13"/>
      <c r="E3426" s="13"/>
      <c r="G3426" s="13"/>
    </row>
    <row r="3427" spans="1:7" x14ac:dyDescent="0.25">
      <c r="A3427" s="13"/>
      <c r="B3427" s="13"/>
      <c r="C3427" s="13"/>
      <c r="D3427" s="13"/>
      <c r="E3427" s="13"/>
      <c r="G3427" s="13"/>
    </row>
    <row r="3428" spans="1:7" x14ac:dyDescent="0.25">
      <c r="A3428" s="13"/>
      <c r="B3428" s="13"/>
      <c r="C3428" s="13"/>
      <c r="D3428" s="13"/>
      <c r="E3428" s="13"/>
      <c r="G3428" s="13"/>
    </row>
    <row r="3429" spans="1:7" x14ac:dyDescent="0.25">
      <c r="A3429" s="13"/>
      <c r="B3429" s="13"/>
      <c r="C3429" s="13"/>
      <c r="D3429" s="13"/>
      <c r="E3429" s="13"/>
      <c r="G3429" s="13"/>
    </row>
    <row r="3430" spans="1:7" x14ac:dyDescent="0.25">
      <c r="A3430" s="13"/>
      <c r="B3430" s="13"/>
      <c r="C3430" s="13"/>
      <c r="D3430" s="13"/>
      <c r="E3430" s="13"/>
      <c r="G3430" s="13"/>
    </row>
    <row r="3431" spans="1:7" x14ac:dyDescent="0.25">
      <c r="A3431" s="13"/>
      <c r="B3431" s="13"/>
      <c r="C3431" s="13"/>
      <c r="D3431" s="13"/>
      <c r="E3431" s="13"/>
      <c r="G3431" s="13"/>
    </row>
    <row r="3432" spans="1:7" x14ac:dyDescent="0.25">
      <c r="A3432" s="13"/>
      <c r="B3432" s="13"/>
      <c r="C3432" s="13"/>
      <c r="D3432" s="13"/>
      <c r="E3432" s="13"/>
      <c r="G3432" s="13"/>
    </row>
    <row r="3433" spans="1:7" x14ac:dyDescent="0.25">
      <c r="A3433" s="13"/>
      <c r="B3433" s="13"/>
      <c r="C3433" s="13"/>
      <c r="D3433" s="13"/>
      <c r="E3433" s="13"/>
      <c r="G3433" s="13"/>
    </row>
    <row r="3434" spans="1:7" x14ac:dyDescent="0.25">
      <c r="A3434" s="13"/>
      <c r="B3434" s="13"/>
      <c r="C3434" s="13"/>
      <c r="D3434" s="13"/>
      <c r="E3434" s="13"/>
      <c r="G3434" s="13"/>
    </row>
    <row r="3435" spans="1:7" x14ac:dyDescent="0.25">
      <c r="A3435" s="13"/>
      <c r="B3435" s="13"/>
      <c r="C3435" s="13"/>
      <c r="D3435" s="13"/>
      <c r="E3435" s="13"/>
      <c r="G3435" s="13"/>
    </row>
    <row r="3436" spans="1:7" x14ac:dyDescent="0.25">
      <c r="A3436" s="13"/>
      <c r="B3436" s="13"/>
      <c r="C3436" s="13"/>
      <c r="D3436" s="13"/>
      <c r="E3436" s="13"/>
      <c r="G3436" s="13"/>
    </row>
    <row r="3437" spans="1:7" x14ac:dyDescent="0.25">
      <c r="A3437" s="13"/>
      <c r="B3437" s="13"/>
      <c r="C3437" s="13"/>
      <c r="D3437" s="13"/>
      <c r="E3437" s="13"/>
      <c r="G3437" s="13"/>
    </row>
    <row r="3438" spans="1:7" x14ac:dyDescent="0.25">
      <c r="A3438" s="13"/>
      <c r="B3438" s="13"/>
      <c r="C3438" s="13"/>
      <c r="D3438" s="13"/>
      <c r="E3438" s="13"/>
      <c r="G3438" s="13"/>
    </row>
    <row r="3439" spans="1:7" x14ac:dyDescent="0.25">
      <c r="A3439" s="13"/>
      <c r="B3439" s="13"/>
      <c r="C3439" s="13"/>
      <c r="D3439" s="13"/>
      <c r="E3439" s="13"/>
      <c r="G3439" s="13"/>
    </row>
    <row r="3440" spans="1:7" x14ac:dyDescent="0.25">
      <c r="A3440" s="13"/>
      <c r="B3440" s="13"/>
      <c r="C3440" s="13"/>
      <c r="D3440" s="13"/>
      <c r="E3440" s="13"/>
      <c r="G3440" s="13"/>
    </row>
    <row r="3441" spans="1:7" x14ac:dyDescent="0.25">
      <c r="A3441" s="13"/>
      <c r="B3441" s="13"/>
      <c r="C3441" s="13"/>
      <c r="D3441" s="13"/>
      <c r="E3441" s="13"/>
      <c r="G3441" s="13"/>
    </row>
    <row r="3442" spans="1:7" x14ac:dyDescent="0.25">
      <c r="A3442" s="13"/>
      <c r="B3442" s="13"/>
      <c r="C3442" s="13"/>
      <c r="D3442" s="13"/>
      <c r="E3442" s="13"/>
      <c r="G3442" s="13"/>
    </row>
    <row r="3443" spans="1:7" x14ac:dyDescent="0.25">
      <c r="A3443" s="13"/>
      <c r="B3443" s="13"/>
      <c r="C3443" s="13"/>
      <c r="D3443" s="13"/>
      <c r="E3443" s="13"/>
      <c r="G3443" s="13"/>
    </row>
    <row r="3444" spans="1:7" x14ac:dyDescent="0.25">
      <c r="A3444" s="13"/>
      <c r="B3444" s="13"/>
      <c r="C3444" s="13"/>
      <c r="D3444" s="13"/>
      <c r="E3444" s="13"/>
      <c r="G3444" s="13"/>
    </row>
    <row r="3445" spans="1:7" x14ac:dyDescent="0.25">
      <c r="A3445" s="13"/>
      <c r="B3445" s="13"/>
      <c r="C3445" s="13"/>
      <c r="D3445" s="13"/>
      <c r="E3445" s="13"/>
      <c r="G3445" s="13"/>
    </row>
    <row r="3446" spans="1:7" x14ac:dyDescent="0.25">
      <c r="A3446" s="13"/>
      <c r="B3446" s="13"/>
      <c r="C3446" s="13"/>
      <c r="D3446" s="13"/>
      <c r="E3446" s="13"/>
      <c r="G3446" s="13"/>
    </row>
    <row r="3447" spans="1:7" x14ac:dyDescent="0.25">
      <c r="A3447" s="13"/>
      <c r="B3447" s="13"/>
      <c r="C3447" s="13"/>
      <c r="D3447" s="13"/>
      <c r="E3447" s="13"/>
      <c r="G3447" s="13"/>
    </row>
    <row r="3448" spans="1:7" x14ac:dyDescent="0.25">
      <c r="A3448" s="13"/>
      <c r="B3448" s="13"/>
      <c r="C3448" s="13"/>
      <c r="D3448" s="13"/>
      <c r="E3448" s="13"/>
      <c r="G3448" s="13"/>
    </row>
    <row r="3449" spans="1:7" x14ac:dyDescent="0.25">
      <c r="A3449" s="13"/>
      <c r="B3449" s="13"/>
      <c r="C3449" s="13"/>
      <c r="D3449" s="13"/>
      <c r="E3449" s="13"/>
      <c r="G3449" s="13"/>
    </row>
    <row r="3450" spans="1:7" x14ac:dyDescent="0.25">
      <c r="A3450" s="13"/>
      <c r="B3450" s="13"/>
      <c r="C3450" s="13"/>
      <c r="D3450" s="13"/>
      <c r="E3450" s="13"/>
      <c r="G3450" s="13"/>
    </row>
    <row r="3451" spans="1:7" x14ac:dyDescent="0.25">
      <c r="A3451" s="13"/>
      <c r="B3451" s="13"/>
      <c r="C3451" s="13"/>
      <c r="D3451" s="13"/>
      <c r="E3451" s="13"/>
      <c r="G3451" s="13"/>
    </row>
    <row r="3452" spans="1:7" x14ac:dyDescent="0.25">
      <c r="A3452" s="13"/>
      <c r="B3452" s="13"/>
      <c r="C3452" s="13"/>
      <c r="D3452" s="13"/>
      <c r="E3452" s="13"/>
      <c r="G3452" s="13"/>
    </row>
    <row r="3453" spans="1:7" x14ac:dyDescent="0.25">
      <c r="A3453" s="13"/>
      <c r="B3453" s="13"/>
      <c r="C3453" s="13"/>
      <c r="D3453" s="13"/>
      <c r="E3453" s="13"/>
      <c r="G3453" s="13"/>
    </row>
    <row r="3454" spans="1:7" x14ac:dyDescent="0.25">
      <c r="A3454" s="13"/>
      <c r="B3454" s="13"/>
      <c r="C3454" s="13"/>
      <c r="D3454" s="13"/>
      <c r="E3454" s="13"/>
      <c r="G3454" s="13"/>
    </row>
    <row r="3455" spans="1:7" x14ac:dyDescent="0.25">
      <c r="A3455" s="13"/>
      <c r="B3455" s="13"/>
      <c r="C3455" s="13"/>
      <c r="D3455" s="13"/>
      <c r="E3455" s="13"/>
      <c r="G3455" s="13"/>
    </row>
    <row r="3456" spans="1:7" x14ac:dyDescent="0.25">
      <c r="A3456" s="13"/>
      <c r="B3456" s="13"/>
      <c r="C3456" s="13"/>
      <c r="D3456" s="13"/>
      <c r="E3456" s="13"/>
      <c r="G3456" s="13"/>
    </row>
    <row r="3457" spans="1:7" x14ac:dyDescent="0.25">
      <c r="A3457" s="13"/>
      <c r="B3457" s="13"/>
      <c r="C3457" s="13"/>
      <c r="D3457" s="13"/>
      <c r="E3457" s="13"/>
      <c r="G3457" s="13"/>
    </row>
    <row r="3458" spans="1:7" x14ac:dyDescent="0.25">
      <c r="A3458" s="13"/>
      <c r="B3458" s="13"/>
      <c r="C3458" s="13"/>
      <c r="D3458" s="13"/>
      <c r="E3458" s="13"/>
      <c r="G3458" s="13"/>
    </row>
    <row r="3459" spans="1:7" x14ac:dyDescent="0.25">
      <c r="A3459" s="13"/>
      <c r="B3459" s="13"/>
      <c r="C3459" s="13"/>
      <c r="D3459" s="13"/>
      <c r="E3459" s="13"/>
      <c r="G3459" s="13"/>
    </row>
    <row r="3460" spans="1:7" x14ac:dyDescent="0.25">
      <c r="A3460" s="13"/>
      <c r="B3460" s="13"/>
      <c r="C3460" s="13"/>
      <c r="D3460" s="13"/>
      <c r="E3460" s="13"/>
      <c r="G3460" s="13"/>
    </row>
    <row r="3461" spans="1:7" x14ac:dyDescent="0.25">
      <c r="A3461" s="13"/>
      <c r="B3461" s="13"/>
      <c r="C3461" s="13"/>
      <c r="D3461" s="13"/>
      <c r="E3461" s="13"/>
      <c r="G3461" s="13"/>
    </row>
    <row r="3462" spans="1:7" x14ac:dyDescent="0.25">
      <c r="A3462" s="13"/>
      <c r="B3462" s="13"/>
      <c r="C3462" s="13"/>
      <c r="D3462" s="13"/>
      <c r="E3462" s="13"/>
      <c r="G3462" s="13"/>
    </row>
    <row r="3463" spans="1:7" x14ac:dyDescent="0.25">
      <c r="A3463" s="13"/>
      <c r="B3463" s="13"/>
      <c r="C3463" s="13"/>
      <c r="D3463" s="13"/>
      <c r="E3463" s="13"/>
      <c r="G3463" s="13"/>
    </row>
    <row r="3464" spans="1:7" x14ac:dyDescent="0.25">
      <c r="A3464" s="13"/>
      <c r="B3464" s="13"/>
      <c r="C3464" s="13"/>
      <c r="D3464" s="13"/>
      <c r="E3464" s="13"/>
      <c r="G3464" s="13"/>
    </row>
    <row r="3465" spans="1:7" x14ac:dyDescent="0.25">
      <c r="A3465" s="13"/>
      <c r="B3465" s="13"/>
      <c r="C3465" s="13"/>
      <c r="D3465" s="13"/>
      <c r="E3465" s="13"/>
      <c r="G3465" s="13"/>
    </row>
    <row r="3466" spans="1:7" x14ac:dyDescent="0.25">
      <c r="A3466" s="13"/>
      <c r="B3466" s="13"/>
      <c r="C3466" s="13"/>
      <c r="D3466" s="13"/>
      <c r="E3466" s="13"/>
      <c r="G3466" s="13"/>
    </row>
    <row r="3467" spans="1:7" x14ac:dyDescent="0.25">
      <c r="A3467" s="13"/>
      <c r="B3467" s="13"/>
      <c r="C3467" s="13"/>
      <c r="D3467" s="13"/>
      <c r="E3467" s="13"/>
      <c r="G3467" s="13"/>
    </row>
    <row r="3468" spans="1:7" x14ac:dyDescent="0.25">
      <c r="A3468" s="13"/>
      <c r="B3468" s="13"/>
      <c r="C3468" s="13"/>
      <c r="D3468" s="13"/>
      <c r="E3468" s="13"/>
      <c r="G3468" s="13"/>
    </row>
    <row r="3469" spans="1:7" x14ac:dyDescent="0.25">
      <c r="A3469" s="13"/>
      <c r="B3469" s="13"/>
      <c r="C3469" s="13"/>
      <c r="D3469" s="13"/>
      <c r="E3469" s="13"/>
      <c r="G3469" s="13"/>
    </row>
    <row r="3470" spans="1:7" x14ac:dyDescent="0.25">
      <c r="A3470" s="13"/>
      <c r="B3470" s="13"/>
      <c r="C3470" s="13"/>
      <c r="D3470" s="13"/>
      <c r="E3470" s="13"/>
      <c r="G3470" s="13"/>
    </row>
    <row r="3471" spans="1:7" x14ac:dyDescent="0.25">
      <c r="A3471" s="13"/>
      <c r="B3471" s="13"/>
      <c r="C3471" s="13"/>
      <c r="D3471" s="13"/>
      <c r="E3471" s="13"/>
      <c r="G3471" s="13"/>
    </row>
    <row r="3472" spans="1:7" x14ac:dyDescent="0.25">
      <c r="A3472" s="13"/>
      <c r="B3472" s="13"/>
      <c r="C3472" s="13"/>
      <c r="D3472" s="13"/>
      <c r="E3472" s="13"/>
      <c r="G3472" s="13"/>
    </row>
    <row r="3473" spans="1:7" x14ac:dyDescent="0.25">
      <c r="A3473" s="13"/>
      <c r="B3473" s="13"/>
      <c r="C3473" s="13"/>
      <c r="D3473" s="13"/>
      <c r="E3473" s="13"/>
      <c r="G3473" s="13"/>
    </row>
    <row r="3474" spans="1:7" x14ac:dyDescent="0.25">
      <c r="A3474" s="13"/>
      <c r="B3474" s="13"/>
      <c r="C3474" s="13"/>
      <c r="D3474" s="13"/>
      <c r="E3474" s="13"/>
      <c r="G3474" s="13"/>
    </row>
    <row r="3475" spans="1:7" x14ac:dyDescent="0.25">
      <c r="A3475" s="13"/>
      <c r="B3475" s="13"/>
      <c r="C3475" s="13"/>
      <c r="D3475" s="13"/>
      <c r="E3475" s="13"/>
      <c r="G3475" s="13"/>
    </row>
    <row r="3476" spans="1:7" x14ac:dyDescent="0.25">
      <c r="A3476" s="13"/>
      <c r="B3476" s="13"/>
      <c r="C3476" s="13"/>
      <c r="D3476" s="13"/>
      <c r="E3476" s="13"/>
      <c r="G3476" s="13"/>
    </row>
    <row r="3477" spans="1:7" x14ac:dyDescent="0.25">
      <c r="A3477" s="13"/>
      <c r="B3477" s="13"/>
      <c r="C3477" s="13"/>
      <c r="D3477" s="13"/>
      <c r="E3477" s="13"/>
      <c r="G3477" s="13"/>
    </row>
    <row r="3478" spans="1:7" x14ac:dyDescent="0.25">
      <c r="A3478" s="13"/>
      <c r="B3478" s="13"/>
      <c r="C3478" s="13"/>
      <c r="D3478" s="13"/>
      <c r="E3478" s="13"/>
      <c r="G3478" s="13"/>
    </row>
    <row r="3479" spans="1:7" x14ac:dyDescent="0.25">
      <c r="A3479" s="13"/>
      <c r="B3479" s="13"/>
      <c r="C3479" s="13"/>
      <c r="D3479" s="13"/>
      <c r="E3479" s="13"/>
      <c r="G3479" s="13"/>
    </row>
    <row r="3480" spans="1:7" x14ac:dyDescent="0.25">
      <c r="A3480" s="13"/>
      <c r="B3480" s="13"/>
      <c r="C3480" s="13"/>
      <c r="D3480" s="13"/>
      <c r="E3480" s="13"/>
      <c r="G3480" s="13"/>
    </row>
    <row r="3481" spans="1:7" x14ac:dyDescent="0.25">
      <c r="A3481" s="13"/>
      <c r="B3481" s="13"/>
      <c r="C3481" s="13"/>
      <c r="D3481" s="13"/>
      <c r="E3481" s="13"/>
      <c r="G3481" s="13"/>
    </row>
    <row r="3482" spans="1:7" x14ac:dyDescent="0.25">
      <c r="A3482" s="13"/>
      <c r="B3482" s="13"/>
      <c r="C3482" s="13"/>
      <c r="D3482" s="13"/>
      <c r="E3482" s="13"/>
      <c r="G3482" s="13"/>
    </row>
    <row r="3483" spans="1:7" x14ac:dyDescent="0.25">
      <c r="A3483" s="13"/>
      <c r="B3483" s="13"/>
      <c r="C3483" s="13"/>
      <c r="D3483" s="13"/>
      <c r="E3483" s="13"/>
      <c r="G3483" s="13"/>
    </row>
    <row r="3484" spans="1:7" x14ac:dyDescent="0.25">
      <c r="A3484" s="13"/>
      <c r="B3484" s="13"/>
      <c r="C3484" s="13"/>
      <c r="D3484" s="13"/>
      <c r="E3484" s="13"/>
      <c r="G3484" s="13"/>
    </row>
    <row r="3485" spans="1:7" x14ac:dyDescent="0.25">
      <c r="A3485" s="13"/>
      <c r="B3485" s="13"/>
      <c r="C3485" s="13"/>
      <c r="D3485" s="13"/>
      <c r="E3485" s="13"/>
      <c r="G3485" s="13"/>
    </row>
    <row r="3486" spans="1:7" x14ac:dyDescent="0.25">
      <c r="A3486" s="13"/>
      <c r="B3486" s="13"/>
      <c r="C3486" s="13"/>
      <c r="D3486" s="13"/>
      <c r="E3486" s="13"/>
      <c r="G3486" s="13"/>
    </row>
    <row r="3487" spans="1:7" x14ac:dyDescent="0.25">
      <c r="A3487" s="13"/>
      <c r="B3487" s="13"/>
      <c r="C3487" s="13"/>
      <c r="D3487" s="13"/>
      <c r="E3487" s="13"/>
      <c r="G3487" s="13"/>
    </row>
    <row r="3488" spans="1:7" x14ac:dyDescent="0.25">
      <c r="A3488" s="13"/>
      <c r="B3488" s="13"/>
      <c r="C3488" s="13"/>
      <c r="D3488" s="13"/>
      <c r="E3488" s="13"/>
      <c r="G3488" s="13"/>
    </row>
    <row r="3489" spans="1:7" x14ac:dyDescent="0.25">
      <c r="A3489" s="13"/>
      <c r="B3489" s="13"/>
      <c r="C3489" s="13"/>
      <c r="D3489" s="13"/>
      <c r="E3489" s="13"/>
      <c r="G3489" s="13"/>
    </row>
    <row r="3490" spans="1:7" x14ac:dyDescent="0.25">
      <c r="A3490" s="13"/>
      <c r="B3490" s="13"/>
      <c r="C3490" s="13"/>
      <c r="D3490" s="13"/>
      <c r="E3490" s="13"/>
      <c r="G3490" s="13"/>
    </row>
    <row r="3491" spans="1:7" x14ac:dyDescent="0.25">
      <c r="A3491" s="13"/>
      <c r="B3491" s="13"/>
      <c r="C3491" s="13"/>
      <c r="D3491" s="13"/>
      <c r="E3491" s="13"/>
      <c r="G3491" s="13"/>
    </row>
    <row r="3492" spans="1:7" x14ac:dyDescent="0.25">
      <c r="A3492" s="13"/>
      <c r="B3492" s="13"/>
      <c r="C3492" s="13"/>
      <c r="D3492" s="13"/>
      <c r="E3492" s="13"/>
      <c r="G3492" s="13"/>
    </row>
    <row r="3493" spans="1:7" x14ac:dyDescent="0.25">
      <c r="A3493" s="13"/>
      <c r="B3493" s="13"/>
      <c r="C3493" s="13"/>
      <c r="D3493" s="13"/>
      <c r="E3493" s="13"/>
      <c r="G3493" s="13"/>
    </row>
    <row r="3494" spans="1:7" x14ac:dyDescent="0.25">
      <c r="A3494" s="13"/>
      <c r="B3494" s="13"/>
      <c r="C3494" s="13"/>
      <c r="D3494" s="13"/>
      <c r="E3494" s="13"/>
      <c r="G3494" s="13"/>
    </row>
    <row r="3495" spans="1:7" x14ac:dyDescent="0.25">
      <c r="A3495" s="13"/>
      <c r="B3495" s="13"/>
      <c r="C3495" s="13"/>
      <c r="D3495" s="13"/>
      <c r="E3495" s="13"/>
      <c r="G3495" s="13"/>
    </row>
    <row r="3496" spans="1:7" x14ac:dyDescent="0.25">
      <c r="A3496" s="13"/>
      <c r="B3496" s="13"/>
      <c r="C3496" s="13"/>
      <c r="D3496" s="13"/>
      <c r="E3496" s="13"/>
      <c r="G3496" s="13"/>
    </row>
    <row r="3497" spans="1:7" x14ac:dyDescent="0.25">
      <c r="A3497" s="13"/>
      <c r="B3497" s="13"/>
      <c r="C3497" s="13"/>
      <c r="D3497" s="13"/>
      <c r="E3497" s="13"/>
      <c r="G3497" s="13"/>
    </row>
    <row r="3498" spans="1:7" x14ac:dyDescent="0.25">
      <c r="A3498" s="13"/>
      <c r="B3498" s="13"/>
      <c r="C3498" s="13"/>
      <c r="D3498" s="13"/>
      <c r="E3498" s="13"/>
      <c r="G3498" s="13"/>
    </row>
    <row r="3499" spans="1:7" x14ac:dyDescent="0.25">
      <c r="A3499" s="13"/>
      <c r="B3499" s="13"/>
      <c r="C3499" s="13"/>
      <c r="D3499" s="13"/>
      <c r="E3499" s="13"/>
      <c r="G3499" s="13"/>
    </row>
    <row r="3500" spans="1:7" x14ac:dyDescent="0.25">
      <c r="A3500" s="13"/>
      <c r="B3500" s="13"/>
      <c r="C3500" s="13"/>
      <c r="D3500" s="13"/>
      <c r="E3500" s="13"/>
      <c r="G3500" s="13"/>
    </row>
    <row r="3501" spans="1:7" x14ac:dyDescent="0.25">
      <c r="A3501" s="13"/>
      <c r="B3501" s="13"/>
      <c r="C3501" s="13"/>
      <c r="D3501" s="13"/>
      <c r="E3501" s="13"/>
      <c r="G3501" s="13"/>
    </row>
    <row r="3502" spans="1:7" x14ac:dyDescent="0.25">
      <c r="A3502" s="13"/>
      <c r="B3502" s="13"/>
      <c r="C3502" s="13"/>
      <c r="D3502" s="13"/>
      <c r="E3502" s="13"/>
      <c r="G3502" s="13"/>
    </row>
    <row r="3503" spans="1:7" x14ac:dyDescent="0.25">
      <c r="A3503" s="13"/>
      <c r="B3503" s="13"/>
      <c r="C3503" s="13"/>
      <c r="D3503" s="13"/>
      <c r="E3503" s="13"/>
      <c r="G3503" s="13"/>
    </row>
    <row r="3504" spans="1:7" x14ac:dyDescent="0.25">
      <c r="A3504" s="13"/>
      <c r="B3504" s="13"/>
      <c r="C3504" s="13"/>
      <c r="D3504" s="13"/>
      <c r="E3504" s="13"/>
      <c r="G3504" s="13"/>
    </row>
    <row r="3505" spans="1:7" x14ac:dyDescent="0.25">
      <c r="A3505" s="13"/>
      <c r="B3505" s="13"/>
      <c r="C3505" s="13"/>
      <c r="D3505" s="13"/>
      <c r="E3505" s="13"/>
      <c r="G3505" s="13"/>
    </row>
    <row r="3506" spans="1:7" x14ac:dyDescent="0.25">
      <c r="A3506" s="13"/>
      <c r="B3506" s="13"/>
      <c r="C3506" s="13"/>
      <c r="D3506" s="13"/>
      <c r="E3506" s="13"/>
      <c r="G3506" s="13"/>
    </row>
    <row r="3507" spans="1:7" x14ac:dyDescent="0.25">
      <c r="A3507" s="13"/>
      <c r="B3507" s="13"/>
      <c r="C3507" s="13"/>
      <c r="D3507" s="13"/>
      <c r="E3507" s="13"/>
      <c r="G3507" s="13"/>
    </row>
    <row r="3508" spans="1:7" x14ac:dyDescent="0.25">
      <c r="A3508" s="13"/>
      <c r="B3508" s="13"/>
      <c r="C3508" s="13"/>
      <c r="D3508" s="13"/>
      <c r="E3508" s="13"/>
      <c r="G3508" s="13"/>
    </row>
    <row r="3509" spans="1:7" x14ac:dyDescent="0.25">
      <c r="A3509" s="13"/>
      <c r="B3509" s="13"/>
      <c r="C3509" s="13"/>
      <c r="D3509" s="13"/>
      <c r="E3509" s="13"/>
      <c r="G3509" s="13"/>
    </row>
    <row r="3510" spans="1:7" x14ac:dyDescent="0.25">
      <c r="A3510" s="13"/>
      <c r="B3510" s="13"/>
      <c r="C3510" s="13"/>
      <c r="D3510" s="13"/>
      <c r="E3510" s="13"/>
      <c r="G3510" s="13"/>
    </row>
    <row r="3511" spans="1:7" x14ac:dyDescent="0.25">
      <c r="A3511" s="13"/>
      <c r="B3511" s="13"/>
      <c r="C3511" s="13"/>
      <c r="D3511" s="13"/>
      <c r="E3511" s="13"/>
      <c r="G3511" s="13"/>
    </row>
    <row r="3512" spans="1:7" x14ac:dyDescent="0.25">
      <c r="A3512" s="13"/>
      <c r="B3512" s="13"/>
      <c r="C3512" s="13"/>
      <c r="D3512" s="13"/>
      <c r="E3512" s="13"/>
      <c r="G3512" s="13"/>
    </row>
    <row r="3513" spans="1:7" x14ac:dyDescent="0.25">
      <c r="A3513" s="13"/>
      <c r="B3513" s="13"/>
      <c r="C3513" s="13"/>
      <c r="D3513" s="13"/>
      <c r="E3513" s="13"/>
      <c r="G3513" s="13"/>
    </row>
    <row r="3514" spans="1:7" x14ac:dyDescent="0.25">
      <c r="A3514" s="13"/>
      <c r="B3514" s="13"/>
      <c r="C3514" s="13"/>
      <c r="D3514" s="13"/>
      <c r="E3514" s="13"/>
      <c r="G3514" s="13"/>
    </row>
    <row r="3515" spans="1:7" x14ac:dyDescent="0.25">
      <c r="A3515" s="13"/>
      <c r="B3515" s="13"/>
      <c r="C3515" s="13"/>
      <c r="D3515" s="13"/>
      <c r="E3515" s="13"/>
      <c r="G3515" s="13"/>
    </row>
    <row r="3516" spans="1:7" x14ac:dyDescent="0.25">
      <c r="A3516" s="13"/>
      <c r="B3516" s="13"/>
      <c r="C3516" s="13"/>
      <c r="D3516" s="13"/>
      <c r="E3516" s="13"/>
      <c r="G3516" s="13"/>
    </row>
    <row r="3517" spans="1:7" x14ac:dyDescent="0.25">
      <c r="A3517" s="13"/>
      <c r="B3517" s="13"/>
      <c r="C3517" s="13"/>
      <c r="D3517" s="13"/>
      <c r="E3517" s="13"/>
      <c r="G3517" s="13"/>
    </row>
    <row r="3518" spans="1:7" x14ac:dyDescent="0.25">
      <c r="A3518" s="13"/>
      <c r="B3518" s="13"/>
      <c r="C3518" s="13"/>
      <c r="D3518" s="13"/>
      <c r="E3518" s="13"/>
      <c r="G3518" s="13"/>
    </row>
    <row r="3519" spans="1:7" x14ac:dyDescent="0.25">
      <c r="A3519" s="13"/>
      <c r="B3519" s="13"/>
      <c r="C3519" s="13"/>
      <c r="D3519" s="13"/>
      <c r="E3519" s="13"/>
      <c r="G3519" s="13"/>
    </row>
    <row r="3520" spans="1:7" x14ac:dyDescent="0.25">
      <c r="A3520" s="13"/>
      <c r="B3520" s="13"/>
      <c r="C3520" s="13"/>
      <c r="D3520" s="13"/>
      <c r="E3520" s="13"/>
      <c r="G3520" s="13"/>
    </row>
    <row r="3521" spans="1:7" x14ac:dyDescent="0.25">
      <c r="A3521" s="13"/>
      <c r="B3521" s="13"/>
      <c r="C3521" s="13"/>
      <c r="D3521" s="13"/>
      <c r="E3521" s="13"/>
      <c r="G3521" s="13"/>
    </row>
    <row r="3522" spans="1:7" x14ac:dyDescent="0.25">
      <c r="A3522" s="13"/>
      <c r="B3522" s="13"/>
      <c r="C3522" s="13"/>
      <c r="D3522" s="13"/>
      <c r="E3522" s="13"/>
      <c r="G3522" s="13"/>
    </row>
    <row r="3523" spans="1:7" x14ac:dyDescent="0.25">
      <c r="A3523" s="13"/>
      <c r="B3523" s="13"/>
      <c r="C3523" s="13"/>
      <c r="D3523" s="13"/>
      <c r="E3523" s="13"/>
      <c r="G3523" s="13"/>
    </row>
    <row r="3524" spans="1:7" x14ac:dyDescent="0.25">
      <c r="A3524" s="13"/>
      <c r="B3524" s="13"/>
      <c r="C3524" s="13"/>
      <c r="D3524" s="13"/>
      <c r="E3524" s="13"/>
      <c r="G3524" s="13"/>
    </row>
    <row r="3525" spans="1:7" x14ac:dyDescent="0.25">
      <c r="A3525" s="13"/>
      <c r="B3525" s="13"/>
      <c r="C3525" s="13"/>
      <c r="D3525" s="13"/>
      <c r="E3525" s="13"/>
      <c r="G3525" s="13"/>
    </row>
    <row r="3526" spans="1:7" x14ac:dyDescent="0.25">
      <c r="A3526" s="13"/>
      <c r="B3526" s="13"/>
      <c r="C3526" s="13"/>
      <c r="D3526" s="13"/>
      <c r="E3526" s="13"/>
      <c r="G3526" s="13"/>
    </row>
    <row r="3527" spans="1:7" x14ac:dyDescent="0.25">
      <c r="A3527" s="13"/>
      <c r="B3527" s="13"/>
      <c r="C3527" s="13"/>
      <c r="D3527" s="13"/>
      <c r="E3527" s="13"/>
      <c r="G3527" s="13"/>
    </row>
    <row r="3528" spans="1:7" x14ac:dyDescent="0.25">
      <c r="A3528" s="13"/>
      <c r="B3528" s="13"/>
      <c r="C3528" s="13"/>
      <c r="D3528" s="13"/>
      <c r="E3528" s="13"/>
      <c r="G3528" s="13"/>
    </row>
    <row r="3529" spans="1:7" x14ac:dyDescent="0.25">
      <c r="A3529" s="13"/>
      <c r="B3529" s="13"/>
      <c r="C3529" s="13"/>
      <c r="D3529" s="13"/>
      <c r="E3529" s="13"/>
      <c r="G3529" s="13"/>
    </row>
    <row r="3530" spans="1:7" x14ac:dyDescent="0.25">
      <c r="A3530" s="13"/>
      <c r="B3530" s="13"/>
      <c r="C3530" s="13"/>
      <c r="D3530" s="13"/>
      <c r="E3530" s="13"/>
      <c r="G3530" s="13"/>
    </row>
    <row r="3531" spans="1:7" x14ac:dyDescent="0.25">
      <c r="A3531" s="13"/>
      <c r="B3531" s="13"/>
      <c r="C3531" s="13"/>
      <c r="D3531" s="13"/>
      <c r="E3531" s="13"/>
      <c r="G3531" s="13"/>
    </row>
    <row r="3532" spans="1:7" x14ac:dyDescent="0.25">
      <c r="A3532" s="13"/>
      <c r="B3532" s="13"/>
      <c r="C3532" s="13"/>
      <c r="D3532" s="13"/>
      <c r="E3532" s="13"/>
      <c r="G3532" s="13"/>
    </row>
    <row r="3533" spans="1:7" x14ac:dyDescent="0.25">
      <c r="A3533" s="13"/>
      <c r="B3533" s="13"/>
      <c r="C3533" s="13"/>
      <c r="D3533" s="13"/>
      <c r="E3533" s="13"/>
      <c r="G3533" s="13"/>
    </row>
    <row r="3534" spans="1:7" x14ac:dyDescent="0.25">
      <c r="A3534" s="13"/>
      <c r="B3534" s="13"/>
      <c r="C3534" s="13"/>
      <c r="D3534" s="13"/>
      <c r="E3534" s="13"/>
      <c r="G3534" s="13"/>
    </row>
    <row r="3535" spans="1:7" x14ac:dyDescent="0.25">
      <c r="A3535" s="13"/>
      <c r="B3535" s="13"/>
      <c r="C3535" s="13"/>
      <c r="D3535" s="13"/>
      <c r="E3535" s="13"/>
      <c r="G3535" s="13"/>
    </row>
    <row r="3536" spans="1:7" x14ac:dyDescent="0.25">
      <c r="A3536" s="13"/>
      <c r="B3536" s="13"/>
      <c r="C3536" s="13"/>
      <c r="D3536" s="13"/>
      <c r="E3536" s="13"/>
      <c r="G3536" s="13"/>
    </row>
    <row r="3537" spans="1:7" x14ac:dyDescent="0.25">
      <c r="A3537" s="13"/>
      <c r="B3537" s="13"/>
      <c r="C3537" s="13"/>
      <c r="D3537" s="13"/>
      <c r="E3537" s="13"/>
      <c r="G3537" s="13"/>
    </row>
    <row r="3538" spans="1:7" x14ac:dyDescent="0.25">
      <c r="A3538" s="13"/>
      <c r="B3538" s="13"/>
      <c r="C3538" s="13"/>
      <c r="D3538" s="13"/>
      <c r="E3538" s="13"/>
      <c r="G3538" s="13"/>
    </row>
    <row r="3539" spans="1:7" x14ac:dyDescent="0.25">
      <c r="A3539" s="13"/>
      <c r="B3539" s="13"/>
      <c r="C3539" s="13"/>
      <c r="D3539" s="13"/>
      <c r="E3539" s="13"/>
      <c r="G3539" s="13"/>
    </row>
    <row r="3540" spans="1:7" x14ac:dyDescent="0.25">
      <c r="A3540" s="13"/>
      <c r="B3540" s="13"/>
      <c r="C3540" s="13"/>
      <c r="D3540" s="13"/>
      <c r="E3540" s="13"/>
      <c r="G3540" s="13"/>
    </row>
    <row r="3541" spans="1:7" x14ac:dyDescent="0.25">
      <c r="A3541" s="13"/>
      <c r="B3541" s="13"/>
      <c r="C3541" s="13"/>
      <c r="D3541" s="13"/>
      <c r="E3541" s="13"/>
      <c r="G3541" s="13"/>
    </row>
    <row r="3542" spans="1:7" x14ac:dyDescent="0.25">
      <c r="A3542" s="13"/>
      <c r="B3542" s="13"/>
      <c r="C3542" s="13"/>
      <c r="D3542" s="13"/>
      <c r="E3542" s="13"/>
      <c r="G3542" s="13"/>
    </row>
    <row r="3543" spans="1:7" x14ac:dyDescent="0.25">
      <c r="A3543" s="13"/>
      <c r="B3543" s="13"/>
      <c r="C3543" s="13"/>
      <c r="D3543" s="13"/>
      <c r="E3543" s="13"/>
      <c r="G3543" s="13"/>
    </row>
    <row r="3544" spans="1:7" x14ac:dyDescent="0.25">
      <c r="A3544" s="13"/>
      <c r="B3544" s="13"/>
      <c r="C3544" s="13"/>
      <c r="D3544" s="13"/>
      <c r="E3544" s="13"/>
      <c r="G3544" s="13"/>
    </row>
    <row r="3545" spans="1:7" x14ac:dyDescent="0.25">
      <c r="A3545" s="13"/>
      <c r="B3545" s="13"/>
      <c r="C3545" s="13"/>
      <c r="D3545" s="13"/>
      <c r="E3545" s="13"/>
      <c r="G3545" s="13"/>
    </row>
    <row r="3546" spans="1:7" x14ac:dyDescent="0.25">
      <c r="A3546" s="13"/>
      <c r="B3546" s="13"/>
      <c r="C3546" s="13"/>
      <c r="D3546" s="13"/>
      <c r="E3546" s="13"/>
      <c r="G3546" s="13"/>
    </row>
    <row r="3547" spans="1:7" x14ac:dyDescent="0.25">
      <c r="A3547" s="13"/>
      <c r="B3547" s="13"/>
      <c r="C3547" s="13"/>
      <c r="D3547" s="13"/>
      <c r="E3547" s="13"/>
      <c r="G3547" s="13"/>
    </row>
    <row r="3548" spans="1:7" x14ac:dyDescent="0.25">
      <c r="A3548" s="13"/>
      <c r="B3548" s="13"/>
      <c r="C3548" s="13"/>
      <c r="D3548" s="13"/>
      <c r="E3548" s="13"/>
      <c r="G3548" s="13"/>
    </row>
    <row r="3549" spans="1:7" x14ac:dyDescent="0.25">
      <c r="A3549" s="13"/>
      <c r="B3549" s="13"/>
      <c r="C3549" s="13"/>
      <c r="D3549" s="13"/>
      <c r="E3549" s="13"/>
      <c r="G3549" s="13"/>
    </row>
    <row r="3550" spans="1:7" x14ac:dyDescent="0.25">
      <c r="A3550" s="13"/>
      <c r="B3550" s="13"/>
      <c r="C3550" s="13"/>
      <c r="D3550" s="13"/>
      <c r="E3550" s="13"/>
      <c r="G3550" s="13"/>
    </row>
    <row r="3551" spans="1:7" x14ac:dyDescent="0.25">
      <c r="A3551" s="13"/>
      <c r="B3551" s="13"/>
      <c r="C3551" s="13"/>
      <c r="D3551" s="13"/>
      <c r="E3551" s="13"/>
      <c r="G3551" s="13"/>
    </row>
    <row r="3552" spans="1:7" x14ac:dyDescent="0.25">
      <c r="A3552" s="13"/>
      <c r="B3552" s="13"/>
      <c r="C3552" s="13"/>
      <c r="D3552" s="13"/>
      <c r="E3552" s="13"/>
      <c r="G3552" s="13"/>
    </row>
    <row r="3553" spans="1:7" x14ac:dyDescent="0.25">
      <c r="A3553" s="13"/>
      <c r="B3553" s="13"/>
      <c r="C3553" s="13"/>
      <c r="D3553" s="13"/>
      <c r="E3553" s="13"/>
      <c r="G3553" s="13"/>
    </row>
    <row r="3554" spans="1:7" x14ac:dyDescent="0.25">
      <c r="A3554" s="13"/>
      <c r="B3554" s="13"/>
      <c r="C3554" s="13"/>
      <c r="D3554" s="13"/>
      <c r="E3554" s="13"/>
      <c r="G3554" s="13"/>
    </row>
    <row r="3555" spans="1:7" x14ac:dyDescent="0.25">
      <c r="A3555" s="13"/>
      <c r="B3555" s="13"/>
      <c r="C3555" s="13"/>
      <c r="D3555" s="13"/>
      <c r="E3555" s="13"/>
      <c r="G3555" s="13"/>
    </row>
    <row r="3556" spans="1:7" x14ac:dyDescent="0.25">
      <c r="A3556" s="13"/>
      <c r="B3556" s="13"/>
      <c r="C3556" s="13"/>
      <c r="D3556" s="13"/>
      <c r="E3556" s="13"/>
      <c r="G3556" s="13"/>
    </row>
    <row r="3557" spans="1:7" x14ac:dyDescent="0.25">
      <c r="A3557" s="13"/>
      <c r="B3557" s="13"/>
      <c r="C3557" s="13"/>
      <c r="D3557" s="13"/>
      <c r="E3557" s="13"/>
      <c r="G3557" s="13"/>
    </row>
    <row r="3558" spans="1:7" x14ac:dyDescent="0.25">
      <c r="A3558" s="13"/>
      <c r="B3558" s="13"/>
      <c r="C3558" s="13"/>
      <c r="D3558" s="13"/>
      <c r="E3558" s="13"/>
      <c r="G3558" s="13"/>
    </row>
    <row r="3559" spans="1:7" x14ac:dyDescent="0.25">
      <c r="A3559" s="13"/>
      <c r="B3559" s="13"/>
      <c r="C3559" s="13"/>
      <c r="D3559" s="13"/>
      <c r="E3559" s="13"/>
      <c r="G3559" s="13"/>
    </row>
    <row r="3560" spans="1:7" x14ac:dyDescent="0.25">
      <c r="A3560" s="13"/>
      <c r="B3560" s="13"/>
      <c r="C3560" s="13"/>
      <c r="D3560" s="13"/>
      <c r="E3560" s="13"/>
      <c r="G3560" s="13"/>
    </row>
    <row r="3561" spans="1:7" x14ac:dyDescent="0.25">
      <c r="A3561" s="13"/>
      <c r="B3561" s="13"/>
      <c r="C3561" s="13"/>
      <c r="D3561" s="13"/>
      <c r="E3561" s="13"/>
      <c r="G3561" s="13"/>
    </row>
    <row r="3562" spans="1:7" x14ac:dyDescent="0.25">
      <c r="A3562" s="13"/>
      <c r="B3562" s="13"/>
      <c r="C3562" s="13"/>
      <c r="D3562" s="13"/>
      <c r="E3562" s="13"/>
      <c r="G3562" s="13"/>
    </row>
    <row r="3563" spans="1:7" x14ac:dyDescent="0.25">
      <c r="A3563" s="13"/>
      <c r="B3563" s="13"/>
      <c r="C3563" s="13"/>
      <c r="D3563" s="13"/>
      <c r="E3563" s="13"/>
      <c r="G3563" s="13"/>
    </row>
    <row r="3564" spans="1:7" x14ac:dyDescent="0.25">
      <c r="A3564" s="13"/>
      <c r="B3564" s="13"/>
      <c r="C3564" s="13"/>
      <c r="D3564" s="13"/>
      <c r="E3564" s="13"/>
      <c r="G3564" s="13"/>
    </row>
    <row r="3565" spans="1:7" x14ac:dyDescent="0.25">
      <c r="A3565" s="13"/>
      <c r="B3565" s="13"/>
      <c r="C3565" s="13"/>
      <c r="D3565" s="13"/>
      <c r="E3565" s="13"/>
      <c r="G3565" s="13"/>
    </row>
    <row r="3566" spans="1:7" x14ac:dyDescent="0.25">
      <c r="A3566" s="13"/>
      <c r="B3566" s="13"/>
      <c r="C3566" s="13"/>
      <c r="D3566" s="13"/>
      <c r="E3566" s="13"/>
      <c r="G3566" s="13"/>
    </row>
    <row r="3567" spans="1:7" x14ac:dyDescent="0.25">
      <c r="A3567" s="13"/>
      <c r="B3567" s="13"/>
      <c r="C3567" s="13"/>
      <c r="D3567" s="13"/>
      <c r="E3567" s="13"/>
      <c r="G3567" s="13"/>
    </row>
    <row r="3568" spans="1:7" x14ac:dyDescent="0.25">
      <c r="A3568" s="13"/>
      <c r="B3568" s="13"/>
      <c r="C3568" s="13"/>
      <c r="D3568" s="13"/>
      <c r="E3568" s="13"/>
      <c r="G3568" s="13"/>
    </row>
    <row r="3569" spans="1:7" x14ac:dyDescent="0.25">
      <c r="A3569" s="13"/>
      <c r="B3569" s="13"/>
      <c r="C3569" s="13"/>
      <c r="D3569" s="13"/>
      <c r="E3569" s="13"/>
      <c r="G3569" s="13"/>
    </row>
    <row r="3570" spans="1:7" x14ac:dyDescent="0.25">
      <c r="A3570" s="13"/>
      <c r="B3570" s="13"/>
      <c r="C3570" s="13"/>
      <c r="D3570" s="13"/>
      <c r="E3570" s="13"/>
      <c r="G3570" s="13"/>
    </row>
    <row r="3571" spans="1:7" x14ac:dyDescent="0.25">
      <c r="A3571" s="13"/>
      <c r="B3571" s="13"/>
      <c r="C3571" s="13"/>
      <c r="D3571" s="13"/>
      <c r="E3571" s="13"/>
      <c r="G3571" s="13"/>
    </row>
    <row r="3572" spans="1:7" x14ac:dyDescent="0.25">
      <c r="A3572" s="13"/>
      <c r="B3572" s="13"/>
      <c r="C3572" s="13"/>
      <c r="D3572" s="13"/>
      <c r="E3572" s="13"/>
      <c r="G3572" s="13"/>
    </row>
    <row r="3573" spans="1:7" x14ac:dyDescent="0.25">
      <c r="A3573" s="13"/>
      <c r="B3573" s="13"/>
      <c r="C3573" s="13"/>
      <c r="D3573" s="13"/>
      <c r="E3573" s="13"/>
      <c r="G3573" s="13"/>
    </row>
    <row r="3574" spans="1:7" x14ac:dyDescent="0.25">
      <c r="A3574" s="13"/>
      <c r="B3574" s="13"/>
      <c r="C3574" s="13"/>
      <c r="D3574" s="13"/>
      <c r="E3574" s="13"/>
      <c r="G3574" s="13"/>
    </row>
    <row r="3575" spans="1:7" x14ac:dyDescent="0.25">
      <c r="A3575" s="13"/>
      <c r="B3575" s="13"/>
      <c r="C3575" s="13"/>
      <c r="D3575" s="13"/>
      <c r="E3575" s="13"/>
      <c r="G3575" s="13"/>
    </row>
    <row r="3576" spans="1:7" x14ac:dyDescent="0.25">
      <c r="A3576" s="13"/>
      <c r="B3576" s="13"/>
      <c r="C3576" s="13"/>
      <c r="D3576" s="13"/>
      <c r="E3576" s="13"/>
      <c r="G3576" s="13"/>
    </row>
    <row r="3577" spans="1:7" x14ac:dyDescent="0.25">
      <c r="A3577" s="13"/>
      <c r="B3577" s="13"/>
      <c r="C3577" s="13"/>
      <c r="D3577" s="13"/>
      <c r="E3577" s="13"/>
      <c r="G3577" s="13"/>
    </row>
    <row r="3578" spans="1:7" x14ac:dyDescent="0.25">
      <c r="A3578" s="13"/>
      <c r="B3578" s="13"/>
      <c r="C3578" s="13"/>
      <c r="D3578" s="13"/>
      <c r="E3578" s="13"/>
      <c r="G3578" s="13"/>
    </row>
    <row r="3579" spans="1:7" x14ac:dyDescent="0.25">
      <c r="A3579" s="13"/>
      <c r="B3579" s="13"/>
      <c r="C3579" s="13"/>
      <c r="D3579" s="13"/>
      <c r="E3579" s="13"/>
      <c r="G3579" s="13"/>
    </row>
    <row r="3580" spans="1:7" x14ac:dyDescent="0.25">
      <c r="A3580" s="13"/>
      <c r="B3580" s="13"/>
      <c r="C3580" s="13"/>
      <c r="D3580" s="13"/>
      <c r="E3580" s="13"/>
      <c r="G3580" s="13"/>
    </row>
    <row r="3581" spans="1:7" x14ac:dyDescent="0.25">
      <c r="A3581" s="13"/>
      <c r="B3581" s="13"/>
      <c r="C3581" s="13"/>
      <c r="D3581" s="13"/>
      <c r="E3581" s="13"/>
      <c r="G3581" s="13"/>
    </row>
    <row r="3582" spans="1:7" x14ac:dyDescent="0.25">
      <c r="A3582" s="13"/>
      <c r="B3582" s="13"/>
      <c r="C3582" s="13"/>
      <c r="D3582" s="13"/>
      <c r="E3582" s="13"/>
      <c r="G3582" s="13"/>
    </row>
    <row r="3583" spans="1:7" x14ac:dyDescent="0.25">
      <c r="A3583" s="13"/>
      <c r="B3583" s="13"/>
      <c r="C3583" s="13"/>
      <c r="D3583" s="13"/>
      <c r="E3583" s="13"/>
      <c r="G3583" s="13"/>
    </row>
    <row r="3584" spans="1:7" x14ac:dyDescent="0.25">
      <c r="A3584" s="13"/>
      <c r="B3584" s="13"/>
      <c r="C3584" s="13"/>
      <c r="D3584" s="13"/>
      <c r="E3584" s="13"/>
      <c r="G3584" s="13"/>
    </row>
    <row r="3585" spans="1:7" x14ac:dyDescent="0.25">
      <c r="A3585" s="13"/>
      <c r="B3585" s="13"/>
      <c r="C3585" s="13"/>
      <c r="D3585" s="13"/>
      <c r="E3585" s="13"/>
      <c r="G3585" s="13"/>
    </row>
    <row r="3586" spans="1:7" x14ac:dyDescent="0.25">
      <c r="A3586" s="13"/>
      <c r="B3586" s="13"/>
      <c r="C3586" s="13"/>
      <c r="D3586" s="13"/>
      <c r="E3586" s="13"/>
      <c r="G3586" s="13"/>
    </row>
    <row r="3587" spans="1:7" x14ac:dyDescent="0.25">
      <c r="A3587" s="13"/>
      <c r="B3587" s="13"/>
      <c r="C3587" s="13"/>
      <c r="D3587" s="13"/>
      <c r="E3587" s="13"/>
      <c r="G3587" s="13"/>
    </row>
    <row r="3588" spans="1:7" x14ac:dyDescent="0.25">
      <c r="A3588" s="13"/>
      <c r="B3588" s="13"/>
      <c r="C3588" s="13"/>
      <c r="D3588" s="13"/>
      <c r="E3588" s="13"/>
      <c r="G3588" s="13"/>
    </row>
    <row r="3589" spans="1:7" x14ac:dyDescent="0.25">
      <c r="A3589" s="13"/>
      <c r="B3589" s="13"/>
      <c r="C3589" s="13"/>
      <c r="D3589" s="13"/>
      <c r="E3589" s="13"/>
      <c r="G3589" s="13"/>
    </row>
    <row r="3590" spans="1:7" x14ac:dyDescent="0.25">
      <c r="A3590" s="13"/>
      <c r="B3590" s="13"/>
      <c r="C3590" s="13"/>
      <c r="D3590" s="13"/>
      <c r="E3590" s="13"/>
      <c r="G3590" s="13"/>
    </row>
    <row r="3591" spans="1:7" x14ac:dyDescent="0.25">
      <c r="A3591" s="13"/>
      <c r="B3591" s="13"/>
      <c r="C3591" s="13"/>
      <c r="D3591" s="13"/>
      <c r="E3591" s="13"/>
      <c r="G3591" s="13"/>
    </row>
    <row r="3592" spans="1:7" x14ac:dyDescent="0.25">
      <c r="A3592" s="13"/>
      <c r="B3592" s="13"/>
      <c r="C3592" s="13"/>
      <c r="D3592" s="13"/>
      <c r="E3592" s="13"/>
      <c r="G3592" s="13"/>
    </row>
    <row r="3593" spans="1:7" x14ac:dyDescent="0.25">
      <c r="A3593" s="13"/>
      <c r="B3593" s="13"/>
      <c r="C3593" s="13"/>
      <c r="D3593" s="13"/>
      <c r="E3593" s="13"/>
      <c r="G3593" s="13"/>
    </row>
    <row r="3594" spans="1:7" x14ac:dyDescent="0.25">
      <c r="A3594" s="13"/>
      <c r="B3594" s="13"/>
      <c r="C3594" s="13"/>
      <c r="D3594" s="13"/>
      <c r="E3594" s="13"/>
      <c r="G3594" s="13"/>
    </row>
    <row r="3595" spans="1:7" x14ac:dyDescent="0.25">
      <c r="A3595" s="13"/>
      <c r="B3595" s="13"/>
      <c r="C3595" s="13"/>
      <c r="D3595" s="13"/>
      <c r="E3595" s="13"/>
      <c r="G3595" s="13"/>
    </row>
    <row r="3596" spans="1:7" x14ac:dyDescent="0.25">
      <c r="A3596" s="13"/>
      <c r="B3596" s="13"/>
      <c r="C3596" s="13"/>
      <c r="D3596" s="13"/>
      <c r="E3596" s="13"/>
      <c r="G3596" s="13"/>
    </row>
    <row r="3597" spans="1:7" x14ac:dyDescent="0.25">
      <c r="A3597" s="13"/>
      <c r="B3597" s="13"/>
      <c r="C3597" s="13"/>
      <c r="D3597" s="13"/>
      <c r="E3597" s="13"/>
      <c r="G3597" s="13"/>
    </row>
    <row r="3598" spans="1:7" x14ac:dyDescent="0.25">
      <c r="A3598" s="13"/>
      <c r="B3598" s="13"/>
      <c r="C3598" s="13"/>
      <c r="D3598" s="13"/>
      <c r="E3598" s="13"/>
      <c r="G3598" s="13"/>
    </row>
    <row r="3599" spans="1:7" x14ac:dyDescent="0.25">
      <c r="A3599" s="13"/>
      <c r="B3599" s="13"/>
      <c r="C3599" s="13"/>
      <c r="D3599" s="13"/>
      <c r="E3599" s="13"/>
      <c r="G3599" s="13"/>
    </row>
    <row r="3600" spans="1:7" x14ac:dyDescent="0.25">
      <c r="A3600" s="13"/>
      <c r="B3600" s="13"/>
      <c r="C3600" s="13"/>
      <c r="D3600" s="13"/>
      <c r="E3600" s="13"/>
      <c r="G3600" s="13"/>
    </row>
    <row r="3601" spans="1:7" x14ac:dyDescent="0.25">
      <c r="A3601" s="13"/>
      <c r="B3601" s="13"/>
      <c r="C3601" s="13"/>
      <c r="D3601" s="13"/>
      <c r="E3601" s="13"/>
      <c r="G3601" s="13"/>
    </row>
    <row r="3602" spans="1:7" x14ac:dyDescent="0.25">
      <c r="A3602" s="13"/>
      <c r="B3602" s="13"/>
      <c r="C3602" s="13"/>
      <c r="D3602" s="13"/>
      <c r="E3602" s="13"/>
      <c r="G3602" s="13"/>
    </row>
    <row r="3603" spans="1:7" x14ac:dyDescent="0.25">
      <c r="A3603" s="13"/>
      <c r="B3603" s="13"/>
      <c r="C3603" s="13"/>
      <c r="D3603" s="13"/>
      <c r="E3603" s="13"/>
      <c r="G3603" s="13"/>
    </row>
    <row r="3604" spans="1:7" x14ac:dyDescent="0.25">
      <c r="A3604" s="13"/>
      <c r="B3604" s="13"/>
      <c r="C3604" s="13"/>
      <c r="D3604" s="13"/>
      <c r="E3604" s="13"/>
      <c r="G3604" s="13"/>
    </row>
    <row r="3605" spans="1:7" x14ac:dyDescent="0.25">
      <c r="A3605" s="13"/>
      <c r="B3605" s="13"/>
      <c r="C3605" s="13"/>
      <c r="D3605" s="13"/>
      <c r="E3605" s="13"/>
      <c r="G3605" s="13"/>
    </row>
    <row r="3606" spans="1:7" x14ac:dyDescent="0.25">
      <c r="A3606" s="13"/>
      <c r="B3606" s="13"/>
      <c r="C3606" s="13"/>
      <c r="D3606" s="13"/>
      <c r="E3606" s="13"/>
      <c r="G3606" s="13"/>
    </row>
    <row r="3607" spans="1:7" x14ac:dyDescent="0.25">
      <c r="A3607" s="13"/>
      <c r="B3607" s="13"/>
      <c r="C3607" s="13"/>
      <c r="D3607" s="13"/>
      <c r="E3607" s="13"/>
      <c r="G3607" s="13"/>
    </row>
    <row r="3608" spans="1:7" x14ac:dyDescent="0.25">
      <c r="A3608" s="13"/>
      <c r="B3608" s="13"/>
      <c r="C3608" s="13"/>
      <c r="D3608" s="13"/>
      <c r="E3608" s="13"/>
      <c r="G3608" s="13"/>
    </row>
    <row r="3609" spans="1:7" x14ac:dyDescent="0.25">
      <c r="A3609" s="13"/>
      <c r="B3609" s="13"/>
      <c r="C3609" s="13"/>
      <c r="D3609" s="13"/>
      <c r="E3609" s="13"/>
      <c r="G3609" s="13"/>
    </row>
    <row r="3610" spans="1:7" x14ac:dyDescent="0.25">
      <c r="A3610" s="13"/>
      <c r="B3610" s="13"/>
      <c r="C3610" s="13"/>
      <c r="D3610" s="13"/>
      <c r="E3610" s="13"/>
      <c r="G3610" s="13"/>
    </row>
    <row r="3611" spans="1:7" x14ac:dyDescent="0.25">
      <c r="A3611" s="13"/>
      <c r="B3611" s="13"/>
      <c r="C3611" s="13"/>
      <c r="D3611" s="13"/>
      <c r="E3611" s="13"/>
      <c r="G3611" s="13"/>
    </row>
    <row r="3612" spans="1:7" x14ac:dyDescent="0.25">
      <c r="A3612" s="13"/>
      <c r="B3612" s="13"/>
      <c r="C3612" s="13"/>
      <c r="D3612" s="13"/>
      <c r="E3612" s="13"/>
      <c r="G3612" s="13"/>
    </row>
    <row r="3613" spans="1:7" x14ac:dyDescent="0.25">
      <c r="A3613" s="13"/>
      <c r="B3613" s="13"/>
      <c r="C3613" s="13"/>
      <c r="D3613" s="13"/>
      <c r="E3613" s="13"/>
      <c r="G3613" s="13"/>
    </row>
    <row r="3614" spans="1:7" x14ac:dyDescent="0.25">
      <c r="A3614" s="13"/>
      <c r="B3614" s="13"/>
      <c r="C3614" s="13"/>
      <c r="D3614" s="13"/>
      <c r="E3614" s="13"/>
      <c r="G3614" s="13"/>
    </row>
    <row r="3615" spans="1:7" x14ac:dyDescent="0.25">
      <c r="A3615" s="13"/>
      <c r="B3615" s="13"/>
      <c r="C3615" s="13"/>
      <c r="D3615" s="13"/>
      <c r="E3615" s="13"/>
      <c r="G3615" s="13"/>
    </row>
    <row r="3616" spans="1:7" x14ac:dyDescent="0.25">
      <c r="A3616" s="13"/>
      <c r="B3616" s="13"/>
      <c r="C3616" s="13"/>
      <c r="D3616" s="13"/>
      <c r="E3616" s="13"/>
      <c r="G3616" s="13"/>
    </row>
    <row r="3617" spans="1:7" x14ac:dyDescent="0.25">
      <c r="A3617" s="13"/>
      <c r="B3617" s="13"/>
      <c r="C3617" s="13"/>
      <c r="D3617" s="13"/>
      <c r="E3617" s="13"/>
      <c r="G3617" s="13"/>
    </row>
    <row r="3618" spans="1:7" x14ac:dyDescent="0.25">
      <c r="A3618" s="13"/>
      <c r="B3618" s="13"/>
      <c r="C3618" s="13"/>
      <c r="D3618" s="13"/>
      <c r="E3618" s="13"/>
      <c r="G3618" s="13"/>
    </row>
    <row r="3619" spans="1:7" x14ac:dyDescent="0.25">
      <c r="A3619" s="13"/>
      <c r="B3619" s="13"/>
      <c r="C3619" s="13"/>
      <c r="D3619" s="13"/>
      <c r="E3619" s="13"/>
      <c r="G3619" s="13"/>
    </row>
    <row r="3620" spans="1:7" x14ac:dyDescent="0.25">
      <c r="A3620" s="13"/>
      <c r="B3620" s="13"/>
      <c r="C3620" s="13"/>
      <c r="D3620" s="13"/>
      <c r="E3620" s="13"/>
      <c r="G3620" s="13"/>
    </row>
    <row r="3621" spans="1:7" x14ac:dyDescent="0.25">
      <c r="G3621" s="13"/>
    </row>
    <row r="3622" spans="1:7" x14ac:dyDescent="0.25">
      <c r="G3622" s="13"/>
    </row>
    <row r="3623" spans="1:7" x14ac:dyDescent="0.25">
      <c r="G3623" s="13"/>
    </row>
    <row r="3624" spans="1:7" x14ac:dyDescent="0.25">
      <c r="G3624" s="13"/>
    </row>
    <row r="3625" spans="1:7" x14ac:dyDescent="0.25">
      <c r="G3625" s="13"/>
    </row>
    <row r="3626" spans="1:7" x14ac:dyDescent="0.25">
      <c r="G3626" s="13"/>
    </row>
    <row r="3627" spans="1:7" x14ac:dyDescent="0.25">
      <c r="G3627" s="13"/>
    </row>
    <row r="3628" spans="1:7" x14ac:dyDescent="0.25">
      <c r="G3628" s="13"/>
    </row>
    <row r="3629" spans="1:7" x14ac:dyDescent="0.25">
      <c r="G3629" s="13"/>
    </row>
    <row r="3630" spans="1:7" x14ac:dyDescent="0.25">
      <c r="G3630" s="13"/>
    </row>
    <row r="3631" spans="1:7" x14ac:dyDescent="0.25">
      <c r="G3631" s="13"/>
    </row>
    <row r="3632" spans="1:7" x14ac:dyDescent="0.25">
      <c r="G3632" s="13"/>
    </row>
    <row r="3633" spans="7:7" x14ac:dyDescent="0.25">
      <c r="G3633" s="13"/>
    </row>
    <row r="3634" spans="7:7" x14ac:dyDescent="0.25">
      <c r="G3634" s="13"/>
    </row>
    <row r="3635" spans="7:7" x14ac:dyDescent="0.25">
      <c r="G3635" s="13"/>
    </row>
    <row r="3636" spans="7:7" x14ac:dyDescent="0.25">
      <c r="G3636" s="13"/>
    </row>
    <row r="3637" spans="7:7" x14ac:dyDescent="0.25">
      <c r="G3637" s="13"/>
    </row>
    <row r="3638" spans="7:7" x14ac:dyDescent="0.25">
      <c r="G3638" s="13"/>
    </row>
    <row r="3639" spans="7:7" x14ac:dyDescent="0.25">
      <c r="G3639" s="13"/>
    </row>
    <row r="3640" spans="7:7" x14ac:dyDescent="0.25">
      <c r="G3640" s="13"/>
    </row>
    <row r="3641" spans="7:7" x14ac:dyDescent="0.25">
      <c r="G3641" s="13"/>
    </row>
    <row r="3642" spans="7:7" x14ac:dyDescent="0.25">
      <c r="G3642" s="13"/>
    </row>
    <row r="3643" spans="7:7" x14ac:dyDescent="0.25">
      <c r="G3643" s="13"/>
    </row>
    <row r="3644" spans="7:7" x14ac:dyDescent="0.25">
      <c r="G3644" s="13"/>
    </row>
    <row r="3645" spans="7:7" x14ac:dyDescent="0.25">
      <c r="G3645" s="13"/>
    </row>
    <row r="3646" spans="7:7" x14ac:dyDescent="0.25">
      <c r="G3646" s="13"/>
    </row>
    <row r="3647" spans="7:7" x14ac:dyDescent="0.25">
      <c r="G3647" s="13"/>
    </row>
    <row r="3648" spans="7:7" x14ac:dyDescent="0.25">
      <c r="G3648" s="13"/>
    </row>
    <row r="3649" spans="7:7" x14ac:dyDescent="0.25">
      <c r="G3649" s="13"/>
    </row>
    <row r="3650" spans="7:7" x14ac:dyDescent="0.25">
      <c r="G3650" s="13"/>
    </row>
    <row r="3651" spans="7:7" x14ac:dyDescent="0.25">
      <c r="G3651" s="13"/>
    </row>
    <row r="3652" spans="7:7" x14ac:dyDescent="0.25">
      <c r="G3652" s="13"/>
    </row>
    <row r="3653" spans="7:7" x14ac:dyDescent="0.25">
      <c r="G3653" s="13"/>
    </row>
    <row r="3654" spans="7:7" x14ac:dyDescent="0.25">
      <c r="G3654" s="13"/>
    </row>
    <row r="3655" spans="7:7" x14ac:dyDescent="0.25">
      <c r="G3655" s="13"/>
    </row>
    <row r="3656" spans="7:7" x14ac:dyDescent="0.25">
      <c r="G3656" s="13"/>
    </row>
    <row r="3657" spans="7:7" x14ac:dyDescent="0.25">
      <c r="G3657" s="13"/>
    </row>
  </sheetData>
  <sortState ref="A2538:E4037">
    <sortCondition ref="A1"/>
  </sortState>
  <customSheetViews>
    <customSheetView guid="{84F0FDFB-72A1-4214-8B2B-A048953E297B}">
      <pageMargins left="0.7" right="0.7" top="0.75" bottom="0.75" header="0.3" footer="0.3"/>
      <pageSetup orientation="portrait" horizontalDpi="4294967293" verticalDpi="0" r:id="rId1"/>
    </customSheetView>
  </customSheetViews>
  <pageMargins left="0.7" right="0.7" top="0.75" bottom="0.75" header="0.3" footer="0.3"/>
  <pageSetup orientation="portrait" horizontalDpi="4294967293" verticalDpi="0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835"/>
  <sheetViews>
    <sheetView workbookViewId="0">
      <selection activeCell="B2" sqref="B2"/>
    </sheetView>
  </sheetViews>
  <sheetFormatPr defaultRowHeight="15" x14ac:dyDescent="0.25"/>
  <cols>
    <col min="2" max="2" width="9.5703125" bestFit="1" customWidth="1"/>
    <col min="3" max="3" width="9.42578125" bestFit="1" customWidth="1"/>
    <col min="4" max="4" width="13.42578125" bestFit="1" customWidth="1"/>
    <col min="8" max="8" width="23.7109375" customWidth="1"/>
    <col min="9" max="9" width="24.5703125" bestFit="1" customWidth="1"/>
    <col min="10" max="10" width="24.5703125" customWidth="1"/>
    <col min="11" max="13" width="29.140625" customWidth="1"/>
    <col min="14" max="14" width="23.5703125" bestFit="1" customWidth="1"/>
    <col min="15" max="15" width="24.140625" bestFit="1" customWidth="1"/>
    <col min="16" max="16" width="23.7109375" bestFit="1" customWidth="1"/>
    <col min="17" max="17" width="6.42578125" customWidth="1"/>
    <col min="18" max="18" width="9.140625" customWidth="1"/>
    <col min="19" max="19" width="7.85546875" customWidth="1"/>
    <col min="20" max="20" width="15.28515625" customWidth="1"/>
    <col min="21" max="21" width="42.5703125" bestFit="1" customWidth="1"/>
    <col min="22" max="22" width="38.28515625" bestFit="1" customWidth="1"/>
    <col min="23" max="23" width="21.140625" customWidth="1"/>
    <col min="24" max="24" width="2" customWidth="1"/>
    <col min="25" max="25" width="9.140625" style="167"/>
  </cols>
  <sheetData>
    <row r="1" spans="1:25" x14ac:dyDescent="0.25">
      <c r="C1" t="str">
        <f>'DropDown Lists'!E5</f>
        <v>Well</v>
      </c>
      <c r="D1" t="str">
        <f>'DropDown Lists'!E4</f>
        <v>Box</v>
      </c>
      <c r="E1" t="str">
        <f>'DropDown Lists'!E7</f>
        <v>Full</v>
      </c>
      <c r="H1" t="s">
        <v>278</v>
      </c>
      <c r="I1">
        <v>1.5</v>
      </c>
      <c r="J1" s="149" t="s">
        <v>302</v>
      </c>
      <c r="K1" s="148">
        <v>6.6000000000000003E-2</v>
      </c>
      <c r="M1">
        <v>1.5</v>
      </c>
      <c r="O1">
        <v>3</v>
      </c>
      <c r="P1" t="s">
        <v>341</v>
      </c>
    </row>
    <row r="3" spans="1:25" s="6" customFormat="1" x14ac:dyDescent="0.25">
      <c r="A3" s="6" t="s">
        <v>195</v>
      </c>
      <c r="B3" s="6" t="s">
        <v>192</v>
      </c>
      <c r="C3" s="6" t="s">
        <v>193</v>
      </c>
      <c r="D3" s="6" t="s">
        <v>187</v>
      </c>
      <c r="E3" s="6" t="s">
        <v>186</v>
      </c>
      <c r="G3" s="13" t="s">
        <v>328</v>
      </c>
      <c r="H3" s="34" t="s">
        <v>17</v>
      </c>
      <c r="I3" s="34" t="s">
        <v>18</v>
      </c>
      <c r="J3" s="34" t="s">
        <v>19</v>
      </c>
      <c r="K3" s="34" t="s">
        <v>20</v>
      </c>
      <c r="L3" s="6" t="s">
        <v>275</v>
      </c>
      <c r="M3" s="6" t="s">
        <v>276</v>
      </c>
      <c r="N3" s="38" t="s">
        <v>269</v>
      </c>
      <c r="O3" s="38" t="s">
        <v>268</v>
      </c>
      <c r="P3" s="38" t="s">
        <v>267</v>
      </c>
      <c r="Q3" s="37" t="s">
        <v>0</v>
      </c>
      <c r="R3" s="37" t="s">
        <v>198</v>
      </c>
      <c r="S3" s="37" t="s">
        <v>270</v>
      </c>
      <c r="T3" s="38" t="s">
        <v>264</v>
      </c>
      <c r="U3" s="34" t="s">
        <v>197</v>
      </c>
      <c r="V3" s="34" t="s">
        <v>213</v>
      </c>
      <c r="W3" s="34" t="s">
        <v>273</v>
      </c>
      <c r="Y3" s="37" t="s">
        <v>274</v>
      </c>
    </row>
    <row r="4" spans="1:25" ht="18.75" x14ac:dyDescent="0.3">
      <c r="A4" s="35" t="str">
        <f>IF(OR(E4=$C$1,E4=$D$1,E4=$E$1),"YES","NO")</f>
        <v>YES</v>
      </c>
      <c r="B4" s="35">
        <f>'Expanded Base Data'!D2</f>
        <v>1.91</v>
      </c>
      <c r="C4" s="35">
        <f>'Expanded Base Data'!E2</f>
        <v>1.73</v>
      </c>
      <c r="D4" s="36" t="str">
        <f>'Expanded Base Data'!B2</f>
        <v>1A</v>
      </c>
      <c r="E4" s="35" t="str">
        <f>'Expanded Base Data'!C2</f>
        <v>well</v>
      </c>
      <c r="F4" s="35" t="str">
        <f>'Expanded Base Data'!M2</f>
        <v>full</v>
      </c>
      <c r="G4" s="170" t="str">
        <f>F4</f>
        <v>full</v>
      </c>
      <c r="Y4" s="167" t="str">
        <f>""</f>
        <v/>
      </c>
    </row>
    <row r="5" spans="1:25" x14ac:dyDescent="0.25">
      <c r="A5" t="str">
        <f>IF(AND($A4="YES",E4=$C$1),"YES","NO")</f>
        <v>YES</v>
      </c>
      <c r="C5" t="s">
        <v>6</v>
      </c>
      <c r="D5" s="12" t="str">
        <f>D4</f>
        <v>1A</v>
      </c>
      <c r="E5" t="s">
        <v>6</v>
      </c>
      <c r="F5" t="s">
        <v>198</v>
      </c>
      <c r="G5" s="171" t="str">
        <f>F4</f>
        <v>full</v>
      </c>
      <c r="H5">
        <f>IF('Expanded Base Data'!N2="",ROUND(B4+'Slide Measurements'!$D$11,$O$1),B4+'Expanded Base Data'!N2)</f>
        <v>25.91</v>
      </c>
      <c r="I5">
        <f>IF('Expanded Base Data'!O2="",ROUND(B4+'Slide Measurements'!$D$12,$O$1),B4+'Expanded Base Data'!O2)</f>
        <v>73.91</v>
      </c>
      <c r="J5">
        <f>IF('Expanded Base Data'!P2="",C4+'Slide Measurements'!$E$13,C4+'Expanded Base Data'!P2)</f>
        <v>1.73</v>
      </c>
      <c r="K5">
        <f>IF('Expanded Base Data'!Q2="",C4+'Slide Measurements'!$E$14,C4+'Expanded Base Data'!Q2)</f>
        <v>25.73</v>
      </c>
      <c r="L5" s="5">
        <f>'Expanded Base Data'!$L2</f>
        <v>1.5</v>
      </c>
      <c r="M5" s="5">
        <f>'Expanded Base Data'!$K2</f>
        <v>0.7</v>
      </c>
      <c r="N5">
        <f>ROUND((I5-H5),$O$1)</f>
        <v>48</v>
      </c>
      <c r="O5">
        <f>ROUND((K5-J5),$O$1)</f>
        <v>24</v>
      </c>
      <c r="P5" s="5">
        <f>ROUND((L5-M5),$O$1)</f>
        <v>0.8</v>
      </c>
      <c r="Q5">
        <f>'Code List'!$C$62</f>
        <v>5</v>
      </c>
      <c r="R5">
        <f>F6+'Code List'!$G$63</f>
        <v>14</v>
      </c>
      <c r="S5">
        <f>IF(P5=0,"1",ROUND((P5/$K$1)+$M$1,0))</f>
        <v>14</v>
      </c>
      <c r="T5">
        <f>Q5*R5*S5</f>
        <v>980</v>
      </c>
      <c r="U5" t="str">
        <f>IF(A5="YES",CONCATENATE(G5,"_",'Program Page'!$C$4,'Program Page'!$C$5,"_",D5,"_",E5),"")</f>
        <v>full_AZ_1A_Well</v>
      </c>
      <c r="V5" t="str">
        <f>IF(U5="","",CONCATENATE(U5,"_"))</f>
        <v>full_AZ_1A_Well_</v>
      </c>
      <c r="W5" t="str">
        <f ca="1">IF(A5="YES",CONCATENATE("{",'Code List'!$B$4,'Code List'!$D$4,",",'Code List'!$B$5,'Code List'!$D$5,",",'Code List'!$B$6,"""",U5,"""",",",'Code List'!$B$7,'Code List'!$D$7,",",'Code List'!$B$8,'Code List'!$D$8,",",'Code List'!$B$9,'Code List'!$D$9,",",'Code List'!$B$10,'Code List'!$D$10,",",'Code List'!$B$11,"""",V5,"""",",",'Code List'!$B$12,"""",H5,"""",",",'Code List'!$B$13,"""",I5,"""",",",'Code List'!$B$14,"""",J5,"""",",",'Code List'!$B$15,"""",K5,"""",",",'Code List'!$B$16,"""",L5,"""",",",'Code List'!$B$17,"""",M5,"""",",",'Code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>{"project_last_updated":"Last updated on...6-16-2017 12735","project_path":"K:/1_Capture/","project_name":"full_AZ_1A_Well","project_subject_id":"--","project_author":"","project_date":"6-16-2017","project_notes":"","project_data_directory":"full_AZ_1A_Well_","project_boundary_left":"25.91","project_boundary_right":"73.91","project_boundary_top":"1.73","project_boundary_bottom":"25.73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  <c r="Y5" s="167" t="str">
        <f ca="1">IF(A5="YES",CONCATENATE("{",'Code List'!$B$31,"""",U5,"""",",",'Code List'!$B$32,'Code List'!$D$32,",",'Code List'!$B$33,'Code List'!$D$33,",",'Code List'!$B$34,'Code List'!$D$34,",",'Code List'!$B$35,'Code List'!$D$35,",",'Code List'!$B$36,'Code List'!$D$36,",",'Code List'!$B$37,'Code List'!$D$37,",",'Code List'!$B$38,"""",H5,"""",",",'Code List'!$B$39,"""",I5,"""",",",'Code List'!$B$40,"""",J5,"""",",",'Code List'!$B$41,"""",K5,"""",",",'Code List'!$B$42,"""",L5,"""",",",'Code List'!$B$43,"""",M5,"""",",",'Code List'!$B$44,"""",N5,"""",",",'Code List'!$B$45,"""",O5,"""",",",'Code List'!$B$46,"""",P5,"""",",",'Code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List'!$B$59,"""",T5,"""","}"),"")</f>
        <v>{"project_name":"full_AZ_1A_Well","project_path":"K:/1_Capture/","project_subject_id":"--","project_author":"","project_date":"6-16-2017","project_notes":"","project_data_directory":"AZ_6-16-2017_","project_boundary_left":"25.91","project_boundary_right":"73.91","project_boundary_top":"1.73","project_boundary_bottom":"25.73","project_boundary_highfocus":"1.5","project_boundary_lowfocus":"0.7","project_subject_width":"48","project_subject_height":"24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980"}</v>
      </c>
    </row>
    <row r="6" spans="1:25" x14ac:dyDescent="0.25">
      <c r="A6" t="str">
        <f>IF(AND($A4="YES",E4=$D$1,F6&gt;0),"YES","NO")</f>
        <v>NO</v>
      </c>
      <c r="C6" t="s">
        <v>5</v>
      </c>
      <c r="D6" s="12" t="str">
        <f t="shared" ref="D6:D10" si="0">D5</f>
        <v>1A</v>
      </c>
      <c r="E6" t="s">
        <v>188</v>
      </c>
      <c r="F6">
        <f>'Expanded Base Data'!F2</f>
        <v>12</v>
      </c>
      <c r="G6" s="171" t="str">
        <f>F4</f>
        <v>full</v>
      </c>
      <c r="H6">
        <f>ROUND(B4+'Slide Measurements'!$D$17,$O$1)</f>
        <v>27.31</v>
      </c>
      <c r="I6">
        <f>ROUND(H6+(F6*'Slide Measurements'!$D$21),$O$1)</f>
        <v>71.709999999999994</v>
      </c>
      <c r="J6">
        <f>C4+'Slide Measurements'!$E$17</f>
        <v>6.0299999999999994</v>
      </c>
      <c r="K6">
        <f>J6+($I$1*'Slide Measurements'!$E$23-'Slide Measurements'!$E$23)</f>
        <v>7.88</v>
      </c>
      <c r="L6" s="5">
        <f>'Expanded Base Data'!$L2</f>
        <v>1.5</v>
      </c>
      <c r="M6" s="5">
        <f>'Expanded Base Data'!$K2</f>
        <v>0.7</v>
      </c>
      <c r="N6">
        <f t="shared" ref="N6:N11" si="1">ROUND((I6-H6),$O$1)</f>
        <v>44.4</v>
      </c>
      <c r="O6">
        <f t="shared" ref="O6:O11" si="2">ROUND((K6-J6),$O$1)</f>
        <v>1.85</v>
      </c>
      <c r="P6" s="5">
        <f t="shared" ref="P6:P10" si="3">ROUND((L6-M6),$O$1)</f>
        <v>0.8</v>
      </c>
      <c r="Q6">
        <f>'Code List'!$C$63</f>
        <v>3</v>
      </c>
      <c r="R6">
        <f>F7+'Code List'!$G$63</f>
        <v>2</v>
      </c>
      <c r="S6">
        <f t="shared" ref="S6:S10" si="4">IF(P6=0,"1",ROUND((P6/$K$1)+$M$1,0))</f>
        <v>14</v>
      </c>
      <c r="T6">
        <f>Q6*R6*S6</f>
        <v>84</v>
      </c>
      <c r="U6" t="str">
        <f>IF(A6="YES",CONCATENATE(G6,"_",'Program Page'!$C$4,'Program Page'!$C$5,"_",D6,"_",E6),"")</f>
        <v/>
      </c>
      <c r="V6" t="str">
        <f t="shared" ref="V6:V10" si="5">IF(U6="","",CONCATENATE(U6,"_"))</f>
        <v/>
      </c>
      <c r="W6" t="str">
        <f>IF(A6="YES",CONCATENATE("{",'Code List'!$B$4,'Code List'!$D$4,",",'Code List'!$B$5,'Code List'!$D$5,",",'Code List'!$B$6,"""",U6,"""",",",'Code List'!$B$7,'Code List'!$D$7,",",'Code List'!$B$8,'Code List'!$D$8,",",'Code List'!$B$9,'Code List'!$D$9,",",'Code List'!$B$10,'Code List'!$D$10,",",'Code List'!$B$11,"""",V6,"""",",",'Code List'!$B$12,"""",H6,"""",",",'Code List'!$B$13,"""",I6,"""",",",'Code List'!$B$14,"""",J6,"""",",",'Code List'!$B$15,"""",K6,"""",",",'Code List'!$B$16,"""",L6,"""",",",'Code List'!$B$17,"""",M6,"""",",",'Code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" s="167" t="str">
        <f>IF(A6="YES",CONCATENATE("{",'Code List'!$B$31,"""",U6,"""",",",'Code List'!$B$32,'Code List'!$D$32,",",'Code List'!$B$33,'Code List'!$D$33,",",'Code List'!$B$34,'Code List'!$D$34,",",'Code List'!$B$35,'Code List'!$D$35,",",'Code List'!$B$36,'Code List'!$D$36,",",'Code List'!$B$37,'Code List'!$D$37,",",'Code List'!$B$38,"""",H6,"""",",",'Code List'!$B$39,"""",I6,"""",",",'Code List'!$B$40,"""",J6,"""",",",'Code List'!$B$41,"""",K6,"""",",",'Code List'!$B$42,"""",L6,"""",",",'Code List'!$B$43,"""",M6,"""",",",'Code List'!$B$44,"""",N6,"""",",",'Code List'!$B$45,"""",O6,"""",",",'Code List'!$B$46,"""",P6,"""",",",'Code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List'!$B$59,"""",T6,"""","}"),"")</f>
        <v/>
      </c>
    </row>
    <row r="7" spans="1:25" x14ac:dyDescent="0.25">
      <c r="A7" t="str">
        <f>IF(AND($A4="YES",E4=$D$1,F7&gt;0),"YES","NO")</f>
        <v>NO</v>
      </c>
      <c r="C7" t="s">
        <v>5</v>
      </c>
      <c r="D7" s="12" t="str">
        <f t="shared" si="0"/>
        <v>1A</v>
      </c>
      <c r="E7" t="s">
        <v>189</v>
      </c>
      <c r="F7">
        <f>'Expanded Base Data'!G2</f>
        <v>0</v>
      </c>
      <c r="G7" s="171" t="str">
        <f>F4</f>
        <v>full</v>
      </c>
      <c r="H7">
        <f>ROUND(B4+'Slide Measurements'!$D$17,$O$1)</f>
        <v>27.31</v>
      </c>
      <c r="I7">
        <f>ROUND(H7+(F7*'Slide Measurements'!$D$21),$O$1)</f>
        <v>27.31</v>
      </c>
      <c r="J7">
        <f>K6</f>
        <v>7.88</v>
      </c>
      <c r="K7">
        <f>J7+($I$1*'Slide Measurements'!$E$23-'Slide Measurements'!$E$23)</f>
        <v>9.73</v>
      </c>
      <c r="L7" s="5">
        <f>'Expanded Base Data'!$L2</f>
        <v>1.5</v>
      </c>
      <c r="M7" s="5">
        <f>'Expanded Base Data'!$K2</f>
        <v>0.7</v>
      </c>
      <c r="N7">
        <f t="shared" si="1"/>
        <v>0</v>
      </c>
      <c r="O7">
        <f t="shared" si="2"/>
        <v>1.85</v>
      </c>
      <c r="P7" s="5">
        <f t="shared" si="3"/>
        <v>0.8</v>
      </c>
      <c r="Q7">
        <f>'Code List'!$C$63</f>
        <v>3</v>
      </c>
      <c r="R7">
        <f>F8+'Code List'!$G$63</f>
        <v>2</v>
      </c>
      <c r="S7">
        <f t="shared" si="4"/>
        <v>14</v>
      </c>
      <c r="T7">
        <f t="shared" ref="T7:T10" si="6">Q7*R7*S7</f>
        <v>84</v>
      </c>
      <c r="U7" t="str">
        <f>IF(A7="YES",CONCATENATE(G7,"_",'Program Page'!$C$4,'Program Page'!$C$5,"_",D7,"_",E7),"")</f>
        <v/>
      </c>
      <c r="V7" t="str">
        <f t="shared" si="5"/>
        <v/>
      </c>
      <c r="W7" t="str">
        <f>IF(A7="YES",CONCATENATE("{",'Code List'!$B$4,'Code List'!$D$4,",",'Code List'!$B$5,'Code List'!$D$5,",",'Code List'!$B$6,"""",U7,"""",",",'Code List'!$B$7,'Code List'!$D$7,",",'Code List'!$B$8,'Code List'!$D$8,",",'Code List'!$B$9,'Code List'!$D$9,",",'Code List'!$B$10,'Code List'!$D$10,",",'Code List'!$B$11,"""",V7,"""",",",'Code List'!$B$12,"""",H7,"""",",",'Code List'!$B$13,"""",I7,"""",",",'Code List'!$B$14,"""",J7,"""",",",'Code List'!$B$15,"""",K7,"""",",",'Code List'!$B$16,"""",L7,"""",",",'Code List'!$B$17,"""",M7,"""",",",'Code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7" s="167" t="str">
        <f>IF(A7="YES",CONCATENATE("{",'Code List'!$B$31,"""",U7,"""",",",'Code List'!$B$32,'Code List'!$D$32,",",'Code List'!$B$33,'Code List'!$D$33,",",'Code List'!$B$34,'Code List'!$D$34,",",'Code List'!$B$35,'Code List'!$D$35,",",'Code List'!$B$36,'Code List'!$D$36,",",'Code List'!$B$37,'Code List'!$D$37,",",'Code List'!$B$38,"""",H7,"""",",",'Code List'!$B$39,"""",I7,"""",",",'Code List'!$B$40,"""",J7,"""",",",'Code List'!$B$41,"""",K7,"""",",",'Code List'!$B$42,"""",L7,"""",",",'Code List'!$B$43,"""",M7,"""",",",'Code List'!$B$44,"""",N7,"""",",",'Code List'!$B$45,"""",O7,"""",",",'Code List'!$B$46,"""",P7,"""",",",'Code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List'!$B$59,"""",T7,"""","}"),"")</f>
        <v/>
      </c>
    </row>
    <row r="8" spans="1:25" x14ac:dyDescent="0.25">
      <c r="A8" t="str">
        <f>IF(AND($A4="YES",E4=$D$1,F8&gt;0),"YES","NO")</f>
        <v>NO</v>
      </c>
      <c r="C8" t="s">
        <v>5</v>
      </c>
      <c r="D8" s="12" t="str">
        <f t="shared" si="0"/>
        <v>1A</v>
      </c>
      <c r="E8" t="s">
        <v>190</v>
      </c>
      <c r="F8">
        <f>'Expanded Base Data'!H2</f>
        <v>0</v>
      </c>
      <c r="G8" s="171" t="str">
        <f>F4</f>
        <v>full</v>
      </c>
      <c r="H8">
        <f>ROUND(B4+'Slide Measurements'!$D$17,$O$1)</f>
        <v>27.31</v>
      </c>
      <c r="I8">
        <f>ROUND(H8+(F8*'Slide Measurements'!$D$21),$O$1)</f>
        <v>27.31</v>
      </c>
      <c r="J8">
        <f>K7</f>
        <v>9.73</v>
      </c>
      <c r="K8">
        <f>J8+($I$1*'Slide Measurements'!$E$23-'Slide Measurements'!$E$23)</f>
        <v>11.580000000000002</v>
      </c>
      <c r="L8" s="5">
        <f>'Expanded Base Data'!$L2</f>
        <v>1.5</v>
      </c>
      <c r="M8" s="5">
        <f>'Expanded Base Data'!$K2</f>
        <v>0.7</v>
      </c>
      <c r="N8">
        <f t="shared" si="1"/>
        <v>0</v>
      </c>
      <c r="O8">
        <f t="shared" si="2"/>
        <v>1.85</v>
      </c>
      <c r="P8" s="5">
        <f t="shared" si="3"/>
        <v>0.8</v>
      </c>
      <c r="Q8">
        <f>'Code List'!$C$63</f>
        <v>3</v>
      </c>
      <c r="R8">
        <f>F9+'Code List'!$G$63</f>
        <v>2</v>
      </c>
      <c r="S8">
        <f t="shared" si="4"/>
        <v>14</v>
      </c>
      <c r="T8">
        <f t="shared" si="6"/>
        <v>84</v>
      </c>
      <c r="U8" t="str">
        <f>IF(A8="YES",CONCATENATE(G8,"_",'Program Page'!$C$4,'Program Page'!$C$5,"_",D8,"_",E8),"")</f>
        <v/>
      </c>
      <c r="V8" t="str">
        <f t="shared" si="5"/>
        <v/>
      </c>
      <c r="W8" t="str">
        <f>IF(A8="YES",CONCATENATE("{",'Code List'!$B$4,'Code List'!$D$4,",",'Code List'!$B$5,'Code List'!$D$5,",",'Code List'!$B$6,"""",U8,"""",",",'Code List'!$B$7,'Code List'!$D$7,",",'Code List'!$B$8,'Code List'!$D$8,",",'Code List'!$B$9,'Code List'!$D$9,",",'Code List'!$B$10,'Code List'!$D$10,",",'Code List'!$B$11,"""",V8,"""",",",'Code List'!$B$12,"""",H8,"""",",",'Code List'!$B$13,"""",I8,"""",",",'Code List'!$B$14,"""",J8,"""",",",'Code List'!$B$15,"""",K8,"""",",",'Code List'!$B$16,"""",L8,"""",",",'Code List'!$B$17,"""",M8,"""",",",'Code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8" s="167" t="str">
        <f>IF(A8="YES",CONCATENATE("{",'Code List'!$B$31,"""",U8,"""",",",'Code List'!$B$32,'Code List'!$D$32,",",'Code List'!$B$33,'Code List'!$D$33,",",'Code List'!$B$34,'Code List'!$D$34,",",'Code List'!$B$35,'Code List'!$D$35,",",'Code List'!$B$36,'Code List'!$D$36,",",'Code List'!$B$37,'Code List'!$D$37,",",'Code List'!$B$38,"""",H8,"""",",",'Code List'!$B$39,"""",I8,"""",",",'Code List'!$B$40,"""",J8,"""",",",'Code List'!$B$41,"""",K8,"""",",",'Code List'!$B$42,"""",L8,"""",",",'Code List'!$B$43,"""",M8,"""",",",'Code List'!$B$44,"""",N8,"""",",",'Code List'!$B$45,"""",O8,"""",",",'Code List'!$B$46,"""",P8,"""",",",'Code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List'!$B$59,"""",T8,"""","}"),"")</f>
        <v/>
      </c>
    </row>
    <row r="9" spans="1:25" x14ac:dyDescent="0.25">
      <c r="A9" t="str">
        <f>IF(AND($A4="YES",E4=$D$1,F9&gt;0),"YES","NO")</f>
        <v>NO</v>
      </c>
      <c r="C9" t="s">
        <v>5</v>
      </c>
      <c r="D9" s="12" t="str">
        <f t="shared" si="0"/>
        <v>1A</v>
      </c>
      <c r="E9" t="s">
        <v>191</v>
      </c>
      <c r="F9">
        <f>'Expanded Base Data'!I2</f>
        <v>0</v>
      </c>
      <c r="G9" s="171" t="str">
        <f>F4</f>
        <v>full</v>
      </c>
      <c r="H9">
        <f>ROUND(B4+'Slide Measurements'!$D$17,$O$1)</f>
        <v>27.31</v>
      </c>
      <c r="I9">
        <f>ROUND(H9+(F9*'Slide Measurements'!$D$21),$O$1)</f>
        <v>27.31</v>
      </c>
      <c r="J9">
        <f>K8</f>
        <v>11.580000000000002</v>
      </c>
      <c r="K9">
        <f>J9+($I$1*'Slide Measurements'!$E$23-'Slide Measurements'!$E$23)</f>
        <v>13.430000000000003</v>
      </c>
      <c r="L9" s="5">
        <f>'Expanded Base Data'!$L2</f>
        <v>1.5</v>
      </c>
      <c r="M9" s="5">
        <f>'Expanded Base Data'!$K2</f>
        <v>0.7</v>
      </c>
      <c r="N9">
        <f t="shared" si="1"/>
        <v>0</v>
      </c>
      <c r="O9">
        <f t="shared" si="2"/>
        <v>1.85</v>
      </c>
      <c r="P9" s="5">
        <f t="shared" si="3"/>
        <v>0.8</v>
      </c>
      <c r="Q9">
        <f>'Code List'!$C$63</f>
        <v>3</v>
      </c>
      <c r="R9">
        <f>F10+'Code List'!$G$63</f>
        <v>2</v>
      </c>
      <c r="S9">
        <f t="shared" si="4"/>
        <v>14</v>
      </c>
      <c r="T9">
        <f t="shared" si="6"/>
        <v>84</v>
      </c>
      <c r="U9" t="str">
        <f>IF(A9="YES",CONCATENATE(G9,"_",'Program Page'!$C$4,'Program Page'!$C$5,"_",D9,"_",E9),"")</f>
        <v/>
      </c>
      <c r="V9" t="str">
        <f t="shared" si="5"/>
        <v/>
      </c>
      <c r="W9" t="str">
        <f>IF(A9="YES",CONCATENATE("{",'Code List'!$B$4,'Code List'!$D$4,",",'Code List'!$B$5,'Code List'!$D$5,",",'Code List'!$B$6,"""",U9,"""",",",'Code List'!$B$7,'Code List'!$D$7,",",'Code List'!$B$8,'Code List'!$D$8,",",'Code List'!$B$9,'Code List'!$D$9,",",'Code List'!$B$10,'Code List'!$D$10,",",'Code List'!$B$11,"""",V9,"""",",",'Code List'!$B$12,"""",H9,"""",",",'Code List'!$B$13,"""",I9,"""",",",'Code List'!$B$14,"""",J9,"""",",",'Code List'!$B$15,"""",K9,"""",",",'Code List'!$B$16,"""",L9,"""",",",'Code List'!$B$17,"""",M9,"""",",",'Code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9" s="167" t="str">
        <f>IF(A9="YES",CONCATENATE("{",'Code List'!$B$31,"""",U9,"""",",",'Code List'!$B$32,'Code List'!$D$32,",",'Code List'!$B$33,'Code List'!$D$33,",",'Code List'!$B$34,'Code List'!$D$34,",",'Code List'!$B$35,'Code List'!$D$35,",",'Code List'!$B$36,'Code List'!$D$36,",",'Code List'!$B$37,'Code List'!$D$37,",",'Code List'!$B$38,"""",H9,"""",",",'Code List'!$B$39,"""",I9,"""",",",'Code List'!$B$40,"""",J9,"""",",",'Code List'!$B$41,"""",K9,"""",",",'Code List'!$B$42,"""",L9,"""",",",'Code List'!$B$43,"""",M9,"""",",",'Code List'!$B$44,"""",N9,"""",",",'Code List'!$B$45,"""",O9,"""",",",'Code List'!$B$46,"""",P9,"""",",",'Code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List'!$B$59,"""",T9,"""","}"),"")</f>
        <v/>
      </c>
    </row>
    <row r="10" spans="1:25" x14ac:dyDescent="0.25">
      <c r="A10" t="str">
        <f>IF(AND($A4="YES",E4=$D$1,F10&gt;0),"YES","NO")</f>
        <v>NO</v>
      </c>
      <c r="C10" t="s">
        <v>5</v>
      </c>
      <c r="D10" s="12" t="str">
        <f t="shared" si="0"/>
        <v>1A</v>
      </c>
      <c r="E10" t="s">
        <v>196</v>
      </c>
      <c r="F10">
        <f>'Expanded Base Data'!J2</f>
        <v>0</v>
      </c>
      <c r="G10" s="171" t="str">
        <f>F4</f>
        <v>full</v>
      </c>
      <c r="H10">
        <f>ROUND(B4+'Slide Measurements'!$D$17,$O$1)</f>
        <v>27.31</v>
      </c>
      <c r="I10">
        <f>ROUND(H10+(F10*'Slide Measurements'!$D$21),$O$1)</f>
        <v>27.31</v>
      </c>
      <c r="J10">
        <f>K9</f>
        <v>13.430000000000003</v>
      </c>
      <c r="K10">
        <f>J10+($I$1*'Slide Measurements'!$E$23-'Slide Measurements'!$E$23)</f>
        <v>15.280000000000005</v>
      </c>
      <c r="L10" s="5">
        <f>'Expanded Base Data'!$L2</f>
        <v>1.5</v>
      </c>
      <c r="M10" s="5">
        <f>'Expanded Base Data'!$K2</f>
        <v>0.7</v>
      </c>
      <c r="N10">
        <f t="shared" si="1"/>
        <v>0</v>
      </c>
      <c r="O10">
        <f t="shared" si="2"/>
        <v>1.85</v>
      </c>
      <c r="P10" s="5">
        <f t="shared" si="3"/>
        <v>0.8</v>
      </c>
      <c r="Q10">
        <f>'Code List'!$C$63</f>
        <v>3</v>
      </c>
      <c r="R10">
        <f>F11+'Code List'!$G$63</f>
        <v>2</v>
      </c>
      <c r="S10">
        <f t="shared" si="4"/>
        <v>14</v>
      </c>
      <c r="T10">
        <f t="shared" si="6"/>
        <v>84</v>
      </c>
      <c r="U10" t="str">
        <f>IF(A10="YES",CONCATENATE(G10,"_",'Program Page'!$C$4,'Program Page'!$C$5,"_",D10,"_",E10),"")</f>
        <v/>
      </c>
      <c r="V10" t="str">
        <f t="shared" si="5"/>
        <v/>
      </c>
      <c r="W10" t="str">
        <f>IF(A10="YES",CONCATENATE("{",'Code List'!$B$4,'Code List'!$D$4,",",'Code List'!$B$5,'Code List'!$D$5,",",'Code List'!$B$6,"""",U10,"""",",",'Code List'!$B$7,'Code List'!$D$7,",",'Code List'!$B$8,'Code List'!$D$8,",",'Code List'!$B$9,'Code List'!$D$9,",",'Code List'!$B$10,'Code List'!$D$10,",",'Code List'!$B$11,"""",V10,"""",",",'Code List'!$B$12,"""",H10,"""",",",'Code List'!$B$13,"""",I10,"""",",",'Code List'!$B$14,"""",J10,"""",",",'Code List'!$B$15,"""",K10,"""",",",'Code List'!$B$16,"""",L10,"""",",",'Code List'!$B$17,"""",M10,"""",",",'Code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0" s="167" t="str">
        <f>IF(A10="YES",CONCATENATE("{",'Code List'!$B$31,"""",U10,"""",",",'Code List'!$B$32,'Code List'!$D$32,",",'Code List'!$B$33,'Code List'!$D$33,",",'Code List'!$B$34,'Code List'!$D$34,",",'Code List'!$B$35,'Code List'!$D$35,",",'Code List'!$B$36,'Code List'!$D$36,",",'Code List'!$B$37,'Code List'!$D$37,",",'Code List'!$B$38,"""",H10,"""",",",'Code List'!$B$39,"""",I10,"""",",",'Code List'!$B$40,"""",J10,"""",",",'Code List'!$B$41,"""",K10,"""",",",'Code List'!$B$42,"""",L10,"""",",",'Code List'!$B$43,"""",M10,"""",",",'Code List'!$B$44,"""",N10,"""",",",'Code List'!$B$45,"""",O10,"""",",",'Code List'!$B$46,"""",P10,"""",",",'Code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List'!$B$59,"""",T10,"""","}"),"")</f>
        <v/>
      </c>
    </row>
    <row r="11" spans="1:25" x14ac:dyDescent="0.25">
      <c r="A11" s="162" t="str">
        <f>IF(AND($A4="YES",E4=$E$1),"YES","NO")</f>
        <v>NO</v>
      </c>
      <c r="C11" t="s">
        <v>259</v>
      </c>
      <c r="D11" s="12" t="str">
        <f>D10</f>
        <v>1A</v>
      </c>
      <c r="E11" t="s">
        <v>259</v>
      </c>
      <c r="G11" s="171" t="str">
        <f>F4</f>
        <v>full</v>
      </c>
      <c r="H11">
        <f>ROUND(B4,$O$1)</f>
        <v>1.91</v>
      </c>
      <c r="I11">
        <f>ROUND(B4+'Slide Measurements'!$D$1,$O$1)</f>
        <v>78.36</v>
      </c>
      <c r="J11">
        <f>C4</f>
        <v>1.73</v>
      </c>
      <c r="K11">
        <f>C4+'Slide Measurements'!$D$2</f>
        <v>29.13</v>
      </c>
      <c r="L11" s="5">
        <f>'Expanded Base Data'!$L2</f>
        <v>1.5</v>
      </c>
      <c r="M11" s="5">
        <f>'Expanded Base Data'!$K2</f>
        <v>0.7</v>
      </c>
      <c r="N11">
        <f t="shared" si="1"/>
        <v>76.45</v>
      </c>
      <c r="O11">
        <f t="shared" si="2"/>
        <v>27.4</v>
      </c>
      <c r="P11" s="5">
        <f>ROUND((L11-M11),$O$1)</f>
        <v>0.8</v>
      </c>
      <c r="Q11">
        <f>'Code List'!$C$70</f>
        <v>11</v>
      </c>
      <c r="R11">
        <f>'Code List'!$D$70</f>
        <v>19</v>
      </c>
      <c r="S11">
        <f>IF(P11=0,"1",ROUND((P11/$K$1)+$M$1,0))</f>
        <v>14</v>
      </c>
      <c r="T11">
        <f>Q11*R11*S11</f>
        <v>2926</v>
      </c>
      <c r="U11" t="str">
        <f>IF(A11="YES",CONCATENATE(G11,"_",'Program Page'!$C$4,'Program Page'!$C$5,"_",D11,"_",E11),"")</f>
        <v/>
      </c>
      <c r="V11" t="str">
        <f>IF(U11="","",CONCATENATE(U11,"_"))</f>
        <v/>
      </c>
      <c r="W11" t="str">
        <f>IF(A11="YES",CONCATENATE("{",'Code List'!$B$4,'Code List'!$D$4,",",'Code List'!$B$5,'Code List'!$D$5,",",'Code List'!$B$6,"""",U11,"""",",",'Code List'!$B$7,'Code List'!$D$7,",",'Code List'!$B$8,'Code List'!$D$8,",",'Code List'!$B$9,'Code List'!$D$9,",",'Code List'!$B$10,'Code List'!$D$10,",",'Code List'!$B$11,"""",V11,"""",",",'Code List'!$B$12,"""",H11,"""",",",'Code List'!$B$13,"""",I11,"""",",",'Code List'!$B$14,"""",J11,"""",",",'Code List'!$B$15,"""",K11,"""",",",'Code List'!$B$16,"""",L11,"""",",",'Code List'!$B$17,"""",M11,"""",",",'Code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11" s="167" t="str">
        <f>IF(A11="YES",CONCATENATE("{",'Code List'!$B$31,"""",U11,"""",",",'Code List'!$B$32,'Code List'!$D$32,",",'Code List'!$B$33,'Code List'!$D$33,",",'Code List'!$B$34,'Code List'!$D$34,",",'Code List'!$B$35,'Code List'!$D$35,",",'Code List'!$B$36,'Code List'!$D$36,",",'Code List'!$B$37,'Code List'!$D$37,",",'Code List'!$B$38,"""",H11,"""",",",'Code List'!$B$39,"""",I11,"""",",",'Code List'!$B$40,"""",J11,"""",",",'Code List'!$B$41,"""",K11,"""",",",'Code List'!$B$42,"""",L11,"""",",",'Code List'!$B$43,"""",M11,"""",",",'Code List'!$B$44,"""",N11,"""",",",'Code List'!$B$45,"""",O11,"""",",",'Code List'!$B$46,"""",P11,"""",",",'Code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List'!$B$59,"""",T11,"""","}"),"")</f>
        <v/>
      </c>
    </row>
    <row r="12" spans="1:25" ht="18.75" x14ac:dyDescent="0.3">
      <c r="A12" s="35" t="str">
        <f>IF(OR(E12=$C$1,E12=$D$1,E12=$E$1),"YES","NO")</f>
        <v>YES</v>
      </c>
      <c r="B12" s="35">
        <f>'Expanded Base Data'!D10</f>
        <v>89.11</v>
      </c>
      <c r="C12" s="35">
        <f>'Expanded Base Data'!E10</f>
        <v>1.73</v>
      </c>
      <c r="D12" s="36" t="str">
        <f>'Expanded Base Data'!B10</f>
        <v>1B</v>
      </c>
      <c r="E12" s="35" t="str">
        <f>'Expanded Base Data'!C10</f>
        <v>Box</v>
      </c>
      <c r="F12" s="35">
        <f>'Expanded Base Data'!M10</f>
        <v>1</v>
      </c>
      <c r="G12" s="170">
        <f>F12</f>
        <v>1</v>
      </c>
      <c r="Y12" s="167" t="str">
        <f>""</f>
        <v/>
      </c>
    </row>
    <row r="13" spans="1:25" x14ac:dyDescent="0.25">
      <c r="A13" t="str">
        <f>IF(AND($A12="YES",E12=$C$1),"YES","NO")</f>
        <v>NO</v>
      </c>
      <c r="C13" t="s">
        <v>6</v>
      </c>
      <c r="D13" s="12" t="str">
        <f>D12</f>
        <v>1B</v>
      </c>
      <c r="E13" t="s">
        <v>6</v>
      </c>
      <c r="F13" t="s">
        <v>198</v>
      </c>
      <c r="G13" s="171">
        <f>F12</f>
        <v>1</v>
      </c>
      <c r="H13">
        <f>IF('Expanded Base Data'!N10="",ROUND(B12+'Slide Measurements'!$D$11,$O$1),B12+'Expanded Base Data'!N10)</f>
        <v>122.11</v>
      </c>
      <c r="I13">
        <f>IF('Expanded Base Data'!O10="",ROUND(B12+'Slide Measurements'!$D$12,$O$1),B12+'Expanded Base Data'!O10)</f>
        <v>130.71</v>
      </c>
      <c r="J13">
        <f>IF('Expanded Base Data'!P10="",C12+'Slide Measurements'!$E$13,C12+'Expanded Base Data'!P10)</f>
        <v>10.43</v>
      </c>
      <c r="K13">
        <f>IF('Expanded Base Data'!Q10="",C12+'Slide Measurements'!$E$14,C12+'Expanded Base Data'!Q10)</f>
        <v>19.029999999999998</v>
      </c>
      <c r="L13" s="5">
        <f>'Expanded Base Data'!$L10</f>
        <v>1.5</v>
      </c>
      <c r="M13" s="5">
        <f>'Expanded Base Data'!$K10</f>
        <v>0.7</v>
      </c>
      <c r="N13">
        <f>ROUND((I13-H13),$O$1)</f>
        <v>8.6</v>
      </c>
      <c r="O13">
        <f>ROUND((K13-J13),$O$1)</f>
        <v>8.6</v>
      </c>
      <c r="P13" s="5">
        <f>ROUND((L13-M13),$O$1)</f>
        <v>0.8</v>
      </c>
      <c r="Q13">
        <f>'Code List'!$C$62</f>
        <v>5</v>
      </c>
      <c r="R13">
        <f>F14+'Code List'!$G$63</f>
        <v>14</v>
      </c>
      <c r="S13">
        <f>IF(P13=0,"1",ROUND((P13/$K$1)+$M$1,0))</f>
        <v>14</v>
      </c>
      <c r="T13">
        <f>Q13*R13*S13</f>
        <v>980</v>
      </c>
      <c r="U13" t="str">
        <f>IF(A13="YES",CONCATENATE(G13,"_",'Program Page'!$C$4,'Program Page'!$C$5,"_",D13,"_",E13),"")</f>
        <v/>
      </c>
      <c r="V13" t="str">
        <f>IF(U13="","",CONCATENATE(U13,"_"))</f>
        <v/>
      </c>
      <c r="W13" t="str">
        <f>IF(A13="YES",CONCATENATE("{",'Code List'!$B$4,'Code List'!$D$4,",",'Code List'!$B$5,'Code List'!$D$5,",",'Code List'!$B$6,"""",U13,"""",",",'Code List'!$B$7,'Code List'!$D$7,",",'Code List'!$B$8,'Code List'!$D$8,",",'Code List'!$B$9,'Code List'!$D$9,",",'Code List'!$B$10,'Code List'!$D$10,",",'Code List'!$B$11,"""",V13,"""",",",'Code List'!$B$12,"""",H13,"""",",",'Code List'!$B$13,"""",I13,"""",",",'Code List'!$B$14,"""",J13,"""",",",'Code List'!$B$15,"""",K13,"""",",",'Code List'!$B$16,"""",L13,"""",",",'Code List'!$B$17,"""",M13,"""",",",'Code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3" s="167" t="str">
        <f>IF(A13="YES",CONCATENATE("{",'Code List'!$B$31,"""",U13,"""",",",'Code List'!$B$32,'Code List'!$D$32,",",'Code List'!$B$33,'Code List'!$D$33,",",'Code List'!$B$34,'Code List'!$D$34,",",'Code List'!$B$35,'Code List'!$D$35,",",'Code List'!$B$36,'Code List'!$D$36,",",'Code List'!$B$37,'Code List'!$D$37,",",'Code List'!$B$38,"""",H13,"""",",",'Code List'!$B$39,"""",I13,"""",",",'Code List'!$B$40,"""",J13,"""",",",'Code List'!$B$41,"""",K13,"""",",",'Code List'!$B$42,"""",L13,"""",",",'Code List'!$B$43,"""",M13,"""",",",'Code List'!$B$44,"""",N13,"""",",",'Code List'!$B$45,"""",O13,"""",",",'Code List'!$B$46,"""",P13,"""",",",'Code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List'!$B$59,"""",T13,"""","}"),"")</f>
        <v/>
      </c>
    </row>
    <row r="14" spans="1:25" x14ac:dyDescent="0.25">
      <c r="A14" t="str">
        <f>IF(AND($A12="YES",E12=$D$1,F14&gt;0),"YES","NO")</f>
        <v>YES</v>
      </c>
      <c r="C14" t="s">
        <v>5</v>
      </c>
      <c r="D14" s="12" t="str">
        <f t="shared" ref="D14:D18" si="7">D13</f>
        <v>1B</v>
      </c>
      <c r="E14" t="s">
        <v>188</v>
      </c>
      <c r="F14">
        <f>'Expanded Base Data'!F10</f>
        <v>12</v>
      </c>
      <c r="G14" s="171">
        <f>F12</f>
        <v>1</v>
      </c>
      <c r="H14">
        <f>ROUND(B12+'Slide Measurements'!$D$17,$O$1)</f>
        <v>114.51</v>
      </c>
      <c r="I14">
        <f>ROUND(H14+(F14*'Slide Measurements'!$D$21),$O$1)</f>
        <v>158.91</v>
      </c>
      <c r="J14">
        <f>C12+'Slide Measurements'!$E$17</f>
        <v>6.0299999999999994</v>
      </c>
      <c r="K14">
        <f>J14+($I$1*'Slide Measurements'!$E$23-'Slide Measurements'!$E$23)</f>
        <v>7.88</v>
      </c>
      <c r="L14" s="5">
        <f>'Expanded Base Data'!$L10</f>
        <v>1.5</v>
      </c>
      <c r="M14" s="5">
        <f>'Expanded Base Data'!$K10</f>
        <v>0.7</v>
      </c>
      <c r="N14">
        <f t="shared" ref="N14:N19" si="8">ROUND((I14-H14),$O$1)</f>
        <v>44.4</v>
      </c>
      <c r="O14">
        <f t="shared" ref="O14:O19" si="9">ROUND((K14-J14),$O$1)</f>
        <v>1.85</v>
      </c>
      <c r="P14" s="5">
        <f t="shared" ref="P14:P18" si="10">ROUND((L14-M14),$O$1)</f>
        <v>0.8</v>
      </c>
      <c r="Q14">
        <f>'Code List'!$C$63</f>
        <v>3</v>
      </c>
      <c r="R14">
        <f>F15+'Code List'!$G$63</f>
        <v>2</v>
      </c>
      <c r="S14">
        <f t="shared" ref="S14:S18" si="11">IF(P14=0,"1",ROUND((P14/$K$1)+$M$1,0))</f>
        <v>14</v>
      </c>
      <c r="T14">
        <f>Q14*R14*S14</f>
        <v>84</v>
      </c>
      <c r="U14" t="str">
        <f>IF(A14="YES",CONCATENATE(G14,"_",'Program Page'!$C$4,'Program Page'!$C$5,"_",D14,"_",E14),"")</f>
        <v>1_AZ_1B_Row1</v>
      </c>
      <c r="V14" t="str">
        <f t="shared" ref="V14:V18" si="12">IF(U14="","",CONCATENATE(U14,"_"))</f>
        <v>1_AZ_1B_Row1_</v>
      </c>
      <c r="W14" t="str">
        <f ca="1">IF(A14="YES",CONCATENATE("{",'Code List'!$B$4,'Code List'!$D$4,",",'Code List'!$B$5,'Code List'!$D$5,",",'Code List'!$B$6,"""",U14,"""",",",'Code List'!$B$7,'Code List'!$D$7,",",'Code List'!$B$8,'Code List'!$D$8,",",'Code List'!$B$9,'Code List'!$D$9,",",'Code List'!$B$10,'Code List'!$D$10,",",'Code List'!$B$11,"""",V14,"""",",",'Code List'!$B$12,"""",H14,"""",",",'Code List'!$B$13,"""",I14,"""",",",'Code List'!$B$14,"""",J14,"""",",",'Code List'!$B$15,"""",K14,"""",",",'Code List'!$B$16,"""",L14,"""",",",'Code List'!$B$17,"""",M14,"""",",",'Code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>{"project_last_updated":"Last updated on...6-16-2017 12735","project_path":"K:/1_Capture/","project_name":"1_AZ_1B_Row1","project_subject_id":"--","project_author":"","project_date":"6-16-2017","project_notes":"","project_data_directory":"1_AZ_1B_Row1_","project_boundary_left":"114.51","project_boundary_right":"158.91","project_boundary_top":"6.03","project_boundary_bottom":"7.88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  <c r="Y14" s="167" t="str">
        <f ca="1">IF(A14="YES",CONCATENATE("{",'Code List'!$B$31,"""",U14,"""",",",'Code List'!$B$32,'Code List'!$D$32,",",'Code List'!$B$33,'Code List'!$D$33,",",'Code List'!$B$34,'Code List'!$D$34,",",'Code List'!$B$35,'Code List'!$D$35,",",'Code List'!$B$36,'Code List'!$D$36,",",'Code List'!$B$37,'Code List'!$D$37,",",'Code List'!$B$38,"""",H14,"""",",",'Code List'!$B$39,"""",I14,"""",",",'Code List'!$B$40,"""",J14,"""",",",'Code List'!$B$41,"""",K14,"""",",",'Code List'!$B$42,"""",L14,"""",",",'Code List'!$B$43,"""",M14,"""",",",'Code List'!$B$44,"""",N14,"""",",",'Code List'!$B$45,"""",O14,"""",",",'Code List'!$B$46,"""",P14,"""",",",'Code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List'!$B$59,"""",T14,"""","}"),"")</f>
        <v>{"project_name":"1_AZ_1B_Row1","project_path":"K:/1_Capture/","project_subject_id":"--","project_author":"","project_date":"6-16-2017","project_notes":"","project_data_directory":"AZ_6-16-2017_","project_boundary_left":"114.51","project_boundary_right":"158.91","project_boundary_top":"6.03","project_boundary_bottom":"7.88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v>
      </c>
    </row>
    <row r="15" spans="1:25" x14ac:dyDescent="0.25">
      <c r="A15" t="str">
        <f>IF(AND($A12="YES",E12=$D$1,F15&gt;0),"YES","NO")</f>
        <v>NO</v>
      </c>
      <c r="C15" t="s">
        <v>5</v>
      </c>
      <c r="D15" s="12" t="str">
        <f t="shared" si="7"/>
        <v>1B</v>
      </c>
      <c r="E15" t="s">
        <v>189</v>
      </c>
      <c r="F15">
        <f>'Expanded Base Data'!G10</f>
        <v>0</v>
      </c>
      <c r="G15" s="171">
        <f>F12</f>
        <v>1</v>
      </c>
      <c r="H15">
        <f>ROUND(B12+'Slide Measurements'!$D$17,$O$1)</f>
        <v>114.51</v>
      </c>
      <c r="I15">
        <f>ROUND(H15+(F15*'Slide Measurements'!$D$21),$O$1)</f>
        <v>114.51</v>
      </c>
      <c r="J15">
        <f>K14</f>
        <v>7.88</v>
      </c>
      <c r="K15">
        <f>J15+($I$1*'Slide Measurements'!$E$23-'Slide Measurements'!$E$23)</f>
        <v>9.73</v>
      </c>
      <c r="L15" s="5">
        <f>'Expanded Base Data'!$L10</f>
        <v>1.5</v>
      </c>
      <c r="M15" s="5">
        <f>'Expanded Base Data'!$K10</f>
        <v>0.7</v>
      </c>
      <c r="N15">
        <f t="shared" si="8"/>
        <v>0</v>
      </c>
      <c r="O15">
        <f t="shared" si="9"/>
        <v>1.85</v>
      </c>
      <c r="P15" s="5">
        <f t="shared" si="10"/>
        <v>0.8</v>
      </c>
      <c r="Q15">
        <f>'Code List'!$C$63</f>
        <v>3</v>
      </c>
      <c r="R15">
        <f>F16+'Code List'!$G$63</f>
        <v>2</v>
      </c>
      <c r="S15">
        <f t="shared" si="11"/>
        <v>14</v>
      </c>
      <c r="T15">
        <f t="shared" ref="T15:T18" si="13">Q15*R15*S15</f>
        <v>84</v>
      </c>
      <c r="U15" t="str">
        <f>IF(A15="YES",CONCATENATE(G15,"_",'Program Page'!$C$4,'Program Page'!$C$5,"_",D15,"_",E15),"")</f>
        <v/>
      </c>
      <c r="V15" t="str">
        <f t="shared" si="12"/>
        <v/>
      </c>
      <c r="W15" t="str">
        <f>IF(A15="YES",CONCATENATE("{",'Code List'!$B$4,'Code List'!$D$4,",",'Code List'!$B$5,'Code List'!$D$5,",",'Code List'!$B$6,"""",U15,"""",",",'Code List'!$B$7,'Code List'!$D$7,",",'Code List'!$B$8,'Code List'!$D$8,",",'Code List'!$B$9,'Code List'!$D$9,",",'Code List'!$B$10,'Code List'!$D$10,",",'Code List'!$B$11,"""",V15,"""",",",'Code List'!$B$12,"""",H15,"""",",",'Code List'!$B$13,"""",I15,"""",",",'Code List'!$B$14,"""",J15,"""",",",'Code List'!$B$15,"""",K15,"""",",",'Code List'!$B$16,"""",L15,"""",",",'Code List'!$B$17,"""",M15,"""",",",'Code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5" s="167" t="str">
        <f>IF(A15="YES",CONCATENATE("{",'Code List'!$B$31,"""",U15,"""",",",'Code List'!$B$32,'Code List'!$D$32,",",'Code List'!$B$33,'Code List'!$D$33,",",'Code List'!$B$34,'Code List'!$D$34,",",'Code List'!$B$35,'Code List'!$D$35,",",'Code List'!$B$36,'Code List'!$D$36,",",'Code List'!$B$37,'Code List'!$D$37,",",'Code List'!$B$38,"""",H15,"""",",",'Code List'!$B$39,"""",I15,"""",",",'Code List'!$B$40,"""",J15,"""",",",'Code List'!$B$41,"""",K15,"""",",",'Code List'!$B$42,"""",L15,"""",",",'Code List'!$B$43,"""",M15,"""",",",'Code List'!$B$44,"""",N15,"""",",",'Code List'!$B$45,"""",O15,"""",",",'Code List'!$B$46,"""",P15,"""",",",'Code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List'!$B$59,"""",T15,"""","}"),"")</f>
        <v/>
      </c>
    </row>
    <row r="16" spans="1:25" x14ac:dyDescent="0.25">
      <c r="A16" t="str">
        <f>IF(AND($A12="YES",E12=$D$1,F16&gt;0),"YES","NO")</f>
        <v>NO</v>
      </c>
      <c r="C16" t="s">
        <v>5</v>
      </c>
      <c r="D16" s="12" t="str">
        <f t="shared" si="7"/>
        <v>1B</v>
      </c>
      <c r="E16" t="s">
        <v>190</v>
      </c>
      <c r="F16">
        <f>'Expanded Base Data'!H10</f>
        <v>0</v>
      </c>
      <c r="G16" s="171">
        <f>F12</f>
        <v>1</v>
      </c>
      <c r="H16">
        <f>ROUND(B12+'Slide Measurements'!$D$17,$O$1)</f>
        <v>114.51</v>
      </c>
      <c r="I16">
        <f>ROUND(H16+(F16*'Slide Measurements'!$D$21),$O$1)</f>
        <v>114.51</v>
      </c>
      <c r="J16">
        <f>K15</f>
        <v>9.73</v>
      </c>
      <c r="K16">
        <f>J16+($I$1*'Slide Measurements'!$E$23-'Slide Measurements'!$E$23)</f>
        <v>11.580000000000002</v>
      </c>
      <c r="L16" s="5">
        <f>'Expanded Base Data'!$L10</f>
        <v>1.5</v>
      </c>
      <c r="M16" s="5">
        <f>'Expanded Base Data'!$K10</f>
        <v>0.7</v>
      </c>
      <c r="N16">
        <f t="shared" si="8"/>
        <v>0</v>
      </c>
      <c r="O16">
        <f t="shared" si="9"/>
        <v>1.85</v>
      </c>
      <c r="P16" s="5">
        <f t="shared" si="10"/>
        <v>0.8</v>
      </c>
      <c r="Q16">
        <f>'Code List'!$C$63</f>
        <v>3</v>
      </c>
      <c r="R16">
        <f>F17+'Code List'!$G$63</f>
        <v>2</v>
      </c>
      <c r="S16">
        <f t="shared" si="11"/>
        <v>14</v>
      </c>
      <c r="T16">
        <f t="shared" si="13"/>
        <v>84</v>
      </c>
      <c r="U16" t="str">
        <f>IF(A16="YES",CONCATENATE(G16,"_",'Program Page'!$C$4,'Program Page'!$C$5,"_",D16,"_",E16),"")</f>
        <v/>
      </c>
      <c r="V16" t="str">
        <f t="shared" si="12"/>
        <v/>
      </c>
      <c r="W16" t="str">
        <f>IF(A16="YES",CONCATENATE("{",'Code List'!$B$4,'Code List'!$D$4,",",'Code List'!$B$5,'Code List'!$D$5,",",'Code List'!$B$6,"""",U16,"""",",",'Code List'!$B$7,'Code List'!$D$7,",",'Code List'!$B$8,'Code List'!$D$8,",",'Code List'!$B$9,'Code List'!$D$9,",",'Code List'!$B$10,'Code List'!$D$10,",",'Code List'!$B$11,"""",V16,"""",",",'Code List'!$B$12,"""",H16,"""",",",'Code List'!$B$13,"""",I16,"""",",",'Code List'!$B$14,"""",J16,"""",",",'Code List'!$B$15,"""",K16,"""",",",'Code List'!$B$16,"""",L16,"""",",",'Code List'!$B$17,"""",M16,"""",",",'Code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6" s="167" t="str">
        <f>IF(A16="YES",CONCATENATE("{",'Code List'!$B$31,"""",U16,"""",",",'Code List'!$B$32,'Code List'!$D$32,",",'Code List'!$B$33,'Code List'!$D$33,",",'Code List'!$B$34,'Code List'!$D$34,",",'Code List'!$B$35,'Code List'!$D$35,",",'Code List'!$B$36,'Code List'!$D$36,",",'Code List'!$B$37,'Code List'!$D$37,",",'Code List'!$B$38,"""",H16,"""",",",'Code List'!$B$39,"""",I16,"""",",",'Code List'!$B$40,"""",J16,"""",",",'Code List'!$B$41,"""",K16,"""",",",'Code List'!$B$42,"""",L16,"""",",",'Code List'!$B$43,"""",M16,"""",",",'Code List'!$B$44,"""",N16,"""",",",'Code List'!$B$45,"""",O16,"""",",",'Code List'!$B$46,"""",P16,"""",",",'Code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List'!$B$59,"""",T16,"""","}"),"")</f>
        <v/>
      </c>
    </row>
    <row r="17" spans="1:25" x14ac:dyDescent="0.25">
      <c r="A17" t="str">
        <f>IF(AND($A12="YES",E12=$D$1,F17&gt;0),"YES","NO")</f>
        <v>NO</v>
      </c>
      <c r="C17" t="s">
        <v>5</v>
      </c>
      <c r="D17" s="12" t="str">
        <f t="shared" si="7"/>
        <v>1B</v>
      </c>
      <c r="E17" t="s">
        <v>191</v>
      </c>
      <c r="F17">
        <f>'Expanded Base Data'!I10</f>
        <v>0</v>
      </c>
      <c r="G17" s="171">
        <f>F12</f>
        <v>1</v>
      </c>
      <c r="H17">
        <f>ROUND(B12+'Slide Measurements'!$D$17,$O$1)</f>
        <v>114.51</v>
      </c>
      <c r="I17">
        <f>ROUND(H17+(F17*'Slide Measurements'!$D$21),$O$1)</f>
        <v>114.51</v>
      </c>
      <c r="J17">
        <f>K16</f>
        <v>11.580000000000002</v>
      </c>
      <c r="K17">
        <f>J17+($I$1*'Slide Measurements'!$E$23-'Slide Measurements'!$E$23)</f>
        <v>13.430000000000003</v>
      </c>
      <c r="L17" s="5">
        <f>'Expanded Base Data'!$L10</f>
        <v>1.5</v>
      </c>
      <c r="M17" s="5">
        <f>'Expanded Base Data'!$K10</f>
        <v>0.7</v>
      </c>
      <c r="N17">
        <f t="shared" si="8"/>
        <v>0</v>
      </c>
      <c r="O17">
        <f t="shared" si="9"/>
        <v>1.85</v>
      </c>
      <c r="P17" s="5">
        <f t="shared" si="10"/>
        <v>0.8</v>
      </c>
      <c r="Q17">
        <f>'Code List'!$C$63</f>
        <v>3</v>
      </c>
      <c r="R17">
        <f>F18+'Code List'!$G$63</f>
        <v>2</v>
      </c>
      <c r="S17">
        <f t="shared" si="11"/>
        <v>14</v>
      </c>
      <c r="T17">
        <f t="shared" si="13"/>
        <v>84</v>
      </c>
      <c r="U17" t="str">
        <f>IF(A17="YES",CONCATENATE(G17,"_",'Program Page'!$C$4,'Program Page'!$C$5,"_",D17,"_",E17),"")</f>
        <v/>
      </c>
      <c r="V17" t="str">
        <f t="shared" si="12"/>
        <v/>
      </c>
      <c r="W17" t="str">
        <f>IF(A17="YES",CONCATENATE("{",'Code List'!$B$4,'Code List'!$D$4,",",'Code List'!$B$5,'Code List'!$D$5,",",'Code List'!$B$6,"""",U17,"""",",",'Code List'!$B$7,'Code List'!$D$7,",",'Code List'!$B$8,'Code List'!$D$8,",",'Code List'!$B$9,'Code List'!$D$9,",",'Code List'!$B$10,'Code List'!$D$10,",",'Code List'!$B$11,"""",V17,"""",",",'Code List'!$B$12,"""",H17,"""",",",'Code List'!$B$13,"""",I17,"""",",",'Code List'!$B$14,"""",J17,"""",",",'Code List'!$B$15,"""",K17,"""",",",'Code List'!$B$16,"""",L17,"""",",",'Code List'!$B$17,"""",M17,"""",",",'Code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7" s="167" t="str">
        <f>IF(A17="YES",CONCATENATE("{",'Code List'!$B$31,"""",U17,"""",",",'Code List'!$B$32,'Code List'!$D$32,",",'Code List'!$B$33,'Code List'!$D$33,",",'Code List'!$B$34,'Code List'!$D$34,",",'Code List'!$B$35,'Code List'!$D$35,",",'Code List'!$B$36,'Code List'!$D$36,",",'Code List'!$B$37,'Code List'!$D$37,",",'Code List'!$B$38,"""",H17,"""",",",'Code List'!$B$39,"""",I17,"""",",",'Code List'!$B$40,"""",J17,"""",",",'Code List'!$B$41,"""",K17,"""",",",'Code List'!$B$42,"""",L17,"""",",",'Code List'!$B$43,"""",M17,"""",",",'Code List'!$B$44,"""",N17,"""",",",'Code List'!$B$45,"""",O17,"""",",",'Code List'!$B$46,"""",P17,"""",",",'Code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List'!$B$59,"""",T17,"""","}"),"")</f>
        <v/>
      </c>
    </row>
    <row r="18" spans="1:25" x14ac:dyDescent="0.25">
      <c r="A18" t="str">
        <f>IF(AND($A12="YES",E12=$D$1,F18&gt;0),"YES","NO")</f>
        <v>NO</v>
      </c>
      <c r="C18" t="s">
        <v>5</v>
      </c>
      <c r="D18" s="12" t="str">
        <f t="shared" si="7"/>
        <v>1B</v>
      </c>
      <c r="E18" t="s">
        <v>196</v>
      </c>
      <c r="F18">
        <f>'Expanded Base Data'!J10</f>
        <v>0</v>
      </c>
      <c r="G18" s="171">
        <f>F12</f>
        <v>1</v>
      </c>
      <c r="H18">
        <f>ROUND(B12+'Slide Measurements'!$D$17,$O$1)</f>
        <v>114.51</v>
      </c>
      <c r="I18">
        <f>ROUND(H18+(F18*'Slide Measurements'!$D$21),$O$1)</f>
        <v>114.51</v>
      </c>
      <c r="J18">
        <f>K17</f>
        <v>13.430000000000003</v>
      </c>
      <c r="K18">
        <f>J18+($I$1*'Slide Measurements'!$E$23-'Slide Measurements'!$E$23)</f>
        <v>15.280000000000005</v>
      </c>
      <c r="L18" s="5">
        <f>'Expanded Base Data'!$L10</f>
        <v>1.5</v>
      </c>
      <c r="M18" s="5">
        <f>'Expanded Base Data'!$K10</f>
        <v>0.7</v>
      </c>
      <c r="N18">
        <f t="shared" si="8"/>
        <v>0</v>
      </c>
      <c r="O18">
        <f t="shared" si="9"/>
        <v>1.85</v>
      </c>
      <c r="P18" s="5">
        <f t="shared" si="10"/>
        <v>0.8</v>
      </c>
      <c r="Q18">
        <f>'Code List'!$C$63</f>
        <v>3</v>
      </c>
      <c r="R18">
        <f>F19+'Code List'!$G$63</f>
        <v>2</v>
      </c>
      <c r="S18">
        <f t="shared" si="11"/>
        <v>14</v>
      </c>
      <c r="T18">
        <f t="shared" si="13"/>
        <v>84</v>
      </c>
      <c r="U18" t="str">
        <f>IF(A18="YES",CONCATENATE(G18,"_",'Program Page'!$C$4,'Program Page'!$C$5,"_",D18,"_",E18),"")</f>
        <v/>
      </c>
      <c r="V18" t="str">
        <f t="shared" si="12"/>
        <v/>
      </c>
      <c r="W18" t="str">
        <f>IF(A18="YES",CONCATENATE("{",'Code List'!$B$4,'Code List'!$D$4,",",'Code List'!$B$5,'Code List'!$D$5,",",'Code List'!$B$6,"""",U18,"""",",",'Code List'!$B$7,'Code List'!$D$7,",",'Code List'!$B$8,'Code List'!$D$8,",",'Code List'!$B$9,'Code List'!$D$9,",",'Code List'!$B$10,'Code List'!$D$10,",",'Code List'!$B$11,"""",V18,"""",",",'Code List'!$B$12,"""",H18,"""",",",'Code List'!$B$13,"""",I18,"""",",",'Code List'!$B$14,"""",J18,"""",",",'Code List'!$B$15,"""",K18,"""",",",'Code List'!$B$16,"""",L18,"""",",",'Code List'!$B$17,"""",M18,"""",",",'Code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8" s="167" t="str">
        <f>IF(A18="YES",CONCATENATE("{",'Code List'!$B$31,"""",U18,"""",",",'Code List'!$B$32,'Code List'!$D$32,",",'Code List'!$B$33,'Code List'!$D$33,",",'Code List'!$B$34,'Code List'!$D$34,",",'Code List'!$B$35,'Code List'!$D$35,",",'Code List'!$B$36,'Code List'!$D$36,",",'Code List'!$B$37,'Code List'!$D$37,",",'Code List'!$B$38,"""",H18,"""",",",'Code List'!$B$39,"""",I18,"""",",",'Code List'!$B$40,"""",J18,"""",",",'Code List'!$B$41,"""",K18,"""",",",'Code List'!$B$42,"""",L18,"""",",",'Code List'!$B$43,"""",M18,"""",",",'Code List'!$B$44,"""",N18,"""",",",'Code List'!$B$45,"""",O18,"""",",",'Code List'!$B$46,"""",P18,"""",",",'Code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List'!$B$59,"""",T18,"""","}"),"")</f>
        <v/>
      </c>
    </row>
    <row r="19" spans="1:25" x14ac:dyDescent="0.25">
      <c r="A19" s="162" t="str">
        <f>IF(AND($A12="YES",E12=$E$1),"YES","NO")</f>
        <v>NO</v>
      </c>
      <c r="C19" t="s">
        <v>259</v>
      </c>
      <c r="D19" s="12" t="str">
        <f>D18</f>
        <v>1B</v>
      </c>
      <c r="E19" t="s">
        <v>259</v>
      </c>
      <c r="G19" s="171">
        <f>F12</f>
        <v>1</v>
      </c>
      <c r="H19">
        <f>ROUND(B12,$O$1)</f>
        <v>89.11</v>
      </c>
      <c r="I19">
        <f>ROUND(B12+'Slide Measurements'!$D$1,$O$1)</f>
        <v>165.56</v>
      </c>
      <c r="J19">
        <f>C12</f>
        <v>1.73</v>
      </c>
      <c r="K19">
        <f>C12+'Slide Measurements'!$D$2</f>
        <v>29.13</v>
      </c>
      <c r="L19" s="5">
        <f>'Expanded Base Data'!$L10</f>
        <v>1.5</v>
      </c>
      <c r="M19" s="5">
        <f>'Expanded Base Data'!$K10</f>
        <v>0.7</v>
      </c>
      <c r="N19">
        <f t="shared" si="8"/>
        <v>76.45</v>
      </c>
      <c r="O19">
        <f t="shared" si="9"/>
        <v>27.4</v>
      </c>
      <c r="P19" s="5">
        <f>ROUND((L19-M19),$O$1)</f>
        <v>0.8</v>
      </c>
      <c r="Q19">
        <f>'Code List'!$C$70</f>
        <v>11</v>
      </c>
      <c r="R19">
        <f>'Code List'!$D$70</f>
        <v>19</v>
      </c>
      <c r="S19">
        <f>IF(P19=0,"1",ROUND((P19/$K$1)+$M$1,0))</f>
        <v>14</v>
      </c>
      <c r="T19">
        <f>Q19*R19*S19</f>
        <v>2926</v>
      </c>
      <c r="U19" t="str">
        <f>IF(A19="YES",CONCATENATE(G19,"_",'Program Page'!$C$4,'Program Page'!$C$5,"_",D19,"_",E19),"")</f>
        <v/>
      </c>
      <c r="V19" t="str">
        <f>IF(U19="","",CONCATENATE(U19,"_"))</f>
        <v/>
      </c>
      <c r="W19" t="str">
        <f>IF(A19="YES",CONCATENATE("{",'Code List'!$B$4,'Code List'!$D$4,",",'Code List'!$B$5,'Code List'!$D$5,",",'Code List'!$B$6,"""",U19,"""",",",'Code List'!$B$7,'Code List'!$D$7,",",'Code List'!$B$8,'Code List'!$D$8,",",'Code List'!$B$9,'Code List'!$D$9,",",'Code List'!$B$10,'Code List'!$D$10,",",'Code List'!$B$11,"""",V19,"""",",",'Code List'!$B$12,"""",H19,"""",",",'Code List'!$B$13,"""",I19,"""",",",'Code List'!$B$14,"""",J19,"""",",",'Code List'!$B$15,"""",K19,"""",",",'Code List'!$B$16,"""",L19,"""",",",'Code List'!$B$17,"""",M19,"""",",",'Code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19" s="167" t="str">
        <f>IF(A19="YES",CONCATENATE("{",'Code List'!$B$31,"""",U19,"""",",",'Code List'!$B$32,'Code List'!$D$32,",",'Code List'!$B$33,'Code List'!$D$33,",",'Code List'!$B$34,'Code List'!$D$34,",",'Code List'!$B$35,'Code List'!$D$35,",",'Code List'!$B$36,'Code List'!$D$36,",",'Code List'!$B$37,'Code List'!$D$37,",",'Code List'!$B$38,"""",H19,"""",",",'Code List'!$B$39,"""",I19,"""",",",'Code List'!$B$40,"""",J19,"""",",",'Code List'!$B$41,"""",K19,"""",",",'Code List'!$B$42,"""",L19,"""",",",'Code List'!$B$43,"""",M19,"""",",",'Code List'!$B$44,"""",N19,"""",",",'Code List'!$B$45,"""",O19,"""",",",'Code List'!$B$46,"""",P19,"""",",",'Code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List'!$B$59,"""",T19,"""","}"),"")</f>
        <v/>
      </c>
    </row>
    <row r="20" spans="1:25" ht="18.75" x14ac:dyDescent="0.3">
      <c r="A20" s="35" t="str">
        <f>IF(OR(E20=$C$1,E20=$D$1,E20=$E$1),"YES","NO")</f>
        <v>YES</v>
      </c>
      <c r="B20" s="35">
        <f>'Expanded Base Data'!D18</f>
        <v>175.71</v>
      </c>
      <c r="C20" s="35">
        <f>'Expanded Base Data'!E18</f>
        <v>1.73</v>
      </c>
      <c r="D20" s="36" t="str">
        <f>'Expanded Base Data'!B18</f>
        <v>1C</v>
      </c>
      <c r="E20" s="35" t="str">
        <f>'Expanded Base Data'!C18</f>
        <v>box</v>
      </c>
      <c r="F20" s="35">
        <f>'Expanded Base Data'!M18</f>
        <v>2</v>
      </c>
      <c r="G20" s="170">
        <f>F20</f>
        <v>2</v>
      </c>
      <c r="Y20" s="167" t="str">
        <f>""</f>
        <v/>
      </c>
    </row>
    <row r="21" spans="1:25" x14ac:dyDescent="0.25">
      <c r="A21" t="str">
        <f>IF(AND($A20="YES",E20=$C$1),"YES","NO")</f>
        <v>NO</v>
      </c>
      <c r="C21" t="s">
        <v>6</v>
      </c>
      <c r="D21" s="12" t="str">
        <f>D20</f>
        <v>1C</v>
      </c>
      <c r="E21" t="s">
        <v>6</v>
      </c>
      <c r="F21" t="s">
        <v>198</v>
      </c>
      <c r="G21" s="171">
        <f>F20</f>
        <v>2</v>
      </c>
      <c r="H21">
        <f>IF('Expanded Base Data'!N18="",ROUND(B20+'Slide Measurements'!$D$11,$O$1),B20+'Expanded Base Data'!N18)</f>
        <v>208.71</v>
      </c>
      <c r="I21">
        <f>IF('Expanded Base Data'!O18="",ROUND(B20+'Slide Measurements'!$D$12,$O$1),B20+'Expanded Base Data'!O18)</f>
        <v>217.31</v>
      </c>
      <c r="J21">
        <f>IF('Expanded Base Data'!P18="",C20+'Slide Measurements'!$E$13,C20+'Expanded Base Data'!P18)</f>
        <v>10.43</v>
      </c>
      <c r="K21">
        <f>IF('Expanded Base Data'!Q18="",C20+'Slide Measurements'!$E$14,C20+'Expanded Base Data'!Q18)</f>
        <v>19.029999999999998</v>
      </c>
      <c r="L21" s="5">
        <f>'Expanded Base Data'!$L18</f>
        <v>1.5</v>
      </c>
      <c r="M21" s="5">
        <f>'Expanded Base Data'!$K18</f>
        <v>0.7</v>
      </c>
      <c r="N21">
        <f>ROUND((I21-H21),$O$1)</f>
        <v>8.6</v>
      </c>
      <c r="O21">
        <f>ROUND((K21-J21),$O$1)</f>
        <v>8.6</v>
      </c>
      <c r="P21" s="5">
        <f>ROUND((L21-M21),$O$1)</f>
        <v>0.8</v>
      </c>
      <c r="Q21">
        <f>'Code List'!$C$62</f>
        <v>5</v>
      </c>
      <c r="R21">
        <f>F22+'Code List'!$G$63</f>
        <v>14</v>
      </c>
      <c r="S21">
        <f>IF(P21=0,"1",ROUND((P21/$K$1)+$M$1,0))</f>
        <v>14</v>
      </c>
      <c r="T21">
        <f>Q21*R21*S21</f>
        <v>980</v>
      </c>
      <c r="U21" t="str">
        <f>IF(A21="YES",CONCATENATE(G21,"_",'Program Page'!$C$4,'Program Page'!$C$5,"_",D21,"_",E21),"")</f>
        <v/>
      </c>
      <c r="V21" t="str">
        <f>IF(U21="","",CONCATENATE(U21,"_"))</f>
        <v/>
      </c>
      <c r="W21" t="str">
        <f>IF(A21="YES",CONCATENATE("{",'Code List'!$B$4,'Code List'!$D$4,",",'Code List'!$B$5,'Code List'!$D$5,",",'Code List'!$B$6,"""",U21,"""",",",'Code List'!$B$7,'Code List'!$D$7,",",'Code List'!$B$8,'Code List'!$D$8,",",'Code List'!$B$9,'Code List'!$D$9,",",'Code List'!$B$10,'Code List'!$D$10,",",'Code List'!$B$11,"""",V21,"""",",",'Code List'!$B$12,"""",H21,"""",",",'Code List'!$B$13,"""",I21,"""",",",'Code List'!$B$14,"""",J21,"""",",",'Code List'!$B$15,"""",K21,"""",",",'Code List'!$B$16,"""",L21,"""",",",'Code List'!$B$17,"""",M21,"""",",",'Code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1" s="167" t="str">
        <f>IF(A21="YES",CONCATENATE("{",'Code List'!$B$31,"""",U21,"""",",",'Code List'!$B$32,'Code List'!$D$32,",",'Code List'!$B$33,'Code List'!$D$33,",",'Code List'!$B$34,'Code List'!$D$34,",",'Code List'!$B$35,'Code List'!$D$35,",",'Code List'!$B$36,'Code List'!$D$36,",",'Code List'!$B$37,'Code List'!$D$37,",",'Code List'!$B$38,"""",H21,"""",",",'Code List'!$B$39,"""",I21,"""",",",'Code List'!$B$40,"""",J21,"""",",",'Code List'!$B$41,"""",K21,"""",",",'Code List'!$B$42,"""",L21,"""",",",'Code List'!$B$43,"""",M21,"""",",",'Code List'!$B$44,"""",N21,"""",",",'Code List'!$B$45,"""",O21,"""",",",'Code List'!$B$46,"""",P21,"""",",",'Code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List'!$B$59,"""",T21,"""","}"),"")</f>
        <v/>
      </c>
    </row>
    <row r="22" spans="1:25" x14ac:dyDescent="0.25">
      <c r="A22" t="str">
        <f>IF(AND($A20="YES",E20=$D$1,F22&gt;0),"YES","NO")</f>
        <v>YES</v>
      </c>
      <c r="C22" t="s">
        <v>5</v>
      </c>
      <c r="D22" s="12" t="str">
        <f t="shared" ref="D22:D26" si="14">D21</f>
        <v>1C</v>
      </c>
      <c r="E22" t="s">
        <v>188</v>
      </c>
      <c r="F22">
        <f>'Expanded Base Data'!F18</f>
        <v>12</v>
      </c>
      <c r="G22" s="171">
        <f>F20</f>
        <v>2</v>
      </c>
      <c r="H22">
        <f>ROUND(B20+'Slide Measurements'!$D$17,$O$1)</f>
        <v>201.11</v>
      </c>
      <c r="I22">
        <f>ROUND(H22+(F22*'Slide Measurements'!$D$21),$O$1)</f>
        <v>245.51</v>
      </c>
      <c r="J22">
        <f>C20+'Slide Measurements'!$E$17</f>
        <v>6.0299999999999994</v>
      </c>
      <c r="K22">
        <f>J22+($I$1*'Slide Measurements'!$E$23-'Slide Measurements'!$E$23)</f>
        <v>7.88</v>
      </c>
      <c r="L22" s="5">
        <f>'Expanded Base Data'!$L18</f>
        <v>1.5</v>
      </c>
      <c r="M22" s="5">
        <f>'Expanded Base Data'!$K18</f>
        <v>0.7</v>
      </c>
      <c r="N22">
        <f t="shared" ref="N22:N27" si="15">ROUND((I22-H22),$O$1)</f>
        <v>44.4</v>
      </c>
      <c r="O22">
        <f t="shared" ref="O22:O27" si="16">ROUND((K22-J22),$O$1)</f>
        <v>1.85</v>
      </c>
      <c r="P22" s="5">
        <f t="shared" ref="P22:P26" si="17">ROUND((L22-M22),$O$1)</f>
        <v>0.8</v>
      </c>
      <c r="Q22">
        <f>'Code List'!$C$63</f>
        <v>3</v>
      </c>
      <c r="R22">
        <f>F23+'Code List'!$G$63</f>
        <v>14</v>
      </c>
      <c r="S22">
        <f t="shared" ref="S22:S26" si="18">IF(P22=0,"1",ROUND((P22/$K$1)+$M$1,0))</f>
        <v>14</v>
      </c>
      <c r="T22">
        <f>Q22*R22*S22</f>
        <v>588</v>
      </c>
      <c r="U22" t="str">
        <f>IF(A22="YES",CONCATENATE(G22,"_",'Program Page'!$C$4,'Program Page'!$C$5,"_",D22,"_",E22),"")</f>
        <v>2_AZ_1C_Row1</v>
      </c>
      <c r="V22" t="str">
        <f t="shared" ref="V22:V26" si="19">IF(U22="","",CONCATENATE(U22,"_"))</f>
        <v>2_AZ_1C_Row1_</v>
      </c>
      <c r="W22" t="str">
        <f ca="1">IF(A22="YES",CONCATENATE("{",'Code List'!$B$4,'Code List'!$D$4,",",'Code List'!$B$5,'Code List'!$D$5,",",'Code List'!$B$6,"""",U22,"""",",",'Code List'!$B$7,'Code List'!$D$7,",",'Code List'!$B$8,'Code List'!$D$8,",",'Code List'!$B$9,'Code List'!$D$9,",",'Code List'!$B$10,'Code List'!$D$10,",",'Code List'!$B$11,"""",V22,"""",",",'Code List'!$B$12,"""",H22,"""",",",'Code List'!$B$13,"""",I22,"""",",",'Code List'!$B$14,"""",J22,"""",",",'Code List'!$B$15,"""",K22,"""",",",'Code List'!$B$16,"""",L22,"""",",",'Code List'!$B$17,"""",M22,"""",",",'Code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>{"project_last_updated":"Last updated on...6-16-2017 12735","project_path":"K:/1_Capture/","project_name":"2_AZ_1C_Row1","project_subject_id":"--","project_author":"","project_date":"6-16-2017","project_notes":"","project_data_directory":"2_AZ_1C_Row1_","project_boundary_left":"201.11","project_boundary_right":"245.51","project_boundary_top":"6.03","project_boundary_bottom":"7.88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  <c r="Y22" s="167" t="str">
        <f ca="1">IF(A22="YES",CONCATENATE("{",'Code List'!$B$31,"""",U22,"""",",",'Code List'!$B$32,'Code List'!$D$32,",",'Code List'!$B$33,'Code List'!$D$33,",",'Code List'!$B$34,'Code List'!$D$34,",",'Code List'!$B$35,'Code List'!$D$35,",",'Code List'!$B$36,'Code List'!$D$36,",",'Code List'!$B$37,'Code List'!$D$37,",",'Code List'!$B$38,"""",H22,"""",",",'Code List'!$B$39,"""",I22,"""",",",'Code List'!$B$40,"""",J22,"""",",",'Code List'!$B$41,"""",K22,"""",",",'Code List'!$B$42,"""",L22,"""",",",'Code List'!$B$43,"""",M22,"""",",",'Code List'!$B$44,"""",N22,"""",",",'Code List'!$B$45,"""",O22,"""",",",'Code List'!$B$46,"""",P22,"""",",",'Code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List'!$B$59,"""",T22,"""","}"),"")</f>
        <v>{"project_name":"2_AZ_1C_Row1","project_path":"K:/1_Capture/","project_subject_id":"--","project_author":"","project_date":"6-16-2017","project_notes":"","project_data_directory":"AZ_6-16-2017_","project_boundary_left":"201.11","project_boundary_right":"245.51","project_boundary_top":"6.03","project_boundary_bottom":"7.88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v>
      </c>
    </row>
    <row r="23" spans="1:25" x14ac:dyDescent="0.25">
      <c r="A23" t="str">
        <f>IF(AND($A20="YES",E20=$D$1,F23&gt;0),"YES","NO")</f>
        <v>YES</v>
      </c>
      <c r="C23" t="s">
        <v>5</v>
      </c>
      <c r="D23" s="12" t="str">
        <f t="shared" si="14"/>
        <v>1C</v>
      </c>
      <c r="E23" t="s">
        <v>189</v>
      </c>
      <c r="F23">
        <f>'Expanded Base Data'!G18</f>
        <v>12</v>
      </c>
      <c r="G23" s="171">
        <f>F20</f>
        <v>2</v>
      </c>
      <c r="H23">
        <f>ROUND(B20+'Slide Measurements'!$D$17,$O$1)</f>
        <v>201.11</v>
      </c>
      <c r="I23">
        <f>ROUND(H23+(F23*'Slide Measurements'!$D$21),$O$1)</f>
        <v>245.51</v>
      </c>
      <c r="J23">
        <f>K22</f>
        <v>7.88</v>
      </c>
      <c r="K23">
        <f>J23+($I$1*'Slide Measurements'!$E$23-'Slide Measurements'!$E$23)</f>
        <v>9.73</v>
      </c>
      <c r="L23" s="5">
        <f>'Expanded Base Data'!$L18</f>
        <v>1.5</v>
      </c>
      <c r="M23" s="5">
        <f>'Expanded Base Data'!$K18</f>
        <v>0.7</v>
      </c>
      <c r="N23">
        <f t="shared" si="15"/>
        <v>44.4</v>
      </c>
      <c r="O23">
        <f t="shared" si="16"/>
        <v>1.85</v>
      </c>
      <c r="P23" s="5">
        <f t="shared" si="17"/>
        <v>0.8</v>
      </c>
      <c r="Q23">
        <f>'Code List'!$C$63</f>
        <v>3</v>
      </c>
      <c r="R23">
        <f>F24+'Code List'!$G$63</f>
        <v>2</v>
      </c>
      <c r="S23">
        <f t="shared" si="18"/>
        <v>14</v>
      </c>
      <c r="T23">
        <f t="shared" ref="T23:T26" si="20">Q23*R23*S23</f>
        <v>84</v>
      </c>
      <c r="U23" t="str">
        <f>IF(A23="YES",CONCATENATE(G23,"_",'Program Page'!$C$4,'Program Page'!$C$5,"_",D23,"_",E23),"")</f>
        <v>2_AZ_1C_Row2</v>
      </c>
      <c r="V23" t="str">
        <f t="shared" si="19"/>
        <v>2_AZ_1C_Row2_</v>
      </c>
      <c r="W23" t="str">
        <f ca="1">IF(A23="YES",CONCATENATE("{",'Code List'!$B$4,'Code List'!$D$4,",",'Code List'!$B$5,'Code List'!$D$5,",",'Code List'!$B$6,"""",U23,"""",",",'Code List'!$B$7,'Code List'!$D$7,",",'Code List'!$B$8,'Code List'!$D$8,",",'Code List'!$B$9,'Code List'!$D$9,",",'Code List'!$B$10,'Code List'!$D$10,",",'Code List'!$B$11,"""",V23,"""",",",'Code List'!$B$12,"""",H23,"""",",",'Code List'!$B$13,"""",I23,"""",",",'Code List'!$B$14,"""",J23,"""",",",'Code List'!$B$15,"""",K23,"""",",",'Code List'!$B$16,"""",L23,"""",",",'Code List'!$B$17,"""",M23,"""",",",'Code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>{"project_last_updated":"Last updated on...6-16-2017 12735","project_path":"K:/1_Capture/","project_name":"2_AZ_1C_Row2","project_subject_id":"--","project_author":"","project_date":"6-16-2017","project_notes":"","project_data_directory":"2_AZ_1C_Row2_","project_boundary_left":"201.11","project_boundary_right":"245.51","project_boundary_top":"7.88","project_boundary_bottom":"9.73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  <c r="Y23" s="167" t="str">
        <f ca="1">IF(A23="YES",CONCATENATE("{",'Code List'!$B$31,"""",U23,"""",",",'Code List'!$B$32,'Code List'!$D$32,",",'Code List'!$B$33,'Code List'!$D$33,",",'Code List'!$B$34,'Code List'!$D$34,",",'Code List'!$B$35,'Code List'!$D$35,",",'Code List'!$B$36,'Code List'!$D$36,",",'Code List'!$B$37,'Code List'!$D$37,",",'Code List'!$B$38,"""",H23,"""",",",'Code List'!$B$39,"""",I23,"""",",",'Code List'!$B$40,"""",J23,"""",",",'Code List'!$B$41,"""",K23,"""",",",'Code List'!$B$42,"""",L23,"""",",",'Code List'!$B$43,"""",M23,"""",",",'Code List'!$B$44,"""",N23,"""",",",'Code List'!$B$45,"""",O23,"""",",",'Code List'!$B$46,"""",P23,"""",",",'Code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List'!$B$59,"""",T23,"""","}"),"")</f>
        <v>{"project_name":"2_AZ_1C_Row2","project_path":"K:/1_Capture/","project_subject_id":"--","project_author":"","project_date":"6-16-2017","project_notes":"","project_data_directory":"AZ_6-16-2017_","project_boundary_left":"201.11","project_boundary_right":"245.51","project_boundary_top":"7.88","project_boundary_bottom":"9.73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v>
      </c>
    </row>
    <row r="24" spans="1:25" x14ac:dyDescent="0.25">
      <c r="A24" t="str">
        <f>IF(AND($A20="YES",E20=$D$1,F24&gt;0),"YES","NO")</f>
        <v>NO</v>
      </c>
      <c r="C24" t="s">
        <v>5</v>
      </c>
      <c r="D24" s="12" t="str">
        <f t="shared" si="14"/>
        <v>1C</v>
      </c>
      <c r="E24" t="s">
        <v>190</v>
      </c>
      <c r="F24">
        <f>'Expanded Base Data'!H18</f>
        <v>0</v>
      </c>
      <c r="G24" s="171">
        <f>F20</f>
        <v>2</v>
      </c>
      <c r="H24">
        <f>ROUND(B20+'Slide Measurements'!$D$17,$O$1)</f>
        <v>201.11</v>
      </c>
      <c r="I24">
        <f>ROUND(H24+(F24*'Slide Measurements'!$D$21),$O$1)</f>
        <v>201.11</v>
      </c>
      <c r="J24">
        <f>K23</f>
        <v>9.73</v>
      </c>
      <c r="K24">
        <f>J24+($I$1*'Slide Measurements'!$E$23-'Slide Measurements'!$E$23)</f>
        <v>11.580000000000002</v>
      </c>
      <c r="L24" s="5">
        <f>'Expanded Base Data'!$L18</f>
        <v>1.5</v>
      </c>
      <c r="M24" s="5">
        <f>'Expanded Base Data'!$K18</f>
        <v>0.7</v>
      </c>
      <c r="N24">
        <f t="shared" si="15"/>
        <v>0</v>
      </c>
      <c r="O24">
        <f t="shared" si="16"/>
        <v>1.85</v>
      </c>
      <c r="P24" s="5">
        <f t="shared" si="17"/>
        <v>0.8</v>
      </c>
      <c r="Q24">
        <f>'Code List'!$C$63</f>
        <v>3</v>
      </c>
      <c r="R24">
        <f>F25+'Code List'!$G$63</f>
        <v>2</v>
      </c>
      <c r="S24">
        <f t="shared" si="18"/>
        <v>14</v>
      </c>
      <c r="T24">
        <f t="shared" si="20"/>
        <v>84</v>
      </c>
      <c r="U24" t="str">
        <f>IF(A24="YES",CONCATENATE(G24,"_",'Program Page'!$C$4,'Program Page'!$C$5,"_",D24,"_",E24),"")</f>
        <v/>
      </c>
      <c r="V24" t="str">
        <f t="shared" si="19"/>
        <v/>
      </c>
      <c r="W24" t="str">
        <f>IF(A24="YES",CONCATENATE("{",'Code List'!$B$4,'Code List'!$D$4,",",'Code List'!$B$5,'Code List'!$D$5,",",'Code List'!$B$6,"""",U24,"""",",",'Code List'!$B$7,'Code List'!$D$7,",",'Code List'!$B$8,'Code List'!$D$8,",",'Code List'!$B$9,'Code List'!$D$9,",",'Code List'!$B$10,'Code List'!$D$10,",",'Code List'!$B$11,"""",V24,"""",",",'Code List'!$B$12,"""",H24,"""",",",'Code List'!$B$13,"""",I24,"""",",",'Code List'!$B$14,"""",J24,"""",",",'Code List'!$B$15,"""",K24,"""",",",'Code List'!$B$16,"""",L24,"""",",",'Code List'!$B$17,"""",M24,"""",",",'Code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4" s="167" t="str">
        <f>IF(A24="YES",CONCATENATE("{",'Code List'!$B$31,"""",U24,"""",",",'Code List'!$B$32,'Code List'!$D$32,",",'Code List'!$B$33,'Code List'!$D$33,",",'Code List'!$B$34,'Code List'!$D$34,",",'Code List'!$B$35,'Code List'!$D$35,",",'Code List'!$B$36,'Code List'!$D$36,",",'Code List'!$B$37,'Code List'!$D$37,",",'Code List'!$B$38,"""",H24,"""",",",'Code List'!$B$39,"""",I24,"""",",",'Code List'!$B$40,"""",J24,"""",",",'Code List'!$B$41,"""",K24,"""",",",'Code List'!$B$42,"""",L24,"""",",",'Code List'!$B$43,"""",M24,"""",",",'Code List'!$B$44,"""",N24,"""",",",'Code List'!$B$45,"""",O24,"""",",",'Code List'!$B$46,"""",P24,"""",",",'Code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List'!$B$59,"""",T24,"""","}"),"")</f>
        <v/>
      </c>
    </row>
    <row r="25" spans="1:25" x14ac:dyDescent="0.25">
      <c r="A25" t="str">
        <f>IF(AND($A20="YES",E20=$D$1,F25&gt;0),"YES","NO")</f>
        <v>NO</v>
      </c>
      <c r="C25" t="s">
        <v>5</v>
      </c>
      <c r="D25" s="12" t="str">
        <f t="shared" si="14"/>
        <v>1C</v>
      </c>
      <c r="E25" t="s">
        <v>191</v>
      </c>
      <c r="F25">
        <f>'Expanded Base Data'!I18</f>
        <v>0</v>
      </c>
      <c r="G25" s="171">
        <f>F20</f>
        <v>2</v>
      </c>
      <c r="H25">
        <f>ROUND(B20+'Slide Measurements'!$D$17,$O$1)</f>
        <v>201.11</v>
      </c>
      <c r="I25">
        <f>ROUND(H25+(F25*'Slide Measurements'!$D$21),$O$1)</f>
        <v>201.11</v>
      </c>
      <c r="J25">
        <f>K24</f>
        <v>11.580000000000002</v>
      </c>
      <c r="K25">
        <f>J25+($I$1*'Slide Measurements'!$E$23-'Slide Measurements'!$E$23)</f>
        <v>13.430000000000003</v>
      </c>
      <c r="L25" s="5">
        <f>'Expanded Base Data'!$L18</f>
        <v>1.5</v>
      </c>
      <c r="M25" s="5">
        <f>'Expanded Base Data'!$K18</f>
        <v>0.7</v>
      </c>
      <c r="N25">
        <f t="shared" si="15"/>
        <v>0</v>
      </c>
      <c r="O25">
        <f t="shared" si="16"/>
        <v>1.85</v>
      </c>
      <c r="P25" s="5">
        <f t="shared" si="17"/>
        <v>0.8</v>
      </c>
      <c r="Q25">
        <f>'Code List'!$C$63</f>
        <v>3</v>
      </c>
      <c r="R25">
        <f>F26+'Code List'!$G$63</f>
        <v>2</v>
      </c>
      <c r="S25">
        <f t="shared" si="18"/>
        <v>14</v>
      </c>
      <c r="T25">
        <f t="shared" si="20"/>
        <v>84</v>
      </c>
      <c r="U25" t="str">
        <f>IF(A25="YES",CONCATENATE(G25,"_",'Program Page'!$C$4,'Program Page'!$C$5,"_",D25,"_",E25),"")</f>
        <v/>
      </c>
      <c r="V25" t="str">
        <f t="shared" si="19"/>
        <v/>
      </c>
      <c r="W25" t="str">
        <f>IF(A25="YES",CONCATENATE("{",'Code List'!$B$4,'Code List'!$D$4,",",'Code List'!$B$5,'Code List'!$D$5,",",'Code List'!$B$6,"""",U25,"""",",",'Code List'!$B$7,'Code List'!$D$7,",",'Code List'!$B$8,'Code List'!$D$8,",",'Code List'!$B$9,'Code List'!$D$9,",",'Code List'!$B$10,'Code List'!$D$10,",",'Code List'!$B$11,"""",V25,"""",",",'Code List'!$B$12,"""",H25,"""",",",'Code List'!$B$13,"""",I25,"""",",",'Code List'!$B$14,"""",J25,"""",",",'Code List'!$B$15,"""",K25,"""",",",'Code List'!$B$16,"""",L25,"""",",",'Code List'!$B$17,"""",M25,"""",",",'Code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5" s="167" t="str">
        <f>IF(A25="YES",CONCATENATE("{",'Code List'!$B$31,"""",U25,"""",",",'Code List'!$B$32,'Code List'!$D$32,",",'Code List'!$B$33,'Code List'!$D$33,",",'Code List'!$B$34,'Code List'!$D$34,",",'Code List'!$B$35,'Code List'!$D$35,",",'Code List'!$B$36,'Code List'!$D$36,",",'Code List'!$B$37,'Code List'!$D$37,",",'Code List'!$B$38,"""",H25,"""",",",'Code List'!$B$39,"""",I25,"""",",",'Code List'!$B$40,"""",J25,"""",",",'Code List'!$B$41,"""",K25,"""",",",'Code List'!$B$42,"""",L25,"""",",",'Code List'!$B$43,"""",M25,"""",",",'Code List'!$B$44,"""",N25,"""",",",'Code List'!$B$45,"""",O25,"""",",",'Code List'!$B$46,"""",P25,"""",",",'Code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List'!$B$59,"""",T25,"""","}"),"")</f>
        <v/>
      </c>
    </row>
    <row r="26" spans="1:25" x14ac:dyDescent="0.25">
      <c r="A26" t="str">
        <f>IF(AND($A20="YES",E20=$D$1,F26&gt;0),"YES","NO")</f>
        <v>NO</v>
      </c>
      <c r="C26" t="s">
        <v>5</v>
      </c>
      <c r="D26" s="12" t="str">
        <f t="shared" si="14"/>
        <v>1C</v>
      </c>
      <c r="E26" t="s">
        <v>196</v>
      </c>
      <c r="F26">
        <f>'Expanded Base Data'!J18</f>
        <v>0</v>
      </c>
      <c r="G26" s="171">
        <f>F20</f>
        <v>2</v>
      </c>
      <c r="H26">
        <f>ROUND(B20+'Slide Measurements'!$D$17,$O$1)</f>
        <v>201.11</v>
      </c>
      <c r="I26">
        <f>ROUND(H26+(F26*'Slide Measurements'!$D$21),$O$1)</f>
        <v>201.11</v>
      </c>
      <c r="J26">
        <f>K25</f>
        <v>13.430000000000003</v>
      </c>
      <c r="K26">
        <f>J26+($I$1*'Slide Measurements'!$E$23-'Slide Measurements'!$E$23)</f>
        <v>15.280000000000005</v>
      </c>
      <c r="L26" s="5">
        <f>'Expanded Base Data'!$L18</f>
        <v>1.5</v>
      </c>
      <c r="M26" s="5">
        <f>'Expanded Base Data'!$K18</f>
        <v>0.7</v>
      </c>
      <c r="N26">
        <f t="shared" si="15"/>
        <v>0</v>
      </c>
      <c r="O26">
        <f t="shared" si="16"/>
        <v>1.85</v>
      </c>
      <c r="P26" s="5">
        <f t="shared" si="17"/>
        <v>0.8</v>
      </c>
      <c r="Q26">
        <f>'Code List'!$C$63</f>
        <v>3</v>
      </c>
      <c r="R26">
        <f>F27+'Code List'!$G$63</f>
        <v>2</v>
      </c>
      <c r="S26">
        <f t="shared" si="18"/>
        <v>14</v>
      </c>
      <c r="T26">
        <f t="shared" si="20"/>
        <v>84</v>
      </c>
      <c r="U26" t="str">
        <f>IF(A26="YES",CONCATENATE(G26,"_",'Program Page'!$C$4,'Program Page'!$C$5,"_",D26,"_",E26),"")</f>
        <v/>
      </c>
      <c r="V26" t="str">
        <f t="shared" si="19"/>
        <v/>
      </c>
      <c r="W26" t="str">
        <f>IF(A26="YES",CONCATENATE("{",'Code List'!$B$4,'Code List'!$D$4,",",'Code List'!$B$5,'Code List'!$D$5,",",'Code List'!$B$6,"""",U26,"""",",",'Code List'!$B$7,'Code List'!$D$7,",",'Code List'!$B$8,'Code List'!$D$8,",",'Code List'!$B$9,'Code List'!$D$9,",",'Code List'!$B$10,'Code List'!$D$10,",",'Code List'!$B$11,"""",V26,"""",",",'Code List'!$B$12,"""",H26,"""",",",'Code List'!$B$13,"""",I26,"""",",",'Code List'!$B$14,"""",J26,"""",",",'Code List'!$B$15,"""",K26,"""",",",'Code List'!$B$16,"""",L26,"""",",",'Code List'!$B$17,"""",M26,"""",",",'Code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6" s="167" t="str">
        <f>IF(A26="YES",CONCATENATE("{",'Code List'!$B$31,"""",U26,"""",",",'Code List'!$B$32,'Code List'!$D$32,",",'Code List'!$B$33,'Code List'!$D$33,",",'Code List'!$B$34,'Code List'!$D$34,",",'Code List'!$B$35,'Code List'!$D$35,",",'Code List'!$B$36,'Code List'!$D$36,",",'Code List'!$B$37,'Code List'!$D$37,",",'Code List'!$B$38,"""",H26,"""",",",'Code List'!$B$39,"""",I26,"""",",",'Code List'!$B$40,"""",J26,"""",",",'Code List'!$B$41,"""",K26,"""",",",'Code List'!$B$42,"""",L26,"""",",",'Code List'!$B$43,"""",M26,"""",",",'Code List'!$B$44,"""",N26,"""",",",'Code List'!$B$45,"""",O26,"""",",",'Code List'!$B$46,"""",P26,"""",",",'Code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List'!$B$59,"""",T26,"""","}"),"")</f>
        <v/>
      </c>
    </row>
    <row r="27" spans="1:25" x14ac:dyDescent="0.25">
      <c r="A27" s="162" t="str">
        <f>IF(AND($A20="YES",E20=$E$1),"YES","NO")</f>
        <v>NO</v>
      </c>
      <c r="C27" t="s">
        <v>259</v>
      </c>
      <c r="D27" s="12" t="str">
        <f>D26</f>
        <v>1C</v>
      </c>
      <c r="E27" t="s">
        <v>259</v>
      </c>
      <c r="G27" s="171">
        <f>F20</f>
        <v>2</v>
      </c>
      <c r="H27">
        <f>ROUND(B20,$O$1)</f>
        <v>175.71</v>
      </c>
      <c r="I27">
        <f>ROUND(B20+'Slide Measurements'!$D$1,$O$1)</f>
        <v>252.16</v>
      </c>
      <c r="J27">
        <f>C20</f>
        <v>1.73</v>
      </c>
      <c r="K27">
        <f>C20+'Slide Measurements'!$D$2</f>
        <v>29.13</v>
      </c>
      <c r="L27" s="5">
        <f>'Expanded Base Data'!$L18</f>
        <v>1.5</v>
      </c>
      <c r="M27" s="5">
        <f>'Expanded Base Data'!$K18</f>
        <v>0.7</v>
      </c>
      <c r="N27">
        <f t="shared" si="15"/>
        <v>76.45</v>
      </c>
      <c r="O27">
        <f t="shared" si="16"/>
        <v>27.4</v>
      </c>
      <c r="P27" s="5">
        <f>ROUND((L27-M27),$O$1)</f>
        <v>0.8</v>
      </c>
      <c r="Q27">
        <f>'Code List'!$C$70</f>
        <v>11</v>
      </c>
      <c r="R27">
        <f>'Code List'!$D$70</f>
        <v>19</v>
      </c>
      <c r="S27">
        <f>IF(P27=0,"1",ROUND((P27/$K$1)+$M$1,0))</f>
        <v>14</v>
      </c>
      <c r="T27">
        <f>Q27*R27*S27</f>
        <v>2926</v>
      </c>
      <c r="U27" t="str">
        <f>IF(A27="YES",CONCATENATE(G27,"_",'Program Page'!$C$4,'Program Page'!$C$5,"_",D27,"_",E27),"")</f>
        <v/>
      </c>
      <c r="V27" t="str">
        <f>IF(U27="","",CONCATENATE(U27,"_"))</f>
        <v/>
      </c>
      <c r="W27" t="str">
        <f>IF(A27="YES",CONCATENATE("{",'Code List'!$B$4,'Code List'!$D$4,",",'Code List'!$B$5,'Code List'!$D$5,",",'Code List'!$B$6,"""",U27,"""",",",'Code List'!$B$7,'Code List'!$D$7,",",'Code List'!$B$8,'Code List'!$D$8,",",'Code List'!$B$9,'Code List'!$D$9,",",'Code List'!$B$10,'Code List'!$D$10,",",'Code List'!$B$11,"""",V27,"""",",",'Code List'!$B$12,"""",H27,"""",",",'Code List'!$B$13,"""",I27,"""",",",'Code List'!$B$14,"""",J27,"""",",",'Code List'!$B$15,"""",K27,"""",",",'Code List'!$B$16,"""",L27,"""",",",'Code List'!$B$17,"""",M27,"""",",",'Code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27" s="167" t="str">
        <f>IF(A27="YES",CONCATENATE("{",'Code List'!$B$31,"""",U27,"""",",",'Code List'!$B$32,'Code List'!$D$32,",",'Code List'!$B$33,'Code List'!$D$33,",",'Code List'!$B$34,'Code List'!$D$34,",",'Code List'!$B$35,'Code List'!$D$35,",",'Code List'!$B$36,'Code List'!$D$36,",",'Code List'!$B$37,'Code List'!$D$37,",",'Code List'!$B$38,"""",H27,"""",",",'Code List'!$B$39,"""",I27,"""",",",'Code List'!$B$40,"""",J27,"""",",",'Code List'!$B$41,"""",K27,"""",",",'Code List'!$B$42,"""",L27,"""",",",'Code List'!$B$43,"""",M27,"""",",",'Code List'!$B$44,"""",N27,"""",",",'Code List'!$B$45,"""",O27,"""",",",'Code List'!$B$46,"""",P27,"""",",",'Code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List'!$B$59,"""",T27,"""","}"),"")</f>
        <v/>
      </c>
    </row>
    <row r="28" spans="1:25" ht="18.75" x14ac:dyDescent="0.3">
      <c r="A28" s="35" t="str">
        <f>IF(OR(E28=$C$1,E28=$D$1,E28=$E$1),"YES","NO")</f>
        <v>YES</v>
      </c>
      <c r="B28" s="35">
        <f>'Expanded Base Data'!D26</f>
        <v>262.71000000000004</v>
      </c>
      <c r="C28" s="35">
        <f>'Expanded Base Data'!E26</f>
        <v>1.73</v>
      </c>
      <c r="D28" s="36" t="str">
        <f>'Expanded Base Data'!B26</f>
        <v>1D</v>
      </c>
      <c r="E28" s="35" t="str">
        <f>'Expanded Base Data'!C26</f>
        <v>box</v>
      </c>
      <c r="F28" s="35">
        <f>'Expanded Base Data'!M26</f>
        <v>3</v>
      </c>
      <c r="G28" s="170">
        <f>F28</f>
        <v>3</v>
      </c>
      <c r="Y28" s="167" t="str">
        <f>""</f>
        <v/>
      </c>
    </row>
    <row r="29" spans="1:25" x14ac:dyDescent="0.25">
      <c r="A29" t="str">
        <f>IF(AND($A28="YES",E28=$C$1),"YES","NO")</f>
        <v>NO</v>
      </c>
      <c r="C29" t="s">
        <v>6</v>
      </c>
      <c r="D29" s="12" t="str">
        <f>D28</f>
        <v>1D</v>
      </c>
      <c r="E29" t="s">
        <v>6</v>
      </c>
      <c r="F29" t="s">
        <v>198</v>
      </c>
      <c r="G29" s="171">
        <f>F28</f>
        <v>3</v>
      </c>
      <c r="H29">
        <f>IF('Expanded Base Data'!N26="",ROUND(B28+'Slide Measurements'!$D$11,$O$1),B28+'Expanded Base Data'!N26)</f>
        <v>295.70999999999998</v>
      </c>
      <c r="I29">
        <f>IF('Expanded Base Data'!O26="",ROUND(B28+'Slide Measurements'!$D$12,$O$1),B28+'Expanded Base Data'!O26)</f>
        <v>304.31</v>
      </c>
      <c r="J29">
        <f>IF('Expanded Base Data'!P26="",C28+'Slide Measurements'!$E$13,C28+'Expanded Base Data'!P26)</f>
        <v>10.43</v>
      </c>
      <c r="K29">
        <f>IF('Expanded Base Data'!Q26="",C28+'Slide Measurements'!$E$14,C28+'Expanded Base Data'!Q26)</f>
        <v>19.029999999999998</v>
      </c>
      <c r="L29" s="5">
        <f>'Expanded Base Data'!$L26</f>
        <v>1.5</v>
      </c>
      <c r="M29" s="5">
        <f>'Expanded Base Data'!$K26</f>
        <v>0.7</v>
      </c>
      <c r="N29">
        <f>ROUND((I29-H29),$O$1)</f>
        <v>8.6</v>
      </c>
      <c r="O29">
        <f>ROUND((K29-J29),$O$1)</f>
        <v>8.6</v>
      </c>
      <c r="P29" s="5">
        <f>ROUND((L29-M29),$O$1)</f>
        <v>0.8</v>
      </c>
      <c r="Q29">
        <f>'Code List'!$C$62</f>
        <v>5</v>
      </c>
      <c r="R29">
        <f>F30+'Code List'!$G$63</f>
        <v>14</v>
      </c>
      <c r="S29">
        <f>IF(P29=0,"1",ROUND((P29/$K$1)+$M$1,0))</f>
        <v>14</v>
      </c>
      <c r="T29">
        <f>Q29*R29*S29</f>
        <v>980</v>
      </c>
      <c r="U29" t="str">
        <f>IF(A29="YES",CONCATENATE(G29,"_",'Program Page'!$C$4,'Program Page'!$C$5,"_",D29,"_",E29),"")</f>
        <v/>
      </c>
      <c r="V29" t="str">
        <f>IF(U29="","",CONCATENATE(U29,"_"))</f>
        <v/>
      </c>
      <c r="W29" t="str">
        <f>IF(A29="YES",CONCATENATE("{",'Code List'!$B$4,'Code List'!$D$4,",",'Code List'!$B$5,'Code List'!$D$5,",",'Code List'!$B$6,"""",U29,"""",",",'Code List'!$B$7,'Code List'!$D$7,",",'Code List'!$B$8,'Code List'!$D$8,",",'Code List'!$B$9,'Code List'!$D$9,",",'Code List'!$B$10,'Code List'!$D$10,",",'Code List'!$B$11,"""",V29,"""",",",'Code List'!$B$12,"""",H29,"""",",",'Code List'!$B$13,"""",I29,"""",",",'Code List'!$B$14,"""",J29,"""",",",'Code List'!$B$15,"""",K29,"""",",",'Code List'!$B$16,"""",L29,"""",",",'Code List'!$B$17,"""",M29,"""",",",'Code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9" s="167" t="str">
        <f>IF(A29="YES",CONCATENATE("{",'Code List'!$B$31,"""",U29,"""",",",'Code List'!$B$32,'Code List'!$D$32,",",'Code List'!$B$33,'Code List'!$D$33,",",'Code List'!$B$34,'Code List'!$D$34,",",'Code List'!$B$35,'Code List'!$D$35,",",'Code List'!$B$36,'Code List'!$D$36,",",'Code List'!$B$37,'Code List'!$D$37,",",'Code List'!$B$38,"""",H29,"""",",",'Code List'!$B$39,"""",I29,"""",",",'Code List'!$B$40,"""",J29,"""",",",'Code List'!$B$41,"""",K29,"""",",",'Code List'!$B$42,"""",L29,"""",",",'Code List'!$B$43,"""",M29,"""",",",'Code List'!$B$44,"""",N29,"""",",",'Code List'!$B$45,"""",O29,"""",",",'Code List'!$B$46,"""",P29,"""",",",'Code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List'!$B$59,"""",T29,"""","}"),"")</f>
        <v/>
      </c>
    </row>
    <row r="30" spans="1:25" x14ac:dyDescent="0.25">
      <c r="A30" t="str">
        <f>IF(AND($A28="YES",E28=$D$1,F30&gt;0),"YES","NO")</f>
        <v>YES</v>
      </c>
      <c r="C30" t="s">
        <v>5</v>
      </c>
      <c r="D30" s="12" t="str">
        <f t="shared" ref="D30:D34" si="21">D29</f>
        <v>1D</v>
      </c>
      <c r="E30" t="s">
        <v>188</v>
      </c>
      <c r="F30">
        <f>'Expanded Base Data'!F26</f>
        <v>12</v>
      </c>
      <c r="G30" s="171">
        <f>F28</f>
        <v>3</v>
      </c>
      <c r="H30">
        <f>ROUND(B28+'Slide Measurements'!$D$17,$O$1)</f>
        <v>288.11</v>
      </c>
      <c r="I30">
        <f>ROUND(H30+(F30*'Slide Measurements'!$D$21),$O$1)</f>
        <v>332.51</v>
      </c>
      <c r="J30">
        <f>C28+'Slide Measurements'!$E$17</f>
        <v>6.0299999999999994</v>
      </c>
      <c r="K30">
        <f>J30+($I$1*'Slide Measurements'!$E$23-'Slide Measurements'!$E$23)</f>
        <v>7.88</v>
      </c>
      <c r="L30" s="5">
        <f>'Expanded Base Data'!$L26</f>
        <v>1.5</v>
      </c>
      <c r="M30" s="5">
        <f>'Expanded Base Data'!$K26</f>
        <v>0.7</v>
      </c>
      <c r="N30">
        <f t="shared" ref="N30:N35" si="22">ROUND((I30-H30),$O$1)</f>
        <v>44.4</v>
      </c>
      <c r="O30">
        <f t="shared" ref="O30:O35" si="23">ROUND((K30-J30),$O$1)</f>
        <v>1.85</v>
      </c>
      <c r="P30" s="5">
        <f t="shared" ref="P30:P34" si="24">ROUND((L30-M30),$O$1)</f>
        <v>0.8</v>
      </c>
      <c r="Q30">
        <f>'Code List'!$C$63</f>
        <v>3</v>
      </c>
      <c r="R30">
        <f>F31+'Code List'!$G$63</f>
        <v>14</v>
      </c>
      <c r="S30">
        <f t="shared" ref="S30:S34" si="25">IF(P30=0,"1",ROUND((P30/$K$1)+$M$1,0))</f>
        <v>14</v>
      </c>
      <c r="T30">
        <f>Q30*R30*S30</f>
        <v>588</v>
      </c>
      <c r="U30" t="str">
        <f>IF(A30="YES",CONCATENATE(G30,"_",'Program Page'!$C$4,'Program Page'!$C$5,"_",D30,"_",E30),"")</f>
        <v>3_AZ_1D_Row1</v>
      </c>
      <c r="V30" t="str">
        <f t="shared" ref="V30:V34" si="26">IF(U30="","",CONCATENATE(U30,"_"))</f>
        <v>3_AZ_1D_Row1_</v>
      </c>
      <c r="W30" t="str">
        <f ca="1">IF(A30="YES",CONCATENATE("{",'Code List'!$B$4,'Code List'!$D$4,",",'Code List'!$B$5,'Code List'!$D$5,",",'Code List'!$B$6,"""",U30,"""",",",'Code List'!$B$7,'Code List'!$D$7,",",'Code List'!$B$8,'Code List'!$D$8,",",'Code List'!$B$9,'Code List'!$D$9,",",'Code List'!$B$10,'Code List'!$D$10,",",'Code List'!$B$11,"""",V30,"""",",",'Code List'!$B$12,"""",H30,"""",",",'Code List'!$B$13,"""",I30,"""",",",'Code List'!$B$14,"""",J30,"""",",",'Code List'!$B$15,"""",K30,"""",",",'Code List'!$B$16,"""",L30,"""",",",'Code List'!$B$17,"""",M30,"""",",",'Code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>{"project_last_updated":"Last updated on...6-16-2017 12735","project_path":"K:/1_Capture/","project_name":"3_AZ_1D_Row1","project_subject_id":"--","project_author":"","project_date":"6-16-2017","project_notes":"","project_data_directory":"3_AZ_1D_Row1_","project_boundary_left":"288.11","project_boundary_right":"332.51","project_boundary_top":"6.03","project_boundary_bottom":"7.88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  <c r="Y30" s="167" t="str">
        <f ca="1">IF(A30="YES",CONCATENATE("{",'Code List'!$B$31,"""",U30,"""",",",'Code List'!$B$32,'Code List'!$D$32,",",'Code List'!$B$33,'Code List'!$D$33,",",'Code List'!$B$34,'Code List'!$D$34,",",'Code List'!$B$35,'Code List'!$D$35,",",'Code List'!$B$36,'Code List'!$D$36,",",'Code List'!$B$37,'Code List'!$D$37,",",'Code List'!$B$38,"""",H30,"""",",",'Code List'!$B$39,"""",I30,"""",",",'Code List'!$B$40,"""",J30,"""",",",'Code List'!$B$41,"""",K30,"""",",",'Code List'!$B$42,"""",L30,"""",",",'Code List'!$B$43,"""",M30,"""",",",'Code List'!$B$44,"""",N30,"""",",",'Code List'!$B$45,"""",O30,"""",",",'Code List'!$B$46,"""",P30,"""",",",'Code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List'!$B$59,"""",T30,"""","}"),"")</f>
        <v>{"project_name":"3_AZ_1D_Row1","project_path":"K:/1_Capture/","project_subject_id":"--","project_author":"","project_date":"6-16-2017","project_notes":"","project_data_directory":"AZ_6-16-2017_","project_boundary_left":"288.11","project_boundary_right":"332.51","project_boundary_top":"6.03","project_boundary_bottom":"7.88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v>
      </c>
    </row>
    <row r="31" spans="1:25" x14ac:dyDescent="0.25">
      <c r="A31" t="str">
        <f>IF(AND($A28="YES",E28=$D$1,F31&gt;0),"YES","NO")</f>
        <v>YES</v>
      </c>
      <c r="C31" t="s">
        <v>5</v>
      </c>
      <c r="D31" s="12" t="str">
        <f t="shared" si="21"/>
        <v>1D</v>
      </c>
      <c r="E31" t="s">
        <v>189</v>
      </c>
      <c r="F31">
        <f>'Expanded Base Data'!G26</f>
        <v>12</v>
      </c>
      <c r="G31" s="171">
        <f>F28</f>
        <v>3</v>
      </c>
      <c r="H31">
        <f>ROUND(B28+'Slide Measurements'!$D$17,$O$1)</f>
        <v>288.11</v>
      </c>
      <c r="I31">
        <f>ROUND(H31+(F31*'Slide Measurements'!$D$21),$O$1)</f>
        <v>332.51</v>
      </c>
      <c r="J31">
        <f>K30</f>
        <v>7.88</v>
      </c>
      <c r="K31">
        <f>J31+($I$1*'Slide Measurements'!$E$23-'Slide Measurements'!$E$23)</f>
        <v>9.73</v>
      </c>
      <c r="L31" s="5">
        <f>'Expanded Base Data'!$L26</f>
        <v>1.5</v>
      </c>
      <c r="M31" s="5">
        <f>'Expanded Base Data'!$K26</f>
        <v>0.7</v>
      </c>
      <c r="N31">
        <f t="shared" si="22"/>
        <v>44.4</v>
      </c>
      <c r="O31">
        <f t="shared" si="23"/>
        <v>1.85</v>
      </c>
      <c r="P31" s="5">
        <f t="shared" si="24"/>
        <v>0.8</v>
      </c>
      <c r="Q31">
        <f>'Code List'!$C$63</f>
        <v>3</v>
      </c>
      <c r="R31">
        <f>F32+'Code List'!$G$63</f>
        <v>14</v>
      </c>
      <c r="S31">
        <f t="shared" si="25"/>
        <v>14</v>
      </c>
      <c r="T31">
        <f t="shared" ref="T31:T34" si="27">Q31*R31*S31</f>
        <v>588</v>
      </c>
      <c r="U31" t="str">
        <f>IF(A31="YES",CONCATENATE(G31,"_",'Program Page'!$C$4,'Program Page'!$C$5,"_",D31,"_",E31),"")</f>
        <v>3_AZ_1D_Row2</v>
      </c>
      <c r="V31" t="str">
        <f t="shared" si="26"/>
        <v>3_AZ_1D_Row2_</v>
      </c>
      <c r="W31" t="str">
        <f ca="1">IF(A31="YES",CONCATENATE("{",'Code List'!$B$4,'Code List'!$D$4,",",'Code List'!$B$5,'Code List'!$D$5,",",'Code List'!$B$6,"""",U31,"""",",",'Code List'!$B$7,'Code List'!$D$7,",",'Code List'!$B$8,'Code List'!$D$8,",",'Code List'!$B$9,'Code List'!$D$9,",",'Code List'!$B$10,'Code List'!$D$10,",",'Code List'!$B$11,"""",V31,"""",",",'Code List'!$B$12,"""",H31,"""",",",'Code List'!$B$13,"""",I31,"""",",",'Code List'!$B$14,"""",J31,"""",",",'Code List'!$B$15,"""",K31,"""",",",'Code List'!$B$16,"""",L31,"""",",",'Code List'!$B$17,"""",M31,"""",",",'Code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>{"project_last_updated":"Last updated on...6-16-2017 12735","project_path":"K:/1_Capture/","project_name":"3_AZ_1D_Row2","project_subject_id":"--","project_author":"","project_date":"6-16-2017","project_notes":"","project_data_directory":"3_AZ_1D_Row2_","project_boundary_left":"288.11","project_boundary_right":"332.51","project_boundary_top":"7.88","project_boundary_bottom":"9.73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  <c r="Y31" s="167" t="str">
        <f ca="1">IF(A31="YES",CONCATENATE("{",'Code List'!$B$31,"""",U31,"""",",",'Code List'!$B$32,'Code List'!$D$32,",",'Code List'!$B$33,'Code List'!$D$33,",",'Code List'!$B$34,'Code List'!$D$34,",",'Code List'!$B$35,'Code List'!$D$35,",",'Code List'!$B$36,'Code List'!$D$36,",",'Code List'!$B$37,'Code List'!$D$37,",",'Code List'!$B$38,"""",H31,"""",",",'Code List'!$B$39,"""",I31,"""",",",'Code List'!$B$40,"""",J31,"""",",",'Code List'!$B$41,"""",K31,"""",",",'Code List'!$B$42,"""",L31,"""",",",'Code List'!$B$43,"""",M31,"""",",",'Code List'!$B$44,"""",N31,"""",",",'Code List'!$B$45,"""",O31,"""",",",'Code List'!$B$46,"""",P31,"""",",",'Code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List'!$B$59,"""",T31,"""","}"),"")</f>
        <v>{"project_name":"3_AZ_1D_Row2","project_path":"K:/1_Capture/","project_subject_id":"--","project_author":"","project_date":"6-16-2017","project_notes":"","project_data_directory":"AZ_6-16-2017_","project_boundary_left":"288.11","project_boundary_right":"332.51","project_boundary_top":"7.88","project_boundary_bottom":"9.73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v>
      </c>
    </row>
    <row r="32" spans="1:25" x14ac:dyDescent="0.25">
      <c r="A32" t="str">
        <f>IF(AND($A28="YES",E28=$D$1,F32&gt;0),"YES","NO")</f>
        <v>YES</v>
      </c>
      <c r="C32" t="s">
        <v>5</v>
      </c>
      <c r="D32" s="12" t="str">
        <f t="shared" si="21"/>
        <v>1D</v>
      </c>
      <c r="E32" t="s">
        <v>190</v>
      </c>
      <c r="F32">
        <f>'Expanded Base Data'!H26</f>
        <v>12</v>
      </c>
      <c r="G32" s="171">
        <f>F28</f>
        <v>3</v>
      </c>
      <c r="H32">
        <f>ROUND(B28+'Slide Measurements'!$D$17,$O$1)</f>
        <v>288.11</v>
      </c>
      <c r="I32">
        <f>ROUND(H32+(F32*'Slide Measurements'!$D$21),$O$1)</f>
        <v>332.51</v>
      </c>
      <c r="J32">
        <f>K31</f>
        <v>9.73</v>
      </c>
      <c r="K32">
        <f>J32+($I$1*'Slide Measurements'!$E$23-'Slide Measurements'!$E$23)</f>
        <v>11.580000000000002</v>
      </c>
      <c r="L32" s="5">
        <f>'Expanded Base Data'!$L26</f>
        <v>1.5</v>
      </c>
      <c r="M32" s="5">
        <f>'Expanded Base Data'!$K26</f>
        <v>0.7</v>
      </c>
      <c r="N32">
        <f t="shared" si="22"/>
        <v>44.4</v>
      </c>
      <c r="O32">
        <f t="shared" si="23"/>
        <v>1.85</v>
      </c>
      <c r="P32" s="5">
        <f t="shared" si="24"/>
        <v>0.8</v>
      </c>
      <c r="Q32">
        <f>'Code List'!$C$63</f>
        <v>3</v>
      </c>
      <c r="R32">
        <f>F33+'Code List'!$G$63</f>
        <v>2</v>
      </c>
      <c r="S32">
        <f t="shared" si="25"/>
        <v>14</v>
      </c>
      <c r="T32">
        <f t="shared" si="27"/>
        <v>84</v>
      </c>
      <c r="U32" t="str">
        <f>IF(A32="YES",CONCATENATE(G32,"_",'Program Page'!$C$4,'Program Page'!$C$5,"_",D32,"_",E32),"")</f>
        <v>3_AZ_1D_Row3</v>
      </c>
      <c r="V32" t="str">
        <f t="shared" si="26"/>
        <v>3_AZ_1D_Row3_</v>
      </c>
      <c r="W32" t="str">
        <f ca="1">IF(A32="YES",CONCATENATE("{",'Code List'!$B$4,'Code List'!$D$4,",",'Code List'!$B$5,'Code List'!$D$5,",",'Code List'!$B$6,"""",U32,"""",",",'Code List'!$B$7,'Code List'!$D$7,",",'Code List'!$B$8,'Code List'!$D$8,",",'Code List'!$B$9,'Code List'!$D$9,",",'Code List'!$B$10,'Code List'!$D$10,",",'Code List'!$B$11,"""",V32,"""",",",'Code List'!$B$12,"""",H32,"""",",",'Code List'!$B$13,"""",I32,"""",",",'Code List'!$B$14,"""",J32,"""",",",'Code List'!$B$15,"""",K32,"""",",",'Code List'!$B$16,"""",L32,"""",",",'Code List'!$B$17,"""",M32,"""",",",'Code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>{"project_last_updated":"Last updated on...6-16-2017 12735","project_path":"K:/1_Capture/","project_name":"3_AZ_1D_Row3","project_subject_id":"--","project_author":"","project_date":"6-16-2017","project_notes":"","project_data_directory":"3_AZ_1D_Row3_","project_boundary_left":"288.11","project_boundary_right":"332.51","project_boundary_top":"9.73","project_boundary_bottom":"11.58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  <c r="Y32" s="167" t="str">
        <f ca="1">IF(A32="YES",CONCATENATE("{",'Code List'!$B$31,"""",U32,"""",",",'Code List'!$B$32,'Code List'!$D$32,",",'Code List'!$B$33,'Code List'!$D$33,",",'Code List'!$B$34,'Code List'!$D$34,",",'Code List'!$B$35,'Code List'!$D$35,",",'Code List'!$B$36,'Code List'!$D$36,",",'Code List'!$B$37,'Code List'!$D$37,",",'Code List'!$B$38,"""",H32,"""",",",'Code List'!$B$39,"""",I32,"""",",",'Code List'!$B$40,"""",J32,"""",",",'Code List'!$B$41,"""",K32,"""",",",'Code List'!$B$42,"""",L32,"""",",",'Code List'!$B$43,"""",M32,"""",",",'Code List'!$B$44,"""",N32,"""",",",'Code List'!$B$45,"""",O32,"""",",",'Code List'!$B$46,"""",P32,"""",",",'Code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List'!$B$59,"""",T32,"""","}"),"")</f>
        <v>{"project_name":"3_AZ_1D_Row3","project_path":"K:/1_Capture/","project_subject_id":"--","project_author":"","project_date":"6-16-2017","project_notes":"","project_data_directory":"AZ_6-16-2017_","project_boundary_left":"288.11","project_boundary_right":"332.51","project_boundary_top":"9.73","project_boundary_bottom":"11.58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v>
      </c>
    </row>
    <row r="33" spans="1:25" x14ac:dyDescent="0.25">
      <c r="A33" t="str">
        <f>IF(AND($A28="YES",E28=$D$1,F33&gt;0),"YES","NO")</f>
        <v>NO</v>
      </c>
      <c r="C33" t="s">
        <v>5</v>
      </c>
      <c r="D33" s="12" t="str">
        <f t="shared" si="21"/>
        <v>1D</v>
      </c>
      <c r="E33" t="s">
        <v>191</v>
      </c>
      <c r="F33">
        <f>'Expanded Base Data'!I26</f>
        <v>0</v>
      </c>
      <c r="G33" s="171">
        <f>F28</f>
        <v>3</v>
      </c>
      <c r="H33">
        <f>ROUND(B28+'Slide Measurements'!$D$17,$O$1)</f>
        <v>288.11</v>
      </c>
      <c r="I33">
        <f>ROUND(H33+(F33*'Slide Measurements'!$D$21),$O$1)</f>
        <v>288.11</v>
      </c>
      <c r="J33">
        <f>K32</f>
        <v>11.580000000000002</v>
      </c>
      <c r="K33">
        <f>J33+($I$1*'Slide Measurements'!$E$23-'Slide Measurements'!$E$23)</f>
        <v>13.430000000000003</v>
      </c>
      <c r="L33" s="5">
        <f>'Expanded Base Data'!$L26</f>
        <v>1.5</v>
      </c>
      <c r="M33" s="5">
        <f>'Expanded Base Data'!$K26</f>
        <v>0.7</v>
      </c>
      <c r="N33">
        <f t="shared" si="22"/>
        <v>0</v>
      </c>
      <c r="O33">
        <f t="shared" si="23"/>
        <v>1.85</v>
      </c>
      <c r="P33" s="5">
        <f t="shared" si="24"/>
        <v>0.8</v>
      </c>
      <c r="Q33">
        <f>'Code List'!$C$63</f>
        <v>3</v>
      </c>
      <c r="R33">
        <f>F34+'Code List'!$G$63</f>
        <v>2</v>
      </c>
      <c r="S33">
        <f t="shared" si="25"/>
        <v>14</v>
      </c>
      <c r="T33">
        <f t="shared" si="27"/>
        <v>84</v>
      </c>
      <c r="U33" t="str">
        <f>IF(A33="YES",CONCATENATE(G33,"_",'Program Page'!$C$4,'Program Page'!$C$5,"_",D33,"_",E33),"")</f>
        <v/>
      </c>
      <c r="V33" t="str">
        <f t="shared" si="26"/>
        <v/>
      </c>
      <c r="W33" t="str">
        <f>IF(A33="YES",CONCATENATE("{",'Code List'!$B$4,'Code List'!$D$4,",",'Code List'!$B$5,'Code List'!$D$5,",",'Code List'!$B$6,"""",U33,"""",",",'Code List'!$B$7,'Code List'!$D$7,",",'Code List'!$B$8,'Code List'!$D$8,",",'Code List'!$B$9,'Code List'!$D$9,",",'Code List'!$B$10,'Code List'!$D$10,",",'Code List'!$B$11,"""",V33,"""",",",'Code List'!$B$12,"""",H33,"""",",",'Code List'!$B$13,"""",I33,"""",",",'Code List'!$B$14,"""",J33,"""",",",'Code List'!$B$15,"""",K33,"""",",",'Code List'!$B$16,"""",L33,"""",",",'Code List'!$B$17,"""",M33,"""",",",'Code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3" s="167" t="str">
        <f>IF(A33="YES",CONCATENATE("{",'Code List'!$B$31,"""",U33,"""",",",'Code List'!$B$32,'Code List'!$D$32,",",'Code List'!$B$33,'Code List'!$D$33,",",'Code List'!$B$34,'Code List'!$D$34,",",'Code List'!$B$35,'Code List'!$D$35,",",'Code List'!$B$36,'Code List'!$D$36,",",'Code List'!$B$37,'Code List'!$D$37,",",'Code List'!$B$38,"""",H33,"""",",",'Code List'!$B$39,"""",I33,"""",",",'Code List'!$B$40,"""",J33,"""",",",'Code List'!$B$41,"""",K33,"""",",",'Code List'!$B$42,"""",L33,"""",",",'Code List'!$B$43,"""",M33,"""",",",'Code List'!$B$44,"""",N33,"""",",",'Code List'!$B$45,"""",O33,"""",",",'Code List'!$B$46,"""",P33,"""",",",'Code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List'!$B$59,"""",T33,"""","}"),"")</f>
        <v/>
      </c>
    </row>
    <row r="34" spans="1:25" x14ac:dyDescent="0.25">
      <c r="A34" t="str">
        <f>IF(AND($A28="YES",E28=$D$1,F34&gt;0),"YES","NO")</f>
        <v>NO</v>
      </c>
      <c r="C34" t="s">
        <v>5</v>
      </c>
      <c r="D34" s="12" t="str">
        <f t="shared" si="21"/>
        <v>1D</v>
      </c>
      <c r="E34" t="s">
        <v>196</v>
      </c>
      <c r="F34">
        <f>'Expanded Base Data'!J26</f>
        <v>0</v>
      </c>
      <c r="G34" s="171">
        <f>F28</f>
        <v>3</v>
      </c>
      <c r="H34">
        <f>ROUND(B28+'Slide Measurements'!$D$17,$O$1)</f>
        <v>288.11</v>
      </c>
      <c r="I34">
        <f>ROUND(H34+(F34*'Slide Measurements'!$D$21),$O$1)</f>
        <v>288.11</v>
      </c>
      <c r="J34">
        <f>K33</f>
        <v>13.430000000000003</v>
      </c>
      <c r="K34">
        <f>J34+($I$1*'Slide Measurements'!$E$23-'Slide Measurements'!$E$23)</f>
        <v>15.280000000000005</v>
      </c>
      <c r="L34" s="5">
        <f>'Expanded Base Data'!$L26</f>
        <v>1.5</v>
      </c>
      <c r="M34" s="5">
        <f>'Expanded Base Data'!$K26</f>
        <v>0.7</v>
      </c>
      <c r="N34">
        <f t="shared" si="22"/>
        <v>0</v>
      </c>
      <c r="O34">
        <f t="shared" si="23"/>
        <v>1.85</v>
      </c>
      <c r="P34" s="5">
        <f t="shared" si="24"/>
        <v>0.8</v>
      </c>
      <c r="Q34">
        <f>'Code List'!$C$63</f>
        <v>3</v>
      </c>
      <c r="R34">
        <f>F35+'Code List'!$G$63</f>
        <v>2</v>
      </c>
      <c r="S34">
        <f t="shared" si="25"/>
        <v>14</v>
      </c>
      <c r="T34">
        <f t="shared" si="27"/>
        <v>84</v>
      </c>
      <c r="U34" t="str">
        <f>IF(A34="YES",CONCATENATE(G34,"_",'Program Page'!$C$4,'Program Page'!$C$5,"_",D34,"_",E34),"")</f>
        <v/>
      </c>
      <c r="V34" t="str">
        <f t="shared" si="26"/>
        <v/>
      </c>
      <c r="W34" t="str">
        <f>IF(A34="YES",CONCATENATE("{",'Code List'!$B$4,'Code List'!$D$4,",",'Code List'!$B$5,'Code List'!$D$5,",",'Code List'!$B$6,"""",U34,"""",",",'Code List'!$B$7,'Code List'!$D$7,",",'Code List'!$B$8,'Code List'!$D$8,",",'Code List'!$B$9,'Code List'!$D$9,",",'Code List'!$B$10,'Code List'!$D$10,",",'Code List'!$B$11,"""",V34,"""",",",'Code List'!$B$12,"""",H34,"""",",",'Code List'!$B$13,"""",I34,"""",",",'Code List'!$B$14,"""",J34,"""",",",'Code List'!$B$15,"""",K34,"""",",",'Code List'!$B$16,"""",L34,"""",",",'Code List'!$B$17,"""",M34,"""",",",'Code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4" s="167" t="str">
        <f>IF(A34="YES",CONCATENATE("{",'Code List'!$B$31,"""",U34,"""",",",'Code List'!$B$32,'Code List'!$D$32,",",'Code List'!$B$33,'Code List'!$D$33,",",'Code List'!$B$34,'Code List'!$D$34,",",'Code List'!$B$35,'Code List'!$D$35,",",'Code List'!$B$36,'Code List'!$D$36,",",'Code List'!$B$37,'Code List'!$D$37,",",'Code List'!$B$38,"""",H34,"""",",",'Code List'!$B$39,"""",I34,"""",",",'Code List'!$B$40,"""",J34,"""",",",'Code List'!$B$41,"""",K34,"""",",",'Code List'!$B$42,"""",L34,"""",",",'Code List'!$B$43,"""",M34,"""",",",'Code List'!$B$44,"""",N34,"""",",",'Code List'!$B$45,"""",O34,"""",",",'Code List'!$B$46,"""",P34,"""",",",'Code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List'!$B$59,"""",T34,"""","}"),"")</f>
        <v/>
      </c>
    </row>
    <row r="35" spans="1:25" x14ac:dyDescent="0.25">
      <c r="A35" s="162" t="str">
        <f>IF(AND($A28="YES",E28=$E$1),"YES","NO")</f>
        <v>NO</v>
      </c>
      <c r="C35" t="s">
        <v>259</v>
      </c>
      <c r="D35" s="12" t="str">
        <f>D34</f>
        <v>1D</v>
      </c>
      <c r="E35" t="s">
        <v>259</v>
      </c>
      <c r="G35" s="171">
        <f>F28</f>
        <v>3</v>
      </c>
      <c r="H35">
        <f>ROUND(B28,$O$1)</f>
        <v>262.70999999999998</v>
      </c>
      <c r="I35">
        <f>ROUND(B28+'Slide Measurements'!$D$1,$O$1)</f>
        <v>339.16</v>
      </c>
      <c r="J35">
        <f>C28</f>
        <v>1.73</v>
      </c>
      <c r="K35">
        <f>C28+'Slide Measurements'!$D$2</f>
        <v>29.13</v>
      </c>
      <c r="L35" s="5">
        <f>'Expanded Base Data'!$L26</f>
        <v>1.5</v>
      </c>
      <c r="M35" s="5">
        <f>'Expanded Base Data'!$K26</f>
        <v>0.7</v>
      </c>
      <c r="N35">
        <f t="shared" si="22"/>
        <v>76.45</v>
      </c>
      <c r="O35">
        <f t="shared" si="23"/>
        <v>27.4</v>
      </c>
      <c r="P35" s="5">
        <f>ROUND((L35-M35),$O$1)</f>
        <v>0.8</v>
      </c>
      <c r="Q35">
        <f>'Code List'!$C$70</f>
        <v>11</v>
      </c>
      <c r="R35">
        <f>'Code List'!$D$70</f>
        <v>19</v>
      </c>
      <c r="S35">
        <f>IF(P35=0,"1",ROUND((P35/$K$1)+$M$1,0))</f>
        <v>14</v>
      </c>
      <c r="T35">
        <f>Q35*R35*S35</f>
        <v>2926</v>
      </c>
      <c r="U35" t="str">
        <f>IF(A35="YES",CONCATENATE(G35,"_",'Program Page'!$C$4,'Program Page'!$C$5,"_",D35,"_",E35),"")</f>
        <v/>
      </c>
      <c r="V35" t="str">
        <f>IF(U35="","",CONCATENATE(U35,"_"))</f>
        <v/>
      </c>
      <c r="W35" t="str">
        <f>IF(A35="YES",CONCATENATE("{",'Code List'!$B$4,'Code List'!$D$4,",",'Code List'!$B$5,'Code List'!$D$5,",",'Code List'!$B$6,"""",U35,"""",",",'Code List'!$B$7,'Code List'!$D$7,",",'Code List'!$B$8,'Code List'!$D$8,",",'Code List'!$B$9,'Code List'!$D$9,",",'Code List'!$B$10,'Code List'!$D$10,",",'Code List'!$B$11,"""",V35,"""",",",'Code List'!$B$12,"""",H35,"""",",",'Code List'!$B$13,"""",I35,"""",",",'Code List'!$B$14,"""",J35,"""",",",'Code List'!$B$15,"""",K35,"""",",",'Code List'!$B$16,"""",L35,"""",",",'Code List'!$B$17,"""",M35,"""",",",'Code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35" s="167" t="str">
        <f>IF(A35="YES",CONCATENATE("{",'Code List'!$B$31,"""",U35,"""",",",'Code List'!$B$32,'Code List'!$D$32,",",'Code List'!$B$33,'Code List'!$D$33,",",'Code List'!$B$34,'Code List'!$D$34,",",'Code List'!$B$35,'Code List'!$D$35,",",'Code List'!$B$36,'Code List'!$D$36,",",'Code List'!$B$37,'Code List'!$D$37,",",'Code List'!$B$38,"""",H35,"""",",",'Code List'!$B$39,"""",I35,"""",",",'Code List'!$B$40,"""",J35,"""",",",'Code List'!$B$41,"""",K35,"""",",",'Code List'!$B$42,"""",L35,"""",",",'Code List'!$B$43,"""",M35,"""",",",'Code List'!$B$44,"""",N35,"""",",",'Code List'!$B$45,"""",O35,"""",",",'Code List'!$B$46,"""",P35,"""",",",'Code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List'!$B$59,"""",T35,"""","}"),"")</f>
        <v/>
      </c>
    </row>
    <row r="36" spans="1:25" ht="18.75" x14ac:dyDescent="0.3">
      <c r="A36" s="35" t="str">
        <f>IF(OR(E36=$C$1,E36=$D$1,E36=$E$1),"YES","NO")</f>
        <v>YES</v>
      </c>
      <c r="B36" s="35">
        <f>'Expanded Base Data'!D34</f>
        <v>349.11</v>
      </c>
      <c r="C36" s="35">
        <f>'Expanded Base Data'!E34</f>
        <v>1.73</v>
      </c>
      <c r="D36" s="36" t="str">
        <f>'Expanded Base Data'!B34</f>
        <v>1E</v>
      </c>
      <c r="E36" s="35" t="str">
        <f>'Expanded Base Data'!C34</f>
        <v>box</v>
      </c>
      <c r="F36" s="35">
        <f>'Expanded Base Data'!M34</f>
        <v>4</v>
      </c>
      <c r="G36" s="170">
        <f>F36</f>
        <v>4</v>
      </c>
      <c r="Y36" s="167" t="str">
        <f>""</f>
        <v/>
      </c>
    </row>
    <row r="37" spans="1:25" x14ac:dyDescent="0.25">
      <c r="A37" t="str">
        <f>IF(AND($A36="YES",E36=$C$1),"YES","NO")</f>
        <v>NO</v>
      </c>
      <c r="C37" t="s">
        <v>6</v>
      </c>
      <c r="D37" s="12" t="str">
        <f>D36</f>
        <v>1E</v>
      </c>
      <c r="E37" t="s">
        <v>6</v>
      </c>
      <c r="F37" t="s">
        <v>198</v>
      </c>
      <c r="G37" s="171">
        <f>F36</f>
        <v>4</v>
      </c>
      <c r="H37">
        <f>IF('Expanded Base Data'!N34="",ROUND(B36+'Slide Measurements'!$D$11,$O$1),B36+'Expanded Base Data'!N34)</f>
        <v>382.11</v>
      </c>
      <c r="I37">
        <f>IF('Expanded Base Data'!O34="",ROUND(B36+'Slide Measurements'!$D$12,$O$1),B36+'Expanded Base Data'!O34)</f>
        <v>390.71</v>
      </c>
      <c r="J37">
        <f>IF('Expanded Base Data'!P34="",C36+'Slide Measurements'!$E$13,C36+'Expanded Base Data'!P34)</f>
        <v>10.43</v>
      </c>
      <c r="K37">
        <f>IF('Expanded Base Data'!Q34="",C36+'Slide Measurements'!$E$14,C36+'Expanded Base Data'!Q34)</f>
        <v>19.029999999999998</v>
      </c>
      <c r="L37" s="5">
        <f>'Expanded Base Data'!$L34</f>
        <v>1.5</v>
      </c>
      <c r="M37" s="5">
        <f>'Expanded Base Data'!$K34</f>
        <v>0.7</v>
      </c>
      <c r="N37">
        <f>ROUND((I37-H37),$O$1)</f>
        <v>8.6</v>
      </c>
      <c r="O37">
        <f>ROUND((K37-J37),$O$1)</f>
        <v>8.6</v>
      </c>
      <c r="P37" s="5">
        <f>ROUND((L37-M37),$O$1)</f>
        <v>0.8</v>
      </c>
      <c r="Q37">
        <f>'Code List'!$C$62</f>
        <v>5</v>
      </c>
      <c r="R37">
        <f>F38+'Code List'!$G$63</f>
        <v>14</v>
      </c>
      <c r="S37">
        <f>IF(P37=0,"1",ROUND((P37/$K$1)+$M$1,0))</f>
        <v>14</v>
      </c>
      <c r="T37">
        <f>Q37*R37*S37</f>
        <v>980</v>
      </c>
      <c r="U37" t="str">
        <f>IF(A37="YES",CONCATENATE(G37,"_",'Program Page'!$C$4,'Program Page'!$C$5,"_",D37,"_",E37),"")</f>
        <v/>
      </c>
      <c r="V37" t="str">
        <f>IF(U37="","",CONCATENATE(U37,"_"))</f>
        <v/>
      </c>
      <c r="W37" t="str">
        <f>IF(A37="YES",CONCATENATE("{",'Code List'!$B$4,'Code List'!$D$4,",",'Code List'!$B$5,'Code List'!$D$5,",",'Code List'!$B$6,"""",U37,"""",",",'Code List'!$B$7,'Code List'!$D$7,",",'Code List'!$B$8,'Code List'!$D$8,",",'Code List'!$B$9,'Code List'!$D$9,",",'Code List'!$B$10,'Code List'!$D$10,",",'Code List'!$B$11,"""",V37,"""",",",'Code List'!$B$12,"""",H37,"""",",",'Code List'!$B$13,"""",I37,"""",",",'Code List'!$B$14,"""",J37,"""",",",'Code List'!$B$15,"""",K37,"""",",",'Code List'!$B$16,"""",L37,"""",",",'Code List'!$B$17,"""",M37,"""",",",'Code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7" s="167" t="str">
        <f>IF(A37="YES",CONCATENATE("{",'Code List'!$B$31,"""",U37,"""",",",'Code List'!$B$32,'Code List'!$D$32,",",'Code List'!$B$33,'Code List'!$D$33,",",'Code List'!$B$34,'Code List'!$D$34,",",'Code List'!$B$35,'Code List'!$D$35,",",'Code List'!$B$36,'Code List'!$D$36,",",'Code List'!$B$37,'Code List'!$D$37,",",'Code List'!$B$38,"""",H37,"""",",",'Code List'!$B$39,"""",I37,"""",",",'Code List'!$B$40,"""",J37,"""",",",'Code List'!$B$41,"""",K37,"""",",",'Code List'!$B$42,"""",L37,"""",",",'Code List'!$B$43,"""",M37,"""",",",'Code List'!$B$44,"""",N37,"""",",",'Code List'!$B$45,"""",O37,"""",",",'Code List'!$B$46,"""",P37,"""",",",'Code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List'!$B$59,"""",T37,"""","}"),"")</f>
        <v/>
      </c>
    </row>
    <row r="38" spans="1:25" x14ac:dyDescent="0.25">
      <c r="A38" t="str">
        <f>IF(AND($A36="YES",E36=$D$1,F38&gt;0),"YES","NO")</f>
        <v>YES</v>
      </c>
      <c r="C38" t="s">
        <v>5</v>
      </c>
      <c r="D38" s="12" t="str">
        <f t="shared" ref="D38:D42" si="28">D37</f>
        <v>1E</v>
      </c>
      <c r="E38" t="s">
        <v>188</v>
      </c>
      <c r="F38">
        <f>'Expanded Base Data'!F34</f>
        <v>12</v>
      </c>
      <c r="G38" s="171">
        <f>F36</f>
        <v>4</v>
      </c>
      <c r="H38">
        <f>ROUND(B36+'Slide Measurements'!$D$17,$O$1)</f>
        <v>374.51</v>
      </c>
      <c r="I38">
        <f>ROUND(H38+(F38*'Slide Measurements'!$D$21),$O$1)</f>
        <v>418.91</v>
      </c>
      <c r="J38">
        <f>C36+'Slide Measurements'!$E$17</f>
        <v>6.0299999999999994</v>
      </c>
      <c r="K38">
        <f>J38+($I$1*'Slide Measurements'!$E$23-'Slide Measurements'!$E$23)</f>
        <v>7.88</v>
      </c>
      <c r="L38" s="5">
        <f>'Expanded Base Data'!$L34</f>
        <v>1.5</v>
      </c>
      <c r="M38" s="5">
        <f>'Expanded Base Data'!$K34</f>
        <v>0.7</v>
      </c>
      <c r="N38">
        <f t="shared" ref="N38:N43" si="29">ROUND((I38-H38),$O$1)</f>
        <v>44.4</v>
      </c>
      <c r="O38">
        <f t="shared" ref="O38:O43" si="30">ROUND((K38-J38),$O$1)</f>
        <v>1.85</v>
      </c>
      <c r="P38" s="5">
        <f t="shared" ref="P38:P42" si="31">ROUND((L38-M38),$O$1)</f>
        <v>0.8</v>
      </c>
      <c r="Q38">
        <f>'Code List'!$C$63</f>
        <v>3</v>
      </c>
      <c r="R38">
        <f>F39+'Code List'!$G$63</f>
        <v>14</v>
      </c>
      <c r="S38">
        <f t="shared" ref="S38:S42" si="32">IF(P38=0,"1",ROUND((P38/$K$1)+$M$1,0))</f>
        <v>14</v>
      </c>
      <c r="T38">
        <f>Q38*R38*S38</f>
        <v>588</v>
      </c>
      <c r="U38" t="str">
        <f>IF(A38="YES",CONCATENATE(G38,"_",'Program Page'!$C$4,'Program Page'!$C$5,"_",D38,"_",E38),"")</f>
        <v>4_AZ_1E_Row1</v>
      </c>
      <c r="V38" t="str">
        <f t="shared" ref="V38:V42" si="33">IF(U38="","",CONCATENATE(U38,"_"))</f>
        <v>4_AZ_1E_Row1_</v>
      </c>
      <c r="W38" t="str">
        <f ca="1">IF(A38="YES",CONCATENATE("{",'Code List'!$B$4,'Code List'!$D$4,",",'Code List'!$B$5,'Code List'!$D$5,",",'Code List'!$B$6,"""",U38,"""",",",'Code List'!$B$7,'Code List'!$D$7,",",'Code List'!$B$8,'Code List'!$D$8,",",'Code List'!$B$9,'Code List'!$D$9,",",'Code List'!$B$10,'Code List'!$D$10,",",'Code List'!$B$11,"""",V38,"""",",",'Code List'!$B$12,"""",H38,"""",",",'Code List'!$B$13,"""",I38,"""",",",'Code List'!$B$14,"""",J38,"""",",",'Code List'!$B$15,"""",K38,"""",",",'Code List'!$B$16,"""",L38,"""",",",'Code List'!$B$17,"""",M38,"""",",",'Code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>{"project_last_updated":"Last updated on...6-16-2017 12735","project_path":"K:/1_Capture/","project_name":"4_AZ_1E_Row1","project_subject_id":"--","project_author":"","project_date":"6-16-2017","project_notes":"","project_data_directory":"4_AZ_1E_Row1_","project_boundary_left":"374.51","project_boundary_right":"418.91","project_boundary_top":"6.03","project_boundary_bottom":"7.88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  <c r="Y38" s="167" t="str">
        <f ca="1">IF(A38="YES",CONCATENATE("{",'Code List'!$B$31,"""",U38,"""",",",'Code List'!$B$32,'Code List'!$D$32,",",'Code List'!$B$33,'Code List'!$D$33,",",'Code List'!$B$34,'Code List'!$D$34,",",'Code List'!$B$35,'Code List'!$D$35,",",'Code List'!$B$36,'Code List'!$D$36,",",'Code List'!$B$37,'Code List'!$D$37,",",'Code List'!$B$38,"""",H38,"""",",",'Code List'!$B$39,"""",I38,"""",",",'Code List'!$B$40,"""",J38,"""",",",'Code List'!$B$41,"""",K38,"""",",",'Code List'!$B$42,"""",L38,"""",",",'Code List'!$B$43,"""",M38,"""",",",'Code List'!$B$44,"""",N38,"""",",",'Code List'!$B$45,"""",O38,"""",",",'Code List'!$B$46,"""",P38,"""",",",'Code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List'!$B$59,"""",T38,"""","}"),"")</f>
        <v>{"project_name":"4_AZ_1E_Row1","project_path":"K:/1_Capture/","project_subject_id":"--","project_author":"","project_date":"6-16-2017","project_notes":"","project_data_directory":"AZ_6-16-2017_","project_boundary_left":"374.51","project_boundary_right":"418.91","project_boundary_top":"6.03","project_boundary_bottom":"7.88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v>
      </c>
    </row>
    <row r="39" spans="1:25" x14ac:dyDescent="0.25">
      <c r="A39" t="str">
        <f>IF(AND($A36="YES",E36=$D$1,F39&gt;0),"YES","NO")</f>
        <v>YES</v>
      </c>
      <c r="C39" t="s">
        <v>5</v>
      </c>
      <c r="D39" s="12" t="str">
        <f t="shared" si="28"/>
        <v>1E</v>
      </c>
      <c r="E39" t="s">
        <v>189</v>
      </c>
      <c r="F39">
        <f>'Expanded Base Data'!G34</f>
        <v>12</v>
      </c>
      <c r="G39" s="171">
        <f>F36</f>
        <v>4</v>
      </c>
      <c r="H39">
        <f>ROUND(B36+'Slide Measurements'!$D$17,$O$1)</f>
        <v>374.51</v>
      </c>
      <c r="I39">
        <f>ROUND(H39+(F39*'Slide Measurements'!$D$21),$O$1)</f>
        <v>418.91</v>
      </c>
      <c r="J39">
        <f>K38</f>
        <v>7.88</v>
      </c>
      <c r="K39">
        <f>J39+($I$1*'Slide Measurements'!$E$23-'Slide Measurements'!$E$23)</f>
        <v>9.73</v>
      </c>
      <c r="L39" s="5">
        <f>'Expanded Base Data'!$L34</f>
        <v>1.5</v>
      </c>
      <c r="M39" s="5">
        <f>'Expanded Base Data'!$K34</f>
        <v>0.7</v>
      </c>
      <c r="N39">
        <f t="shared" si="29"/>
        <v>44.4</v>
      </c>
      <c r="O39">
        <f t="shared" si="30"/>
        <v>1.85</v>
      </c>
      <c r="P39" s="5">
        <f t="shared" si="31"/>
        <v>0.8</v>
      </c>
      <c r="Q39">
        <f>'Code List'!$C$63</f>
        <v>3</v>
      </c>
      <c r="R39">
        <f>F40+'Code List'!$G$63</f>
        <v>14</v>
      </c>
      <c r="S39">
        <f t="shared" si="32"/>
        <v>14</v>
      </c>
      <c r="T39">
        <f t="shared" ref="T39:T42" si="34">Q39*R39*S39</f>
        <v>588</v>
      </c>
      <c r="U39" t="str">
        <f>IF(A39="YES",CONCATENATE(G39,"_",'Program Page'!$C$4,'Program Page'!$C$5,"_",D39,"_",E39),"")</f>
        <v>4_AZ_1E_Row2</v>
      </c>
      <c r="V39" t="str">
        <f t="shared" si="33"/>
        <v>4_AZ_1E_Row2_</v>
      </c>
      <c r="W39" t="str">
        <f ca="1">IF(A39="YES",CONCATENATE("{",'Code List'!$B$4,'Code List'!$D$4,",",'Code List'!$B$5,'Code List'!$D$5,",",'Code List'!$B$6,"""",U39,"""",",",'Code List'!$B$7,'Code List'!$D$7,",",'Code List'!$B$8,'Code List'!$D$8,",",'Code List'!$B$9,'Code List'!$D$9,",",'Code List'!$B$10,'Code List'!$D$10,",",'Code List'!$B$11,"""",V39,"""",",",'Code List'!$B$12,"""",H39,"""",",",'Code List'!$B$13,"""",I39,"""",",",'Code List'!$B$14,"""",J39,"""",",",'Code List'!$B$15,"""",K39,"""",",",'Code List'!$B$16,"""",L39,"""",",",'Code List'!$B$17,"""",M39,"""",",",'Code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>{"project_last_updated":"Last updated on...6-16-2017 12735","project_path":"K:/1_Capture/","project_name":"4_AZ_1E_Row2","project_subject_id":"--","project_author":"","project_date":"6-16-2017","project_notes":"","project_data_directory":"4_AZ_1E_Row2_","project_boundary_left":"374.51","project_boundary_right":"418.91","project_boundary_top":"7.88","project_boundary_bottom":"9.73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  <c r="Y39" s="167" t="str">
        <f ca="1">IF(A39="YES",CONCATENATE("{",'Code List'!$B$31,"""",U39,"""",",",'Code List'!$B$32,'Code List'!$D$32,",",'Code List'!$B$33,'Code List'!$D$33,",",'Code List'!$B$34,'Code List'!$D$34,",",'Code List'!$B$35,'Code List'!$D$35,",",'Code List'!$B$36,'Code List'!$D$36,",",'Code List'!$B$37,'Code List'!$D$37,",",'Code List'!$B$38,"""",H39,"""",",",'Code List'!$B$39,"""",I39,"""",",",'Code List'!$B$40,"""",J39,"""",",",'Code List'!$B$41,"""",K39,"""",",",'Code List'!$B$42,"""",L39,"""",",",'Code List'!$B$43,"""",M39,"""",",",'Code List'!$B$44,"""",N39,"""",",",'Code List'!$B$45,"""",O39,"""",",",'Code List'!$B$46,"""",P39,"""",",",'Code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List'!$B$59,"""",T39,"""","}"),"")</f>
        <v>{"project_name":"4_AZ_1E_Row2","project_path":"K:/1_Capture/","project_subject_id":"--","project_author":"","project_date":"6-16-2017","project_notes":"","project_data_directory":"AZ_6-16-2017_","project_boundary_left":"374.51","project_boundary_right":"418.91","project_boundary_top":"7.88","project_boundary_bottom":"9.73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v>
      </c>
    </row>
    <row r="40" spans="1:25" x14ac:dyDescent="0.25">
      <c r="A40" t="str">
        <f>IF(AND($A36="YES",E36=$D$1,F40&gt;0),"YES","NO")</f>
        <v>YES</v>
      </c>
      <c r="C40" t="s">
        <v>5</v>
      </c>
      <c r="D40" s="12" t="str">
        <f t="shared" si="28"/>
        <v>1E</v>
      </c>
      <c r="E40" t="s">
        <v>190</v>
      </c>
      <c r="F40">
        <f>'Expanded Base Data'!H34</f>
        <v>12</v>
      </c>
      <c r="G40" s="171">
        <f>F36</f>
        <v>4</v>
      </c>
      <c r="H40">
        <f>ROUND(B36+'Slide Measurements'!$D$17,$O$1)</f>
        <v>374.51</v>
      </c>
      <c r="I40">
        <f>ROUND(H40+(F40*'Slide Measurements'!$D$21),$O$1)</f>
        <v>418.91</v>
      </c>
      <c r="J40">
        <f>K39</f>
        <v>9.73</v>
      </c>
      <c r="K40">
        <f>J40+($I$1*'Slide Measurements'!$E$23-'Slide Measurements'!$E$23)</f>
        <v>11.580000000000002</v>
      </c>
      <c r="L40" s="5">
        <f>'Expanded Base Data'!$L34</f>
        <v>1.5</v>
      </c>
      <c r="M40" s="5">
        <f>'Expanded Base Data'!$K34</f>
        <v>0.7</v>
      </c>
      <c r="N40">
        <f t="shared" si="29"/>
        <v>44.4</v>
      </c>
      <c r="O40">
        <f t="shared" si="30"/>
        <v>1.85</v>
      </c>
      <c r="P40" s="5">
        <f t="shared" si="31"/>
        <v>0.8</v>
      </c>
      <c r="Q40">
        <f>'Code List'!$C$63</f>
        <v>3</v>
      </c>
      <c r="R40">
        <f>F41+'Code List'!$G$63</f>
        <v>14</v>
      </c>
      <c r="S40">
        <f t="shared" si="32"/>
        <v>14</v>
      </c>
      <c r="T40">
        <f t="shared" si="34"/>
        <v>588</v>
      </c>
      <c r="U40" t="str">
        <f>IF(A40="YES",CONCATENATE(G40,"_",'Program Page'!$C$4,'Program Page'!$C$5,"_",D40,"_",E40),"")</f>
        <v>4_AZ_1E_Row3</v>
      </c>
      <c r="V40" t="str">
        <f t="shared" si="33"/>
        <v>4_AZ_1E_Row3_</v>
      </c>
      <c r="W40" t="str">
        <f ca="1">IF(A40="YES",CONCATENATE("{",'Code List'!$B$4,'Code List'!$D$4,",",'Code List'!$B$5,'Code List'!$D$5,",",'Code List'!$B$6,"""",U40,"""",",",'Code List'!$B$7,'Code List'!$D$7,",",'Code List'!$B$8,'Code List'!$D$8,",",'Code List'!$B$9,'Code List'!$D$9,",",'Code List'!$B$10,'Code List'!$D$10,",",'Code List'!$B$11,"""",V40,"""",",",'Code List'!$B$12,"""",H40,"""",",",'Code List'!$B$13,"""",I40,"""",",",'Code List'!$B$14,"""",J40,"""",",",'Code List'!$B$15,"""",K40,"""",",",'Code List'!$B$16,"""",L40,"""",",",'Code List'!$B$17,"""",M40,"""",",",'Code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>{"project_last_updated":"Last updated on...6-16-2017 12735","project_path":"K:/1_Capture/","project_name":"4_AZ_1E_Row3","project_subject_id":"--","project_author":"","project_date":"6-16-2017","project_notes":"","project_data_directory":"4_AZ_1E_Row3_","project_boundary_left":"374.51","project_boundary_right":"418.91","project_boundary_top":"9.73","project_boundary_bottom":"11.58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  <c r="Y40" s="167" t="str">
        <f ca="1">IF(A40="YES",CONCATENATE("{",'Code List'!$B$31,"""",U40,"""",",",'Code List'!$B$32,'Code List'!$D$32,",",'Code List'!$B$33,'Code List'!$D$33,",",'Code List'!$B$34,'Code List'!$D$34,",",'Code List'!$B$35,'Code List'!$D$35,",",'Code List'!$B$36,'Code List'!$D$36,",",'Code List'!$B$37,'Code List'!$D$37,",",'Code List'!$B$38,"""",H40,"""",",",'Code List'!$B$39,"""",I40,"""",",",'Code List'!$B$40,"""",J40,"""",",",'Code List'!$B$41,"""",K40,"""",",",'Code List'!$B$42,"""",L40,"""",",",'Code List'!$B$43,"""",M40,"""",",",'Code List'!$B$44,"""",N40,"""",",",'Code List'!$B$45,"""",O40,"""",",",'Code List'!$B$46,"""",P40,"""",",",'Code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List'!$B$59,"""",T40,"""","}"),"")</f>
        <v>{"project_name":"4_AZ_1E_Row3","project_path":"K:/1_Capture/","project_subject_id":"--","project_author":"","project_date":"6-16-2017","project_notes":"","project_data_directory":"AZ_6-16-2017_","project_boundary_left":"374.51","project_boundary_right":"418.91","project_boundary_top":"9.73","project_boundary_bottom":"11.58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v>
      </c>
    </row>
    <row r="41" spans="1:25" x14ac:dyDescent="0.25">
      <c r="A41" t="str">
        <f>IF(AND($A36="YES",E36=$D$1,F41&gt;0),"YES","NO")</f>
        <v>YES</v>
      </c>
      <c r="C41" t="s">
        <v>5</v>
      </c>
      <c r="D41" s="12" t="str">
        <f t="shared" si="28"/>
        <v>1E</v>
      </c>
      <c r="E41" t="s">
        <v>191</v>
      </c>
      <c r="F41">
        <f>'Expanded Base Data'!I34</f>
        <v>12</v>
      </c>
      <c r="G41" s="171">
        <f>F36</f>
        <v>4</v>
      </c>
      <c r="H41">
        <f>ROUND(B36+'Slide Measurements'!$D$17,$O$1)</f>
        <v>374.51</v>
      </c>
      <c r="I41">
        <f>ROUND(H41+(F41*'Slide Measurements'!$D$21),$O$1)</f>
        <v>418.91</v>
      </c>
      <c r="J41">
        <f>K40</f>
        <v>11.580000000000002</v>
      </c>
      <c r="K41">
        <f>J41+($I$1*'Slide Measurements'!$E$23-'Slide Measurements'!$E$23)</f>
        <v>13.430000000000003</v>
      </c>
      <c r="L41" s="5">
        <f>'Expanded Base Data'!$L34</f>
        <v>1.5</v>
      </c>
      <c r="M41" s="5">
        <f>'Expanded Base Data'!$K34</f>
        <v>0.7</v>
      </c>
      <c r="N41">
        <f t="shared" si="29"/>
        <v>44.4</v>
      </c>
      <c r="O41">
        <f t="shared" si="30"/>
        <v>1.85</v>
      </c>
      <c r="P41" s="5">
        <f t="shared" si="31"/>
        <v>0.8</v>
      </c>
      <c r="Q41">
        <f>'Code List'!$C$63</f>
        <v>3</v>
      </c>
      <c r="R41">
        <f>F42+'Code List'!$G$63</f>
        <v>14</v>
      </c>
      <c r="S41">
        <f t="shared" si="32"/>
        <v>14</v>
      </c>
      <c r="T41">
        <f t="shared" si="34"/>
        <v>588</v>
      </c>
      <c r="U41" t="str">
        <f>IF(A41="YES",CONCATENATE(G41,"_",'Program Page'!$C$4,'Program Page'!$C$5,"_",D41,"_",E41),"")</f>
        <v>4_AZ_1E_Row4</v>
      </c>
      <c r="V41" t="str">
        <f t="shared" si="33"/>
        <v>4_AZ_1E_Row4_</v>
      </c>
      <c r="W41" t="str">
        <f ca="1">IF(A41="YES",CONCATENATE("{",'Code List'!$B$4,'Code List'!$D$4,",",'Code List'!$B$5,'Code List'!$D$5,",",'Code List'!$B$6,"""",U41,"""",",",'Code List'!$B$7,'Code List'!$D$7,",",'Code List'!$B$8,'Code List'!$D$8,",",'Code List'!$B$9,'Code List'!$D$9,",",'Code List'!$B$10,'Code List'!$D$10,",",'Code List'!$B$11,"""",V41,"""",",",'Code List'!$B$12,"""",H41,"""",",",'Code List'!$B$13,"""",I41,"""",",",'Code List'!$B$14,"""",J41,"""",",",'Code List'!$B$15,"""",K41,"""",",",'Code List'!$B$16,"""",L41,"""",",",'Code List'!$B$17,"""",M41,"""",",",'Code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>{"project_last_updated":"Last updated on...6-16-2017 12735","project_path":"K:/1_Capture/","project_name":"4_AZ_1E_Row4","project_subject_id":"--","project_author":"","project_date":"6-16-2017","project_notes":"","project_data_directory":"4_AZ_1E_Row4_","project_boundary_left":"374.51","project_boundary_right":"418.91","project_boundary_top":"11.58","project_boundary_bottom":"13.43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  <c r="Y41" s="167" t="str">
        <f ca="1">IF(A41="YES",CONCATENATE("{",'Code List'!$B$31,"""",U41,"""",",",'Code List'!$B$32,'Code List'!$D$32,",",'Code List'!$B$33,'Code List'!$D$33,",",'Code List'!$B$34,'Code List'!$D$34,",",'Code List'!$B$35,'Code List'!$D$35,",",'Code List'!$B$36,'Code List'!$D$36,",",'Code List'!$B$37,'Code List'!$D$37,",",'Code List'!$B$38,"""",H41,"""",",",'Code List'!$B$39,"""",I41,"""",",",'Code List'!$B$40,"""",J41,"""",",",'Code List'!$B$41,"""",K41,"""",",",'Code List'!$B$42,"""",L41,"""",",",'Code List'!$B$43,"""",M41,"""",",",'Code List'!$B$44,"""",N41,"""",",",'Code List'!$B$45,"""",O41,"""",",",'Code List'!$B$46,"""",P41,"""",",",'Code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List'!$B$59,"""",T41,"""","}"),"")</f>
        <v>{"project_name":"4_AZ_1E_Row4","project_path":"K:/1_Capture/","project_subject_id":"--","project_author":"","project_date":"6-16-2017","project_notes":"","project_data_directory":"AZ_6-16-2017_","project_boundary_left":"374.51","project_boundary_right":"418.91","project_boundary_top":"11.58","project_boundary_bottom":"13.43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v>
      </c>
    </row>
    <row r="42" spans="1:25" x14ac:dyDescent="0.25">
      <c r="A42" t="str">
        <f>IF(AND($A36="YES",E36=$D$1,F42&gt;0),"YES","NO")</f>
        <v>YES</v>
      </c>
      <c r="C42" t="s">
        <v>5</v>
      </c>
      <c r="D42" s="12" t="str">
        <f t="shared" si="28"/>
        <v>1E</v>
      </c>
      <c r="E42" t="s">
        <v>196</v>
      </c>
      <c r="F42">
        <f>'Expanded Base Data'!J34</f>
        <v>12</v>
      </c>
      <c r="G42" s="171">
        <f>F36</f>
        <v>4</v>
      </c>
      <c r="H42">
        <f>ROUND(B36+'Slide Measurements'!$D$17,$O$1)</f>
        <v>374.51</v>
      </c>
      <c r="I42">
        <f>ROUND(H42+(F42*'Slide Measurements'!$D$21),$O$1)</f>
        <v>418.91</v>
      </c>
      <c r="J42">
        <f>K41</f>
        <v>13.430000000000003</v>
      </c>
      <c r="K42">
        <f>J42+($I$1*'Slide Measurements'!$E$23-'Slide Measurements'!$E$23)</f>
        <v>15.280000000000005</v>
      </c>
      <c r="L42" s="5">
        <f>'Expanded Base Data'!$L34</f>
        <v>1.5</v>
      </c>
      <c r="M42" s="5">
        <f>'Expanded Base Data'!$K34</f>
        <v>0.7</v>
      </c>
      <c r="N42">
        <f t="shared" si="29"/>
        <v>44.4</v>
      </c>
      <c r="O42">
        <f t="shared" si="30"/>
        <v>1.85</v>
      </c>
      <c r="P42" s="5">
        <f t="shared" si="31"/>
        <v>0.8</v>
      </c>
      <c r="Q42">
        <f>'Code List'!$C$63</f>
        <v>3</v>
      </c>
      <c r="R42">
        <f>F43+'Code List'!$G$63</f>
        <v>2</v>
      </c>
      <c r="S42">
        <f t="shared" si="32"/>
        <v>14</v>
      </c>
      <c r="T42">
        <f t="shared" si="34"/>
        <v>84</v>
      </c>
      <c r="U42" t="str">
        <f>IF(A42="YES",CONCATENATE(G42,"_",'Program Page'!$C$4,'Program Page'!$C$5,"_",D42,"_",E42),"")</f>
        <v>4_AZ_1E_Row5</v>
      </c>
      <c r="V42" t="str">
        <f t="shared" si="33"/>
        <v>4_AZ_1E_Row5_</v>
      </c>
      <c r="W42" t="str">
        <f ca="1">IF(A42="YES",CONCATENATE("{",'Code List'!$B$4,'Code List'!$D$4,",",'Code List'!$B$5,'Code List'!$D$5,",",'Code List'!$B$6,"""",U42,"""",",",'Code List'!$B$7,'Code List'!$D$7,",",'Code List'!$B$8,'Code List'!$D$8,",",'Code List'!$B$9,'Code List'!$D$9,",",'Code List'!$B$10,'Code List'!$D$10,",",'Code List'!$B$11,"""",V42,"""",",",'Code List'!$B$12,"""",H42,"""",",",'Code List'!$B$13,"""",I42,"""",",",'Code List'!$B$14,"""",J42,"""",",",'Code List'!$B$15,"""",K42,"""",",",'Code List'!$B$16,"""",L42,"""",",",'Code List'!$B$17,"""",M42,"""",",",'Code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>{"project_last_updated":"Last updated on...6-16-2017 12735","project_path":"K:/1_Capture/","project_name":"4_AZ_1E_Row5","project_subject_id":"--","project_author":"","project_date":"6-16-2017","project_notes":"","project_data_directory":"4_AZ_1E_Row5_","project_boundary_left":"374.51","project_boundary_right":"418.91","project_boundary_top":"13.43","project_boundary_bottom":"15.28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  <c r="Y42" s="167" t="str">
        <f ca="1">IF(A42="YES",CONCATENATE("{",'Code List'!$B$31,"""",U42,"""",",",'Code List'!$B$32,'Code List'!$D$32,",",'Code List'!$B$33,'Code List'!$D$33,",",'Code List'!$B$34,'Code List'!$D$34,",",'Code List'!$B$35,'Code List'!$D$35,",",'Code List'!$B$36,'Code List'!$D$36,",",'Code List'!$B$37,'Code List'!$D$37,",",'Code List'!$B$38,"""",H42,"""",",",'Code List'!$B$39,"""",I42,"""",",",'Code List'!$B$40,"""",J42,"""",",",'Code List'!$B$41,"""",K42,"""",",",'Code List'!$B$42,"""",L42,"""",",",'Code List'!$B$43,"""",M42,"""",",",'Code List'!$B$44,"""",N42,"""",",",'Code List'!$B$45,"""",O42,"""",",",'Code List'!$B$46,"""",P42,"""",",",'Code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List'!$B$59,"""",T42,"""","}"),"")</f>
        <v>{"project_name":"4_AZ_1E_Row5","project_path":"K:/1_Capture/","project_subject_id":"--","project_author":"","project_date":"6-16-2017","project_notes":"","project_data_directory":"AZ_6-16-2017_","project_boundary_left":"374.51","project_boundary_right":"418.91","project_boundary_top":"13.43","project_boundary_bottom":"15.28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v>
      </c>
    </row>
    <row r="43" spans="1:25" x14ac:dyDescent="0.25">
      <c r="A43" s="162" t="str">
        <f>IF(AND($A36="YES",E36=$E$1),"YES","NO")</f>
        <v>NO</v>
      </c>
      <c r="C43" t="s">
        <v>259</v>
      </c>
      <c r="D43" s="12" t="str">
        <f>D42</f>
        <v>1E</v>
      </c>
      <c r="E43" t="s">
        <v>259</v>
      </c>
      <c r="G43" s="171">
        <f>F36</f>
        <v>4</v>
      </c>
      <c r="H43">
        <f>ROUND(B36,$O$1)</f>
        <v>349.11</v>
      </c>
      <c r="I43">
        <f>ROUND(B36+'Slide Measurements'!$D$1,$O$1)</f>
        <v>425.56</v>
      </c>
      <c r="J43">
        <f>C36</f>
        <v>1.73</v>
      </c>
      <c r="K43">
        <f>C36+'Slide Measurements'!$D$2</f>
        <v>29.13</v>
      </c>
      <c r="L43" s="5">
        <f>'Expanded Base Data'!$L34</f>
        <v>1.5</v>
      </c>
      <c r="M43" s="5">
        <f>'Expanded Base Data'!$K34</f>
        <v>0.7</v>
      </c>
      <c r="N43">
        <f t="shared" si="29"/>
        <v>76.45</v>
      </c>
      <c r="O43">
        <f t="shared" si="30"/>
        <v>27.4</v>
      </c>
      <c r="P43" s="5">
        <f>ROUND((L43-M43),$O$1)</f>
        <v>0.8</v>
      </c>
      <c r="Q43">
        <f>'Code List'!$C$70</f>
        <v>11</v>
      </c>
      <c r="R43">
        <f>'Code List'!$D$70</f>
        <v>19</v>
      </c>
      <c r="S43">
        <f>IF(P43=0,"1",ROUND((P43/$K$1)+$M$1,0))</f>
        <v>14</v>
      </c>
      <c r="T43">
        <f>Q43*R43*S43</f>
        <v>2926</v>
      </c>
      <c r="U43" t="str">
        <f>IF(A43="YES",CONCATENATE(G43,"_",'Program Page'!$C$4,'Program Page'!$C$5,"_",D43,"_",E43),"")</f>
        <v/>
      </c>
      <c r="V43" t="str">
        <f>IF(U43="","",CONCATENATE(U43,"_"))</f>
        <v/>
      </c>
      <c r="W43" t="str">
        <f>IF(A43="YES",CONCATENATE("{",'Code List'!$B$4,'Code List'!$D$4,",",'Code List'!$B$5,'Code List'!$D$5,",",'Code List'!$B$6,"""",U43,"""",",",'Code List'!$B$7,'Code List'!$D$7,",",'Code List'!$B$8,'Code List'!$D$8,",",'Code List'!$B$9,'Code List'!$D$9,",",'Code List'!$B$10,'Code List'!$D$10,",",'Code List'!$B$11,"""",V43,"""",",",'Code List'!$B$12,"""",H43,"""",",",'Code List'!$B$13,"""",I43,"""",",",'Code List'!$B$14,"""",J43,"""",",",'Code List'!$B$15,"""",K43,"""",",",'Code List'!$B$16,"""",L43,"""",",",'Code List'!$B$17,"""",M43,"""",",",'Code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43" s="167" t="str">
        <f>IF(A43="YES",CONCATENATE("{",'Code List'!$B$31,"""",U43,"""",",",'Code List'!$B$32,'Code List'!$D$32,",",'Code List'!$B$33,'Code List'!$D$33,",",'Code List'!$B$34,'Code List'!$D$34,",",'Code List'!$B$35,'Code List'!$D$35,",",'Code List'!$B$36,'Code List'!$D$36,",",'Code List'!$B$37,'Code List'!$D$37,",",'Code List'!$B$38,"""",H43,"""",",",'Code List'!$B$39,"""",I43,"""",",",'Code List'!$B$40,"""",J43,"""",",",'Code List'!$B$41,"""",K43,"""",",",'Code List'!$B$42,"""",L43,"""",",",'Code List'!$B$43,"""",M43,"""",",",'Code List'!$B$44,"""",N43,"""",",",'Code List'!$B$45,"""",O43,"""",",",'Code List'!$B$46,"""",P43,"""",",",'Code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List'!$B$59,"""",T43,"""","}"),"")</f>
        <v/>
      </c>
    </row>
    <row r="44" spans="1:25" ht="18.75" x14ac:dyDescent="0.3">
      <c r="A44" s="35" t="str">
        <f>IF(OR(E44=$C$1,E44=$D$1,E44=$E$1),"YES","NO")</f>
        <v>NO</v>
      </c>
      <c r="B44" s="35">
        <f>'Expanded Base Data'!D42</f>
        <v>435.71000000000004</v>
      </c>
      <c r="C44" s="35">
        <f>'Expanded Base Data'!E42</f>
        <v>1.73</v>
      </c>
      <c r="D44" s="36" t="str">
        <f>'Expanded Base Data'!B42</f>
        <v>1F</v>
      </c>
      <c r="E44" s="35">
        <f>'Expanded Base Data'!C42</f>
        <v>0</v>
      </c>
      <c r="F44" s="35">
        <f>'Expanded Base Data'!M42</f>
        <v>0</v>
      </c>
      <c r="G44" s="170">
        <f>F44</f>
        <v>0</v>
      </c>
      <c r="Y44" s="167" t="str">
        <f>""</f>
        <v/>
      </c>
    </row>
    <row r="45" spans="1:25" x14ac:dyDescent="0.25">
      <c r="A45" t="str">
        <f>IF(AND($A44="YES",E44=$C$1),"YES","NO")</f>
        <v>NO</v>
      </c>
      <c r="C45" t="s">
        <v>6</v>
      </c>
      <c r="D45" s="12" t="str">
        <f>D44</f>
        <v>1F</v>
      </c>
      <c r="E45" t="s">
        <v>6</v>
      </c>
      <c r="F45" t="s">
        <v>198</v>
      </c>
      <c r="G45" s="171">
        <f>F44</f>
        <v>0</v>
      </c>
      <c r="H45">
        <f>IF('Expanded Base Data'!N42="",ROUND(B44+'Slide Measurements'!$D$11,$O$1),B44+'Expanded Base Data'!N42)</f>
        <v>468.71</v>
      </c>
      <c r="I45">
        <f>IF('Expanded Base Data'!O42="",ROUND(B44+'Slide Measurements'!$D$12,$O$1),B44+'Expanded Base Data'!O42)</f>
        <v>477.31</v>
      </c>
      <c r="J45">
        <f>IF('Expanded Base Data'!P42="",C44+'Slide Measurements'!$E$13,C44+'Expanded Base Data'!P42)</f>
        <v>10.43</v>
      </c>
      <c r="K45">
        <f>IF('Expanded Base Data'!Q42="",C44+'Slide Measurements'!$E$14,C44+'Expanded Base Data'!Q42)</f>
        <v>19.029999999999998</v>
      </c>
      <c r="L45" s="5" t="str">
        <f>'Expanded Base Data'!$L42</f>
        <v/>
      </c>
      <c r="M45" s="5" t="str">
        <f>'Expanded Base Data'!$K42</f>
        <v/>
      </c>
      <c r="N45">
        <f>ROUND((I45-H45),$O$1)</f>
        <v>8.6</v>
      </c>
      <c r="O45">
        <f>ROUND((K45-J45),$O$1)</f>
        <v>8.6</v>
      </c>
      <c r="P45" s="5" t="e">
        <f>ROUND((L45-M45),$O$1)</f>
        <v>#VALUE!</v>
      </c>
      <c r="Q45">
        <f>'Code List'!$C$62</f>
        <v>5</v>
      </c>
      <c r="R45">
        <f>F46+'Code List'!$G$63</f>
        <v>2</v>
      </c>
      <c r="S45" t="e">
        <f>IF(P45=0,"1",ROUND((P45/$K$1)+$M$1,0))</f>
        <v>#VALUE!</v>
      </c>
      <c r="T45" t="e">
        <f>Q45*R45*S45</f>
        <v>#VALUE!</v>
      </c>
      <c r="U45" t="str">
        <f>IF(A45="YES",CONCATENATE(G45,"_",'Program Page'!$C$4,'Program Page'!$C$5,"_",D45,"_",E45),"")</f>
        <v/>
      </c>
      <c r="V45" t="str">
        <f>IF(U45="","",CONCATENATE(U45,"_"))</f>
        <v/>
      </c>
      <c r="W45" t="str">
        <f>IF(A45="YES",CONCATENATE("{",'Code List'!$B$4,'Code List'!$D$4,",",'Code List'!$B$5,'Code List'!$D$5,",",'Code List'!$B$6,"""",U45,"""",",",'Code List'!$B$7,'Code List'!$D$7,",",'Code List'!$B$8,'Code List'!$D$8,",",'Code List'!$B$9,'Code List'!$D$9,",",'Code List'!$B$10,'Code List'!$D$10,",",'Code List'!$B$11,"""",V45,"""",",",'Code List'!$B$12,"""",H45,"""",",",'Code List'!$B$13,"""",I45,"""",",",'Code List'!$B$14,"""",J45,"""",",",'Code List'!$B$15,"""",K45,"""",",",'Code List'!$B$16,"""",L45,"""",",",'Code List'!$B$17,"""",M45,"""",",",'Code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5" s="167" t="str">
        <f>IF(A45="YES",CONCATENATE("{",'Code List'!$B$31,"""",U45,"""",",",'Code List'!$B$32,'Code List'!$D$32,",",'Code List'!$B$33,'Code List'!$D$33,",",'Code List'!$B$34,'Code List'!$D$34,",",'Code List'!$B$35,'Code List'!$D$35,",",'Code List'!$B$36,'Code List'!$D$36,",",'Code List'!$B$37,'Code List'!$D$37,",",'Code List'!$B$38,"""",H45,"""",",",'Code List'!$B$39,"""",I45,"""",",",'Code List'!$B$40,"""",J45,"""",",",'Code List'!$B$41,"""",K45,"""",",",'Code List'!$B$42,"""",L45,"""",",",'Code List'!$B$43,"""",M45,"""",",",'Code List'!$B$44,"""",N45,"""",",",'Code List'!$B$45,"""",O45,"""",",",'Code List'!$B$46,"""",P45,"""",",",'Code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List'!$B$59,"""",T45,"""","}"),"")</f>
        <v/>
      </c>
    </row>
    <row r="46" spans="1:25" x14ac:dyDescent="0.25">
      <c r="A46" t="str">
        <f>IF(AND($A44="YES",E44=$D$1,F46&gt;0),"YES","NO")</f>
        <v>NO</v>
      </c>
      <c r="C46" t="s">
        <v>5</v>
      </c>
      <c r="D46" s="12" t="str">
        <f t="shared" ref="D46:D50" si="35">D45</f>
        <v>1F</v>
      </c>
      <c r="E46" t="s">
        <v>188</v>
      </c>
      <c r="F46">
        <f>'Expanded Base Data'!F42</f>
        <v>0</v>
      </c>
      <c r="G46" s="171">
        <f>F44</f>
        <v>0</v>
      </c>
      <c r="H46">
        <f>ROUND(B44+'Slide Measurements'!$D$17,$O$1)</f>
        <v>461.11</v>
      </c>
      <c r="I46">
        <f>ROUND(H46+(F46*'Slide Measurements'!$D$21),$O$1)</f>
        <v>461.11</v>
      </c>
      <c r="J46">
        <f>C44+'Slide Measurements'!$E$17</f>
        <v>6.0299999999999994</v>
      </c>
      <c r="K46">
        <f>J46+($I$1*'Slide Measurements'!$E$23-'Slide Measurements'!$E$23)</f>
        <v>7.88</v>
      </c>
      <c r="L46" s="5" t="str">
        <f>'Expanded Base Data'!$L42</f>
        <v/>
      </c>
      <c r="M46" s="5" t="str">
        <f>'Expanded Base Data'!$K42</f>
        <v/>
      </c>
      <c r="N46">
        <f t="shared" ref="N46:N51" si="36">ROUND((I46-H46),$O$1)</f>
        <v>0</v>
      </c>
      <c r="O46">
        <f t="shared" ref="O46:O51" si="37">ROUND((K46-J46),$O$1)</f>
        <v>1.85</v>
      </c>
      <c r="P46" s="5" t="e">
        <f t="shared" ref="P46:P50" si="38">ROUND((L46-M46),$O$1)</f>
        <v>#VALUE!</v>
      </c>
      <c r="Q46">
        <f>'Code List'!$C$63</f>
        <v>3</v>
      </c>
      <c r="R46">
        <f>F47+'Code List'!$G$63</f>
        <v>2</v>
      </c>
      <c r="S46" t="e">
        <f t="shared" ref="S46:S50" si="39">IF(P46=0,"1",ROUND((P46/$K$1)+$M$1,0))</f>
        <v>#VALUE!</v>
      </c>
      <c r="T46" t="e">
        <f>Q46*R46*S46</f>
        <v>#VALUE!</v>
      </c>
      <c r="U46" t="str">
        <f>IF(A46="YES",CONCATENATE(G46,"_",'Program Page'!$C$4,'Program Page'!$C$5,"_",D46,"_",E46),"")</f>
        <v/>
      </c>
      <c r="V46" t="str">
        <f t="shared" ref="V46:V50" si="40">IF(U46="","",CONCATENATE(U46,"_"))</f>
        <v/>
      </c>
      <c r="W46" t="str">
        <f>IF(A46="YES",CONCATENATE("{",'Code List'!$B$4,'Code List'!$D$4,",",'Code List'!$B$5,'Code List'!$D$5,",",'Code List'!$B$6,"""",U46,"""",",",'Code List'!$B$7,'Code List'!$D$7,",",'Code List'!$B$8,'Code List'!$D$8,",",'Code List'!$B$9,'Code List'!$D$9,",",'Code List'!$B$10,'Code List'!$D$10,",",'Code List'!$B$11,"""",V46,"""",",",'Code List'!$B$12,"""",H46,"""",",",'Code List'!$B$13,"""",I46,"""",",",'Code List'!$B$14,"""",J46,"""",",",'Code List'!$B$15,"""",K46,"""",",",'Code List'!$B$16,"""",L46,"""",",",'Code List'!$B$17,"""",M46,"""",",",'Code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6" s="167" t="str">
        <f>IF(A46="YES",CONCATENATE("{",'Code List'!$B$31,"""",U46,"""",",",'Code List'!$B$32,'Code List'!$D$32,",",'Code List'!$B$33,'Code List'!$D$33,",",'Code List'!$B$34,'Code List'!$D$34,",",'Code List'!$B$35,'Code List'!$D$35,",",'Code List'!$B$36,'Code List'!$D$36,",",'Code List'!$B$37,'Code List'!$D$37,",",'Code List'!$B$38,"""",H46,"""",",",'Code List'!$B$39,"""",I46,"""",",",'Code List'!$B$40,"""",J46,"""",",",'Code List'!$B$41,"""",K46,"""",",",'Code List'!$B$42,"""",L46,"""",",",'Code List'!$B$43,"""",M46,"""",",",'Code List'!$B$44,"""",N46,"""",",",'Code List'!$B$45,"""",O46,"""",",",'Code List'!$B$46,"""",P46,"""",",",'Code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List'!$B$59,"""",T46,"""","}"),"")</f>
        <v/>
      </c>
    </row>
    <row r="47" spans="1:25" x14ac:dyDescent="0.25">
      <c r="A47" t="str">
        <f>IF(AND($A44="YES",E44=$D$1,F47&gt;0),"YES","NO")</f>
        <v>NO</v>
      </c>
      <c r="C47" t="s">
        <v>5</v>
      </c>
      <c r="D47" s="12" t="str">
        <f t="shared" si="35"/>
        <v>1F</v>
      </c>
      <c r="E47" t="s">
        <v>189</v>
      </c>
      <c r="F47">
        <f>'Expanded Base Data'!G42</f>
        <v>0</v>
      </c>
      <c r="G47" s="171">
        <f>F44</f>
        <v>0</v>
      </c>
      <c r="H47">
        <f>ROUND(B44+'Slide Measurements'!$D$17,$O$1)</f>
        <v>461.11</v>
      </c>
      <c r="I47">
        <f>ROUND(H47+(F47*'Slide Measurements'!$D$21),$O$1)</f>
        <v>461.11</v>
      </c>
      <c r="J47">
        <f>K46</f>
        <v>7.88</v>
      </c>
      <c r="K47">
        <f>J47+($I$1*'Slide Measurements'!$E$23-'Slide Measurements'!$E$23)</f>
        <v>9.73</v>
      </c>
      <c r="L47" s="5" t="str">
        <f>'Expanded Base Data'!$L42</f>
        <v/>
      </c>
      <c r="M47" s="5" t="str">
        <f>'Expanded Base Data'!$K42</f>
        <v/>
      </c>
      <c r="N47">
        <f t="shared" si="36"/>
        <v>0</v>
      </c>
      <c r="O47">
        <f t="shared" si="37"/>
        <v>1.85</v>
      </c>
      <c r="P47" s="5" t="e">
        <f t="shared" si="38"/>
        <v>#VALUE!</v>
      </c>
      <c r="Q47">
        <f>'Code List'!$C$63</f>
        <v>3</v>
      </c>
      <c r="R47">
        <f>F48+'Code List'!$G$63</f>
        <v>2</v>
      </c>
      <c r="S47" t="e">
        <f t="shared" si="39"/>
        <v>#VALUE!</v>
      </c>
      <c r="T47" t="e">
        <f t="shared" ref="T47:T50" si="41">Q47*R47*S47</f>
        <v>#VALUE!</v>
      </c>
      <c r="U47" t="str">
        <f>IF(A47="YES",CONCATENATE(G47,"_",'Program Page'!$C$4,'Program Page'!$C$5,"_",D47,"_",E47),"")</f>
        <v/>
      </c>
      <c r="V47" t="str">
        <f t="shared" si="40"/>
        <v/>
      </c>
      <c r="W47" t="str">
        <f>IF(A47="YES",CONCATENATE("{",'Code List'!$B$4,'Code List'!$D$4,",",'Code List'!$B$5,'Code List'!$D$5,",",'Code List'!$B$6,"""",U47,"""",",",'Code List'!$B$7,'Code List'!$D$7,",",'Code List'!$B$8,'Code List'!$D$8,",",'Code List'!$B$9,'Code List'!$D$9,",",'Code List'!$B$10,'Code List'!$D$10,",",'Code List'!$B$11,"""",V47,"""",",",'Code List'!$B$12,"""",H47,"""",",",'Code List'!$B$13,"""",I47,"""",",",'Code List'!$B$14,"""",J47,"""",",",'Code List'!$B$15,"""",K47,"""",",",'Code List'!$B$16,"""",L47,"""",",",'Code List'!$B$17,"""",M47,"""",",",'Code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7" s="167" t="str">
        <f>IF(A47="YES",CONCATENATE("{",'Code List'!$B$31,"""",U47,"""",",",'Code List'!$B$32,'Code List'!$D$32,",",'Code List'!$B$33,'Code List'!$D$33,",",'Code List'!$B$34,'Code List'!$D$34,",",'Code List'!$B$35,'Code List'!$D$35,",",'Code List'!$B$36,'Code List'!$D$36,",",'Code List'!$B$37,'Code List'!$D$37,",",'Code List'!$B$38,"""",H47,"""",",",'Code List'!$B$39,"""",I47,"""",",",'Code List'!$B$40,"""",J47,"""",",",'Code List'!$B$41,"""",K47,"""",",",'Code List'!$B$42,"""",L47,"""",",",'Code List'!$B$43,"""",M47,"""",",",'Code List'!$B$44,"""",N47,"""",",",'Code List'!$B$45,"""",O47,"""",",",'Code List'!$B$46,"""",P47,"""",",",'Code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List'!$B$59,"""",T47,"""","}"),"")</f>
        <v/>
      </c>
    </row>
    <row r="48" spans="1:25" x14ac:dyDescent="0.25">
      <c r="A48" t="str">
        <f>IF(AND($A44="YES",E44=$D$1,F48&gt;0),"YES","NO")</f>
        <v>NO</v>
      </c>
      <c r="C48" t="s">
        <v>5</v>
      </c>
      <c r="D48" s="12" t="str">
        <f t="shared" si="35"/>
        <v>1F</v>
      </c>
      <c r="E48" t="s">
        <v>190</v>
      </c>
      <c r="F48">
        <f>'Expanded Base Data'!H42</f>
        <v>0</v>
      </c>
      <c r="G48" s="171">
        <f>F44</f>
        <v>0</v>
      </c>
      <c r="H48">
        <f>ROUND(B44+'Slide Measurements'!$D$17,$O$1)</f>
        <v>461.11</v>
      </c>
      <c r="I48">
        <f>ROUND(H48+(F48*'Slide Measurements'!$D$21),$O$1)</f>
        <v>461.11</v>
      </c>
      <c r="J48">
        <f>K47</f>
        <v>9.73</v>
      </c>
      <c r="K48">
        <f>J48+($I$1*'Slide Measurements'!$E$23-'Slide Measurements'!$E$23)</f>
        <v>11.580000000000002</v>
      </c>
      <c r="L48" s="5" t="str">
        <f>'Expanded Base Data'!$L42</f>
        <v/>
      </c>
      <c r="M48" s="5" t="str">
        <f>'Expanded Base Data'!$K42</f>
        <v/>
      </c>
      <c r="N48">
        <f t="shared" si="36"/>
        <v>0</v>
      </c>
      <c r="O48">
        <f t="shared" si="37"/>
        <v>1.85</v>
      </c>
      <c r="P48" s="5" t="e">
        <f t="shared" si="38"/>
        <v>#VALUE!</v>
      </c>
      <c r="Q48">
        <f>'Code List'!$C$63</f>
        <v>3</v>
      </c>
      <c r="R48">
        <f>F49+'Code List'!$G$63</f>
        <v>2</v>
      </c>
      <c r="S48" t="e">
        <f t="shared" si="39"/>
        <v>#VALUE!</v>
      </c>
      <c r="T48" t="e">
        <f t="shared" si="41"/>
        <v>#VALUE!</v>
      </c>
      <c r="U48" t="str">
        <f>IF(A48="YES",CONCATENATE(G48,"_",'Program Page'!$C$4,'Program Page'!$C$5,"_",D48,"_",E48),"")</f>
        <v/>
      </c>
      <c r="V48" t="str">
        <f t="shared" si="40"/>
        <v/>
      </c>
      <c r="W48" t="str">
        <f>IF(A48="YES",CONCATENATE("{",'Code List'!$B$4,'Code List'!$D$4,",",'Code List'!$B$5,'Code List'!$D$5,",",'Code List'!$B$6,"""",U48,"""",",",'Code List'!$B$7,'Code List'!$D$7,",",'Code List'!$B$8,'Code List'!$D$8,",",'Code List'!$B$9,'Code List'!$D$9,",",'Code List'!$B$10,'Code List'!$D$10,",",'Code List'!$B$11,"""",V48,"""",",",'Code List'!$B$12,"""",H48,"""",",",'Code List'!$B$13,"""",I48,"""",",",'Code List'!$B$14,"""",J48,"""",",",'Code List'!$B$15,"""",K48,"""",",",'Code List'!$B$16,"""",L48,"""",",",'Code List'!$B$17,"""",M48,"""",",",'Code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8" s="167" t="str">
        <f>IF(A48="YES",CONCATENATE("{",'Code List'!$B$31,"""",U48,"""",",",'Code List'!$B$32,'Code List'!$D$32,",",'Code List'!$B$33,'Code List'!$D$33,",",'Code List'!$B$34,'Code List'!$D$34,",",'Code List'!$B$35,'Code List'!$D$35,",",'Code List'!$B$36,'Code List'!$D$36,",",'Code List'!$B$37,'Code List'!$D$37,",",'Code List'!$B$38,"""",H48,"""",",",'Code List'!$B$39,"""",I48,"""",",",'Code List'!$B$40,"""",J48,"""",",",'Code List'!$B$41,"""",K48,"""",",",'Code List'!$B$42,"""",L48,"""",",",'Code List'!$B$43,"""",M48,"""",",",'Code List'!$B$44,"""",N48,"""",",",'Code List'!$B$45,"""",O48,"""",",",'Code List'!$B$46,"""",P48,"""",",",'Code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List'!$B$59,"""",T48,"""","}"),"")</f>
        <v/>
      </c>
    </row>
    <row r="49" spans="1:25" x14ac:dyDescent="0.25">
      <c r="A49" t="str">
        <f>IF(AND($A44="YES",E44=$D$1,F49&gt;0),"YES","NO")</f>
        <v>NO</v>
      </c>
      <c r="C49" t="s">
        <v>5</v>
      </c>
      <c r="D49" s="12" t="str">
        <f t="shared" si="35"/>
        <v>1F</v>
      </c>
      <c r="E49" t="s">
        <v>191</v>
      </c>
      <c r="F49">
        <f>'Expanded Base Data'!I42</f>
        <v>0</v>
      </c>
      <c r="G49" s="171">
        <f>F44</f>
        <v>0</v>
      </c>
      <c r="H49">
        <f>ROUND(B44+'Slide Measurements'!$D$17,$O$1)</f>
        <v>461.11</v>
      </c>
      <c r="I49">
        <f>ROUND(H49+(F49*'Slide Measurements'!$D$21),$O$1)</f>
        <v>461.11</v>
      </c>
      <c r="J49">
        <f>K48</f>
        <v>11.580000000000002</v>
      </c>
      <c r="K49">
        <f>J49+($I$1*'Slide Measurements'!$E$23-'Slide Measurements'!$E$23)</f>
        <v>13.430000000000003</v>
      </c>
      <c r="L49" s="5" t="str">
        <f>'Expanded Base Data'!$L42</f>
        <v/>
      </c>
      <c r="M49" s="5" t="str">
        <f>'Expanded Base Data'!$K42</f>
        <v/>
      </c>
      <c r="N49">
        <f t="shared" si="36"/>
        <v>0</v>
      </c>
      <c r="O49">
        <f t="shared" si="37"/>
        <v>1.85</v>
      </c>
      <c r="P49" s="5" t="e">
        <f t="shared" si="38"/>
        <v>#VALUE!</v>
      </c>
      <c r="Q49">
        <f>'Code List'!$C$63</f>
        <v>3</v>
      </c>
      <c r="R49">
        <f>F50+'Code List'!$G$63</f>
        <v>2</v>
      </c>
      <c r="S49" t="e">
        <f t="shared" si="39"/>
        <v>#VALUE!</v>
      </c>
      <c r="T49" t="e">
        <f t="shared" si="41"/>
        <v>#VALUE!</v>
      </c>
      <c r="U49" t="str">
        <f>IF(A49="YES",CONCATENATE(G49,"_",'Program Page'!$C$4,'Program Page'!$C$5,"_",D49,"_",E49),"")</f>
        <v/>
      </c>
      <c r="V49" t="str">
        <f t="shared" si="40"/>
        <v/>
      </c>
      <c r="W49" t="str">
        <f>IF(A49="YES",CONCATENATE("{",'Code List'!$B$4,'Code List'!$D$4,",",'Code List'!$B$5,'Code List'!$D$5,",",'Code List'!$B$6,"""",U49,"""",",",'Code List'!$B$7,'Code List'!$D$7,",",'Code List'!$B$8,'Code List'!$D$8,",",'Code List'!$B$9,'Code List'!$D$9,",",'Code List'!$B$10,'Code List'!$D$10,",",'Code List'!$B$11,"""",V49,"""",",",'Code List'!$B$12,"""",H49,"""",",",'Code List'!$B$13,"""",I49,"""",",",'Code List'!$B$14,"""",J49,"""",",",'Code List'!$B$15,"""",K49,"""",",",'Code List'!$B$16,"""",L49,"""",",",'Code List'!$B$17,"""",M49,"""",",",'Code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9" s="167" t="str">
        <f>IF(A49="YES",CONCATENATE("{",'Code List'!$B$31,"""",U49,"""",",",'Code List'!$B$32,'Code List'!$D$32,",",'Code List'!$B$33,'Code List'!$D$33,",",'Code List'!$B$34,'Code List'!$D$34,",",'Code List'!$B$35,'Code List'!$D$35,",",'Code List'!$B$36,'Code List'!$D$36,",",'Code List'!$B$37,'Code List'!$D$37,",",'Code List'!$B$38,"""",H49,"""",",",'Code List'!$B$39,"""",I49,"""",",",'Code List'!$B$40,"""",J49,"""",",",'Code List'!$B$41,"""",K49,"""",",",'Code List'!$B$42,"""",L49,"""",",",'Code List'!$B$43,"""",M49,"""",",",'Code List'!$B$44,"""",N49,"""",",",'Code List'!$B$45,"""",O49,"""",",",'Code List'!$B$46,"""",P49,"""",",",'Code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List'!$B$59,"""",T49,"""","}"),"")</f>
        <v/>
      </c>
    </row>
    <row r="50" spans="1:25" x14ac:dyDescent="0.25">
      <c r="A50" t="str">
        <f>IF(AND($A44="YES",E44=$D$1,F50&gt;0),"YES","NO")</f>
        <v>NO</v>
      </c>
      <c r="C50" t="s">
        <v>5</v>
      </c>
      <c r="D50" s="12" t="str">
        <f t="shared" si="35"/>
        <v>1F</v>
      </c>
      <c r="E50" t="s">
        <v>196</v>
      </c>
      <c r="F50">
        <f>'Expanded Base Data'!J42</f>
        <v>0</v>
      </c>
      <c r="G50" s="171">
        <f>F44</f>
        <v>0</v>
      </c>
      <c r="H50">
        <f>ROUND(B44+'Slide Measurements'!$D$17,$O$1)</f>
        <v>461.11</v>
      </c>
      <c r="I50">
        <f>ROUND(H50+(F50*'Slide Measurements'!$D$21),$O$1)</f>
        <v>461.11</v>
      </c>
      <c r="J50">
        <f>K49</f>
        <v>13.430000000000003</v>
      </c>
      <c r="K50">
        <f>J50+($I$1*'Slide Measurements'!$E$23-'Slide Measurements'!$E$23)</f>
        <v>15.280000000000005</v>
      </c>
      <c r="L50" s="5" t="str">
        <f>'Expanded Base Data'!$L42</f>
        <v/>
      </c>
      <c r="M50" s="5" t="str">
        <f>'Expanded Base Data'!$K42</f>
        <v/>
      </c>
      <c r="N50">
        <f t="shared" si="36"/>
        <v>0</v>
      </c>
      <c r="O50">
        <f t="shared" si="37"/>
        <v>1.85</v>
      </c>
      <c r="P50" s="5" t="e">
        <f t="shared" si="38"/>
        <v>#VALUE!</v>
      </c>
      <c r="Q50">
        <f>'Code List'!$C$63</f>
        <v>3</v>
      </c>
      <c r="R50">
        <f>F51+'Code List'!$G$63</f>
        <v>2</v>
      </c>
      <c r="S50" t="e">
        <f t="shared" si="39"/>
        <v>#VALUE!</v>
      </c>
      <c r="T50" t="e">
        <f t="shared" si="41"/>
        <v>#VALUE!</v>
      </c>
      <c r="U50" t="str">
        <f>IF(A50="YES",CONCATENATE(G50,"_",'Program Page'!$C$4,'Program Page'!$C$5,"_",D50,"_",E50),"")</f>
        <v/>
      </c>
      <c r="V50" t="str">
        <f t="shared" si="40"/>
        <v/>
      </c>
      <c r="W50" t="str">
        <f>IF(A50="YES",CONCATENATE("{",'Code List'!$B$4,'Code List'!$D$4,",",'Code List'!$B$5,'Code List'!$D$5,",",'Code List'!$B$6,"""",U50,"""",",",'Code List'!$B$7,'Code List'!$D$7,",",'Code List'!$B$8,'Code List'!$D$8,",",'Code List'!$B$9,'Code List'!$D$9,",",'Code List'!$B$10,'Code List'!$D$10,",",'Code List'!$B$11,"""",V50,"""",",",'Code List'!$B$12,"""",H50,"""",",",'Code List'!$B$13,"""",I50,"""",",",'Code List'!$B$14,"""",J50,"""",",",'Code List'!$B$15,"""",K50,"""",",",'Code List'!$B$16,"""",L50,"""",",",'Code List'!$B$17,"""",M50,"""",",",'Code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0" s="167" t="str">
        <f>IF(A50="YES",CONCATENATE("{",'Code List'!$B$31,"""",U50,"""",",",'Code List'!$B$32,'Code List'!$D$32,",",'Code List'!$B$33,'Code List'!$D$33,",",'Code List'!$B$34,'Code List'!$D$34,",",'Code List'!$B$35,'Code List'!$D$35,",",'Code List'!$B$36,'Code List'!$D$36,",",'Code List'!$B$37,'Code List'!$D$37,",",'Code List'!$B$38,"""",H50,"""",",",'Code List'!$B$39,"""",I50,"""",",",'Code List'!$B$40,"""",J50,"""",",",'Code List'!$B$41,"""",K50,"""",",",'Code List'!$B$42,"""",L50,"""",",",'Code List'!$B$43,"""",M50,"""",",",'Code List'!$B$44,"""",N50,"""",",",'Code List'!$B$45,"""",O50,"""",",",'Code List'!$B$46,"""",P50,"""",",",'Code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List'!$B$59,"""",T50,"""","}"),"")</f>
        <v/>
      </c>
    </row>
    <row r="51" spans="1:25" x14ac:dyDescent="0.25">
      <c r="A51" s="162" t="str">
        <f>IF(AND($A44="YES",E44=$E$1),"YES","NO")</f>
        <v>NO</v>
      </c>
      <c r="C51" t="s">
        <v>259</v>
      </c>
      <c r="D51" s="12" t="str">
        <f>D50</f>
        <v>1F</v>
      </c>
      <c r="E51" t="s">
        <v>259</v>
      </c>
      <c r="G51" s="171">
        <f>F44</f>
        <v>0</v>
      </c>
      <c r="H51">
        <f>ROUND(B44,$O$1)</f>
        <v>435.71</v>
      </c>
      <c r="I51">
        <f>ROUND(B44+'Slide Measurements'!$D$1,$O$1)</f>
        <v>512.16</v>
      </c>
      <c r="J51">
        <f>C44</f>
        <v>1.73</v>
      </c>
      <c r="K51">
        <f>C44+'Slide Measurements'!$D$2</f>
        <v>29.13</v>
      </c>
      <c r="L51" s="5" t="str">
        <f>'Expanded Base Data'!$L42</f>
        <v/>
      </c>
      <c r="M51" s="5" t="str">
        <f>'Expanded Base Data'!$K42</f>
        <v/>
      </c>
      <c r="N51">
        <f t="shared" si="36"/>
        <v>76.45</v>
      </c>
      <c r="O51">
        <f t="shared" si="37"/>
        <v>27.4</v>
      </c>
      <c r="P51" s="5" t="e">
        <f>ROUND((L51-M51),$O$1)</f>
        <v>#VALUE!</v>
      </c>
      <c r="Q51">
        <f>'Code List'!$C$70</f>
        <v>11</v>
      </c>
      <c r="R51">
        <f>'Code List'!$D$70</f>
        <v>19</v>
      </c>
      <c r="S51" t="e">
        <f>IF(P51=0,"1",ROUND((P51/$K$1)+$M$1,0))</f>
        <v>#VALUE!</v>
      </c>
      <c r="T51" t="e">
        <f>Q51*R51*S51</f>
        <v>#VALUE!</v>
      </c>
      <c r="U51" t="str">
        <f>IF(A51="YES",CONCATENATE(G51,"_",'Program Page'!$C$4,'Program Page'!$C$5,"_",D51,"_",E51),"")</f>
        <v/>
      </c>
      <c r="V51" t="str">
        <f>IF(U51="","",CONCATENATE(U51,"_"))</f>
        <v/>
      </c>
      <c r="W51" t="str">
        <f>IF(A51="YES",CONCATENATE("{",'Code List'!$B$4,'Code List'!$D$4,",",'Code List'!$B$5,'Code List'!$D$5,",",'Code List'!$B$6,"""",U51,"""",",",'Code List'!$B$7,'Code List'!$D$7,",",'Code List'!$B$8,'Code List'!$D$8,",",'Code List'!$B$9,'Code List'!$D$9,",",'Code List'!$B$10,'Code List'!$D$10,",",'Code List'!$B$11,"""",V51,"""",",",'Code List'!$B$12,"""",H51,"""",",",'Code List'!$B$13,"""",I51,"""",",",'Code List'!$B$14,"""",J51,"""",",",'Code List'!$B$15,"""",K51,"""",",",'Code List'!$B$16,"""",L51,"""",",",'Code List'!$B$17,"""",M51,"""",",",'Code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51" s="167" t="str">
        <f>IF(A51="YES",CONCATENATE("{",'Code List'!$B$31,"""",U51,"""",",",'Code List'!$B$32,'Code List'!$D$32,",",'Code List'!$B$33,'Code List'!$D$33,",",'Code List'!$B$34,'Code List'!$D$34,",",'Code List'!$B$35,'Code List'!$D$35,",",'Code List'!$B$36,'Code List'!$D$36,",",'Code List'!$B$37,'Code List'!$D$37,",",'Code List'!$B$38,"""",H51,"""",",",'Code List'!$B$39,"""",I51,"""",",",'Code List'!$B$40,"""",J51,"""",",",'Code List'!$B$41,"""",K51,"""",",",'Code List'!$B$42,"""",L51,"""",",",'Code List'!$B$43,"""",M51,"""",",",'Code List'!$B$44,"""",N51,"""",",",'Code List'!$B$45,"""",O51,"""",",",'Code List'!$B$46,"""",P51,"""",",",'Code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List'!$B$59,"""",T51,"""","}"),"")</f>
        <v/>
      </c>
    </row>
    <row r="52" spans="1:25" ht="18.75" x14ac:dyDescent="0.3">
      <c r="A52" s="35" t="str">
        <f>IF(OR(E52=$C$1,E52=$D$1,E52=$E$1),"YES","NO")</f>
        <v>NO</v>
      </c>
      <c r="B52" s="35">
        <f>'Expanded Base Data'!D50</f>
        <v>522.61</v>
      </c>
      <c r="C52" s="35">
        <f>'Expanded Base Data'!E50</f>
        <v>1.73</v>
      </c>
      <c r="D52" s="36" t="str">
        <f>'Expanded Base Data'!B50</f>
        <v>1G</v>
      </c>
      <c r="E52" s="35">
        <f>'Expanded Base Data'!C50</f>
        <v>0</v>
      </c>
      <c r="F52" s="35">
        <f>'Expanded Base Data'!M50</f>
        <v>0</v>
      </c>
      <c r="G52" s="170">
        <f>F52</f>
        <v>0</v>
      </c>
      <c r="Y52" s="167" t="str">
        <f>""</f>
        <v/>
      </c>
    </row>
    <row r="53" spans="1:25" x14ac:dyDescent="0.25">
      <c r="A53" t="str">
        <f>IF(AND($A52="YES",E52=$C$1),"YES","NO")</f>
        <v>NO</v>
      </c>
      <c r="C53" t="s">
        <v>6</v>
      </c>
      <c r="D53" s="12" t="str">
        <f>D52</f>
        <v>1G</v>
      </c>
      <c r="E53" t="s">
        <v>6</v>
      </c>
      <c r="F53" t="s">
        <v>198</v>
      </c>
      <c r="G53" s="171">
        <f>F52</f>
        <v>0</v>
      </c>
      <c r="H53">
        <f>IF('Expanded Base Data'!N50="",ROUND(B52+'Slide Measurements'!$D$11,$O$1),B52+'Expanded Base Data'!N50)</f>
        <v>555.61</v>
      </c>
      <c r="I53">
        <f>IF('Expanded Base Data'!O50="",ROUND(B52+'Slide Measurements'!$D$12,$O$1),B52+'Expanded Base Data'!O50)</f>
        <v>564.21</v>
      </c>
      <c r="J53">
        <f>IF('Expanded Base Data'!P50="",C52+'Slide Measurements'!$E$13,C52+'Expanded Base Data'!P50)</f>
        <v>10.43</v>
      </c>
      <c r="K53">
        <f>IF('Expanded Base Data'!Q50="",C52+'Slide Measurements'!$E$14,C52+'Expanded Base Data'!Q50)</f>
        <v>19.029999999999998</v>
      </c>
      <c r="L53" s="5" t="str">
        <f>'Expanded Base Data'!$L50</f>
        <v/>
      </c>
      <c r="M53" s="5" t="str">
        <f>'Expanded Base Data'!$K50</f>
        <v/>
      </c>
      <c r="N53">
        <f>ROUND((I53-H53),$O$1)</f>
        <v>8.6</v>
      </c>
      <c r="O53">
        <f>ROUND((K53-J53),$O$1)</f>
        <v>8.6</v>
      </c>
      <c r="P53" s="5" t="e">
        <f>ROUND((L53-M53),$O$1)</f>
        <v>#VALUE!</v>
      </c>
      <c r="Q53">
        <f>'Code List'!$C$62</f>
        <v>5</v>
      </c>
      <c r="R53">
        <f>F54+'Code List'!$G$63</f>
        <v>2</v>
      </c>
      <c r="S53" t="e">
        <f>IF(P53=0,"1",ROUND((P53/$K$1)+$M$1,0))</f>
        <v>#VALUE!</v>
      </c>
      <c r="T53" t="e">
        <f>Q53*R53*S53</f>
        <v>#VALUE!</v>
      </c>
      <c r="U53" t="str">
        <f>IF(A53="YES",CONCATENATE(G53,"_",'Program Page'!$C$4,'Program Page'!$C$5,"_",D53,"_",E53),"")</f>
        <v/>
      </c>
      <c r="V53" t="str">
        <f>IF(U53="","",CONCATENATE(U53,"_"))</f>
        <v/>
      </c>
      <c r="W53" t="str">
        <f>IF(A53="YES",CONCATENATE("{",'Code List'!$B$4,'Code List'!$D$4,",",'Code List'!$B$5,'Code List'!$D$5,",",'Code List'!$B$6,"""",U53,"""",",",'Code List'!$B$7,'Code List'!$D$7,",",'Code List'!$B$8,'Code List'!$D$8,",",'Code List'!$B$9,'Code List'!$D$9,",",'Code List'!$B$10,'Code List'!$D$10,",",'Code List'!$B$11,"""",V53,"""",",",'Code List'!$B$12,"""",H53,"""",",",'Code List'!$B$13,"""",I53,"""",",",'Code List'!$B$14,"""",J53,"""",",",'Code List'!$B$15,"""",K53,"""",",",'Code List'!$B$16,"""",L53,"""",",",'Code List'!$B$17,"""",M53,"""",",",'Code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3" s="167" t="str">
        <f>IF(A53="YES",CONCATENATE("{",'Code List'!$B$31,"""",U53,"""",",",'Code List'!$B$32,'Code List'!$D$32,",",'Code List'!$B$33,'Code List'!$D$33,",",'Code List'!$B$34,'Code List'!$D$34,",",'Code List'!$B$35,'Code List'!$D$35,",",'Code List'!$B$36,'Code List'!$D$36,",",'Code List'!$B$37,'Code List'!$D$37,",",'Code List'!$B$38,"""",H53,"""",",",'Code List'!$B$39,"""",I53,"""",",",'Code List'!$B$40,"""",J53,"""",",",'Code List'!$B$41,"""",K53,"""",",",'Code List'!$B$42,"""",L53,"""",",",'Code List'!$B$43,"""",M53,"""",",",'Code List'!$B$44,"""",N53,"""",",",'Code List'!$B$45,"""",O53,"""",",",'Code List'!$B$46,"""",P53,"""",",",'Code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List'!$B$59,"""",T53,"""","}"),"")</f>
        <v/>
      </c>
    </row>
    <row r="54" spans="1:25" x14ac:dyDescent="0.25">
      <c r="A54" t="str">
        <f>IF(AND($A52="YES",E52=$D$1,F54&gt;0),"YES","NO")</f>
        <v>NO</v>
      </c>
      <c r="C54" t="s">
        <v>5</v>
      </c>
      <c r="D54" s="12" t="str">
        <f t="shared" ref="D54:D58" si="42">D53</f>
        <v>1G</v>
      </c>
      <c r="E54" t="s">
        <v>188</v>
      </c>
      <c r="F54">
        <f>'Expanded Base Data'!F50</f>
        <v>0</v>
      </c>
      <c r="G54" s="171">
        <f>F52</f>
        <v>0</v>
      </c>
      <c r="H54">
        <f>ROUND(B52+'Slide Measurements'!$D$17,$O$1)</f>
        <v>548.01</v>
      </c>
      <c r="I54">
        <f>ROUND(H54+(F54*'Slide Measurements'!$D$21),$O$1)</f>
        <v>548.01</v>
      </c>
      <c r="J54">
        <f>C52+'Slide Measurements'!$E$17</f>
        <v>6.0299999999999994</v>
      </c>
      <c r="K54">
        <f>J54+($I$1*'Slide Measurements'!$E$23-'Slide Measurements'!$E$23)</f>
        <v>7.88</v>
      </c>
      <c r="L54" s="5" t="str">
        <f>'Expanded Base Data'!$L50</f>
        <v/>
      </c>
      <c r="M54" s="5" t="str">
        <f>'Expanded Base Data'!$K50</f>
        <v/>
      </c>
      <c r="N54">
        <f t="shared" ref="N54:N59" si="43">ROUND((I54-H54),$O$1)</f>
        <v>0</v>
      </c>
      <c r="O54">
        <f t="shared" ref="O54:O59" si="44">ROUND((K54-J54),$O$1)</f>
        <v>1.85</v>
      </c>
      <c r="P54" s="5" t="e">
        <f t="shared" ref="P54:P58" si="45">ROUND((L54-M54),$O$1)</f>
        <v>#VALUE!</v>
      </c>
      <c r="Q54">
        <f>'Code List'!$C$63</f>
        <v>3</v>
      </c>
      <c r="R54">
        <f>F55+'Code List'!$G$63</f>
        <v>2</v>
      </c>
      <c r="S54" t="e">
        <f t="shared" ref="S54:S58" si="46">IF(P54=0,"1",ROUND((P54/$K$1)+$M$1,0))</f>
        <v>#VALUE!</v>
      </c>
      <c r="T54" t="e">
        <f>Q54*R54*S54</f>
        <v>#VALUE!</v>
      </c>
      <c r="U54" t="str">
        <f>IF(A54="YES",CONCATENATE(G54,"_",'Program Page'!$C$4,'Program Page'!$C$5,"_",D54,"_",E54),"")</f>
        <v/>
      </c>
      <c r="V54" t="str">
        <f t="shared" ref="V54:V58" si="47">IF(U54="","",CONCATENATE(U54,"_"))</f>
        <v/>
      </c>
      <c r="W54" t="str">
        <f>IF(A54="YES",CONCATENATE("{",'Code List'!$B$4,'Code List'!$D$4,",",'Code List'!$B$5,'Code List'!$D$5,",",'Code List'!$B$6,"""",U54,"""",",",'Code List'!$B$7,'Code List'!$D$7,",",'Code List'!$B$8,'Code List'!$D$8,",",'Code List'!$B$9,'Code List'!$D$9,",",'Code List'!$B$10,'Code List'!$D$10,",",'Code List'!$B$11,"""",V54,"""",",",'Code List'!$B$12,"""",H54,"""",",",'Code List'!$B$13,"""",I54,"""",",",'Code List'!$B$14,"""",J54,"""",",",'Code List'!$B$15,"""",K54,"""",",",'Code List'!$B$16,"""",L54,"""",",",'Code List'!$B$17,"""",M54,"""",",",'Code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4" s="167" t="str">
        <f>IF(A54="YES",CONCATENATE("{",'Code List'!$B$31,"""",U54,"""",",",'Code List'!$B$32,'Code List'!$D$32,",",'Code List'!$B$33,'Code List'!$D$33,",",'Code List'!$B$34,'Code List'!$D$34,",",'Code List'!$B$35,'Code List'!$D$35,",",'Code List'!$B$36,'Code List'!$D$36,",",'Code List'!$B$37,'Code List'!$D$37,",",'Code List'!$B$38,"""",H54,"""",",",'Code List'!$B$39,"""",I54,"""",",",'Code List'!$B$40,"""",J54,"""",",",'Code List'!$B$41,"""",K54,"""",",",'Code List'!$B$42,"""",L54,"""",",",'Code List'!$B$43,"""",M54,"""",",",'Code List'!$B$44,"""",N54,"""",",",'Code List'!$B$45,"""",O54,"""",",",'Code List'!$B$46,"""",P54,"""",",",'Code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List'!$B$59,"""",T54,"""","}"),"")</f>
        <v/>
      </c>
    </row>
    <row r="55" spans="1:25" x14ac:dyDescent="0.25">
      <c r="A55" t="str">
        <f>IF(AND($A52="YES",E52=$D$1,F55&gt;0),"YES","NO")</f>
        <v>NO</v>
      </c>
      <c r="C55" t="s">
        <v>5</v>
      </c>
      <c r="D55" s="12" t="str">
        <f t="shared" si="42"/>
        <v>1G</v>
      </c>
      <c r="E55" t="s">
        <v>189</v>
      </c>
      <c r="F55">
        <f>'Expanded Base Data'!G50</f>
        <v>0</v>
      </c>
      <c r="G55" s="171">
        <f>F52</f>
        <v>0</v>
      </c>
      <c r="H55">
        <f>ROUND(B52+'Slide Measurements'!$D$17,$O$1)</f>
        <v>548.01</v>
      </c>
      <c r="I55">
        <f>ROUND(H55+(F55*'Slide Measurements'!$D$21),$O$1)</f>
        <v>548.01</v>
      </c>
      <c r="J55">
        <f>K54</f>
        <v>7.88</v>
      </c>
      <c r="K55">
        <f>J55+($I$1*'Slide Measurements'!$E$23-'Slide Measurements'!$E$23)</f>
        <v>9.73</v>
      </c>
      <c r="L55" s="5" t="str">
        <f>'Expanded Base Data'!$L50</f>
        <v/>
      </c>
      <c r="M55" s="5" t="str">
        <f>'Expanded Base Data'!$K50</f>
        <v/>
      </c>
      <c r="N55">
        <f t="shared" si="43"/>
        <v>0</v>
      </c>
      <c r="O55">
        <f t="shared" si="44"/>
        <v>1.85</v>
      </c>
      <c r="P55" s="5" t="e">
        <f t="shared" si="45"/>
        <v>#VALUE!</v>
      </c>
      <c r="Q55">
        <f>'Code List'!$C$63</f>
        <v>3</v>
      </c>
      <c r="R55">
        <f>F56+'Code List'!$G$63</f>
        <v>2</v>
      </c>
      <c r="S55" t="e">
        <f t="shared" si="46"/>
        <v>#VALUE!</v>
      </c>
      <c r="T55" t="e">
        <f t="shared" ref="T55:T58" si="48">Q55*R55*S55</f>
        <v>#VALUE!</v>
      </c>
      <c r="U55" t="str">
        <f>IF(A55="YES",CONCATENATE(G55,"_",'Program Page'!$C$4,'Program Page'!$C$5,"_",D55,"_",E55),"")</f>
        <v/>
      </c>
      <c r="V55" t="str">
        <f t="shared" si="47"/>
        <v/>
      </c>
      <c r="W55" t="str">
        <f>IF(A55="YES",CONCATENATE("{",'Code List'!$B$4,'Code List'!$D$4,",",'Code List'!$B$5,'Code List'!$D$5,",",'Code List'!$B$6,"""",U55,"""",",",'Code List'!$B$7,'Code List'!$D$7,",",'Code List'!$B$8,'Code List'!$D$8,",",'Code List'!$B$9,'Code List'!$D$9,",",'Code List'!$B$10,'Code List'!$D$10,",",'Code List'!$B$11,"""",V55,"""",",",'Code List'!$B$12,"""",H55,"""",",",'Code List'!$B$13,"""",I55,"""",",",'Code List'!$B$14,"""",J55,"""",",",'Code List'!$B$15,"""",K55,"""",",",'Code List'!$B$16,"""",L55,"""",",",'Code List'!$B$17,"""",M55,"""",",",'Code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5" s="167" t="str">
        <f>IF(A55="YES",CONCATENATE("{",'Code List'!$B$31,"""",U55,"""",",",'Code List'!$B$32,'Code List'!$D$32,",",'Code List'!$B$33,'Code List'!$D$33,",",'Code List'!$B$34,'Code List'!$D$34,",",'Code List'!$B$35,'Code List'!$D$35,",",'Code List'!$B$36,'Code List'!$D$36,",",'Code List'!$B$37,'Code List'!$D$37,",",'Code List'!$B$38,"""",H55,"""",",",'Code List'!$B$39,"""",I55,"""",",",'Code List'!$B$40,"""",J55,"""",",",'Code List'!$B$41,"""",K55,"""",",",'Code List'!$B$42,"""",L55,"""",",",'Code List'!$B$43,"""",M55,"""",",",'Code List'!$B$44,"""",N55,"""",",",'Code List'!$B$45,"""",O55,"""",",",'Code List'!$B$46,"""",P55,"""",",",'Code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List'!$B$59,"""",T55,"""","}"),"")</f>
        <v/>
      </c>
    </row>
    <row r="56" spans="1:25" x14ac:dyDescent="0.25">
      <c r="A56" t="str">
        <f>IF(AND($A52="YES",E52=$D$1,F56&gt;0),"YES","NO")</f>
        <v>NO</v>
      </c>
      <c r="C56" t="s">
        <v>5</v>
      </c>
      <c r="D56" s="12" t="str">
        <f t="shared" si="42"/>
        <v>1G</v>
      </c>
      <c r="E56" t="s">
        <v>190</v>
      </c>
      <c r="F56">
        <f>'Expanded Base Data'!H50</f>
        <v>0</v>
      </c>
      <c r="G56" s="171">
        <f>F52</f>
        <v>0</v>
      </c>
      <c r="H56">
        <f>ROUND(B52+'Slide Measurements'!$D$17,$O$1)</f>
        <v>548.01</v>
      </c>
      <c r="I56">
        <f>ROUND(H56+(F56*'Slide Measurements'!$D$21),$O$1)</f>
        <v>548.01</v>
      </c>
      <c r="J56">
        <f>K55</f>
        <v>9.73</v>
      </c>
      <c r="K56">
        <f>J56+($I$1*'Slide Measurements'!$E$23-'Slide Measurements'!$E$23)</f>
        <v>11.580000000000002</v>
      </c>
      <c r="L56" s="5" t="str">
        <f>'Expanded Base Data'!$L50</f>
        <v/>
      </c>
      <c r="M56" s="5" t="str">
        <f>'Expanded Base Data'!$K50</f>
        <v/>
      </c>
      <c r="N56">
        <f t="shared" si="43"/>
        <v>0</v>
      </c>
      <c r="O56">
        <f t="shared" si="44"/>
        <v>1.85</v>
      </c>
      <c r="P56" s="5" t="e">
        <f t="shared" si="45"/>
        <v>#VALUE!</v>
      </c>
      <c r="Q56">
        <f>'Code List'!$C$63</f>
        <v>3</v>
      </c>
      <c r="R56">
        <f>F57+'Code List'!$G$63</f>
        <v>2</v>
      </c>
      <c r="S56" t="e">
        <f t="shared" si="46"/>
        <v>#VALUE!</v>
      </c>
      <c r="T56" t="e">
        <f t="shared" si="48"/>
        <v>#VALUE!</v>
      </c>
      <c r="U56" t="str">
        <f>IF(A56="YES",CONCATENATE(G56,"_",'Program Page'!$C$4,'Program Page'!$C$5,"_",D56,"_",E56),"")</f>
        <v/>
      </c>
      <c r="V56" t="str">
        <f t="shared" si="47"/>
        <v/>
      </c>
      <c r="W56" t="str">
        <f>IF(A56="YES",CONCATENATE("{",'Code List'!$B$4,'Code List'!$D$4,",",'Code List'!$B$5,'Code List'!$D$5,",",'Code List'!$B$6,"""",U56,"""",",",'Code List'!$B$7,'Code List'!$D$7,",",'Code List'!$B$8,'Code List'!$D$8,",",'Code List'!$B$9,'Code List'!$D$9,",",'Code List'!$B$10,'Code List'!$D$10,",",'Code List'!$B$11,"""",V56,"""",",",'Code List'!$B$12,"""",H56,"""",",",'Code List'!$B$13,"""",I56,"""",",",'Code List'!$B$14,"""",J56,"""",",",'Code List'!$B$15,"""",K56,"""",",",'Code List'!$B$16,"""",L56,"""",",",'Code List'!$B$17,"""",M56,"""",",",'Code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6" s="167" t="str">
        <f>IF(A56="YES",CONCATENATE("{",'Code List'!$B$31,"""",U56,"""",",",'Code List'!$B$32,'Code List'!$D$32,",",'Code List'!$B$33,'Code List'!$D$33,",",'Code List'!$B$34,'Code List'!$D$34,",",'Code List'!$B$35,'Code List'!$D$35,",",'Code List'!$B$36,'Code List'!$D$36,",",'Code List'!$B$37,'Code List'!$D$37,",",'Code List'!$B$38,"""",H56,"""",",",'Code List'!$B$39,"""",I56,"""",",",'Code List'!$B$40,"""",J56,"""",",",'Code List'!$B$41,"""",K56,"""",",",'Code List'!$B$42,"""",L56,"""",",",'Code List'!$B$43,"""",M56,"""",",",'Code List'!$B$44,"""",N56,"""",",",'Code List'!$B$45,"""",O56,"""",",",'Code List'!$B$46,"""",P56,"""",",",'Code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List'!$B$59,"""",T56,"""","}"),"")</f>
        <v/>
      </c>
    </row>
    <row r="57" spans="1:25" x14ac:dyDescent="0.25">
      <c r="A57" t="str">
        <f>IF(AND($A52="YES",E52=$D$1,F57&gt;0),"YES","NO")</f>
        <v>NO</v>
      </c>
      <c r="C57" t="s">
        <v>5</v>
      </c>
      <c r="D57" s="12" t="str">
        <f t="shared" si="42"/>
        <v>1G</v>
      </c>
      <c r="E57" t="s">
        <v>191</v>
      </c>
      <c r="F57">
        <f>'Expanded Base Data'!I50</f>
        <v>0</v>
      </c>
      <c r="G57" s="171">
        <f>F52</f>
        <v>0</v>
      </c>
      <c r="H57">
        <f>ROUND(B52+'Slide Measurements'!$D$17,$O$1)</f>
        <v>548.01</v>
      </c>
      <c r="I57">
        <f>ROUND(H57+(F57*'Slide Measurements'!$D$21),$O$1)</f>
        <v>548.01</v>
      </c>
      <c r="J57">
        <f>K56</f>
        <v>11.580000000000002</v>
      </c>
      <c r="K57">
        <f>J57+($I$1*'Slide Measurements'!$E$23-'Slide Measurements'!$E$23)</f>
        <v>13.430000000000003</v>
      </c>
      <c r="L57" s="5" t="str">
        <f>'Expanded Base Data'!$L50</f>
        <v/>
      </c>
      <c r="M57" s="5" t="str">
        <f>'Expanded Base Data'!$K50</f>
        <v/>
      </c>
      <c r="N57">
        <f t="shared" si="43"/>
        <v>0</v>
      </c>
      <c r="O57">
        <f t="shared" si="44"/>
        <v>1.85</v>
      </c>
      <c r="P57" s="5" t="e">
        <f t="shared" si="45"/>
        <v>#VALUE!</v>
      </c>
      <c r="Q57">
        <f>'Code List'!$C$63</f>
        <v>3</v>
      </c>
      <c r="R57">
        <f>F58+'Code List'!$G$63</f>
        <v>2</v>
      </c>
      <c r="S57" t="e">
        <f t="shared" si="46"/>
        <v>#VALUE!</v>
      </c>
      <c r="T57" t="e">
        <f t="shared" si="48"/>
        <v>#VALUE!</v>
      </c>
      <c r="U57" t="str">
        <f>IF(A57="YES",CONCATENATE(G57,"_",'Program Page'!$C$4,'Program Page'!$C$5,"_",D57,"_",E57),"")</f>
        <v/>
      </c>
      <c r="V57" t="str">
        <f t="shared" si="47"/>
        <v/>
      </c>
      <c r="W57" t="str">
        <f>IF(A57="YES",CONCATENATE("{",'Code List'!$B$4,'Code List'!$D$4,",",'Code List'!$B$5,'Code List'!$D$5,",",'Code List'!$B$6,"""",U57,"""",",",'Code List'!$B$7,'Code List'!$D$7,",",'Code List'!$B$8,'Code List'!$D$8,",",'Code List'!$B$9,'Code List'!$D$9,",",'Code List'!$B$10,'Code List'!$D$10,",",'Code List'!$B$11,"""",V57,"""",",",'Code List'!$B$12,"""",H57,"""",",",'Code List'!$B$13,"""",I57,"""",",",'Code List'!$B$14,"""",J57,"""",",",'Code List'!$B$15,"""",K57,"""",",",'Code List'!$B$16,"""",L57,"""",",",'Code List'!$B$17,"""",M57,"""",",",'Code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7" s="167" t="str">
        <f>IF(A57="YES",CONCATENATE("{",'Code List'!$B$31,"""",U57,"""",",",'Code List'!$B$32,'Code List'!$D$32,",",'Code List'!$B$33,'Code List'!$D$33,",",'Code List'!$B$34,'Code List'!$D$34,",",'Code List'!$B$35,'Code List'!$D$35,",",'Code List'!$B$36,'Code List'!$D$36,",",'Code List'!$B$37,'Code List'!$D$37,",",'Code List'!$B$38,"""",H57,"""",",",'Code List'!$B$39,"""",I57,"""",",",'Code List'!$B$40,"""",J57,"""",",",'Code List'!$B$41,"""",K57,"""",",",'Code List'!$B$42,"""",L57,"""",",",'Code List'!$B$43,"""",M57,"""",",",'Code List'!$B$44,"""",N57,"""",",",'Code List'!$B$45,"""",O57,"""",",",'Code List'!$B$46,"""",P57,"""",",",'Code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List'!$B$59,"""",T57,"""","}"),"")</f>
        <v/>
      </c>
    </row>
    <row r="58" spans="1:25" x14ac:dyDescent="0.25">
      <c r="A58" t="str">
        <f>IF(AND($A52="YES",E52=$D$1,F58&gt;0),"YES","NO")</f>
        <v>NO</v>
      </c>
      <c r="C58" t="s">
        <v>5</v>
      </c>
      <c r="D58" s="12" t="str">
        <f t="shared" si="42"/>
        <v>1G</v>
      </c>
      <c r="E58" t="s">
        <v>196</v>
      </c>
      <c r="F58">
        <f>'Expanded Base Data'!J50</f>
        <v>0</v>
      </c>
      <c r="G58" s="171">
        <f>F52</f>
        <v>0</v>
      </c>
      <c r="H58">
        <f>ROUND(B52+'Slide Measurements'!$D$17,$O$1)</f>
        <v>548.01</v>
      </c>
      <c r="I58">
        <f>ROUND(H58+(F58*'Slide Measurements'!$D$21),$O$1)</f>
        <v>548.01</v>
      </c>
      <c r="J58">
        <f>K57</f>
        <v>13.430000000000003</v>
      </c>
      <c r="K58">
        <f>J58+($I$1*'Slide Measurements'!$E$23-'Slide Measurements'!$E$23)</f>
        <v>15.280000000000005</v>
      </c>
      <c r="L58" s="5" t="str">
        <f>'Expanded Base Data'!$L50</f>
        <v/>
      </c>
      <c r="M58" s="5" t="str">
        <f>'Expanded Base Data'!$K50</f>
        <v/>
      </c>
      <c r="N58">
        <f t="shared" si="43"/>
        <v>0</v>
      </c>
      <c r="O58">
        <f t="shared" si="44"/>
        <v>1.85</v>
      </c>
      <c r="P58" s="5" t="e">
        <f t="shared" si="45"/>
        <v>#VALUE!</v>
      </c>
      <c r="Q58">
        <f>'Code List'!$C$63</f>
        <v>3</v>
      </c>
      <c r="R58">
        <f>F59+'Code List'!$G$63</f>
        <v>2</v>
      </c>
      <c r="S58" t="e">
        <f t="shared" si="46"/>
        <v>#VALUE!</v>
      </c>
      <c r="T58" t="e">
        <f t="shared" si="48"/>
        <v>#VALUE!</v>
      </c>
      <c r="U58" t="str">
        <f>IF(A58="YES",CONCATENATE(G58,"_",'Program Page'!$C$4,'Program Page'!$C$5,"_",D58,"_",E58),"")</f>
        <v/>
      </c>
      <c r="V58" t="str">
        <f t="shared" si="47"/>
        <v/>
      </c>
      <c r="W58" t="str">
        <f>IF(A58="YES",CONCATENATE("{",'Code List'!$B$4,'Code List'!$D$4,",",'Code List'!$B$5,'Code List'!$D$5,",",'Code List'!$B$6,"""",U58,"""",",",'Code List'!$B$7,'Code List'!$D$7,",",'Code List'!$B$8,'Code List'!$D$8,",",'Code List'!$B$9,'Code List'!$D$9,",",'Code List'!$B$10,'Code List'!$D$10,",",'Code List'!$B$11,"""",V58,"""",",",'Code List'!$B$12,"""",H58,"""",",",'Code List'!$B$13,"""",I58,"""",",",'Code List'!$B$14,"""",J58,"""",",",'Code List'!$B$15,"""",K58,"""",",",'Code List'!$B$16,"""",L58,"""",",",'Code List'!$B$17,"""",M58,"""",",",'Code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8" s="167" t="str">
        <f>IF(A58="YES",CONCATENATE("{",'Code List'!$B$31,"""",U58,"""",",",'Code List'!$B$32,'Code List'!$D$32,",",'Code List'!$B$33,'Code List'!$D$33,",",'Code List'!$B$34,'Code List'!$D$34,",",'Code List'!$B$35,'Code List'!$D$35,",",'Code List'!$B$36,'Code List'!$D$36,",",'Code List'!$B$37,'Code List'!$D$37,",",'Code List'!$B$38,"""",H58,"""",",",'Code List'!$B$39,"""",I58,"""",",",'Code List'!$B$40,"""",J58,"""",",",'Code List'!$B$41,"""",K58,"""",",",'Code List'!$B$42,"""",L58,"""",",",'Code List'!$B$43,"""",M58,"""",",",'Code List'!$B$44,"""",N58,"""",",",'Code List'!$B$45,"""",O58,"""",",",'Code List'!$B$46,"""",P58,"""",",",'Code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List'!$B$59,"""",T58,"""","}"),"")</f>
        <v/>
      </c>
    </row>
    <row r="59" spans="1:25" x14ac:dyDescent="0.25">
      <c r="A59" s="162" t="str">
        <f>IF(AND($A52="YES",E52=$E$1),"YES","NO")</f>
        <v>NO</v>
      </c>
      <c r="C59" t="s">
        <v>259</v>
      </c>
      <c r="D59" s="12" t="str">
        <f>D58</f>
        <v>1G</v>
      </c>
      <c r="E59" t="s">
        <v>259</v>
      </c>
      <c r="G59" s="171">
        <f>F52</f>
        <v>0</v>
      </c>
      <c r="H59">
        <f>ROUND(B52,$O$1)</f>
        <v>522.61</v>
      </c>
      <c r="I59">
        <f>ROUND(B52+'Slide Measurements'!$D$1,$O$1)</f>
        <v>599.05999999999995</v>
      </c>
      <c r="J59">
        <f>C52</f>
        <v>1.73</v>
      </c>
      <c r="K59">
        <f>C52+'Slide Measurements'!$D$2</f>
        <v>29.13</v>
      </c>
      <c r="L59" s="5" t="str">
        <f>'Expanded Base Data'!$L50</f>
        <v/>
      </c>
      <c r="M59" s="5" t="str">
        <f>'Expanded Base Data'!$K50</f>
        <v/>
      </c>
      <c r="N59">
        <f t="shared" si="43"/>
        <v>76.45</v>
      </c>
      <c r="O59">
        <f t="shared" si="44"/>
        <v>27.4</v>
      </c>
      <c r="P59" s="5" t="e">
        <f>ROUND((L59-M59),$O$1)</f>
        <v>#VALUE!</v>
      </c>
      <c r="Q59">
        <f>'Code List'!$C$70</f>
        <v>11</v>
      </c>
      <c r="R59">
        <f>'Code List'!$D$70</f>
        <v>19</v>
      </c>
      <c r="S59" t="e">
        <f>IF(P59=0,"1",ROUND((P59/$K$1)+$M$1,0))</f>
        <v>#VALUE!</v>
      </c>
      <c r="T59" t="e">
        <f>Q59*R59*S59</f>
        <v>#VALUE!</v>
      </c>
      <c r="U59" t="str">
        <f>IF(A59="YES",CONCATENATE(G59,"_",'Program Page'!$C$4,'Program Page'!$C$5,"_",D59,"_",E59),"")</f>
        <v/>
      </c>
      <c r="V59" t="str">
        <f>IF(U59="","",CONCATENATE(U59,"_"))</f>
        <v/>
      </c>
      <c r="W59" t="str">
        <f>IF(A59="YES",CONCATENATE("{",'Code List'!$B$4,'Code List'!$D$4,",",'Code List'!$B$5,'Code List'!$D$5,",",'Code List'!$B$6,"""",U59,"""",",",'Code List'!$B$7,'Code List'!$D$7,",",'Code List'!$B$8,'Code List'!$D$8,",",'Code List'!$B$9,'Code List'!$D$9,",",'Code List'!$B$10,'Code List'!$D$10,",",'Code List'!$B$11,"""",V59,"""",",",'Code List'!$B$12,"""",H59,"""",",",'Code List'!$B$13,"""",I59,"""",",",'Code List'!$B$14,"""",J59,"""",",",'Code List'!$B$15,"""",K59,"""",",",'Code List'!$B$16,"""",L59,"""",",",'Code List'!$B$17,"""",M59,"""",",",'Code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59" s="167" t="str">
        <f>IF(A59="YES",CONCATENATE("{",'Code List'!$B$31,"""",U59,"""",",",'Code List'!$B$32,'Code List'!$D$32,",",'Code List'!$B$33,'Code List'!$D$33,",",'Code List'!$B$34,'Code List'!$D$34,",",'Code List'!$B$35,'Code List'!$D$35,",",'Code List'!$B$36,'Code List'!$D$36,",",'Code List'!$B$37,'Code List'!$D$37,",",'Code List'!$B$38,"""",H59,"""",",",'Code List'!$B$39,"""",I59,"""",",",'Code List'!$B$40,"""",J59,"""",",",'Code List'!$B$41,"""",K59,"""",",",'Code List'!$B$42,"""",L59,"""",",",'Code List'!$B$43,"""",M59,"""",",",'Code List'!$B$44,"""",N59,"""",",",'Code List'!$B$45,"""",O59,"""",",",'Code List'!$B$46,"""",P59,"""",",",'Code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List'!$B$59,"""",T59,"""","}"),"")</f>
        <v/>
      </c>
    </row>
    <row r="60" spans="1:25" ht="18.75" x14ac:dyDescent="0.3">
      <c r="A60" s="35" t="str">
        <f>IF(OR(E60=$C$1,E60=$D$1,E60=$E$1),"YES","NO")</f>
        <v>NO</v>
      </c>
      <c r="B60" s="35">
        <f>'Expanded Base Data'!D58</f>
        <v>1.91</v>
      </c>
      <c r="C60" s="35">
        <f>'Expanded Base Data'!E58</f>
        <v>38.229999999999997</v>
      </c>
      <c r="D60" s="36" t="str">
        <f>'Expanded Base Data'!B58</f>
        <v>2A</v>
      </c>
      <c r="E60" s="35">
        <f>'Expanded Base Data'!C58</f>
        <v>0</v>
      </c>
      <c r="F60" s="35">
        <f>'Expanded Base Data'!M58</f>
        <v>0</v>
      </c>
      <c r="G60" s="170">
        <f>F60</f>
        <v>0</v>
      </c>
      <c r="Y60" s="167" t="str">
        <f>""</f>
        <v/>
      </c>
    </row>
    <row r="61" spans="1:25" x14ac:dyDescent="0.25">
      <c r="A61" t="str">
        <f>IF(AND($A60="YES",E60=$C$1),"YES","NO")</f>
        <v>NO</v>
      </c>
      <c r="C61" t="s">
        <v>6</v>
      </c>
      <c r="D61" s="12" t="str">
        <f>D60</f>
        <v>2A</v>
      </c>
      <c r="E61" t="s">
        <v>6</v>
      </c>
      <c r="F61" t="s">
        <v>198</v>
      </c>
      <c r="G61" s="171">
        <f>F60</f>
        <v>0</v>
      </c>
      <c r="H61">
        <f>IF('Expanded Base Data'!N58="",ROUND(B60+'Slide Measurements'!$D$11,$O$1),B60+'Expanded Base Data'!N58)</f>
        <v>34.909999999999997</v>
      </c>
      <c r="I61">
        <f>IF('Expanded Base Data'!O58="",ROUND(B60+'Slide Measurements'!$D$12,$O$1),B60+'Expanded Base Data'!O58)</f>
        <v>43.51</v>
      </c>
      <c r="J61">
        <f>IF('Expanded Base Data'!P58="",C60+'Slide Measurements'!$E$13,C60+'Expanded Base Data'!P58)</f>
        <v>46.929999999999993</v>
      </c>
      <c r="K61">
        <f>IF('Expanded Base Data'!Q58="",C60+'Slide Measurements'!$E$14,C60+'Expanded Base Data'!Q58)</f>
        <v>55.529999999999994</v>
      </c>
      <c r="L61" s="5" t="str">
        <f>'Expanded Base Data'!$L58</f>
        <v/>
      </c>
      <c r="M61" s="5" t="str">
        <f>'Expanded Base Data'!$K58</f>
        <v/>
      </c>
      <c r="N61">
        <f>ROUND((I61-H61),$O$1)</f>
        <v>8.6</v>
      </c>
      <c r="O61">
        <f>ROUND((K61-J61),$O$1)</f>
        <v>8.6</v>
      </c>
      <c r="P61" s="5" t="e">
        <f>ROUND((L61-M61),$O$1)</f>
        <v>#VALUE!</v>
      </c>
      <c r="Q61">
        <f>'Code List'!$C$62</f>
        <v>5</v>
      </c>
      <c r="R61">
        <f>F62+'Code List'!$G$63</f>
        <v>2</v>
      </c>
      <c r="S61" t="e">
        <f>IF(P61=0,"1",ROUND((P61/$K$1)+$M$1,0))</f>
        <v>#VALUE!</v>
      </c>
      <c r="T61" t="e">
        <f>Q61*R61*S61</f>
        <v>#VALUE!</v>
      </c>
      <c r="U61" t="str">
        <f>IF(A61="YES",CONCATENATE(G61,"_",'Program Page'!$C$4,'Program Page'!$C$5,"_",D61,"_",E61),"")</f>
        <v/>
      </c>
      <c r="V61" t="str">
        <f>IF(U61="","",CONCATENATE(U61,"_"))</f>
        <v/>
      </c>
      <c r="W61" t="str">
        <f>IF(A61="YES",CONCATENATE("{",'Code List'!$B$4,'Code List'!$D$4,",",'Code List'!$B$5,'Code List'!$D$5,",",'Code List'!$B$6,"""",U61,"""",",",'Code List'!$B$7,'Code List'!$D$7,",",'Code List'!$B$8,'Code List'!$D$8,",",'Code List'!$B$9,'Code List'!$D$9,",",'Code List'!$B$10,'Code List'!$D$10,",",'Code List'!$B$11,"""",V61,"""",",",'Code List'!$B$12,"""",H61,"""",",",'Code List'!$B$13,"""",I61,"""",",",'Code List'!$B$14,"""",J61,"""",",",'Code List'!$B$15,"""",K61,"""",",",'Code List'!$B$16,"""",L61,"""",",",'Code List'!$B$17,"""",M61,"""",",",'Code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1" s="167" t="str">
        <f>IF(A61="YES",CONCATENATE("{",'Code List'!$B$31,"""",U61,"""",",",'Code List'!$B$32,'Code List'!$D$32,",",'Code List'!$B$33,'Code List'!$D$33,",",'Code List'!$B$34,'Code List'!$D$34,",",'Code List'!$B$35,'Code List'!$D$35,",",'Code List'!$B$36,'Code List'!$D$36,",",'Code List'!$B$37,'Code List'!$D$37,",",'Code List'!$B$38,"""",H61,"""",",",'Code List'!$B$39,"""",I61,"""",",",'Code List'!$B$40,"""",J61,"""",",",'Code List'!$B$41,"""",K61,"""",",",'Code List'!$B$42,"""",L61,"""",",",'Code List'!$B$43,"""",M61,"""",",",'Code List'!$B$44,"""",N61,"""",",",'Code List'!$B$45,"""",O61,"""",",",'Code List'!$B$46,"""",P61,"""",",",'Code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List'!$B$59,"""",T61,"""","}"),"")</f>
        <v/>
      </c>
    </row>
    <row r="62" spans="1:25" x14ac:dyDescent="0.25">
      <c r="A62" t="str">
        <f>IF(AND($A60="YES",E60=$D$1,F62&gt;0),"YES","NO")</f>
        <v>NO</v>
      </c>
      <c r="C62" t="s">
        <v>5</v>
      </c>
      <c r="D62" s="12" t="str">
        <f t="shared" ref="D62:D66" si="49">D61</f>
        <v>2A</v>
      </c>
      <c r="E62" t="s">
        <v>188</v>
      </c>
      <c r="F62">
        <f>'Expanded Base Data'!F58</f>
        <v>0</v>
      </c>
      <c r="G62" s="171">
        <f>F60</f>
        <v>0</v>
      </c>
      <c r="H62">
        <f>ROUND(B60+'Slide Measurements'!$D$17,$O$1)</f>
        <v>27.31</v>
      </c>
      <c r="I62">
        <f>ROUND(H62+(F62*'Slide Measurements'!$D$21),$O$1)</f>
        <v>27.31</v>
      </c>
      <c r="J62">
        <f>C60+'Slide Measurements'!$E$17</f>
        <v>42.529999999999994</v>
      </c>
      <c r="K62">
        <f>J62+($I$1*'Slide Measurements'!$E$23-'Slide Measurements'!$E$23)</f>
        <v>44.379999999999995</v>
      </c>
      <c r="L62" s="5" t="str">
        <f>'Expanded Base Data'!$L58</f>
        <v/>
      </c>
      <c r="M62" s="5" t="str">
        <f>'Expanded Base Data'!$K58</f>
        <v/>
      </c>
      <c r="N62">
        <f t="shared" ref="N62:N67" si="50">ROUND((I62-H62),$O$1)</f>
        <v>0</v>
      </c>
      <c r="O62">
        <f t="shared" ref="O62:O67" si="51">ROUND((K62-J62),$O$1)</f>
        <v>1.85</v>
      </c>
      <c r="P62" s="5" t="e">
        <f t="shared" ref="P62:P66" si="52">ROUND((L62-M62),$O$1)</f>
        <v>#VALUE!</v>
      </c>
      <c r="Q62">
        <f>'Code List'!$C$63</f>
        <v>3</v>
      </c>
      <c r="R62">
        <f>F63+'Code List'!$G$63</f>
        <v>2</v>
      </c>
      <c r="S62" t="e">
        <f t="shared" ref="S62:S66" si="53">IF(P62=0,"1",ROUND((P62/$K$1)+$M$1,0))</f>
        <v>#VALUE!</v>
      </c>
      <c r="T62" t="e">
        <f>Q62*R62*S62</f>
        <v>#VALUE!</v>
      </c>
      <c r="U62" t="str">
        <f>IF(A62="YES",CONCATENATE(G62,"_",'Program Page'!$C$4,'Program Page'!$C$5,"_",D62,"_",E62),"")</f>
        <v/>
      </c>
      <c r="V62" t="str">
        <f t="shared" ref="V62:V66" si="54">IF(U62="","",CONCATENATE(U62,"_"))</f>
        <v/>
      </c>
      <c r="W62" t="str">
        <f>IF(A62="YES",CONCATENATE("{",'Code List'!$B$4,'Code List'!$D$4,",",'Code List'!$B$5,'Code List'!$D$5,",",'Code List'!$B$6,"""",U62,"""",",",'Code List'!$B$7,'Code List'!$D$7,",",'Code List'!$B$8,'Code List'!$D$8,",",'Code List'!$B$9,'Code List'!$D$9,",",'Code List'!$B$10,'Code List'!$D$10,",",'Code List'!$B$11,"""",V62,"""",",",'Code List'!$B$12,"""",H62,"""",",",'Code List'!$B$13,"""",I62,"""",",",'Code List'!$B$14,"""",J62,"""",",",'Code List'!$B$15,"""",K62,"""",",",'Code List'!$B$16,"""",L62,"""",",",'Code List'!$B$17,"""",M62,"""",",",'Code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2" s="167" t="str">
        <f>IF(A62="YES",CONCATENATE("{",'Code List'!$B$31,"""",U62,"""",",",'Code List'!$B$32,'Code List'!$D$32,",",'Code List'!$B$33,'Code List'!$D$33,",",'Code List'!$B$34,'Code List'!$D$34,",",'Code List'!$B$35,'Code List'!$D$35,",",'Code List'!$B$36,'Code List'!$D$36,",",'Code List'!$B$37,'Code List'!$D$37,",",'Code List'!$B$38,"""",H62,"""",",",'Code List'!$B$39,"""",I62,"""",",",'Code List'!$B$40,"""",J62,"""",",",'Code List'!$B$41,"""",K62,"""",",",'Code List'!$B$42,"""",L62,"""",",",'Code List'!$B$43,"""",M62,"""",",",'Code List'!$B$44,"""",N62,"""",",",'Code List'!$B$45,"""",O62,"""",",",'Code List'!$B$46,"""",P62,"""",",",'Code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List'!$B$59,"""",T62,"""","}"),"")</f>
        <v/>
      </c>
    </row>
    <row r="63" spans="1:25" x14ac:dyDescent="0.25">
      <c r="A63" t="str">
        <f>IF(AND($A60="YES",E60=$D$1,F63&gt;0),"YES","NO")</f>
        <v>NO</v>
      </c>
      <c r="C63" t="s">
        <v>5</v>
      </c>
      <c r="D63" s="12" t="str">
        <f t="shared" si="49"/>
        <v>2A</v>
      </c>
      <c r="E63" t="s">
        <v>189</v>
      </c>
      <c r="F63">
        <f>'Expanded Base Data'!G58</f>
        <v>0</v>
      </c>
      <c r="G63" s="171">
        <f>F60</f>
        <v>0</v>
      </c>
      <c r="H63">
        <f>ROUND(B60+'Slide Measurements'!$D$17,$O$1)</f>
        <v>27.31</v>
      </c>
      <c r="I63">
        <f>ROUND(H63+(F63*'Slide Measurements'!$D$21),$O$1)</f>
        <v>27.31</v>
      </c>
      <c r="J63">
        <f>K62</f>
        <v>44.379999999999995</v>
      </c>
      <c r="K63">
        <f>J63+($I$1*'Slide Measurements'!$E$23-'Slide Measurements'!$E$23)</f>
        <v>46.23</v>
      </c>
      <c r="L63" s="5" t="str">
        <f>'Expanded Base Data'!$L58</f>
        <v/>
      </c>
      <c r="M63" s="5" t="str">
        <f>'Expanded Base Data'!$K58</f>
        <v/>
      </c>
      <c r="N63">
        <f t="shared" si="50"/>
        <v>0</v>
      </c>
      <c r="O63">
        <f t="shared" si="51"/>
        <v>1.85</v>
      </c>
      <c r="P63" s="5" t="e">
        <f t="shared" si="52"/>
        <v>#VALUE!</v>
      </c>
      <c r="Q63">
        <f>'Code List'!$C$63</f>
        <v>3</v>
      </c>
      <c r="R63">
        <f>F64+'Code List'!$G$63</f>
        <v>2</v>
      </c>
      <c r="S63" t="e">
        <f t="shared" si="53"/>
        <v>#VALUE!</v>
      </c>
      <c r="T63" t="e">
        <f t="shared" ref="T63:T66" si="55">Q63*R63*S63</f>
        <v>#VALUE!</v>
      </c>
      <c r="U63" t="str">
        <f>IF(A63="YES",CONCATENATE(G63,"_",'Program Page'!$C$4,'Program Page'!$C$5,"_",D63,"_",E63),"")</f>
        <v/>
      </c>
      <c r="V63" t="str">
        <f t="shared" si="54"/>
        <v/>
      </c>
      <c r="W63" t="str">
        <f>IF(A63="YES",CONCATENATE("{",'Code List'!$B$4,'Code List'!$D$4,",",'Code List'!$B$5,'Code List'!$D$5,",",'Code List'!$B$6,"""",U63,"""",",",'Code List'!$B$7,'Code List'!$D$7,",",'Code List'!$B$8,'Code List'!$D$8,",",'Code List'!$B$9,'Code List'!$D$9,",",'Code List'!$B$10,'Code List'!$D$10,",",'Code List'!$B$11,"""",V63,"""",",",'Code List'!$B$12,"""",H63,"""",",",'Code List'!$B$13,"""",I63,"""",",",'Code List'!$B$14,"""",J63,"""",",",'Code List'!$B$15,"""",K63,"""",",",'Code List'!$B$16,"""",L63,"""",",",'Code List'!$B$17,"""",M63,"""",",",'Code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3" s="167" t="str">
        <f>IF(A63="YES",CONCATENATE("{",'Code List'!$B$31,"""",U63,"""",",",'Code List'!$B$32,'Code List'!$D$32,",",'Code List'!$B$33,'Code List'!$D$33,",",'Code List'!$B$34,'Code List'!$D$34,",",'Code List'!$B$35,'Code List'!$D$35,",",'Code List'!$B$36,'Code List'!$D$36,",",'Code List'!$B$37,'Code List'!$D$37,",",'Code List'!$B$38,"""",H63,"""",",",'Code List'!$B$39,"""",I63,"""",",",'Code List'!$B$40,"""",J63,"""",",",'Code List'!$B$41,"""",K63,"""",",",'Code List'!$B$42,"""",L63,"""",",",'Code List'!$B$43,"""",M63,"""",",",'Code List'!$B$44,"""",N63,"""",",",'Code List'!$B$45,"""",O63,"""",",",'Code List'!$B$46,"""",P63,"""",",",'Code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List'!$B$59,"""",T63,"""","}"),"")</f>
        <v/>
      </c>
    </row>
    <row r="64" spans="1:25" x14ac:dyDescent="0.25">
      <c r="A64" t="str">
        <f>IF(AND($A60="YES",E60=$D$1,F64&gt;0),"YES","NO")</f>
        <v>NO</v>
      </c>
      <c r="C64" t="s">
        <v>5</v>
      </c>
      <c r="D64" s="12" t="str">
        <f t="shared" si="49"/>
        <v>2A</v>
      </c>
      <c r="E64" t="s">
        <v>190</v>
      </c>
      <c r="F64">
        <f>'Expanded Base Data'!H58</f>
        <v>0</v>
      </c>
      <c r="G64" s="171">
        <f>F60</f>
        <v>0</v>
      </c>
      <c r="H64">
        <f>ROUND(B60+'Slide Measurements'!$D$17,$O$1)</f>
        <v>27.31</v>
      </c>
      <c r="I64">
        <f>ROUND(H64+(F64*'Slide Measurements'!$D$21),$O$1)</f>
        <v>27.31</v>
      </c>
      <c r="J64">
        <f>K63</f>
        <v>46.23</v>
      </c>
      <c r="K64">
        <f>J64+($I$1*'Slide Measurements'!$E$23-'Slide Measurements'!$E$23)</f>
        <v>48.08</v>
      </c>
      <c r="L64" s="5" t="str">
        <f>'Expanded Base Data'!$L58</f>
        <v/>
      </c>
      <c r="M64" s="5" t="str">
        <f>'Expanded Base Data'!$K58</f>
        <v/>
      </c>
      <c r="N64">
        <f t="shared" si="50"/>
        <v>0</v>
      </c>
      <c r="O64">
        <f t="shared" si="51"/>
        <v>1.85</v>
      </c>
      <c r="P64" s="5" t="e">
        <f t="shared" si="52"/>
        <v>#VALUE!</v>
      </c>
      <c r="Q64">
        <f>'Code List'!$C$63</f>
        <v>3</v>
      </c>
      <c r="R64">
        <f>F65+'Code List'!$G$63</f>
        <v>2</v>
      </c>
      <c r="S64" t="e">
        <f t="shared" si="53"/>
        <v>#VALUE!</v>
      </c>
      <c r="T64" t="e">
        <f t="shared" si="55"/>
        <v>#VALUE!</v>
      </c>
      <c r="U64" t="str">
        <f>IF(A64="YES",CONCATENATE(G64,"_",'Program Page'!$C$4,'Program Page'!$C$5,"_",D64,"_",E64),"")</f>
        <v/>
      </c>
      <c r="V64" t="str">
        <f t="shared" si="54"/>
        <v/>
      </c>
      <c r="W64" t="str">
        <f>IF(A64="YES",CONCATENATE("{",'Code List'!$B$4,'Code List'!$D$4,",",'Code List'!$B$5,'Code List'!$D$5,",",'Code List'!$B$6,"""",U64,"""",",",'Code List'!$B$7,'Code List'!$D$7,",",'Code List'!$B$8,'Code List'!$D$8,",",'Code List'!$B$9,'Code List'!$D$9,",",'Code List'!$B$10,'Code List'!$D$10,",",'Code List'!$B$11,"""",V64,"""",",",'Code List'!$B$12,"""",H64,"""",",",'Code List'!$B$13,"""",I64,"""",",",'Code List'!$B$14,"""",J64,"""",",",'Code List'!$B$15,"""",K64,"""",",",'Code List'!$B$16,"""",L64,"""",",",'Code List'!$B$17,"""",M64,"""",",",'Code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4" s="167" t="str">
        <f>IF(A64="YES",CONCATENATE("{",'Code List'!$B$31,"""",U64,"""",",",'Code List'!$B$32,'Code List'!$D$32,",",'Code List'!$B$33,'Code List'!$D$33,",",'Code List'!$B$34,'Code List'!$D$34,",",'Code List'!$B$35,'Code List'!$D$35,",",'Code List'!$B$36,'Code List'!$D$36,",",'Code List'!$B$37,'Code List'!$D$37,",",'Code List'!$B$38,"""",H64,"""",",",'Code List'!$B$39,"""",I64,"""",",",'Code List'!$B$40,"""",J64,"""",",",'Code List'!$B$41,"""",K64,"""",",",'Code List'!$B$42,"""",L64,"""",",",'Code List'!$B$43,"""",M64,"""",",",'Code List'!$B$44,"""",N64,"""",",",'Code List'!$B$45,"""",O64,"""",",",'Code List'!$B$46,"""",P64,"""",",",'Code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List'!$B$59,"""",T64,"""","}"),"")</f>
        <v/>
      </c>
    </row>
    <row r="65" spans="1:25" x14ac:dyDescent="0.25">
      <c r="A65" t="str">
        <f>IF(AND($A60="YES",E60=$D$1,F65&gt;0),"YES","NO")</f>
        <v>NO</v>
      </c>
      <c r="C65" t="s">
        <v>5</v>
      </c>
      <c r="D65" s="12" t="str">
        <f t="shared" si="49"/>
        <v>2A</v>
      </c>
      <c r="E65" t="s">
        <v>191</v>
      </c>
      <c r="F65">
        <f>'Expanded Base Data'!I58</f>
        <v>0</v>
      </c>
      <c r="G65" s="171">
        <f>F60</f>
        <v>0</v>
      </c>
      <c r="H65">
        <f>ROUND(B60+'Slide Measurements'!$D$17,$O$1)</f>
        <v>27.31</v>
      </c>
      <c r="I65">
        <f>ROUND(H65+(F65*'Slide Measurements'!$D$21),$O$1)</f>
        <v>27.31</v>
      </c>
      <c r="J65">
        <f>K64</f>
        <v>48.08</v>
      </c>
      <c r="K65">
        <f>J65+($I$1*'Slide Measurements'!$E$23-'Slide Measurements'!$E$23)</f>
        <v>49.93</v>
      </c>
      <c r="L65" s="5" t="str">
        <f>'Expanded Base Data'!$L58</f>
        <v/>
      </c>
      <c r="M65" s="5" t="str">
        <f>'Expanded Base Data'!$K58</f>
        <v/>
      </c>
      <c r="N65">
        <f t="shared" si="50"/>
        <v>0</v>
      </c>
      <c r="O65">
        <f t="shared" si="51"/>
        <v>1.85</v>
      </c>
      <c r="P65" s="5" t="e">
        <f t="shared" si="52"/>
        <v>#VALUE!</v>
      </c>
      <c r="Q65">
        <f>'Code List'!$C$63</f>
        <v>3</v>
      </c>
      <c r="R65">
        <f>F66+'Code List'!$G$63</f>
        <v>2</v>
      </c>
      <c r="S65" t="e">
        <f t="shared" si="53"/>
        <v>#VALUE!</v>
      </c>
      <c r="T65" t="e">
        <f t="shared" si="55"/>
        <v>#VALUE!</v>
      </c>
      <c r="U65" t="str">
        <f>IF(A65="YES",CONCATENATE(G65,"_",'Program Page'!$C$4,'Program Page'!$C$5,"_",D65,"_",E65),"")</f>
        <v/>
      </c>
      <c r="V65" t="str">
        <f t="shared" si="54"/>
        <v/>
      </c>
      <c r="W65" t="str">
        <f>IF(A65="YES",CONCATENATE("{",'Code List'!$B$4,'Code List'!$D$4,",",'Code List'!$B$5,'Code List'!$D$5,",",'Code List'!$B$6,"""",U65,"""",",",'Code List'!$B$7,'Code List'!$D$7,",",'Code List'!$B$8,'Code List'!$D$8,",",'Code List'!$B$9,'Code List'!$D$9,",",'Code List'!$B$10,'Code List'!$D$10,",",'Code List'!$B$11,"""",V65,"""",",",'Code List'!$B$12,"""",H65,"""",",",'Code List'!$B$13,"""",I65,"""",",",'Code List'!$B$14,"""",J65,"""",",",'Code List'!$B$15,"""",K65,"""",",",'Code List'!$B$16,"""",L65,"""",",",'Code List'!$B$17,"""",M65,"""",",",'Code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5" s="167" t="str">
        <f>IF(A65="YES",CONCATENATE("{",'Code List'!$B$31,"""",U65,"""",",",'Code List'!$B$32,'Code List'!$D$32,",",'Code List'!$B$33,'Code List'!$D$33,",",'Code List'!$B$34,'Code List'!$D$34,",",'Code List'!$B$35,'Code List'!$D$35,",",'Code List'!$B$36,'Code List'!$D$36,",",'Code List'!$B$37,'Code List'!$D$37,",",'Code List'!$B$38,"""",H65,"""",",",'Code List'!$B$39,"""",I65,"""",",",'Code List'!$B$40,"""",J65,"""",",",'Code List'!$B$41,"""",K65,"""",",",'Code List'!$B$42,"""",L65,"""",",",'Code List'!$B$43,"""",M65,"""",",",'Code List'!$B$44,"""",N65,"""",",",'Code List'!$B$45,"""",O65,"""",",",'Code List'!$B$46,"""",P65,"""",",",'Code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List'!$B$59,"""",T65,"""","}"),"")</f>
        <v/>
      </c>
    </row>
    <row r="66" spans="1:25" x14ac:dyDescent="0.25">
      <c r="A66" t="str">
        <f>IF(AND($A60="YES",E60=$D$1,F66&gt;0),"YES","NO")</f>
        <v>NO</v>
      </c>
      <c r="C66" t="s">
        <v>5</v>
      </c>
      <c r="D66" s="12" t="str">
        <f t="shared" si="49"/>
        <v>2A</v>
      </c>
      <c r="E66" t="s">
        <v>196</v>
      </c>
      <c r="F66">
        <f>'Expanded Base Data'!J58</f>
        <v>0</v>
      </c>
      <c r="G66" s="171">
        <f>F60</f>
        <v>0</v>
      </c>
      <c r="H66">
        <f>ROUND(B60+'Slide Measurements'!$D$17,$O$1)</f>
        <v>27.31</v>
      </c>
      <c r="I66">
        <f>ROUND(H66+(F66*'Slide Measurements'!$D$21),$O$1)</f>
        <v>27.31</v>
      </c>
      <c r="J66">
        <f>K65</f>
        <v>49.93</v>
      </c>
      <c r="K66">
        <f>J66+($I$1*'Slide Measurements'!$E$23-'Slide Measurements'!$E$23)</f>
        <v>51.78</v>
      </c>
      <c r="L66" s="5" t="str">
        <f>'Expanded Base Data'!$L58</f>
        <v/>
      </c>
      <c r="M66" s="5" t="str">
        <f>'Expanded Base Data'!$K58</f>
        <v/>
      </c>
      <c r="N66">
        <f t="shared" si="50"/>
        <v>0</v>
      </c>
      <c r="O66">
        <f t="shared" si="51"/>
        <v>1.85</v>
      </c>
      <c r="P66" s="5" t="e">
        <f t="shared" si="52"/>
        <v>#VALUE!</v>
      </c>
      <c r="Q66">
        <f>'Code List'!$C$63</f>
        <v>3</v>
      </c>
      <c r="R66">
        <f>F67+'Code List'!$G$63</f>
        <v>2</v>
      </c>
      <c r="S66" t="e">
        <f t="shared" si="53"/>
        <v>#VALUE!</v>
      </c>
      <c r="T66" t="e">
        <f t="shared" si="55"/>
        <v>#VALUE!</v>
      </c>
      <c r="U66" t="str">
        <f>IF(A66="YES",CONCATENATE(G66,"_",'Program Page'!$C$4,'Program Page'!$C$5,"_",D66,"_",E66),"")</f>
        <v/>
      </c>
      <c r="V66" t="str">
        <f t="shared" si="54"/>
        <v/>
      </c>
      <c r="W66" t="str">
        <f>IF(A66="YES",CONCATENATE("{",'Code List'!$B$4,'Code List'!$D$4,",",'Code List'!$B$5,'Code List'!$D$5,",",'Code List'!$B$6,"""",U66,"""",",",'Code List'!$B$7,'Code List'!$D$7,",",'Code List'!$B$8,'Code List'!$D$8,",",'Code List'!$B$9,'Code List'!$D$9,",",'Code List'!$B$10,'Code List'!$D$10,",",'Code List'!$B$11,"""",V66,"""",",",'Code List'!$B$12,"""",H66,"""",",",'Code List'!$B$13,"""",I66,"""",",",'Code List'!$B$14,"""",J66,"""",",",'Code List'!$B$15,"""",K66,"""",",",'Code List'!$B$16,"""",L66,"""",",",'Code List'!$B$17,"""",M66,"""",",",'Code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6" s="167" t="str">
        <f>IF(A66="YES",CONCATENATE("{",'Code List'!$B$31,"""",U66,"""",",",'Code List'!$B$32,'Code List'!$D$32,",",'Code List'!$B$33,'Code List'!$D$33,",",'Code List'!$B$34,'Code List'!$D$34,",",'Code List'!$B$35,'Code List'!$D$35,",",'Code List'!$B$36,'Code List'!$D$36,",",'Code List'!$B$37,'Code List'!$D$37,",",'Code List'!$B$38,"""",H66,"""",",",'Code List'!$B$39,"""",I66,"""",",",'Code List'!$B$40,"""",J66,"""",",",'Code List'!$B$41,"""",K66,"""",",",'Code List'!$B$42,"""",L66,"""",",",'Code List'!$B$43,"""",M66,"""",",",'Code List'!$B$44,"""",N66,"""",",",'Code List'!$B$45,"""",O66,"""",",",'Code List'!$B$46,"""",P66,"""",",",'Code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List'!$B$59,"""",T66,"""","}"),"")</f>
        <v/>
      </c>
    </row>
    <row r="67" spans="1:25" x14ac:dyDescent="0.25">
      <c r="A67" s="162" t="str">
        <f>IF(AND($A60="YES",E60=$E$1),"YES","NO")</f>
        <v>NO</v>
      </c>
      <c r="C67" t="s">
        <v>259</v>
      </c>
      <c r="D67" s="12" t="str">
        <f>D66</f>
        <v>2A</v>
      </c>
      <c r="E67" t="s">
        <v>259</v>
      </c>
      <c r="G67" s="171">
        <f>F60</f>
        <v>0</v>
      </c>
      <c r="H67">
        <f>ROUND(B60,$O$1)</f>
        <v>1.91</v>
      </c>
      <c r="I67">
        <f>ROUND(B60+'Slide Measurements'!$D$1,$O$1)</f>
        <v>78.36</v>
      </c>
      <c r="J67">
        <f>C60</f>
        <v>38.229999999999997</v>
      </c>
      <c r="K67">
        <f>C60+'Slide Measurements'!$D$2</f>
        <v>65.63</v>
      </c>
      <c r="L67" s="5" t="str">
        <f>'Expanded Base Data'!$L58</f>
        <v/>
      </c>
      <c r="M67" s="5" t="str">
        <f>'Expanded Base Data'!$K58</f>
        <v/>
      </c>
      <c r="N67">
        <f t="shared" si="50"/>
        <v>76.45</v>
      </c>
      <c r="O67">
        <f t="shared" si="51"/>
        <v>27.4</v>
      </c>
      <c r="P67" s="5" t="e">
        <f>ROUND((L67-M67),$O$1)</f>
        <v>#VALUE!</v>
      </c>
      <c r="Q67">
        <f>'Code List'!$C$70</f>
        <v>11</v>
      </c>
      <c r="R67">
        <f>'Code List'!$D$70</f>
        <v>19</v>
      </c>
      <c r="S67" t="e">
        <f>IF(P67=0,"1",ROUND((P67/$K$1)+$M$1,0))</f>
        <v>#VALUE!</v>
      </c>
      <c r="T67" t="e">
        <f>Q67*R67*S67</f>
        <v>#VALUE!</v>
      </c>
      <c r="U67" t="str">
        <f>IF(A67="YES",CONCATENATE(G67,"_",'Program Page'!$C$4,'Program Page'!$C$5,"_",D67,"_",E67),"")</f>
        <v/>
      </c>
      <c r="V67" t="str">
        <f>IF(U67="","",CONCATENATE(U67,"_"))</f>
        <v/>
      </c>
      <c r="W67" t="str">
        <f>IF(A67="YES",CONCATENATE("{",'Code List'!$B$4,'Code List'!$D$4,",",'Code List'!$B$5,'Code List'!$D$5,",",'Code List'!$B$6,"""",U67,"""",",",'Code List'!$B$7,'Code List'!$D$7,",",'Code List'!$B$8,'Code List'!$D$8,",",'Code List'!$B$9,'Code List'!$D$9,",",'Code List'!$B$10,'Code List'!$D$10,",",'Code List'!$B$11,"""",V67,"""",",",'Code List'!$B$12,"""",H67,"""",",",'Code List'!$B$13,"""",I67,"""",",",'Code List'!$B$14,"""",J67,"""",",",'Code List'!$B$15,"""",K67,"""",",",'Code List'!$B$16,"""",L67,"""",",",'Code List'!$B$17,"""",M67,"""",",",'Code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67" s="167" t="str">
        <f>IF(A67="YES",CONCATENATE("{",'Code List'!$B$31,"""",U67,"""",",",'Code List'!$B$32,'Code List'!$D$32,",",'Code List'!$B$33,'Code List'!$D$33,",",'Code List'!$B$34,'Code List'!$D$34,",",'Code List'!$B$35,'Code List'!$D$35,",",'Code List'!$B$36,'Code List'!$D$36,",",'Code List'!$B$37,'Code List'!$D$37,",",'Code List'!$B$38,"""",H67,"""",",",'Code List'!$B$39,"""",I67,"""",",",'Code List'!$B$40,"""",J67,"""",",",'Code List'!$B$41,"""",K67,"""",",",'Code List'!$B$42,"""",L67,"""",",",'Code List'!$B$43,"""",M67,"""",",",'Code List'!$B$44,"""",N67,"""",",",'Code List'!$B$45,"""",O67,"""",",",'Code List'!$B$46,"""",P67,"""",",",'Code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List'!$B$59,"""",T67,"""","}"),"")</f>
        <v/>
      </c>
    </row>
    <row r="68" spans="1:25" ht="18.75" x14ac:dyDescent="0.3">
      <c r="A68" s="35" t="str">
        <f>IF(OR(E68=$C$1,E68=$D$1,E68=$E$1),"YES","NO")</f>
        <v>NO</v>
      </c>
      <c r="B68" s="35">
        <f>'Expanded Base Data'!D66</f>
        <v>89.11</v>
      </c>
      <c r="C68" s="35">
        <f>'Expanded Base Data'!E66</f>
        <v>38.229999999999997</v>
      </c>
      <c r="D68" s="36" t="str">
        <f>'Expanded Base Data'!B66</f>
        <v>2B</v>
      </c>
      <c r="E68" s="35">
        <f>'Expanded Base Data'!C66</f>
        <v>0</v>
      </c>
      <c r="F68" s="35">
        <f>'Expanded Base Data'!M66</f>
        <v>0</v>
      </c>
      <c r="G68" s="170">
        <f>F68</f>
        <v>0</v>
      </c>
      <c r="Y68" s="167" t="str">
        <f>""</f>
        <v/>
      </c>
    </row>
    <row r="69" spans="1:25" x14ac:dyDescent="0.25">
      <c r="A69" t="str">
        <f>IF(AND($A68="YES",E68=$C$1),"YES","NO")</f>
        <v>NO</v>
      </c>
      <c r="C69" t="s">
        <v>6</v>
      </c>
      <c r="D69" s="12" t="str">
        <f>D68</f>
        <v>2B</v>
      </c>
      <c r="E69" t="s">
        <v>6</v>
      </c>
      <c r="F69" t="s">
        <v>198</v>
      </c>
      <c r="G69" s="171">
        <f>F68</f>
        <v>0</v>
      </c>
      <c r="H69">
        <f>IF('Expanded Base Data'!N66="",ROUND(B68+'Slide Measurements'!$D$11,$O$1),B68+'Expanded Base Data'!N66)</f>
        <v>122.11</v>
      </c>
      <c r="I69">
        <f>IF('Expanded Base Data'!O66="",ROUND(B68+'Slide Measurements'!$D$12,$O$1),B68+'Expanded Base Data'!O66)</f>
        <v>130.71</v>
      </c>
      <c r="J69">
        <f>IF('Expanded Base Data'!P66="",C68+'Slide Measurements'!$E$13,C68+'Expanded Base Data'!P66)</f>
        <v>46.929999999999993</v>
      </c>
      <c r="K69">
        <f>IF('Expanded Base Data'!Q66="",C68+'Slide Measurements'!$E$14,C68+'Expanded Base Data'!Q66)</f>
        <v>55.529999999999994</v>
      </c>
      <c r="L69" s="5" t="str">
        <f>'Expanded Base Data'!$L66</f>
        <v/>
      </c>
      <c r="M69" s="5" t="str">
        <f>'Expanded Base Data'!$K66</f>
        <v/>
      </c>
      <c r="N69">
        <f>ROUND((I69-H69),$O$1)</f>
        <v>8.6</v>
      </c>
      <c r="O69">
        <f>ROUND((K69-J69),$O$1)</f>
        <v>8.6</v>
      </c>
      <c r="P69" s="5" t="e">
        <f>ROUND((L69-M69),$O$1)</f>
        <v>#VALUE!</v>
      </c>
      <c r="Q69">
        <f>'Code List'!$C$62</f>
        <v>5</v>
      </c>
      <c r="R69">
        <f>F70+'Code List'!$G$63</f>
        <v>2</v>
      </c>
      <c r="S69" t="e">
        <f>IF(P69=0,"1",ROUND((P69/$K$1)+$M$1,0))</f>
        <v>#VALUE!</v>
      </c>
      <c r="T69" t="e">
        <f>Q69*R69*S69</f>
        <v>#VALUE!</v>
      </c>
      <c r="U69" t="str">
        <f>IF(A69="YES",CONCATENATE(G69,"_",'Program Page'!$C$4,'Program Page'!$C$5,"_",D69,"_",E69),"")</f>
        <v/>
      </c>
      <c r="V69" t="str">
        <f>IF(U69="","",CONCATENATE(U69,"_"))</f>
        <v/>
      </c>
      <c r="W69" t="str">
        <f>IF(A69="YES",CONCATENATE("{",'Code List'!$B$4,'Code List'!$D$4,",",'Code List'!$B$5,'Code List'!$D$5,",",'Code List'!$B$6,"""",U69,"""",",",'Code List'!$B$7,'Code List'!$D$7,",",'Code List'!$B$8,'Code List'!$D$8,",",'Code List'!$B$9,'Code List'!$D$9,",",'Code List'!$B$10,'Code List'!$D$10,",",'Code List'!$B$11,"""",V69,"""",",",'Code List'!$B$12,"""",H69,"""",",",'Code List'!$B$13,"""",I69,"""",",",'Code List'!$B$14,"""",J69,"""",",",'Code List'!$B$15,"""",K69,"""",",",'Code List'!$B$16,"""",L69,"""",",",'Code List'!$B$17,"""",M69,"""",",",'Code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9" s="167" t="str">
        <f>IF(A69="YES",CONCATENATE("{",'Code List'!$B$31,"""",U69,"""",",",'Code List'!$B$32,'Code List'!$D$32,",",'Code List'!$B$33,'Code List'!$D$33,",",'Code List'!$B$34,'Code List'!$D$34,",",'Code List'!$B$35,'Code List'!$D$35,",",'Code List'!$B$36,'Code List'!$D$36,",",'Code List'!$B$37,'Code List'!$D$37,",",'Code List'!$B$38,"""",H69,"""",",",'Code List'!$B$39,"""",I69,"""",",",'Code List'!$B$40,"""",J69,"""",",",'Code List'!$B$41,"""",K69,"""",",",'Code List'!$B$42,"""",L69,"""",",",'Code List'!$B$43,"""",M69,"""",",",'Code List'!$B$44,"""",N69,"""",",",'Code List'!$B$45,"""",O69,"""",",",'Code List'!$B$46,"""",P69,"""",",",'Code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List'!$B$59,"""",T69,"""","}"),"")</f>
        <v/>
      </c>
    </row>
    <row r="70" spans="1:25" x14ac:dyDescent="0.25">
      <c r="A70" t="str">
        <f>IF(AND($A68="YES",E68=$D$1,F70&gt;0),"YES","NO")</f>
        <v>NO</v>
      </c>
      <c r="C70" t="s">
        <v>5</v>
      </c>
      <c r="D70" s="12" t="str">
        <f t="shared" ref="D70:D74" si="56">D69</f>
        <v>2B</v>
      </c>
      <c r="E70" t="s">
        <v>188</v>
      </c>
      <c r="F70">
        <f>'Expanded Base Data'!F66</f>
        <v>0</v>
      </c>
      <c r="G70" s="171">
        <f>F68</f>
        <v>0</v>
      </c>
      <c r="H70">
        <f>ROUND(B68+'Slide Measurements'!$D$17,$O$1)</f>
        <v>114.51</v>
      </c>
      <c r="I70">
        <f>ROUND(H70+(F70*'Slide Measurements'!$D$21),$O$1)</f>
        <v>114.51</v>
      </c>
      <c r="J70">
        <f>C68+'Slide Measurements'!$E$17</f>
        <v>42.529999999999994</v>
      </c>
      <c r="K70">
        <f>J70+($I$1*'Slide Measurements'!$E$23-'Slide Measurements'!$E$23)</f>
        <v>44.379999999999995</v>
      </c>
      <c r="L70" s="5" t="str">
        <f>'Expanded Base Data'!$L66</f>
        <v/>
      </c>
      <c r="M70" s="5" t="str">
        <f>'Expanded Base Data'!$K66</f>
        <v/>
      </c>
      <c r="N70">
        <f t="shared" ref="N70:N75" si="57">ROUND((I70-H70),$O$1)</f>
        <v>0</v>
      </c>
      <c r="O70">
        <f t="shared" ref="O70:O75" si="58">ROUND((K70-J70),$O$1)</f>
        <v>1.85</v>
      </c>
      <c r="P70" s="5" t="e">
        <f t="shared" ref="P70:P74" si="59">ROUND((L70-M70),$O$1)</f>
        <v>#VALUE!</v>
      </c>
      <c r="Q70">
        <f>'Code List'!$C$63</f>
        <v>3</v>
      </c>
      <c r="R70">
        <f>F71+'Code List'!$G$63</f>
        <v>2</v>
      </c>
      <c r="S70" t="e">
        <f t="shared" ref="S70:S74" si="60">IF(P70=0,"1",ROUND((P70/$K$1)+$M$1,0))</f>
        <v>#VALUE!</v>
      </c>
      <c r="T70" t="e">
        <f>Q70*R70*S70</f>
        <v>#VALUE!</v>
      </c>
      <c r="U70" t="str">
        <f>IF(A70="YES",CONCATENATE(G70,"_",'Program Page'!$C$4,'Program Page'!$C$5,"_",D70,"_",E70),"")</f>
        <v/>
      </c>
      <c r="V70" t="str">
        <f t="shared" ref="V70:V74" si="61">IF(U70="","",CONCATENATE(U70,"_"))</f>
        <v/>
      </c>
      <c r="W70" t="str">
        <f>IF(A70="YES",CONCATENATE("{",'Code List'!$B$4,'Code List'!$D$4,",",'Code List'!$B$5,'Code List'!$D$5,",",'Code List'!$B$6,"""",U70,"""",",",'Code List'!$B$7,'Code List'!$D$7,",",'Code List'!$B$8,'Code List'!$D$8,",",'Code List'!$B$9,'Code List'!$D$9,",",'Code List'!$B$10,'Code List'!$D$10,",",'Code List'!$B$11,"""",V70,"""",",",'Code List'!$B$12,"""",H70,"""",",",'Code List'!$B$13,"""",I70,"""",",",'Code List'!$B$14,"""",J70,"""",",",'Code List'!$B$15,"""",K70,"""",",",'Code List'!$B$16,"""",L70,"""",",",'Code List'!$B$17,"""",M70,"""",",",'Code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70" s="167" t="str">
        <f>IF(A70="YES",CONCATENATE("{",'Code List'!$B$31,"""",U70,"""",",",'Code List'!$B$32,'Code List'!$D$32,",",'Code List'!$B$33,'Code List'!$D$33,",",'Code List'!$B$34,'Code List'!$D$34,",",'Code List'!$B$35,'Code List'!$D$35,",",'Code List'!$B$36,'Code List'!$D$36,",",'Code List'!$B$37,'Code List'!$D$37,",",'Code List'!$B$38,"""",H70,"""",",",'Code List'!$B$39,"""",I70,"""",",",'Code List'!$B$40,"""",J70,"""",",",'Code List'!$B$41,"""",K70,"""",",",'Code List'!$B$42,"""",L70,"""",",",'Code List'!$B$43,"""",M70,"""",",",'Code List'!$B$44,"""",N70,"""",",",'Code List'!$B$45,"""",O70,"""",",",'Code List'!$B$46,"""",P70,"""",",",'Code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List'!$B$59,"""",T70,"""","}"),"")</f>
        <v/>
      </c>
    </row>
    <row r="71" spans="1:25" x14ac:dyDescent="0.25">
      <c r="A71" t="str">
        <f>IF(AND($A68="YES",E68=$D$1,F71&gt;0),"YES","NO")</f>
        <v>NO</v>
      </c>
      <c r="C71" t="s">
        <v>5</v>
      </c>
      <c r="D71" s="12" t="str">
        <f t="shared" si="56"/>
        <v>2B</v>
      </c>
      <c r="E71" t="s">
        <v>189</v>
      </c>
      <c r="F71">
        <f>'Expanded Base Data'!G66</f>
        <v>0</v>
      </c>
      <c r="G71" s="171">
        <f>F68</f>
        <v>0</v>
      </c>
      <c r="H71">
        <f>ROUND(B68+'Slide Measurements'!$D$17,$O$1)</f>
        <v>114.51</v>
      </c>
      <c r="I71">
        <f>ROUND(H71+(F71*'Slide Measurements'!$D$21),$O$1)</f>
        <v>114.51</v>
      </c>
      <c r="J71">
        <f>K70</f>
        <v>44.379999999999995</v>
      </c>
      <c r="K71">
        <f>J71+($I$1*'Slide Measurements'!$E$23-'Slide Measurements'!$E$23)</f>
        <v>46.23</v>
      </c>
      <c r="L71" s="5" t="str">
        <f>'Expanded Base Data'!$L66</f>
        <v/>
      </c>
      <c r="M71" s="5" t="str">
        <f>'Expanded Base Data'!$K66</f>
        <v/>
      </c>
      <c r="N71">
        <f t="shared" si="57"/>
        <v>0</v>
      </c>
      <c r="O71">
        <f t="shared" si="58"/>
        <v>1.85</v>
      </c>
      <c r="P71" s="5" t="e">
        <f t="shared" si="59"/>
        <v>#VALUE!</v>
      </c>
      <c r="Q71">
        <f>'Code List'!$C$63</f>
        <v>3</v>
      </c>
      <c r="R71">
        <f>F72+'Code List'!$G$63</f>
        <v>2</v>
      </c>
      <c r="S71" t="e">
        <f t="shared" si="60"/>
        <v>#VALUE!</v>
      </c>
      <c r="T71" t="e">
        <f t="shared" ref="T71:T74" si="62">Q71*R71*S71</f>
        <v>#VALUE!</v>
      </c>
      <c r="U71" t="str">
        <f>IF(A71="YES",CONCATENATE(G71,"_",'Program Page'!$C$4,'Program Page'!$C$5,"_",D71,"_",E71),"")</f>
        <v/>
      </c>
      <c r="V71" t="str">
        <f t="shared" si="61"/>
        <v/>
      </c>
      <c r="W71" t="str">
        <f>IF(A71="YES",CONCATENATE("{",'Code List'!$B$4,'Code List'!$D$4,",",'Code List'!$B$5,'Code List'!$D$5,",",'Code List'!$B$6,"""",U71,"""",",",'Code List'!$B$7,'Code List'!$D$7,",",'Code List'!$B$8,'Code List'!$D$8,",",'Code List'!$B$9,'Code List'!$D$9,",",'Code List'!$B$10,'Code List'!$D$10,",",'Code List'!$B$11,"""",V71,"""",",",'Code List'!$B$12,"""",H71,"""",",",'Code List'!$B$13,"""",I71,"""",",",'Code List'!$B$14,"""",J71,"""",",",'Code List'!$B$15,"""",K71,"""",",",'Code List'!$B$16,"""",L71,"""",",",'Code List'!$B$17,"""",M71,"""",",",'Code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71" s="167" t="str">
        <f>IF(A71="YES",CONCATENATE("{",'Code List'!$B$31,"""",U71,"""",",",'Code List'!$B$32,'Code List'!$D$32,",",'Code List'!$B$33,'Code List'!$D$33,",",'Code List'!$B$34,'Code List'!$D$34,",",'Code List'!$B$35,'Code List'!$D$35,",",'Code List'!$B$36,'Code List'!$D$36,",",'Code List'!$B$37,'Code List'!$D$37,",",'Code List'!$B$38,"""",H71,"""",",",'Code List'!$B$39,"""",I71,"""",",",'Code List'!$B$40,"""",J71,"""",",",'Code List'!$B$41,"""",K71,"""",",",'Code List'!$B$42,"""",L71,"""",",",'Code List'!$B$43,"""",M71,"""",",",'Code List'!$B$44,"""",N71,"""",",",'Code List'!$B$45,"""",O71,"""",",",'Code List'!$B$46,"""",P71,"""",",",'Code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List'!$B$59,"""",T71,"""","}"),"")</f>
        <v/>
      </c>
    </row>
    <row r="72" spans="1:25" x14ac:dyDescent="0.25">
      <c r="A72" t="str">
        <f>IF(AND($A68="YES",E68=$D$1,F72&gt;0),"YES","NO")</f>
        <v>NO</v>
      </c>
      <c r="C72" t="s">
        <v>5</v>
      </c>
      <c r="D72" s="12" t="str">
        <f t="shared" si="56"/>
        <v>2B</v>
      </c>
      <c r="E72" t="s">
        <v>190</v>
      </c>
      <c r="F72">
        <f>'Expanded Base Data'!H66</f>
        <v>0</v>
      </c>
      <c r="G72" s="171">
        <f>F68</f>
        <v>0</v>
      </c>
      <c r="H72">
        <f>ROUND(B68+'Slide Measurements'!$D$17,$O$1)</f>
        <v>114.51</v>
      </c>
      <c r="I72">
        <f>ROUND(H72+(F72*'Slide Measurements'!$D$21),$O$1)</f>
        <v>114.51</v>
      </c>
      <c r="J72">
        <f>K71</f>
        <v>46.23</v>
      </c>
      <c r="K72">
        <f>J72+($I$1*'Slide Measurements'!$E$23-'Slide Measurements'!$E$23)</f>
        <v>48.08</v>
      </c>
      <c r="L72" s="5" t="str">
        <f>'Expanded Base Data'!$L66</f>
        <v/>
      </c>
      <c r="M72" s="5" t="str">
        <f>'Expanded Base Data'!$K66</f>
        <v/>
      </c>
      <c r="N72">
        <f t="shared" si="57"/>
        <v>0</v>
      </c>
      <c r="O72">
        <f t="shared" si="58"/>
        <v>1.85</v>
      </c>
      <c r="P72" s="5" t="e">
        <f t="shared" si="59"/>
        <v>#VALUE!</v>
      </c>
      <c r="Q72">
        <f>'Code List'!$C$63</f>
        <v>3</v>
      </c>
      <c r="R72">
        <f>F73+'Code List'!$G$63</f>
        <v>2</v>
      </c>
      <c r="S72" t="e">
        <f t="shared" si="60"/>
        <v>#VALUE!</v>
      </c>
      <c r="T72" t="e">
        <f t="shared" si="62"/>
        <v>#VALUE!</v>
      </c>
      <c r="U72" t="str">
        <f>IF(A72="YES",CONCATENATE(G72,"_",'Program Page'!$C$4,'Program Page'!$C$5,"_",D72,"_",E72),"")</f>
        <v/>
      </c>
      <c r="V72" t="str">
        <f t="shared" si="61"/>
        <v/>
      </c>
      <c r="W72" t="str">
        <f>IF(A72="YES",CONCATENATE("{",'Code List'!$B$4,'Code List'!$D$4,",",'Code List'!$B$5,'Code List'!$D$5,",",'Code List'!$B$6,"""",U72,"""",",",'Code List'!$B$7,'Code List'!$D$7,",",'Code List'!$B$8,'Code List'!$D$8,",",'Code List'!$B$9,'Code List'!$D$9,",",'Code List'!$B$10,'Code List'!$D$10,",",'Code List'!$B$11,"""",V72,"""",",",'Code List'!$B$12,"""",H72,"""",",",'Code List'!$B$13,"""",I72,"""",",",'Code List'!$B$14,"""",J72,"""",",",'Code List'!$B$15,"""",K72,"""",",",'Code List'!$B$16,"""",L72,"""",",",'Code List'!$B$17,"""",M72,"""",",",'Code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72" s="167" t="str">
        <f>IF(A72="YES",CONCATENATE("{",'Code List'!$B$31,"""",U72,"""",",",'Code List'!$B$32,'Code List'!$D$32,",",'Code List'!$B$33,'Code List'!$D$33,",",'Code List'!$B$34,'Code List'!$D$34,",",'Code List'!$B$35,'Code List'!$D$35,",",'Code List'!$B$36,'Code List'!$D$36,",",'Code List'!$B$37,'Code List'!$D$37,",",'Code List'!$B$38,"""",H72,"""",",",'Code List'!$B$39,"""",I72,"""",",",'Code List'!$B$40,"""",J72,"""",",",'Code List'!$B$41,"""",K72,"""",",",'Code List'!$B$42,"""",L72,"""",",",'Code List'!$B$43,"""",M72,"""",",",'Code List'!$B$44,"""",N72,"""",",",'Code List'!$B$45,"""",O72,"""",",",'Code List'!$B$46,"""",P72,"""",",",'Code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List'!$B$59,"""",T72,"""","}"),"")</f>
        <v/>
      </c>
    </row>
    <row r="73" spans="1:25" x14ac:dyDescent="0.25">
      <c r="A73" t="str">
        <f>IF(AND($A68="YES",E68=$D$1,F73&gt;0),"YES","NO")</f>
        <v>NO</v>
      </c>
      <c r="C73" t="s">
        <v>5</v>
      </c>
      <c r="D73" s="12" t="str">
        <f t="shared" si="56"/>
        <v>2B</v>
      </c>
      <c r="E73" t="s">
        <v>191</v>
      </c>
      <c r="F73">
        <f>'Expanded Base Data'!I66</f>
        <v>0</v>
      </c>
      <c r="G73" s="171">
        <f>F68</f>
        <v>0</v>
      </c>
      <c r="H73">
        <f>ROUND(B68+'Slide Measurements'!$D$17,$O$1)</f>
        <v>114.51</v>
      </c>
      <c r="I73">
        <f>ROUND(H73+(F73*'Slide Measurements'!$D$21),$O$1)</f>
        <v>114.51</v>
      </c>
      <c r="J73">
        <f>K72</f>
        <v>48.08</v>
      </c>
      <c r="K73">
        <f>J73+($I$1*'Slide Measurements'!$E$23-'Slide Measurements'!$E$23)</f>
        <v>49.93</v>
      </c>
      <c r="L73" s="5" t="str">
        <f>'Expanded Base Data'!$L66</f>
        <v/>
      </c>
      <c r="M73" s="5" t="str">
        <f>'Expanded Base Data'!$K66</f>
        <v/>
      </c>
      <c r="N73">
        <f t="shared" si="57"/>
        <v>0</v>
      </c>
      <c r="O73">
        <f t="shared" si="58"/>
        <v>1.85</v>
      </c>
      <c r="P73" s="5" t="e">
        <f t="shared" si="59"/>
        <v>#VALUE!</v>
      </c>
      <c r="Q73">
        <f>'Code List'!$C$63</f>
        <v>3</v>
      </c>
      <c r="R73">
        <f>F74+'Code List'!$G$63</f>
        <v>2</v>
      </c>
      <c r="S73" t="e">
        <f t="shared" si="60"/>
        <v>#VALUE!</v>
      </c>
      <c r="T73" t="e">
        <f t="shared" si="62"/>
        <v>#VALUE!</v>
      </c>
      <c r="U73" t="str">
        <f>IF(A73="YES",CONCATENATE(G73,"_",'Program Page'!$C$4,'Program Page'!$C$5,"_",D73,"_",E73),"")</f>
        <v/>
      </c>
      <c r="V73" t="str">
        <f t="shared" si="61"/>
        <v/>
      </c>
      <c r="W73" t="str">
        <f>IF(A73="YES",CONCATENATE("{",'Code List'!$B$4,'Code List'!$D$4,",",'Code List'!$B$5,'Code List'!$D$5,",",'Code List'!$B$6,"""",U73,"""",",",'Code List'!$B$7,'Code List'!$D$7,",",'Code List'!$B$8,'Code List'!$D$8,",",'Code List'!$B$9,'Code List'!$D$9,",",'Code List'!$B$10,'Code List'!$D$10,",",'Code List'!$B$11,"""",V73,"""",",",'Code List'!$B$12,"""",H73,"""",",",'Code List'!$B$13,"""",I73,"""",",",'Code List'!$B$14,"""",J73,"""",",",'Code List'!$B$15,"""",K73,"""",",",'Code List'!$B$16,"""",L73,"""",",",'Code List'!$B$17,"""",M73,"""",",",'Code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73" s="167" t="str">
        <f>IF(A73="YES",CONCATENATE("{",'Code List'!$B$31,"""",U73,"""",",",'Code List'!$B$32,'Code List'!$D$32,",",'Code List'!$B$33,'Code List'!$D$33,",",'Code List'!$B$34,'Code List'!$D$34,",",'Code List'!$B$35,'Code List'!$D$35,",",'Code List'!$B$36,'Code List'!$D$36,",",'Code List'!$B$37,'Code List'!$D$37,",",'Code List'!$B$38,"""",H73,"""",",",'Code List'!$B$39,"""",I73,"""",",",'Code List'!$B$40,"""",J73,"""",",",'Code List'!$B$41,"""",K73,"""",",",'Code List'!$B$42,"""",L73,"""",",",'Code List'!$B$43,"""",M73,"""",",",'Code List'!$B$44,"""",N73,"""",",",'Code List'!$B$45,"""",O73,"""",",",'Code List'!$B$46,"""",P73,"""",",",'Code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List'!$B$59,"""",T73,"""","}"),"")</f>
        <v/>
      </c>
    </row>
    <row r="74" spans="1:25" x14ac:dyDescent="0.25">
      <c r="A74" t="str">
        <f>IF(AND($A68="YES",E68=$D$1,F74&gt;0),"YES","NO")</f>
        <v>NO</v>
      </c>
      <c r="C74" t="s">
        <v>5</v>
      </c>
      <c r="D74" s="12" t="str">
        <f t="shared" si="56"/>
        <v>2B</v>
      </c>
      <c r="E74" t="s">
        <v>196</v>
      </c>
      <c r="F74">
        <f>'Expanded Base Data'!J66</f>
        <v>0</v>
      </c>
      <c r="G74" s="171">
        <f>F68</f>
        <v>0</v>
      </c>
      <c r="H74">
        <f>ROUND(B68+'Slide Measurements'!$D$17,$O$1)</f>
        <v>114.51</v>
      </c>
      <c r="I74">
        <f>ROUND(H74+(F74*'Slide Measurements'!$D$21),$O$1)</f>
        <v>114.51</v>
      </c>
      <c r="J74">
        <f>K73</f>
        <v>49.93</v>
      </c>
      <c r="K74">
        <f>J74+($I$1*'Slide Measurements'!$E$23-'Slide Measurements'!$E$23)</f>
        <v>51.78</v>
      </c>
      <c r="L74" s="5" t="str">
        <f>'Expanded Base Data'!$L66</f>
        <v/>
      </c>
      <c r="M74" s="5" t="str">
        <f>'Expanded Base Data'!$K66</f>
        <v/>
      </c>
      <c r="N74">
        <f t="shared" si="57"/>
        <v>0</v>
      </c>
      <c r="O74">
        <f t="shared" si="58"/>
        <v>1.85</v>
      </c>
      <c r="P74" s="5" t="e">
        <f t="shared" si="59"/>
        <v>#VALUE!</v>
      </c>
      <c r="Q74">
        <f>'Code List'!$C$63</f>
        <v>3</v>
      </c>
      <c r="R74">
        <f>F75+'Code List'!$G$63</f>
        <v>2</v>
      </c>
      <c r="S74" t="e">
        <f t="shared" si="60"/>
        <v>#VALUE!</v>
      </c>
      <c r="T74" t="e">
        <f t="shared" si="62"/>
        <v>#VALUE!</v>
      </c>
      <c r="U74" t="str">
        <f>IF(A74="YES",CONCATENATE(G74,"_",'Program Page'!$C$4,'Program Page'!$C$5,"_",D74,"_",E74),"")</f>
        <v/>
      </c>
      <c r="V74" t="str">
        <f t="shared" si="61"/>
        <v/>
      </c>
      <c r="W74" t="str">
        <f>IF(A74="YES",CONCATENATE("{",'Code List'!$B$4,'Code List'!$D$4,",",'Code List'!$B$5,'Code List'!$D$5,",",'Code List'!$B$6,"""",U74,"""",",",'Code List'!$B$7,'Code List'!$D$7,",",'Code List'!$B$8,'Code List'!$D$8,",",'Code List'!$B$9,'Code List'!$D$9,",",'Code List'!$B$10,'Code List'!$D$10,",",'Code List'!$B$11,"""",V74,"""",",",'Code List'!$B$12,"""",H74,"""",",",'Code List'!$B$13,"""",I74,"""",",",'Code List'!$B$14,"""",J74,"""",",",'Code List'!$B$15,"""",K74,"""",",",'Code List'!$B$16,"""",L74,"""",",",'Code List'!$B$17,"""",M74,"""",",",'Code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74" s="167" t="str">
        <f>IF(A74="YES",CONCATENATE("{",'Code List'!$B$31,"""",U74,"""",",",'Code List'!$B$32,'Code List'!$D$32,",",'Code List'!$B$33,'Code List'!$D$33,",",'Code List'!$B$34,'Code List'!$D$34,",",'Code List'!$B$35,'Code List'!$D$35,",",'Code List'!$B$36,'Code List'!$D$36,",",'Code List'!$B$37,'Code List'!$D$37,",",'Code List'!$B$38,"""",H74,"""",",",'Code List'!$B$39,"""",I74,"""",",",'Code List'!$B$40,"""",J74,"""",",",'Code List'!$B$41,"""",K74,"""",",",'Code List'!$B$42,"""",L74,"""",",",'Code List'!$B$43,"""",M74,"""",",",'Code List'!$B$44,"""",N74,"""",",",'Code List'!$B$45,"""",O74,"""",",",'Code List'!$B$46,"""",P74,"""",",",'Code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List'!$B$59,"""",T74,"""","}"),"")</f>
        <v/>
      </c>
    </row>
    <row r="75" spans="1:25" x14ac:dyDescent="0.25">
      <c r="A75" s="162" t="str">
        <f>IF(AND($A68="YES",E68=$E$1),"YES","NO")</f>
        <v>NO</v>
      </c>
      <c r="C75" t="s">
        <v>259</v>
      </c>
      <c r="D75" s="12" t="str">
        <f>D74</f>
        <v>2B</v>
      </c>
      <c r="E75" t="s">
        <v>259</v>
      </c>
      <c r="G75" s="171">
        <f>F68</f>
        <v>0</v>
      </c>
      <c r="H75">
        <f>ROUND(B68,$O$1)</f>
        <v>89.11</v>
      </c>
      <c r="I75">
        <f>ROUND(B68+'Slide Measurements'!$D$1,$O$1)</f>
        <v>165.56</v>
      </c>
      <c r="J75">
        <f>C68</f>
        <v>38.229999999999997</v>
      </c>
      <c r="K75">
        <f>C68+'Slide Measurements'!$D$2</f>
        <v>65.63</v>
      </c>
      <c r="L75" s="5" t="str">
        <f>'Expanded Base Data'!$L66</f>
        <v/>
      </c>
      <c r="M75" s="5" t="str">
        <f>'Expanded Base Data'!$K66</f>
        <v/>
      </c>
      <c r="N75">
        <f t="shared" si="57"/>
        <v>76.45</v>
      </c>
      <c r="O75">
        <f t="shared" si="58"/>
        <v>27.4</v>
      </c>
      <c r="P75" s="5" t="e">
        <f>ROUND((L75-M75),$O$1)</f>
        <v>#VALUE!</v>
      </c>
      <c r="Q75">
        <f>'Code List'!$C$70</f>
        <v>11</v>
      </c>
      <c r="R75">
        <f>'Code List'!$D$70</f>
        <v>19</v>
      </c>
      <c r="S75" t="e">
        <f>IF(P75=0,"1",ROUND((P75/$K$1)+$M$1,0))</f>
        <v>#VALUE!</v>
      </c>
      <c r="T75" t="e">
        <f>Q75*R75*S75</f>
        <v>#VALUE!</v>
      </c>
      <c r="U75" t="str">
        <f>IF(A75="YES",CONCATENATE(G75,"_",'Program Page'!$C$4,'Program Page'!$C$5,"_",D75,"_",E75),"")</f>
        <v/>
      </c>
      <c r="V75" t="str">
        <f>IF(U75="","",CONCATENATE(U75,"_"))</f>
        <v/>
      </c>
      <c r="W75" t="str">
        <f>IF(A75="YES",CONCATENATE("{",'Code List'!$B$4,'Code List'!$D$4,",",'Code List'!$B$5,'Code List'!$D$5,",",'Code List'!$B$6,"""",U75,"""",",",'Code List'!$B$7,'Code List'!$D$7,",",'Code List'!$B$8,'Code List'!$D$8,",",'Code List'!$B$9,'Code List'!$D$9,",",'Code List'!$B$10,'Code List'!$D$10,",",'Code List'!$B$11,"""",V75,"""",",",'Code List'!$B$12,"""",H75,"""",",",'Code List'!$B$13,"""",I75,"""",",",'Code List'!$B$14,"""",J75,"""",",",'Code List'!$B$15,"""",K75,"""",",",'Code List'!$B$16,"""",L75,"""",",",'Code List'!$B$17,"""",M75,"""",",",'Code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75" s="167" t="str">
        <f>IF(A75="YES",CONCATENATE("{",'Code List'!$B$31,"""",U75,"""",",",'Code List'!$B$32,'Code List'!$D$32,",",'Code List'!$B$33,'Code List'!$D$33,",",'Code List'!$B$34,'Code List'!$D$34,",",'Code List'!$B$35,'Code List'!$D$35,",",'Code List'!$B$36,'Code List'!$D$36,",",'Code List'!$B$37,'Code List'!$D$37,",",'Code List'!$B$38,"""",H75,"""",",",'Code List'!$B$39,"""",I75,"""",",",'Code List'!$B$40,"""",J75,"""",",",'Code List'!$B$41,"""",K75,"""",",",'Code List'!$B$42,"""",L75,"""",",",'Code List'!$B$43,"""",M75,"""",",",'Code List'!$B$44,"""",N75,"""",",",'Code List'!$B$45,"""",O75,"""",",",'Code List'!$B$46,"""",P75,"""",",",'Code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List'!$B$59,"""",T75,"""","}"),"")</f>
        <v/>
      </c>
    </row>
    <row r="76" spans="1:25" ht="18.75" x14ac:dyDescent="0.3">
      <c r="A76" s="35" t="str">
        <f>IF(OR(E76=$C$1,E76=$D$1,E76=$E$1),"YES","NO")</f>
        <v>NO</v>
      </c>
      <c r="B76" s="35">
        <f>'Expanded Base Data'!D74</f>
        <v>175.71</v>
      </c>
      <c r="C76" s="35">
        <f>'Expanded Base Data'!E74</f>
        <v>38.229999999999997</v>
      </c>
      <c r="D76" s="36" t="str">
        <f>'Expanded Base Data'!B74</f>
        <v>2C</v>
      </c>
      <c r="E76" s="35">
        <f>'Expanded Base Data'!C74</f>
        <v>0</v>
      </c>
      <c r="F76" s="35">
        <f>'Expanded Base Data'!M74</f>
        <v>0</v>
      </c>
      <c r="G76" s="170">
        <f>F76</f>
        <v>0</v>
      </c>
      <c r="Y76" s="167" t="str">
        <f>""</f>
        <v/>
      </c>
    </row>
    <row r="77" spans="1:25" x14ac:dyDescent="0.25">
      <c r="A77" t="str">
        <f>IF(AND($A76="YES",E76=$C$1),"YES","NO")</f>
        <v>NO</v>
      </c>
      <c r="C77" t="s">
        <v>6</v>
      </c>
      <c r="D77" s="12" t="str">
        <f>D76</f>
        <v>2C</v>
      </c>
      <c r="E77" t="s">
        <v>6</v>
      </c>
      <c r="F77" t="s">
        <v>198</v>
      </c>
      <c r="G77" s="171">
        <f>F76</f>
        <v>0</v>
      </c>
      <c r="H77">
        <f>IF('Expanded Base Data'!N74="",ROUND(B76+'Slide Measurements'!$D$11,$O$1),B76+'Expanded Base Data'!N74)</f>
        <v>208.71</v>
      </c>
      <c r="I77">
        <f>IF('Expanded Base Data'!O74="",ROUND(B76+'Slide Measurements'!$D$12,$O$1),B76+'Expanded Base Data'!O74)</f>
        <v>217.31</v>
      </c>
      <c r="J77">
        <f>IF('Expanded Base Data'!P74="",C76+'Slide Measurements'!$E$13,C76+'Expanded Base Data'!P74)</f>
        <v>46.929999999999993</v>
      </c>
      <c r="K77">
        <f>IF('Expanded Base Data'!Q74="",C76+'Slide Measurements'!$E$14,C76+'Expanded Base Data'!Q74)</f>
        <v>55.529999999999994</v>
      </c>
      <c r="L77" s="5" t="str">
        <f>'Expanded Base Data'!$L74</f>
        <v/>
      </c>
      <c r="M77" s="5" t="str">
        <f>'Expanded Base Data'!$K74</f>
        <v/>
      </c>
      <c r="N77">
        <f>ROUND((I77-H77),$O$1)</f>
        <v>8.6</v>
      </c>
      <c r="O77">
        <f>ROUND((K77-J77),$O$1)</f>
        <v>8.6</v>
      </c>
      <c r="P77" s="5" t="e">
        <f>ROUND((L77-M77),$O$1)</f>
        <v>#VALUE!</v>
      </c>
      <c r="Q77">
        <f>'Code List'!$C$62</f>
        <v>5</v>
      </c>
      <c r="R77">
        <f>F78+'Code List'!$G$63</f>
        <v>2</v>
      </c>
      <c r="S77" t="e">
        <f>IF(P77=0,"1",ROUND((P77/$K$1)+$M$1,0))</f>
        <v>#VALUE!</v>
      </c>
      <c r="T77" t="e">
        <f>Q77*R77*S77</f>
        <v>#VALUE!</v>
      </c>
      <c r="U77" t="str">
        <f>IF(A77="YES",CONCATENATE(G77,"_",'Program Page'!$C$4,'Program Page'!$C$5,"_",D77,"_",E77),"")</f>
        <v/>
      </c>
      <c r="V77" t="str">
        <f>IF(U77="","",CONCATENATE(U77,"_"))</f>
        <v/>
      </c>
      <c r="W77" t="str">
        <f>IF(A77="YES",CONCATENATE("{",'Code List'!$B$4,'Code List'!$D$4,",",'Code List'!$B$5,'Code List'!$D$5,",",'Code List'!$B$6,"""",U77,"""",",",'Code List'!$B$7,'Code List'!$D$7,",",'Code List'!$B$8,'Code List'!$D$8,",",'Code List'!$B$9,'Code List'!$D$9,",",'Code List'!$B$10,'Code List'!$D$10,",",'Code List'!$B$11,"""",V77,"""",",",'Code List'!$B$12,"""",H77,"""",",",'Code List'!$B$13,"""",I77,"""",",",'Code List'!$B$14,"""",J77,"""",",",'Code List'!$B$15,"""",K77,"""",",",'Code List'!$B$16,"""",L77,"""",",",'Code List'!$B$17,"""",M77,"""",",",'Code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77" s="167" t="str">
        <f>IF(A77="YES",CONCATENATE("{",'Code List'!$B$31,"""",U77,"""",",",'Code List'!$B$32,'Code List'!$D$32,",",'Code List'!$B$33,'Code List'!$D$33,",",'Code List'!$B$34,'Code List'!$D$34,",",'Code List'!$B$35,'Code List'!$D$35,",",'Code List'!$B$36,'Code List'!$D$36,",",'Code List'!$B$37,'Code List'!$D$37,",",'Code List'!$B$38,"""",H77,"""",",",'Code List'!$B$39,"""",I77,"""",",",'Code List'!$B$40,"""",J77,"""",",",'Code List'!$B$41,"""",K77,"""",",",'Code List'!$B$42,"""",L77,"""",",",'Code List'!$B$43,"""",M77,"""",",",'Code List'!$B$44,"""",N77,"""",",",'Code List'!$B$45,"""",O77,"""",",",'Code List'!$B$46,"""",P77,"""",",",'Code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List'!$B$59,"""",T77,"""","}"),"")</f>
        <v/>
      </c>
    </row>
    <row r="78" spans="1:25" x14ac:dyDescent="0.25">
      <c r="A78" t="str">
        <f>IF(AND($A76="YES",E76=$D$1,F78&gt;0),"YES","NO")</f>
        <v>NO</v>
      </c>
      <c r="C78" t="s">
        <v>5</v>
      </c>
      <c r="D78" s="12" t="str">
        <f t="shared" ref="D78:D82" si="63">D77</f>
        <v>2C</v>
      </c>
      <c r="E78" t="s">
        <v>188</v>
      </c>
      <c r="F78">
        <f>'Expanded Base Data'!F74</f>
        <v>0</v>
      </c>
      <c r="G78" s="171">
        <f>F76</f>
        <v>0</v>
      </c>
      <c r="H78">
        <f>ROUND(B76+'Slide Measurements'!$D$17,$O$1)</f>
        <v>201.11</v>
      </c>
      <c r="I78">
        <f>ROUND(H78+(F78*'Slide Measurements'!$D$21),$O$1)</f>
        <v>201.11</v>
      </c>
      <c r="J78">
        <f>C76+'Slide Measurements'!$E$17</f>
        <v>42.529999999999994</v>
      </c>
      <c r="K78">
        <f>J78+($I$1*'Slide Measurements'!$E$23-'Slide Measurements'!$E$23)</f>
        <v>44.379999999999995</v>
      </c>
      <c r="L78" s="5" t="str">
        <f>'Expanded Base Data'!$L74</f>
        <v/>
      </c>
      <c r="M78" s="5" t="str">
        <f>'Expanded Base Data'!$K74</f>
        <v/>
      </c>
      <c r="N78">
        <f t="shared" ref="N78:N83" si="64">ROUND((I78-H78),$O$1)</f>
        <v>0</v>
      </c>
      <c r="O78">
        <f t="shared" ref="O78:O83" si="65">ROUND((K78-J78),$O$1)</f>
        <v>1.85</v>
      </c>
      <c r="P78" s="5" t="e">
        <f t="shared" ref="P78:P82" si="66">ROUND((L78-M78),$O$1)</f>
        <v>#VALUE!</v>
      </c>
      <c r="Q78">
        <f>'Code List'!$C$63</f>
        <v>3</v>
      </c>
      <c r="R78">
        <f>F79+'Code List'!$G$63</f>
        <v>2</v>
      </c>
      <c r="S78" t="e">
        <f t="shared" ref="S78:S82" si="67">IF(P78=0,"1",ROUND((P78/$K$1)+$M$1,0))</f>
        <v>#VALUE!</v>
      </c>
      <c r="T78" t="e">
        <f>Q78*R78*S78</f>
        <v>#VALUE!</v>
      </c>
      <c r="U78" t="str">
        <f>IF(A78="YES",CONCATENATE(G78,"_",'Program Page'!$C$4,'Program Page'!$C$5,"_",D78,"_",E78),"")</f>
        <v/>
      </c>
      <c r="V78" t="str">
        <f t="shared" ref="V78:V82" si="68">IF(U78="","",CONCATENATE(U78,"_"))</f>
        <v/>
      </c>
      <c r="W78" t="str">
        <f>IF(A78="YES",CONCATENATE("{",'Code List'!$B$4,'Code List'!$D$4,",",'Code List'!$B$5,'Code List'!$D$5,",",'Code List'!$B$6,"""",U78,"""",",",'Code List'!$B$7,'Code List'!$D$7,",",'Code List'!$B$8,'Code List'!$D$8,",",'Code List'!$B$9,'Code List'!$D$9,",",'Code List'!$B$10,'Code List'!$D$10,",",'Code List'!$B$11,"""",V78,"""",",",'Code List'!$B$12,"""",H78,"""",",",'Code List'!$B$13,"""",I78,"""",",",'Code List'!$B$14,"""",J78,"""",",",'Code List'!$B$15,"""",K78,"""",",",'Code List'!$B$16,"""",L78,"""",",",'Code List'!$B$17,"""",M78,"""",",",'Code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78" s="167" t="str">
        <f>IF(A78="YES",CONCATENATE("{",'Code List'!$B$31,"""",U78,"""",",",'Code List'!$B$32,'Code List'!$D$32,",",'Code List'!$B$33,'Code List'!$D$33,",",'Code List'!$B$34,'Code List'!$D$34,",",'Code List'!$B$35,'Code List'!$D$35,",",'Code List'!$B$36,'Code List'!$D$36,",",'Code List'!$B$37,'Code List'!$D$37,",",'Code List'!$B$38,"""",H78,"""",",",'Code List'!$B$39,"""",I78,"""",",",'Code List'!$B$40,"""",J78,"""",",",'Code List'!$B$41,"""",K78,"""",",",'Code List'!$B$42,"""",L78,"""",",",'Code List'!$B$43,"""",M78,"""",",",'Code List'!$B$44,"""",N78,"""",",",'Code List'!$B$45,"""",O78,"""",",",'Code List'!$B$46,"""",P78,"""",",",'Code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List'!$B$59,"""",T78,"""","}"),"")</f>
        <v/>
      </c>
    </row>
    <row r="79" spans="1:25" x14ac:dyDescent="0.25">
      <c r="A79" t="str">
        <f>IF(AND($A76="YES",E76=$D$1,F79&gt;0),"YES","NO")</f>
        <v>NO</v>
      </c>
      <c r="C79" t="s">
        <v>5</v>
      </c>
      <c r="D79" s="12" t="str">
        <f t="shared" si="63"/>
        <v>2C</v>
      </c>
      <c r="E79" t="s">
        <v>189</v>
      </c>
      <c r="F79">
        <f>'Expanded Base Data'!G74</f>
        <v>0</v>
      </c>
      <c r="G79" s="171">
        <f>F76</f>
        <v>0</v>
      </c>
      <c r="H79">
        <f>ROUND(B76+'Slide Measurements'!$D$17,$O$1)</f>
        <v>201.11</v>
      </c>
      <c r="I79">
        <f>ROUND(H79+(F79*'Slide Measurements'!$D$21),$O$1)</f>
        <v>201.11</v>
      </c>
      <c r="J79">
        <f>K78</f>
        <v>44.379999999999995</v>
      </c>
      <c r="K79">
        <f>J79+($I$1*'Slide Measurements'!$E$23-'Slide Measurements'!$E$23)</f>
        <v>46.23</v>
      </c>
      <c r="L79" s="5" t="str">
        <f>'Expanded Base Data'!$L74</f>
        <v/>
      </c>
      <c r="M79" s="5" t="str">
        <f>'Expanded Base Data'!$K74</f>
        <v/>
      </c>
      <c r="N79">
        <f t="shared" si="64"/>
        <v>0</v>
      </c>
      <c r="O79">
        <f t="shared" si="65"/>
        <v>1.85</v>
      </c>
      <c r="P79" s="5" t="e">
        <f t="shared" si="66"/>
        <v>#VALUE!</v>
      </c>
      <c r="Q79">
        <f>'Code List'!$C$63</f>
        <v>3</v>
      </c>
      <c r="R79">
        <f>F80+'Code List'!$G$63</f>
        <v>2</v>
      </c>
      <c r="S79" t="e">
        <f t="shared" si="67"/>
        <v>#VALUE!</v>
      </c>
      <c r="T79" t="e">
        <f t="shared" ref="T79:T82" si="69">Q79*R79*S79</f>
        <v>#VALUE!</v>
      </c>
      <c r="U79" t="str">
        <f>IF(A79="YES",CONCATENATE(G79,"_",'Program Page'!$C$4,'Program Page'!$C$5,"_",D79,"_",E79),"")</f>
        <v/>
      </c>
      <c r="V79" t="str">
        <f t="shared" si="68"/>
        <v/>
      </c>
      <c r="W79" t="str">
        <f>IF(A79="YES",CONCATENATE("{",'Code List'!$B$4,'Code List'!$D$4,",",'Code List'!$B$5,'Code List'!$D$5,",",'Code List'!$B$6,"""",U79,"""",",",'Code List'!$B$7,'Code List'!$D$7,",",'Code List'!$B$8,'Code List'!$D$8,",",'Code List'!$B$9,'Code List'!$D$9,",",'Code List'!$B$10,'Code List'!$D$10,",",'Code List'!$B$11,"""",V79,"""",",",'Code List'!$B$12,"""",H79,"""",",",'Code List'!$B$13,"""",I79,"""",",",'Code List'!$B$14,"""",J79,"""",",",'Code List'!$B$15,"""",K79,"""",",",'Code List'!$B$16,"""",L79,"""",",",'Code List'!$B$17,"""",M79,"""",",",'Code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79" s="167" t="str">
        <f>IF(A79="YES",CONCATENATE("{",'Code List'!$B$31,"""",U79,"""",",",'Code List'!$B$32,'Code List'!$D$32,",",'Code List'!$B$33,'Code List'!$D$33,",",'Code List'!$B$34,'Code List'!$D$34,",",'Code List'!$B$35,'Code List'!$D$35,",",'Code List'!$B$36,'Code List'!$D$36,",",'Code List'!$B$37,'Code List'!$D$37,",",'Code List'!$B$38,"""",H79,"""",",",'Code List'!$B$39,"""",I79,"""",",",'Code List'!$B$40,"""",J79,"""",",",'Code List'!$B$41,"""",K79,"""",",",'Code List'!$B$42,"""",L79,"""",",",'Code List'!$B$43,"""",M79,"""",",",'Code List'!$B$44,"""",N79,"""",",",'Code List'!$B$45,"""",O79,"""",",",'Code List'!$B$46,"""",P79,"""",",",'Code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List'!$B$59,"""",T79,"""","}"),"")</f>
        <v/>
      </c>
    </row>
    <row r="80" spans="1:25" x14ac:dyDescent="0.25">
      <c r="A80" t="str">
        <f>IF(AND($A76="YES",E76=$D$1,F80&gt;0),"YES","NO")</f>
        <v>NO</v>
      </c>
      <c r="C80" t="s">
        <v>5</v>
      </c>
      <c r="D80" s="12" t="str">
        <f t="shared" si="63"/>
        <v>2C</v>
      </c>
      <c r="E80" t="s">
        <v>190</v>
      </c>
      <c r="F80">
        <f>'Expanded Base Data'!H74</f>
        <v>0</v>
      </c>
      <c r="G80" s="171">
        <f>F76</f>
        <v>0</v>
      </c>
      <c r="H80">
        <f>ROUND(B76+'Slide Measurements'!$D$17,$O$1)</f>
        <v>201.11</v>
      </c>
      <c r="I80">
        <f>ROUND(H80+(F80*'Slide Measurements'!$D$21),$O$1)</f>
        <v>201.11</v>
      </c>
      <c r="J80">
        <f>K79</f>
        <v>46.23</v>
      </c>
      <c r="K80">
        <f>J80+($I$1*'Slide Measurements'!$E$23-'Slide Measurements'!$E$23)</f>
        <v>48.08</v>
      </c>
      <c r="L80" s="5" t="str">
        <f>'Expanded Base Data'!$L74</f>
        <v/>
      </c>
      <c r="M80" s="5" t="str">
        <f>'Expanded Base Data'!$K74</f>
        <v/>
      </c>
      <c r="N80">
        <f t="shared" si="64"/>
        <v>0</v>
      </c>
      <c r="O80">
        <f t="shared" si="65"/>
        <v>1.85</v>
      </c>
      <c r="P80" s="5" t="e">
        <f t="shared" si="66"/>
        <v>#VALUE!</v>
      </c>
      <c r="Q80">
        <f>'Code List'!$C$63</f>
        <v>3</v>
      </c>
      <c r="R80">
        <f>F81+'Code List'!$G$63</f>
        <v>2</v>
      </c>
      <c r="S80" t="e">
        <f t="shared" si="67"/>
        <v>#VALUE!</v>
      </c>
      <c r="T80" t="e">
        <f t="shared" si="69"/>
        <v>#VALUE!</v>
      </c>
      <c r="U80" t="str">
        <f>IF(A80="YES",CONCATENATE(G80,"_",'Program Page'!$C$4,'Program Page'!$C$5,"_",D80,"_",E80),"")</f>
        <v/>
      </c>
      <c r="V80" t="str">
        <f t="shared" si="68"/>
        <v/>
      </c>
      <c r="W80" t="str">
        <f>IF(A80="YES",CONCATENATE("{",'Code List'!$B$4,'Code List'!$D$4,",",'Code List'!$B$5,'Code List'!$D$5,",",'Code List'!$B$6,"""",U80,"""",",",'Code List'!$B$7,'Code List'!$D$7,",",'Code List'!$B$8,'Code List'!$D$8,",",'Code List'!$B$9,'Code List'!$D$9,",",'Code List'!$B$10,'Code List'!$D$10,",",'Code List'!$B$11,"""",V80,"""",",",'Code List'!$B$12,"""",H80,"""",",",'Code List'!$B$13,"""",I80,"""",",",'Code List'!$B$14,"""",J80,"""",",",'Code List'!$B$15,"""",K80,"""",",",'Code List'!$B$16,"""",L80,"""",",",'Code List'!$B$17,"""",M80,"""",",",'Code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80" s="167" t="str">
        <f>IF(A80="YES",CONCATENATE("{",'Code List'!$B$31,"""",U80,"""",",",'Code List'!$B$32,'Code List'!$D$32,",",'Code List'!$B$33,'Code List'!$D$33,",",'Code List'!$B$34,'Code List'!$D$34,",",'Code List'!$B$35,'Code List'!$D$35,",",'Code List'!$B$36,'Code List'!$D$36,",",'Code List'!$B$37,'Code List'!$D$37,",",'Code List'!$B$38,"""",H80,"""",",",'Code List'!$B$39,"""",I80,"""",",",'Code List'!$B$40,"""",J80,"""",",",'Code List'!$B$41,"""",K80,"""",",",'Code List'!$B$42,"""",L80,"""",",",'Code List'!$B$43,"""",M80,"""",",",'Code List'!$B$44,"""",N80,"""",",",'Code List'!$B$45,"""",O80,"""",",",'Code List'!$B$46,"""",P80,"""",",",'Code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List'!$B$59,"""",T80,"""","}"),"")</f>
        <v/>
      </c>
    </row>
    <row r="81" spans="1:25" x14ac:dyDescent="0.25">
      <c r="A81" t="str">
        <f>IF(AND($A76="YES",E76=$D$1,F81&gt;0),"YES","NO")</f>
        <v>NO</v>
      </c>
      <c r="C81" t="s">
        <v>5</v>
      </c>
      <c r="D81" s="12" t="str">
        <f t="shared" si="63"/>
        <v>2C</v>
      </c>
      <c r="E81" t="s">
        <v>191</v>
      </c>
      <c r="F81">
        <f>'Expanded Base Data'!I74</f>
        <v>0</v>
      </c>
      <c r="G81" s="171">
        <f>F76</f>
        <v>0</v>
      </c>
      <c r="H81">
        <f>ROUND(B76+'Slide Measurements'!$D$17,$O$1)</f>
        <v>201.11</v>
      </c>
      <c r="I81">
        <f>ROUND(H81+(F81*'Slide Measurements'!$D$21),$O$1)</f>
        <v>201.11</v>
      </c>
      <c r="J81">
        <f>K80</f>
        <v>48.08</v>
      </c>
      <c r="K81">
        <f>J81+($I$1*'Slide Measurements'!$E$23-'Slide Measurements'!$E$23)</f>
        <v>49.93</v>
      </c>
      <c r="L81" s="5" t="str">
        <f>'Expanded Base Data'!$L74</f>
        <v/>
      </c>
      <c r="M81" s="5" t="str">
        <f>'Expanded Base Data'!$K74</f>
        <v/>
      </c>
      <c r="N81">
        <f t="shared" si="64"/>
        <v>0</v>
      </c>
      <c r="O81">
        <f t="shared" si="65"/>
        <v>1.85</v>
      </c>
      <c r="P81" s="5" t="e">
        <f t="shared" si="66"/>
        <v>#VALUE!</v>
      </c>
      <c r="Q81">
        <f>'Code List'!$C$63</f>
        <v>3</v>
      </c>
      <c r="R81">
        <f>F82+'Code List'!$G$63</f>
        <v>2</v>
      </c>
      <c r="S81" t="e">
        <f t="shared" si="67"/>
        <v>#VALUE!</v>
      </c>
      <c r="T81" t="e">
        <f t="shared" si="69"/>
        <v>#VALUE!</v>
      </c>
      <c r="U81" t="str">
        <f>IF(A81="YES",CONCATENATE(G81,"_",'Program Page'!$C$4,'Program Page'!$C$5,"_",D81,"_",E81),"")</f>
        <v/>
      </c>
      <c r="V81" t="str">
        <f t="shared" si="68"/>
        <v/>
      </c>
      <c r="W81" t="str">
        <f>IF(A81="YES",CONCATENATE("{",'Code List'!$B$4,'Code List'!$D$4,",",'Code List'!$B$5,'Code List'!$D$5,",",'Code List'!$B$6,"""",U81,"""",",",'Code List'!$B$7,'Code List'!$D$7,",",'Code List'!$B$8,'Code List'!$D$8,",",'Code List'!$B$9,'Code List'!$D$9,",",'Code List'!$B$10,'Code List'!$D$10,",",'Code List'!$B$11,"""",V81,"""",",",'Code List'!$B$12,"""",H81,"""",",",'Code List'!$B$13,"""",I81,"""",",",'Code List'!$B$14,"""",J81,"""",",",'Code List'!$B$15,"""",K81,"""",",",'Code List'!$B$16,"""",L81,"""",",",'Code List'!$B$17,"""",M81,"""",",",'Code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81" s="167" t="str">
        <f>IF(A81="YES",CONCATENATE("{",'Code List'!$B$31,"""",U81,"""",",",'Code List'!$B$32,'Code List'!$D$32,",",'Code List'!$B$33,'Code List'!$D$33,",",'Code List'!$B$34,'Code List'!$D$34,",",'Code List'!$B$35,'Code List'!$D$35,",",'Code List'!$B$36,'Code List'!$D$36,",",'Code List'!$B$37,'Code List'!$D$37,",",'Code List'!$B$38,"""",H81,"""",",",'Code List'!$B$39,"""",I81,"""",",",'Code List'!$B$40,"""",J81,"""",",",'Code List'!$B$41,"""",K81,"""",",",'Code List'!$B$42,"""",L81,"""",",",'Code List'!$B$43,"""",M81,"""",",",'Code List'!$B$44,"""",N81,"""",",",'Code List'!$B$45,"""",O81,"""",",",'Code List'!$B$46,"""",P81,"""",",",'Code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List'!$B$59,"""",T81,"""","}"),"")</f>
        <v/>
      </c>
    </row>
    <row r="82" spans="1:25" x14ac:dyDescent="0.25">
      <c r="A82" t="str">
        <f>IF(AND($A76="YES",E76=$D$1,F82&gt;0),"YES","NO")</f>
        <v>NO</v>
      </c>
      <c r="C82" t="s">
        <v>5</v>
      </c>
      <c r="D82" s="12" t="str">
        <f t="shared" si="63"/>
        <v>2C</v>
      </c>
      <c r="E82" t="s">
        <v>196</v>
      </c>
      <c r="F82">
        <f>'Expanded Base Data'!J74</f>
        <v>0</v>
      </c>
      <c r="G82" s="171">
        <f>F76</f>
        <v>0</v>
      </c>
      <c r="H82">
        <f>ROUND(B76+'Slide Measurements'!$D$17,$O$1)</f>
        <v>201.11</v>
      </c>
      <c r="I82">
        <f>ROUND(H82+(F82*'Slide Measurements'!$D$21),$O$1)</f>
        <v>201.11</v>
      </c>
      <c r="J82">
        <f>K81</f>
        <v>49.93</v>
      </c>
      <c r="K82">
        <f>J82+($I$1*'Slide Measurements'!$E$23-'Slide Measurements'!$E$23)</f>
        <v>51.78</v>
      </c>
      <c r="L82" s="5" t="str">
        <f>'Expanded Base Data'!$L74</f>
        <v/>
      </c>
      <c r="M82" s="5" t="str">
        <f>'Expanded Base Data'!$K74</f>
        <v/>
      </c>
      <c r="N82">
        <f t="shared" si="64"/>
        <v>0</v>
      </c>
      <c r="O82">
        <f t="shared" si="65"/>
        <v>1.85</v>
      </c>
      <c r="P82" s="5" t="e">
        <f t="shared" si="66"/>
        <v>#VALUE!</v>
      </c>
      <c r="Q82">
        <f>'Code List'!$C$63</f>
        <v>3</v>
      </c>
      <c r="R82">
        <f>F83+'Code List'!$G$63</f>
        <v>2</v>
      </c>
      <c r="S82" t="e">
        <f t="shared" si="67"/>
        <v>#VALUE!</v>
      </c>
      <c r="T82" t="e">
        <f t="shared" si="69"/>
        <v>#VALUE!</v>
      </c>
      <c r="U82" t="str">
        <f>IF(A82="YES",CONCATENATE(G82,"_",'Program Page'!$C$4,'Program Page'!$C$5,"_",D82,"_",E82),"")</f>
        <v/>
      </c>
      <c r="V82" t="str">
        <f t="shared" si="68"/>
        <v/>
      </c>
      <c r="W82" t="str">
        <f>IF(A82="YES",CONCATENATE("{",'Code List'!$B$4,'Code List'!$D$4,",",'Code List'!$B$5,'Code List'!$D$5,",",'Code List'!$B$6,"""",U82,"""",",",'Code List'!$B$7,'Code List'!$D$7,",",'Code List'!$B$8,'Code List'!$D$8,",",'Code List'!$B$9,'Code List'!$D$9,",",'Code List'!$B$10,'Code List'!$D$10,",",'Code List'!$B$11,"""",V82,"""",",",'Code List'!$B$12,"""",H82,"""",",",'Code List'!$B$13,"""",I82,"""",",",'Code List'!$B$14,"""",J82,"""",",",'Code List'!$B$15,"""",K82,"""",",",'Code List'!$B$16,"""",L82,"""",",",'Code List'!$B$17,"""",M82,"""",",",'Code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82" s="167" t="str">
        <f>IF(A82="YES",CONCATENATE("{",'Code List'!$B$31,"""",U82,"""",",",'Code List'!$B$32,'Code List'!$D$32,",",'Code List'!$B$33,'Code List'!$D$33,",",'Code List'!$B$34,'Code List'!$D$34,",",'Code List'!$B$35,'Code List'!$D$35,",",'Code List'!$B$36,'Code List'!$D$36,",",'Code List'!$B$37,'Code List'!$D$37,",",'Code List'!$B$38,"""",H82,"""",",",'Code List'!$B$39,"""",I82,"""",",",'Code List'!$B$40,"""",J82,"""",",",'Code List'!$B$41,"""",K82,"""",",",'Code List'!$B$42,"""",L82,"""",",",'Code List'!$B$43,"""",M82,"""",",",'Code List'!$B$44,"""",N82,"""",",",'Code List'!$B$45,"""",O82,"""",",",'Code List'!$B$46,"""",P82,"""",",",'Code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List'!$B$59,"""",T82,"""","}"),"")</f>
        <v/>
      </c>
    </row>
    <row r="83" spans="1:25" x14ac:dyDescent="0.25">
      <c r="A83" s="162" t="str">
        <f>IF(AND($A76="YES",E76=$E$1),"YES","NO")</f>
        <v>NO</v>
      </c>
      <c r="C83" t="s">
        <v>259</v>
      </c>
      <c r="D83" s="12" t="str">
        <f>D82</f>
        <v>2C</v>
      </c>
      <c r="E83" t="s">
        <v>259</v>
      </c>
      <c r="G83" s="171">
        <f>F76</f>
        <v>0</v>
      </c>
      <c r="H83">
        <f>ROUND(B76,$O$1)</f>
        <v>175.71</v>
      </c>
      <c r="I83">
        <f>ROUND(B76+'Slide Measurements'!$D$1,$O$1)</f>
        <v>252.16</v>
      </c>
      <c r="J83">
        <f>C76</f>
        <v>38.229999999999997</v>
      </c>
      <c r="K83">
        <f>C76+'Slide Measurements'!$D$2</f>
        <v>65.63</v>
      </c>
      <c r="L83" s="5" t="str">
        <f>'Expanded Base Data'!$L74</f>
        <v/>
      </c>
      <c r="M83" s="5" t="str">
        <f>'Expanded Base Data'!$K74</f>
        <v/>
      </c>
      <c r="N83">
        <f t="shared" si="64"/>
        <v>76.45</v>
      </c>
      <c r="O83">
        <f t="shared" si="65"/>
        <v>27.4</v>
      </c>
      <c r="P83" s="5" t="e">
        <f>ROUND((L83-M83),$O$1)</f>
        <v>#VALUE!</v>
      </c>
      <c r="Q83">
        <f>'Code List'!$C$70</f>
        <v>11</v>
      </c>
      <c r="R83">
        <f>'Code List'!$D$70</f>
        <v>19</v>
      </c>
      <c r="S83" t="e">
        <f>IF(P83=0,"1",ROUND((P83/$K$1)+$M$1,0))</f>
        <v>#VALUE!</v>
      </c>
      <c r="T83" t="e">
        <f>Q83*R83*S83</f>
        <v>#VALUE!</v>
      </c>
      <c r="U83" t="str">
        <f>IF(A83="YES",CONCATENATE(G83,"_",'Program Page'!$C$4,'Program Page'!$C$5,"_",D83,"_",E83),"")</f>
        <v/>
      </c>
      <c r="V83" t="str">
        <f>IF(U83="","",CONCATENATE(U83,"_"))</f>
        <v/>
      </c>
      <c r="W83" t="str">
        <f>IF(A83="YES",CONCATENATE("{",'Code List'!$B$4,'Code List'!$D$4,",",'Code List'!$B$5,'Code List'!$D$5,",",'Code List'!$B$6,"""",U83,"""",",",'Code List'!$B$7,'Code List'!$D$7,",",'Code List'!$B$8,'Code List'!$D$8,",",'Code List'!$B$9,'Code List'!$D$9,",",'Code List'!$B$10,'Code List'!$D$10,",",'Code List'!$B$11,"""",V83,"""",",",'Code List'!$B$12,"""",H83,"""",",",'Code List'!$B$13,"""",I83,"""",",",'Code List'!$B$14,"""",J83,"""",",",'Code List'!$B$15,"""",K83,"""",",",'Code List'!$B$16,"""",L83,"""",",",'Code List'!$B$17,"""",M83,"""",",",'Code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83" s="167" t="str">
        <f>IF(A83="YES",CONCATENATE("{",'Code List'!$B$31,"""",U83,"""",",",'Code List'!$B$32,'Code List'!$D$32,",",'Code List'!$B$33,'Code List'!$D$33,",",'Code List'!$B$34,'Code List'!$D$34,",",'Code List'!$B$35,'Code List'!$D$35,",",'Code List'!$B$36,'Code List'!$D$36,",",'Code List'!$B$37,'Code List'!$D$37,",",'Code List'!$B$38,"""",H83,"""",",",'Code List'!$B$39,"""",I83,"""",",",'Code List'!$B$40,"""",J83,"""",",",'Code List'!$B$41,"""",K83,"""",",",'Code List'!$B$42,"""",L83,"""",",",'Code List'!$B$43,"""",M83,"""",",",'Code List'!$B$44,"""",N83,"""",",",'Code List'!$B$45,"""",O83,"""",",",'Code List'!$B$46,"""",P83,"""",",",'Code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List'!$B$59,"""",T83,"""","}"),"")</f>
        <v/>
      </c>
    </row>
    <row r="84" spans="1:25" ht="18.75" x14ac:dyDescent="0.3">
      <c r="A84" s="35" t="str">
        <f>IF(OR(E84=$C$1,E84=$D$1,E84=$E$1),"YES","NO")</f>
        <v>NO</v>
      </c>
      <c r="B84" s="35">
        <f>'Expanded Base Data'!D82</f>
        <v>262.71000000000004</v>
      </c>
      <c r="C84" s="35">
        <f>'Expanded Base Data'!E82</f>
        <v>38.229999999999997</v>
      </c>
      <c r="D84" s="36" t="str">
        <f>'Expanded Base Data'!B82</f>
        <v>2D</v>
      </c>
      <c r="E84" s="35">
        <f>'Expanded Base Data'!C82</f>
        <v>0</v>
      </c>
      <c r="F84" s="35">
        <f>'Expanded Base Data'!M82</f>
        <v>0</v>
      </c>
      <c r="G84" s="170">
        <f>F84</f>
        <v>0</v>
      </c>
      <c r="Y84" s="167" t="str">
        <f>""</f>
        <v/>
      </c>
    </row>
    <row r="85" spans="1:25" x14ac:dyDescent="0.25">
      <c r="A85" t="str">
        <f>IF(AND($A84="YES",E84=$C$1),"YES","NO")</f>
        <v>NO</v>
      </c>
      <c r="C85" t="s">
        <v>6</v>
      </c>
      <c r="D85" s="12" t="str">
        <f>D84</f>
        <v>2D</v>
      </c>
      <c r="E85" t="s">
        <v>6</v>
      </c>
      <c r="F85" t="s">
        <v>198</v>
      </c>
      <c r="G85" s="171">
        <f>F84</f>
        <v>0</v>
      </c>
      <c r="H85">
        <f>IF('Expanded Base Data'!N82="",ROUND(B84+'Slide Measurements'!$D$11,$O$1),B84+'Expanded Base Data'!N82)</f>
        <v>295.70999999999998</v>
      </c>
      <c r="I85">
        <f>IF('Expanded Base Data'!O82="",ROUND(B84+'Slide Measurements'!$D$12,$O$1),B84+'Expanded Base Data'!O82)</f>
        <v>304.31</v>
      </c>
      <c r="J85">
        <f>IF('Expanded Base Data'!P82="",C84+'Slide Measurements'!$E$13,C84+'Expanded Base Data'!P82)</f>
        <v>46.929999999999993</v>
      </c>
      <c r="K85">
        <f>IF('Expanded Base Data'!Q82="",C84+'Slide Measurements'!$E$14,C84+'Expanded Base Data'!Q82)</f>
        <v>55.529999999999994</v>
      </c>
      <c r="L85" s="5" t="str">
        <f>'Expanded Base Data'!$L82</f>
        <v/>
      </c>
      <c r="M85" s="5" t="str">
        <f>'Expanded Base Data'!$K82</f>
        <v/>
      </c>
      <c r="N85">
        <f>ROUND((I85-H85),$O$1)</f>
        <v>8.6</v>
      </c>
      <c r="O85">
        <f>ROUND((K85-J85),$O$1)</f>
        <v>8.6</v>
      </c>
      <c r="P85" s="5" t="e">
        <f>ROUND((L85-M85),$O$1)</f>
        <v>#VALUE!</v>
      </c>
      <c r="Q85">
        <f>'Code List'!$C$62</f>
        <v>5</v>
      </c>
      <c r="R85">
        <f>F86+'Code List'!$G$63</f>
        <v>2</v>
      </c>
      <c r="S85" t="e">
        <f>IF(P85=0,"1",ROUND((P85/$K$1)+$M$1,0))</f>
        <v>#VALUE!</v>
      </c>
      <c r="T85" t="e">
        <f>Q85*R85*S85</f>
        <v>#VALUE!</v>
      </c>
      <c r="U85" t="str">
        <f>IF(A85="YES",CONCATENATE(G85,"_",'Program Page'!$C$4,'Program Page'!$C$5,"_",D85,"_",E85),"")</f>
        <v/>
      </c>
      <c r="V85" t="str">
        <f>IF(U85="","",CONCATENATE(U85,"_"))</f>
        <v/>
      </c>
      <c r="W85" t="str">
        <f>IF(A85="YES",CONCATENATE("{",'Code List'!$B$4,'Code List'!$D$4,",",'Code List'!$B$5,'Code List'!$D$5,",",'Code List'!$B$6,"""",U85,"""",",",'Code List'!$B$7,'Code List'!$D$7,",",'Code List'!$B$8,'Code List'!$D$8,",",'Code List'!$B$9,'Code List'!$D$9,",",'Code List'!$B$10,'Code List'!$D$10,",",'Code List'!$B$11,"""",V85,"""",",",'Code List'!$B$12,"""",H85,"""",",",'Code List'!$B$13,"""",I85,"""",",",'Code List'!$B$14,"""",J85,"""",",",'Code List'!$B$15,"""",K85,"""",",",'Code List'!$B$16,"""",L85,"""",",",'Code List'!$B$17,"""",M85,"""",",",'Code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85" s="167" t="str">
        <f>IF(A85="YES",CONCATENATE("{",'Code List'!$B$31,"""",U85,"""",",",'Code List'!$B$32,'Code List'!$D$32,",",'Code List'!$B$33,'Code List'!$D$33,",",'Code List'!$B$34,'Code List'!$D$34,",",'Code List'!$B$35,'Code List'!$D$35,",",'Code List'!$B$36,'Code List'!$D$36,",",'Code List'!$B$37,'Code List'!$D$37,",",'Code List'!$B$38,"""",H85,"""",",",'Code List'!$B$39,"""",I85,"""",",",'Code List'!$B$40,"""",J85,"""",",",'Code List'!$B$41,"""",K85,"""",",",'Code List'!$B$42,"""",L85,"""",",",'Code List'!$B$43,"""",M85,"""",",",'Code List'!$B$44,"""",N85,"""",",",'Code List'!$B$45,"""",O85,"""",",",'Code List'!$B$46,"""",P85,"""",",",'Code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List'!$B$59,"""",T85,"""","}"),"")</f>
        <v/>
      </c>
    </row>
    <row r="86" spans="1:25" x14ac:dyDescent="0.25">
      <c r="A86" t="str">
        <f>IF(AND($A84="YES",E84=$D$1,F86&gt;0),"YES","NO")</f>
        <v>NO</v>
      </c>
      <c r="C86" t="s">
        <v>5</v>
      </c>
      <c r="D86" s="12" t="str">
        <f t="shared" ref="D86:D90" si="70">D85</f>
        <v>2D</v>
      </c>
      <c r="E86" t="s">
        <v>188</v>
      </c>
      <c r="F86">
        <f>'Expanded Base Data'!F82</f>
        <v>0</v>
      </c>
      <c r="G86" s="171">
        <f>F84</f>
        <v>0</v>
      </c>
      <c r="H86">
        <f>ROUND(B84+'Slide Measurements'!$D$17,$O$1)</f>
        <v>288.11</v>
      </c>
      <c r="I86">
        <f>ROUND(H86+(F86*'Slide Measurements'!$D$21),$O$1)</f>
        <v>288.11</v>
      </c>
      <c r="J86">
        <f>C84+'Slide Measurements'!$E$17</f>
        <v>42.529999999999994</v>
      </c>
      <c r="K86">
        <f>J86+($I$1*'Slide Measurements'!$E$23-'Slide Measurements'!$E$23)</f>
        <v>44.379999999999995</v>
      </c>
      <c r="L86" s="5" t="str">
        <f>'Expanded Base Data'!$L82</f>
        <v/>
      </c>
      <c r="M86" s="5" t="str">
        <f>'Expanded Base Data'!$K82</f>
        <v/>
      </c>
      <c r="N86">
        <f t="shared" ref="N86:N91" si="71">ROUND((I86-H86),$O$1)</f>
        <v>0</v>
      </c>
      <c r="O86">
        <f t="shared" ref="O86:O91" si="72">ROUND((K86-J86),$O$1)</f>
        <v>1.85</v>
      </c>
      <c r="P86" s="5" t="e">
        <f t="shared" ref="P86:P90" si="73">ROUND((L86-M86),$O$1)</f>
        <v>#VALUE!</v>
      </c>
      <c r="Q86">
        <f>'Code List'!$C$63</f>
        <v>3</v>
      </c>
      <c r="R86">
        <f>F87+'Code List'!$G$63</f>
        <v>2</v>
      </c>
      <c r="S86" t="e">
        <f t="shared" ref="S86:S90" si="74">IF(P86=0,"1",ROUND((P86/$K$1)+$M$1,0))</f>
        <v>#VALUE!</v>
      </c>
      <c r="T86" t="e">
        <f>Q86*R86*S86</f>
        <v>#VALUE!</v>
      </c>
      <c r="U86" t="str">
        <f>IF(A86="YES",CONCATENATE(G86,"_",'Program Page'!$C$4,'Program Page'!$C$5,"_",D86,"_",E86),"")</f>
        <v/>
      </c>
      <c r="V86" t="str">
        <f t="shared" ref="V86:V90" si="75">IF(U86="","",CONCATENATE(U86,"_"))</f>
        <v/>
      </c>
      <c r="W86" t="str">
        <f>IF(A86="YES",CONCATENATE("{",'Code List'!$B$4,'Code List'!$D$4,",",'Code List'!$B$5,'Code List'!$D$5,",",'Code List'!$B$6,"""",U86,"""",",",'Code List'!$B$7,'Code List'!$D$7,",",'Code List'!$B$8,'Code List'!$D$8,",",'Code List'!$B$9,'Code List'!$D$9,",",'Code List'!$B$10,'Code List'!$D$10,",",'Code List'!$B$11,"""",V86,"""",",",'Code List'!$B$12,"""",H86,"""",",",'Code List'!$B$13,"""",I86,"""",",",'Code List'!$B$14,"""",J86,"""",",",'Code List'!$B$15,"""",K86,"""",",",'Code List'!$B$16,"""",L86,"""",",",'Code List'!$B$17,"""",M86,"""",",",'Code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86" s="167" t="str">
        <f>IF(A86="YES",CONCATENATE("{",'Code List'!$B$31,"""",U86,"""",",",'Code List'!$B$32,'Code List'!$D$32,",",'Code List'!$B$33,'Code List'!$D$33,",",'Code List'!$B$34,'Code List'!$D$34,",",'Code List'!$B$35,'Code List'!$D$35,",",'Code List'!$B$36,'Code List'!$D$36,",",'Code List'!$B$37,'Code List'!$D$37,",",'Code List'!$B$38,"""",H86,"""",",",'Code List'!$B$39,"""",I86,"""",",",'Code List'!$B$40,"""",J86,"""",",",'Code List'!$B$41,"""",K86,"""",",",'Code List'!$B$42,"""",L86,"""",",",'Code List'!$B$43,"""",M86,"""",",",'Code List'!$B$44,"""",N86,"""",",",'Code List'!$B$45,"""",O86,"""",",",'Code List'!$B$46,"""",P86,"""",",",'Code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List'!$B$59,"""",T86,"""","}"),"")</f>
        <v/>
      </c>
    </row>
    <row r="87" spans="1:25" x14ac:dyDescent="0.25">
      <c r="A87" t="str">
        <f>IF(AND($A84="YES",E84=$D$1,F87&gt;0),"YES","NO")</f>
        <v>NO</v>
      </c>
      <c r="C87" t="s">
        <v>5</v>
      </c>
      <c r="D87" s="12" t="str">
        <f t="shared" si="70"/>
        <v>2D</v>
      </c>
      <c r="E87" t="s">
        <v>189</v>
      </c>
      <c r="F87">
        <f>'Expanded Base Data'!G82</f>
        <v>0</v>
      </c>
      <c r="G87" s="171">
        <f>F84</f>
        <v>0</v>
      </c>
      <c r="H87">
        <f>ROUND(B84+'Slide Measurements'!$D$17,$O$1)</f>
        <v>288.11</v>
      </c>
      <c r="I87">
        <f>ROUND(H87+(F87*'Slide Measurements'!$D$21),$O$1)</f>
        <v>288.11</v>
      </c>
      <c r="J87">
        <f>K86</f>
        <v>44.379999999999995</v>
      </c>
      <c r="K87">
        <f>J87+($I$1*'Slide Measurements'!$E$23-'Slide Measurements'!$E$23)</f>
        <v>46.23</v>
      </c>
      <c r="L87" s="5" t="str">
        <f>'Expanded Base Data'!$L82</f>
        <v/>
      </c>
      <c r="M87" s="5" t="str">
        <f>'Expanded Base Data'!$K82</f>
        <v/>
      </c>
      <c r="N87">
        <f t="shared" si="71"/>
        <v>0</v>
      </c>
      <c r="O87">
        <f t="shared" si="72"/>
        <v>1.85</v>
      </c>
      <c r="P87" s="5" t="e">
        <f t="shared" si="73"/>
        <v>#VALUE!</v>
      </c>
      <c r="Q87">
        <f>'Code List'!$C$63</f>
        <v>3</v>
      </c>
      <c r="R87">
        <f>F88+'Code List'!$G$63</f>
        <v>2</v>
      </c>
      <c r="S87" t="e">
        <f t="shared" si="74"/>
        <v>#VALUE!</v>
      </c>
      <c r="T87" t="e">
        <f t="shared" ref="T87:T90" si="76">Q87*R87*S87</f>
        <v>#VALUE!</v>
      </c>
      <c r="U87" t="str">
        <f>IF(A87="YES",CONCATENATE(G87,"_",'Program Page'!$C$4,'Program Page'!$C$5,"_",D87,"_",E87),"")</f>
        <v/>
      </c>
      <c r="V87" t="str">
        <f t="shared" si="75"/>
        <v/>
      </c>
      <c r="W87" t="str">
        <f>IF(A87="YES",CONCATENATE("{",'Code List'!$B$4,'Code List'!$D$4,",",'Code List'!$B$5,'Code List'!$D$5,",",'Code List'!$B$6,"""",U87,"""",",",'Code List'!$B$7,'Code List'!$D$7,",",'Code List'!$B$8,'Code List'!$D$8,",",'Code List'!$B$9,'Code List'!$D$9,",",'Code List'!$B$10,'Code List'!$D$10,",",'Code List'!$B$11,"""",V87,"""",",",'Code List'!$B$12,"""",H87,"""",",",'Code List'!$B$13,"""",I87,"""",",",'Code List'!$B$14,"""",J87,"""",",",'Code List'!$B$15,"""",K87,"""",",",'Code List'!$B$16,"""",L87,"""",",",'Code List'!$B$17,"""",M87,"""",",",'Code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87" s="167" t="str">
        <f>IF(A87="YES",CONCATENATE("{",'Code List'!$B$31,"""",U87,"""",",",'Code List'!$B$32,'Code List'!$D$32,",",'Code List'!$B$33,'Code List'!$D$33,",",'Code List'!$B$34,'Code List'!$D$34,",",'Code List'!$B$35,'Code List'!$D$35,",",'Code List'!$B$36,'Code List'!$D$36,",",'Code List'!$B$37,'Code List'!$D$37,",",'Code List'!$B$38,"""",H87,"""",",",'Code List'!$B$39,"""",I87,"""",",",'Code List'!$B$40,"""",J87,"""",",",'Code List'!$B$41,"""",K87,"""",",",'Code List'!$B$42,"""",L87,"""",",",'Code List'!$B$43,"""",M87,"""",",",'Code List'!$B$44,"""",N87,"""",",",'Code List'!$B$45,"""",O87,"""",",",'Code List'!$B$46,"""",P87,"""",",",'Code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List'!$B$59,"""",T87,"""","}"),"")</f>
        <v/>
      </c>
    </row>
    <row r="88" spans="1:25" x14ac:dyDescent="0.25">
      <c r="A88" t="str">
        <f>IF(AND($A84="YES",E84=$D$1,F88&gt;0),"YES","NO")</f>
        <v>NO</v>
      </c>
      <c r="C88" t="s">
        <v>5</v>
      </c>
      <c r="D88" s="12" t="str">
        <f t="shared" si="70"/>
        <v>2D</v>
      </c>
      <c r="E88" t="s">
        <v>190</v>
      </c>
      <c r="F88">
        <f>'Expanded Base Data'!H82</f>
        <v>0</v>
      </c>
      <c r="G88" s="171">
        <f>F84</f>
        <v>0</v>
      </c>
      <c r="H88">
        <f>ROUND(B84+'Slide Measurements'!$D$17,$O$1)</f>
        <v>288.11</v>
      </c>
      <c r="I88">
        <f>ROUND(H88+(F88*'Slide Measurements'!$D$21),$O$1)</f>
        <v>288.11</v>
      </c>
      <c r="J88">
        <f>K87</f>
        <v>46.23</v>
      </c>
      <c r="K88">
        <f>J88+($I$1*'Slide Measurements'!$E$23-'Slide Measurements'!$E$23)</f>
        <v>48.08</v>
      </c>
      <c r="L88" s="5" t="str">
        <f>'Expanded Base Data'!$L82</f>
        <v/>
      </c>
      <c r="M88" s="5" t="str">
        <f>'Expanded Base Data'!$K82</f>
        <v/>
      </c>
      <c r="N88">
        <f t="shared" si="71"/>
        <v>0</v>
      </c>
      <c r="O88">
        <f t="shared" si="72"/>
        <v>1.85</v>
      </c>
      <c r="P88" s="5" t="e">
        <f t="shared" si="73"/>
        <v>#VALUE!</v>
      </c>
      <c r="Q88">
        <f>'Code List'!$C$63</f>
        <v>3</v>
      </c>
      <c r="R88">
        <f>F89+'Code List'!$G$63</f>
        <v>2</v>
      </c>
      <c r="S88" t="e">
        <f t="shared" si="74"/>
        <v>#VALUE!</v>
      </c>
      <c r="T88" t="e">
        <f t="shared" si="76"/>
        <v>#VALUE!</v>
      </c>
      <c r="U88" t="str">
        <f>IF(A88="YES",CONCATENATE(G88,"_",'Program Page'!$C$4,'Program Page'!$C$5,"_",D88,"_",E88),"")</f>
        <v/>
      </c>
      <c r="V88" t="str">
        <f t="shared" si="75"/>
        <v/>
      </c>
      <c r="W88" t="str">
        <f>IF(A88="YES",CONCATENATE("{",'Code List'!$B$4,'Code List'!$D$4,",",'Code List'!$B$5,'Code List'!$D$5,",",'Code List'!$B$6,"""",U88,"""",",",'Code List'!$B$7,'Code List'!$D$7,",",'Code List'!$B$8,'Code List'!$D$8,",",'Code List'!$B$9,'Code List'!$D$9,",",'Code List'!$B$10,'Code List'!$D$10,",",'Code List'!$B$11,"""",V88,"""",",",'Code List'!$B$12,"""",H88,"""",",",'Code List'!$B$13,"""",I88,"""",",",'Code List'!$B$14,"""",J88,"""",",",'Code List'!$B$15,"""",K88,"""",",",'Code List'!$B$16,"""",L88,"""",",",'Code List'!$B$17,"""",M88,"""",",",'Code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88" s="167" t="str">
        <f>IF(A88="YES",CONCATENATE("{",'Code List'!$B$31,"""",U88,"""",",",'Code List'!$B$32,'Code List'!$D$32,",",'Code List'!$B$33,'Code List'!$D$33,",",'Code List'!$B$34,'Code List'!$D$34,",",'Code List'!$B$35,'Code List'!$D$35,",",'Code List'!$B$36,'Code List'!$D$36,",",'Code List'!$B$37,'Code List'!$D$37,",",'Code List'!$B$38,"""",H88,"""",",",'Code List'!$B$39,"""",I88,"""",",",'Code List'!$B$40,"""",J88,"""",",",'Code List'!$B$41,"""",K88,"""",",",'Code List'!$B$42,"""",L88,"""",",",'Code List'!$B$43,"""",M88,"""",",",'Code List'!$B$44,"""",N88,"""",",",'Code List'!$B$45,"""",O88,"""",",",'Code List'!$B$46,"""",P88,"""",",",'Code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List'!$B$59,"""",T88,"""","}"),"")</f>
        <v/>
      </c>
    </row>
    <row r="89" spans="1:25" x14ac:dyDescent="0.25">
      <c r="A89" t="str">
        <f>IF(AND($A84="YES",E84=$D$1,F89&gt;0),"YES","NO")</f>
        <v>NO</v>
      </c>
      <c r="C89" t="s">
        <v>5</v>
      </c>
      <c r="D89" s="12" t="str">
        <f t="shared" si="70"/>
        <v>2D</v>
      </c>
      <c r="E89" t="s">
        <v>191</v>
      </c>
      <c r="F89">
        <f>'Expanded Base Data'!I82</f>
        <v>0</v>
      </c>
      <c r="G89" s="171">
        <f>F84</f>
        <v>0</v>
      </c>
      <c r="H89">
        <f>ROUND(B84+'Slide Measurements'!$D$17,$O$1)</f>
        <v>288.11</v>
      </c>
      <c r="I89">
        <f>ROUND(H89+(F89*'Slide Measurements'!$D$21),$O$1)</f>
        <v>288.11</v>
      </c>
      <c r="J89">
        <f>K88</f>
        <v>48.08</v>
      </c>
      <c r="K89">
        <f>J89+($I$1*'Slide Measurements'!$E$23-'Slide Measurements'!$E$23)</f>
        <v>49.93</v>
      </c>
      <c r="L89" s="5" t="str">
        <f>'Expanded Base Data'!$L82</f>
        <v/>
      </c>
      <c r="M89" s="5" t="str">
        <f>'Expanded Base Data'!$K82</f>
        <v/>
      </c>
      <c r="N89">
        <f t="shared" si="71"/>
        <v>0</v>
      </c>
      <c r="O89">
        <f t="shared" si="72"/>
        <v>1.85</v>
      </c>
      <c r="P89" s="5" t="e">
        <f t="shared" si="73"/>
        <v>#VALUE!</v>
      </c>
      <c r="Q89">
        <f>'Code List'!$C$63</f>
        <v>3</v>
      </c>
      <c r="R89">
        <f>F90+'Code List'!$G$63</f>
        <v>2</v>
      </c>
      <c r="S89" t="e">
        <f t="shared" si="74"/>
        <v>#VALUE!</v>
      </c>
      <c r="T89" t="e">
        <f t="shared" si="76"/>
        <v>#VALUE!</v>
      </c>
      <c r="U89" t="str">
        <f>IF(A89="YES",CONCATENATE(G89,"_",'Program Page'!$C$4,'Program Page'!$C$5,"_",D89,"_",E89),"")</f>
        <v/>
      </c>
      <c r="V89" t="str">
        <f t="shared" si="75"/>
        <v/>
      </c>
      <c r="W89" t="str">
        <f>IF(A89="YES",CONCATENATE("{",'Code List'!$B$4,'Code List'!$D$4,",",'Code List'!$B$5,'Code List'!$D$5,",",'Code List'!$B$6,"""",U89,"""",",",'Code List'!$B$7,'Code List'!$D$7,",",'Code List'!$B$8,'Code List'!$D$8,",",'Code List'!$B$9,'Code List'!$D$9,",",'Code List'!$B$10,'Code List'!$D$10,",",'Code List'!$B$11,"""",V89,"""",",",'Code List'!$B$12,"""",H89,"""",",",'Code List'!$B$13,"""",I89,"""",",",'Code List'!$B$14,"""",J89,"""",",",'Code List'!$B$15,"""",K89,"""",",",'Code List'!$B$16,"""",L89,"""",",",'Code List'!$B$17,"""",M89,"""",",",'Code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89" s="167" t="str">
        <f>IF(A89="YES",CONCATENATE("{",'Code List'!$B$31,"""",U89,"""",",",'Code List'!$B$32,'Code List'!$D$32,",",'Code List'!$B$33,'Code List'!$D$33,",",'Code List'!$B$34,'Code List'!$D$34,",",'Code List'!$B$35,'Code List'!$D$35,",",'Code List'!$B$36,'Code List'!$D$36,",",'Code List'!$B$37,'Code List'!$D$37,",",'Code List'!$B$38,"""",H89,"""",",",'Code List'!$B$39,"""",I89,"""",",",'Code List'!$B$40,"""",J89,"""",",",'Code List'!$B$41,"""",K89,"""",",",'Code List'!$B$42,"""",L89,"""",",",'Code List'!$B$43,"""",M89,"""",",",'Code List'!$B$44,"""",N89,"""",",",'Code List'!$B$45,"""",O89,"""",",",'Code List'!$B$46,"""",P89,"""",",",'Code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List'!$B$59,"""",T89,"""","}"),"")</f>
        <v/>
      </c>
    </row>
    <row r="90" spans="1:25" x14ac:dyDescent="0.25">
      <c r="A90" t="str">
        <f>IF(AND($A84="YES",E84=$D$1,F90&gt;0),"YES","NO")</f>
        <v>NO</v>
      </c>
      <c r="C90" t="s">
        <v>5</v>
      </c>
      <c r="D90" s="12" t="str">
        <f t="shared" si="70"/>
        <v>2D</v>
      </c>
      <c r="E90" t="s">
        <v>196</v>
      </c>
      <c r="F90">
        <f>'Expanded Base Data'!J82</f>
        <v>0</v>
      </c>
      <c r="G90" s="171">
        <f>F84</f>
        <v>0</v>
      </c>
      <c r="H90">
        <f>ROUND(B84+'Slide Measurements'!$D$17,$O$1)</f>
        <v>288.11</v>
      </c>
      <c r="I90">
        <f>ROUND(H90+(F90*'Slide Measurements'!$D$21),$O$1)</f>
        <v>288.11</v>
      </c>
      <c r="J90">
        <f>K89</f>
        <v>49.93</v>
      </c>
      <c r="K90">
        <f>J90+($I$1*'Slide Measurements'!$E$23-'Slide Measurements'!$E$23)</f>
        <v>51.78</v>
      </c>
      <c r="L90" s="5" t="str">
        <f>'Expanded Base Data'!$L82</f>
        <v/>
      </c>
      <c r="M90" s="5" t="str">
        <f>'Expanded Base Data'!$K82</f>
        <v/>
      </c>
      <c r="N90">
        <f t="shared" si="71"/>
        <v>0</v>
      </c>
      <c r="O90">
        <f t="shared" si="72"/>
        <v>1.85</v>
      </c>
      <c r="P90" s="5" t="e">
        <f t="shared" si="73"/>
        <v>#VALUE!</v>
      </c>
      <c r="Q90">
        <f>'Code List'!$C$63</f>
        <v>3</v>
      </c>
      <c r="R90">
        <f>F91+'Code List'!$G$63</f>
        <v>2</v>
      </c>
      <c r="S90" t="e">
        <f t="shared" si="74"/>
        <v>#VALUE!</v>
      </c>
      <c r="T90" t="e">
        <f t="shared" si="76"/>
        <v>#VALUE!</v>
      </c>
      <c r="U90" t="str">
        <f>IF(A90="YES",CONCATENATE(G90,"_",'Program Page'!$C$4,'Program Page'!$C$5,"_",D90,"_",E90),"")</f>
        <v/>
      </c>
      <c r="V90" t="str">
        <f t="shared" si="75"/>
        <v/>
      </c>
      <c r="W90" t="str">
        <f>IF(A90="YES",CONCATENATE("{",'Code List'!$B$4,'Code List'!$D$4,",",'Code List'!$B$5,'Code List'!$D$5,",",'Code List'!$B$6,"""",U90,"""",",",'Code List'!$B$7,'Code List'!$D$7,",",'Code List'!$B$8,'Code List'!$D$8,",",'Code List'!$B$9,'Code List'!$D$9,",",'Code List'!$B$10,'Code List'!$D$10,",",'Code List'!$B$11,"""",V90,"""",",",'Code List'!$B$12,"""",H90,"""",",",'Code List'!$B$13,"""",I90,"""",",",'Code List'!$B$14,"""",J90,"""",",",'Code List'!$B$15,"""",K90,"""",",",'Code List'!$B$16,"""",L90,"""",",",'Code List'!$B$17,"""",M90,"""",",",'Code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90" s="167" t="str">
        <f>IF(A90="YES",CONCATENATE("{",'Code List'!$B$31,"""",U90,"""",",",'Code List'!$B$32,'Code List'!$D$32,",",'Code List'!$B$33,'Code List'!$D$33,",",'Code List'!$B$34,'Code List'!$D$34,",",'Code List'!$B$35,'Code List'!$D$35,",",'Code List'!$B$36,'Code List'!$D$36,",",'Code List'!$B$37,'Code List'!$D$37,",",'Code List'!$B$38,"""",H90,"""",",",'Code List'!$B$39,"""",I90,"""",",",'Code List'!$B$40,"""",J90,"""",",",'Code List'!$B$41,"""",K90,"""",",",'Code List'!$B$42,"""",L90,"""",",",'Code List'!$B$43,"""",M90,"""",",",'Code List'!$B$44,"""",N90,"""",",",'Code List'!$B$45,"""",O90,"""",",",'Code List'!$B$46,"""",P90,"""",",",'Code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List'!$B$59,"""",T90,"""","}"),"")</f>
        <v/>
      </c>
    </row>
    <row r="91" spans="1:25" x14ac:dyDescent="0.25">
      <c r="A91" s="162" t="str">
        <f>IF(AND($A84="YES",E84=$E$1),"YES","NO")</f>
        <v>NO</v>
      </c>
      <c r="C91" t="s">
        <v>259</v>
      </c>
      <c r="D91" s="12" t="str">
        <f>D90</f>
        <v>2D</v>
      </c>
      <c r="E91" t="s">
        <v>259</v>
      </c>
      <c r="G91" s="171">
        <f>F84</f>
        <v>0</v>
      </c>
      <c r="H91">
        <f>ROUND(B84,$O$1)</f>
        <v>262.70999999999998</v>
      </c>
      <c r="I91">
        <f>ROUND(B84+'Slide Measurements'!$D$1,$O$1)</f>
        <v>339.16</v>
      </c>
      <c r="J91">
        <f>C84</f>
        <v>38.229999999999997</v>
      </c>
      <c r="K91">
        <f>C84+'Slide Measurements'!$D$2</f>
        <v>65.63</v>
      </c>
      <c r="L91" s="5" t="str">
        <f>'Expanded Base Data'!$L82</f>
        <v/>
      </c>
      <c r="M91" s="5" t="str">
        <f>'Expanded Base Data'!$K82</f>
        <v/>
      </c>
      <c r="N91">
        <f t="shared" si="71"/>
        <v>76.45</v>
      </c>
      <c r="O91">
        <f t="shared" si="72"/>
        <v>27.4</v>
      </c>
      <c r="P91" s="5" t="e">
        <f>ROUND((L91-M91),$O$1)</f>
        <v>#VALUE!</v>
      </c>
      <c r="Q91">
        <f>'Code List'!$C$70</f>
        <v>11</v>
      </c>
      <c r="R91">
        <f>'Code List'!$D$70</f>
        <v>19</v>
      </c>
      <c r="S91" t="e">
        <f>IF(P91=0,"1",ROUND((P91/$K$1)+$M$1,0))</f>
        <v>#VALUE!</v>
      </c>
      <c r="T91" t="e">
        <f>Q91*R91*S91</f>
        <v>#VALUE!</v>
      </c>
      <c r="U91" t="str">
        <f>IF(A91="YES",CONCATENATE(G91,"_",'Program Page'!$C$4,'Program Page'!$C$5,"_",D91,"_",E91),"")</f>
        <v/>
      </c>
      <c r="V91" t="str">
        <f>IF(U91="","",CONCATENATE(U91,"_"))</f>
        <v/>
      </c>
      <c r="W91" t="str">
        <f>IF(A91="YES",CONCATENATE("{",'Code List'!$B$4,'Code List'!$D$4,",",'Code List'!$B$5,'Code List'!$D$5,",",'Code List'!$B$6,"""",U91,"""",",",'Code List'!$B$7,'Code List'!$D$7,",",'Code List'!$B$8,'Code List'!$D$8,",",'Code List'!$B$9,'Code List'!$D$9,",",'Code List'!$B$10,'Code List'!$D$10,",",'Code List'!$B$11,"""",V91,"""",",",'Code List'!$B$12,"""",H91,"""",",",'Code List'!$B$13,"""",I91,"""",",",'Code List'!$B$14,"""",J91,"""",",",'Code List'!$B$15,"""",K91,"""",",",'Code List'!$B$16,"""",L91,"""",",",'Code List'!$B$17,"""",M91,"""",",",'Code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91" s="167" t="str">
        <f>IF(A91="YES",CONCATENATE("{",'Code List'!$B$31,"""",U91,"""",",",'Code List'!$B$32,'Code List'!$D$32,",",'Code List'!$B$33,'Code List'!$D$33,",",'Code List'!$B$34,'Code List'!$D$34,",",'Code List'!$B$35,'Code List'!$D$35,",",'Code List'!$B$36,'Code List'!$D$36,",",'Code List'!$B$37,'Code List'!$D$37,",",'Code List'!$B$38,"""",H91,"""",",",'Code List'!$B$39,"""",I91,"""",",",'Code List'!$B$40,"""",J91,"""",",",'Code List'!$B$41,"""",K91,"""",",",'Code List'!$B$42,"""",L91,"""",",",'Code List'!$B$43,"""",M91,"""",",",'Code List'!$B$44,"""",N91,"""",",",'Code List'!$B$45,"""",O91,"""",",",'Code List'!$B$46,"""",P91,"""",",",'Code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List'!$B$59,"""",T91,"""","}"),"")</f>
        <v/>
      </c>
    </row>
    <row r="92" spans="1:25" ht="18.75" x14ac:dyDescent="0.3">
      <c r="A92" s="35" t="str">
        <f>IF(OR(E92=$C$1,E92=$D$1,E92=$E$1),"YES","NO")</f>
        <v>NO</v>
      </c>
      <c r="B92" s="35">
        <f>'Expanded Base Data'!D90</f>
        <v>349.11</v>
      </c>
      <c r="C92" s="35">
        <f>'Expanded Base Data'!E90</f>
        <v>38.229999999999997</v>
      </c>
      <c r="D92" s="36" t="str">
        <f>'Expanded Base Data'!B90</f>
        <v>2E</v>
      </c>
      <c r="E92" s="35">
        <f>'Expanded Base Data'!C90</f>
        <v>0</v>
      </c>
      <c r="F92" s="35">
        <f>'Expanded Base Data'!M90</f>
        <v>0</v>
      </c>
      <c r="G92" s="170">
        <f>F92</f>
        <v>0</v>
      </c>
      <c r="Y92" s="167" t="str">
        <f>""</f>
        <v/>
      </c>
    </row>
    <row r="93" spans="1:25" x14ac:dyDescent="0.25">
      <c r="A93" t="str">
        <f>IF(AND($A92="YES",E92=$C$1),"YES","NO")</f>
        <v>NO</v>
      </c>
      <c r="C93" t="s">
        <v>6</v>
      </c>
      <c r="D93" s="12" t="str">
        <f>D92</f>
        <v>2E</v>
      </c>
      <c r="E93" t="s">
        <v>6</v>
      </c>
      <c r="F93" t="s">
        <v>198</v>
      </c>
      <c r="G93" s="171">
        <f>F92</f>
        <v>0</v>
      </c>
      <c r="H93">
        <f>IF('Expanded Base Data'!N90="",ROUND(B92+'Slide Measurements'!$D$11,$O$1),B92+'Expanded Base Data'!N90)</f>
        <v>382.11</v>
      </c>
      <c r="I93">
        <f>IF('Expanded Base Data'!O90="",ROUND(B92+'Slide Measurements'!$D$12,$O$1),B92+'Expanded Base Data'!O90)</f>
        <v>390.71</v>
      </c>
      <c r="J93">
        <f>IF('Expanded Base Data'!P90="",C92+'Slide Measurements'!$E$13,C92+'Expanded Base Data'!P90)</f>
        <v>46.929999999999993</v>
      </c>
      <c r="K93">
        <f>IF('Expanded Base Data'!Q90="",C92+'Slide Measurements'!$E$14,C92+'Expanded Base Data'!Q90)</f>
        <v>55.529999999999994</v>
      </c>
      <c r="L93" s="5" t="str">
        <f>'Expanded Base Data'!$L90</f>
        <v/>
      </c>
      <c r="M93" s="5" t="str">
        <f>'Expanded Base Data'!$K90</f>
        <v/>
      </c>
      <c r="N93">
        <f>ROUND((I93-H93),$O$1)</f>
        <v>8.6</v>
      </c>
      <c r="O93">
        <f>ROUND((K93-J93),$O$1)</f>
        <v>8.6</v>
      </c>
      <c r="P93" s="5" t="e">
        <f>ROUND((L93-M93),$O$1)</f>
        <v>#VALUE!</v>
      </c>
      <c r="Q93">
        <f>'Code List'!$C$62</f>
        <v>5</v>
      </c>
      <c r="R93">
        <f>F94+'Code List'!$G$63</f>
        <v>2</v>
      </c>
      <c r="S93" t="e">
        <f>IF(P93=0,"1",ROUND((P93/$K$1)+$M$1,0))</f>
        <v>#VALUE!</v>
      </c>
      <c r="T93" t="e">
        <f>Q93*R93*S93</f>
        <v>#VALUE!</v>
      </c>
      <c r="U93" t="str">
        <f>IF(A93="YES",CONCATENATE(G93,"_",'Program Page'!$C$4,'Program Page'!$C$5,"_",D93,"_",E93),"")</f>
        <v/>
      </c>
      <c r="V93" t="str">
        <f>IF(U93="","",CONCATENATE(U93,"_"))</f>
        <v/>
      </c>
      <c r="W93" t="str">
        <f>IF(A93="YES",CONCATENATE("{",'Code List'!$B$4,'Code List'!$D$4,",",'Code List'!$B$5,'Code List'!$D$5,",",'Code List'!$B$6,"""",U93,"""",",",'Code List'!$B$7,'Code List'!$D$7,",",'Code List'!$B$8,'Code List'!$D$8,",",'Code List'!$B$9,'Code List'!$D$9,",",'Code List'!$B$10,'Code List'!$D$10,",",'Code List'!$B$11,"""",V93,"""",",",'Code List'!$B$12,"""",H93,"""",",",'Code List'!$B$13,"""",I93,"""",",",'Code List'!$B$14,"""",J93,"""",",",'Code List'!$B$15,"""",K93,"""",",",'Code List'!$B$16,"""",L93,"""",",",'Code List'!$B$17,"""",M93,"""",",",'Code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93" s="167" t="str">
        <f>IF(A93="YES",CONCATENATE("{",'Code List'!$B$31,"""",U93,"""",",",'Code List'!$B$32,'Code List'!$D$32,",",'Code List'!$B$33,'Code List'!$D$33,",",'Code List'!$B$34,'Code List'!$D$34,",",'Code List'!$B$35,'Code List'!$D$35,",",'Code List'!$B$36,'Code List'!$D$36,",",'Code List'!$B$37,'Code List'!$D$37,",",'Code List'!$B$38,"""",H93,"""",",",'Code List'!$B$39,"""",I93,"""",",",'Code List'!$B$40,"""",J93,"""",",",'Code List'!$B$41,"""",K93,"""",",",'Code List'!$B$42,"""",L93,"""",",",'Code List'!$B$43,"""",M93,"""",",",'Code List'!$B$44,"""",N93,"""",",",'Code List'!$B$45,"""",O93,"""",",",'Code List'!$B$46,"""",P93,"""",",",'Code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List'!$B$59,"""",T93,"""","}"),"")</f>
        <v/>
      </c>
    </row>
    <row r="94" spans="1:25" x14ac:dyDescent="0.25">
      <c r="A94" t="str">
        <f>IF(AND($A92="YES",E92=$D$1,F94&gt;0),"YES","NO")</f>
        <v>NO</v>
      </c>
      <c r="C94" t="s">
        <v>5</v>
      </c>
      <c r="D94" s="12" t="str">
        <f t="shared" ref="D94:D98" si="77">D93</f>
        <v>2E</v>
      </c>
      <c r="E94" t="s">
        <v>188</v>
      </c>
      <c r="F94">
        <f>'Expanded Base Data'!F90</f>
        <v>0</v>
      </c>
      <c r="G94" s="171">
        <f>F92</f>
        <v>0</v>
      </c>
      <c r="H94">
        <f>ROUND(B92+'Slide Measurements'!$D$17,$O$1)</f>
        <v>374.51</v>
      </c>
      <c r="I94">
        <f>ROUND(H94+(F94*'Slide Measurements'!$D$21),$O$1)</f>
        <v>374.51</v>
      </c>
      <c r="J94">
        <f>C92+'Slide Measurements'!$E$17</f>
        <v>42.529999999999994</v>
      </c>
      <c r="K94">
        <f>J94+($I$1*'Slide Measurements'!$E$23-'Slide Measurements'!$E$23)</f>
        <v>44.379999999999995</v>
      </c>
      <c r="L94" s="5" t="str">
        <f>'Expanded Base Data'!$L90</f>
        <v/>
      </c>
      <c r="M94" s="5" t="str">
        <f>'Expanded Base Data'!$K90</f>
        <v/>
      </c>
      <c r="N94">
        <f t="shared" ref="N94:N99" si="78">ROUND((I94-H94),$O$1)</f>
        <v>0</v>
      </c>
      <c r="O94">
        <f t="shared" ref="O94:O99" si="79">ROUND((K94-J94),$O$1)</f>
        <v>1.85</v>
      </c>
      <c r="P94" s="5" t="e">
        <f t="shared" ref="P94:P98" si="80">ROUND((L94-M94),$O$1)</f>
        <v>#VALUE!</v>
      </c>
      <c r="Q94">
        <f>'Code List'!$C$63</f>
        <v>3</v>
      </c>
      <c r="R94">
        <f>F95+'Code List'!$G$63</f>
        <v>2</v>
      </c>
      <c r="S94" t="e">
        <f t="shared" ref="S94:S98" si="81">IF(P94=0,"1",ROUND((P94/$K$1)+$M$1,0))</f>
        <v>#VALUE!</v>
      </c>
      <c r="T94" t="e">
        <f>Q94*R94*S94</f>
        <v>#VALUE!</v>
      </c>
      <c r="U94" t="str">
        <f>IF(A94="YES",CONCATENATE(G94,"_",'Program Page'!$C$4,'Program Page'!$C$5,"_",D94,"_",E94),"")</f>
        <v/>
      </c>
      <c r="V94" t="str">
        <f t="shared" ref="V94:V98" si="82">IF(U94="","",CONCATENATE(U94,"_"))</f>
        <v/>
      </c>
      <c r="W94" t="str">
        <f>IF(A94="YES",CONCATENATE("{",'Code List'!$B$4,'Code List'!$D$4,",",'Code List'!$B$5,'Code List'!$D$5,",",'Code List'!$B$6,"""",U94,"""",",",'Code List'!$B$7,'Code List'!$D$7,",",'Code List'!$B$8,'Code List'!$D$8,",",'Code List'!$B$9,'Code List'!$D$9,",",'Code List'!$B$10,'Code List'!$D$10,",",'Code List'!$B$11,"""",V94,"""",",",'Code List'!$B$12,"""",H94,"""",",",'Code List'!$B$13,"""",I94,"""",",",'Code List'!$B$14,"""",J94,"""",",",'Code List'!$B$15,"""",K94,"""",",",'Code List'!$B$16,"""",L94,"""",",",'Code List'!$B$17,"""",M94,"""",",",'Code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94" s="167" t="str">
        <f>IF(A94="YES",CONCATENATE("{",'Code List'!$B$31,"""",U94,"""",",",'Code List'!$B$32,'Code List'!$D$32,",",'Code List'!$B$33,'Code List'!$D$33,",",'Code List'!$B$34,'Code List'!$D$34,",",'Code List'!$B$35,'Code List'!$D$35,",",'Code List'!$B$36,'Code List'!$D$36,",",'Code List'!$B$37,'Code List'!$D$37,",",'Code List'!$B$38,"""",H94,"""",",",'Code List'!$B$39,"""",I94,"""",",",'Code List'!$B$40,"""",J94,"""",",",'Code List'!$B$41,"""",K94,"""",",",'Code List'!$B$42,"""",L94,"""",",",'Code List'!$B$43,"""",M94,"""",",",'Code List'!$B$44,"""",N94,"""",",",'Code List'!$B$45,"""",O94,"""",",",'Code List'!$B$46,"""",P94,"""",",",'Code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List'!$B$59,"""",T94,"""","}"),"")</f>
        <v/>
      </c>
    </row>
    <row r="95" spans="1:25" x14ac:dyDescent="0.25">
      <c r="A95" t="str">
        <f>IF(AND($A92="YES",E92=$D$1,F95&gt;0),"YES","NO")</f>
        <v>NO</v>
      </c>
      <c r="C95" t="s">
        <v>5</v>
      </c>
      <c r="D95" s="12" t="str">
        <f t="shared" si="77"/>
        <v>2E</v>
      </c>
      <c r="E95" t="s">
        <v>189</v>
      </c>
      <c r="F95">
        <f>'Expanded Base Data'!G90</f>
        <v>0</v>
      </c>
      <c r="G95" s="171">
        <f>F92</f>
        <v>0</v>
      </c>
      <c r="H95">
        <f>ROUND(B92+'Slide Measurements'!$D$17,$O$1)</f>
        <v>374.51</v>
      </c>
      <c r="I95">
        <f>ROUND(H95+(F95*'Slide Measurements'!$D$21),$O$1)</f>
        <v>374.51</v>
      </c>
      <c r="J95">
        <f>K94</f>
        <v>44.379999999999995</v>
      </c>
      <c r="K95">
        <f>J95+($I$1*'Slide Measurements'!$E$23-'Slide Measurements'!$E$23)</f>
        <v>46.23</v>
      </c>
      <c r="L95" s="5" t="str">
        <f>'Expanded Base Data'!$L90</f>
        <v/>
      </c>
      <c r="M95" s="5" t="str">
        <f>'Expanded Base Data'!$K90</f>
        <v/>
      </c>
      <c r="N95">
        <f t="shared" si="78"/>
        <v>0</v>
      </c>
      <c r="O95">
        <f t="shared" si="79"/>
        <v>1.85</v>
      </c>
      <c r="P95" s="5" t="e">
        <f t="shared" si="80"/>
        <v>#VALUE!</v>
      </c>
      <c r="Q95">
        <f>'Code List'!$C$63</f>
        <v>3</v>
      </c>
      <c r="R95">
        <f>F96+'Code List'!$G$63</f>
        <v>2</v>
      </c>
      <c r="S95" t="e">
        <f t="shared" si="81"/>
        <v>#VALUE!</v>
      </c>
      <c r="T95" t="e">
        <f t="shared" ref="T95:T98" si="83">Q95*R95*S95</f>
        <v>#VALUE!</v>
      </c>
      <c r="U95" t="str">
        <f>IF(A95="YES",CONCATENATE(G95,"_",'Program Page'!$C$4,'Program Page'!$C$5,"_",D95,"_",E95),"")</f>
        <v/>
      </c>
      <c r="V95" t="str">
        <f t="shared" si="82"/>
        <v/>
      </c>
      <c r="W95" t="str">
        <f>IF(A95="YES",CONCATENATE("{",'Code List'!$B$4,'Code List'!$D$4,",",'Code List'!$B$5,'Code List'!$D$5,",",'Code List'!$B$6,"""",U95,"""",",",'Code List'!$B$7,'Code List'!$D$7,",",'Code List'!$B$8,'Code List'!$D$8,",",'Code List'!$B$9,'Code List'!$D$9,",",'Code List'!$B$10,'Code List'!$D$10,",",'Code List'!$B$11,"""",V95,"""",",",'Code List'!$B$12,"""",H95,"""",",",'Code List'!$B$13,"""",I95,"""",",",'Code List'!$B$14,"""",J95,"""",",",'Code List'!$B$15,"""",K95,"""",",",'Code List'!$B$16,"""",L95,"""",",",'Code List'!$B$17,"""",M95,"""",",",'Code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95" s="167" t="str">
        <f>IF(A95="YES",CONCATENATE("{",'Code List'!$B$31,"""",U95,"""",",",'Code List'!$B$32,'Code List'!$D$32,",",'Code List'!$B$33,'Code List'!$D$33,",",'Code List'!$B$34,'Code List'!$D$34,",",'Code List'!$B$35,'Code List'!$D$35,",",'Code List'!$B$36,'Code List'!$D$36,",",'Code List'!$B$37,'Code List'!$D$37,",",'Code List'!$B$38,"""",H95,"""",",",'Code List'!$B$39,"""",I95,"""",",",'Code List'!$B$40,"""",J95,"""",",",'Code List'!$B$41,"""",K95,"""",",",'Code List'!$B$42,"""",L95,"""",",",'Code List'!$B$43,"""",M95,"""",",",'Code List'!$B$44,"""",N95,"""",",",'Code List'!$B$45,"""",O95,"""",",",'Code List'!$B$46,"""",P95,"""",",",'Code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List'!$B$59,"""",T95,"""","}"),"")</f>
        <v/>
      </c>
    </row>
    <row r="96" spans="1:25" x14ac:dyDescent="0.25">
      <c r="A96" t="str">
        <f>IF(AND($A92="YES",E92=$D$1,F96&gt;0),"YES","NO")</f>
        <v>NO</v>
      </c>
      <c r="C96" t="s">
        <v>5</v>
      </c>
      <c r="D96" s="12" t="str">
        <f t="shared" si="77"/>
        <v>2E</v>
      </c>
      <c r="E96" t="s">
        <v>190</v>
      </c>
      <c r="F96">
        <f>'Expanded Base Data'!H90</f>
        <v>0</v>
      </c>
      <c r="G96" s="171">
        <f>F92</f>
        <v>0</v>
      </c>
      <c r="H96">
        <f>ROUND(B92+'Slide Measurements'!$D$17,$O$1)</f>
        <v>374.51</v>
      </c>
      <c r="I96">
        <f>ROUND(H96+(F96*'Slide Measurements'!$D$21),$O$1)</f>
        <v>374.51</v>
      </c>
      <c r="J96">
        <f>K95</f>
        <v>46.23</v>
      </c>
      <c r="K96">
        <f>J96+($I$1*'Slide Measurements'!$E$23-'Slide Measurements'!$E$23)</f>
        <v>48.08</v>
      </c>
      <c r="L96" s="5" t="str">
        <f>'Expanded Base Data'!$L90</f>
        <v/>
      </c>
      <c r="M96" s="5" t="str">
        <f>'Expanded Base Data'!$K90</f>
        <v/>
      </c>
      <c r="N96">
        <f t="shared" si="78"/>
        <v>0</v>
      </c>
      <c r="O96">
        <f t="shared" si="79"/>
        <v>1.85</v>
      </c>
      <c r="P96" s="5" t="e">
        <f t="shared" si="80"/>
        <v>#VALUE!</v>
      </c>
      <c r="Q96">
        <f>'Code List'!$C$63</f>
        <v>3</v>
      </c>
      <c r="R96">
        <f>F97+'Code List'!$G$63</f>
        <v>2</v>
      </c>
      <c r="S96" t="e">
        <f t="shared" si="81"/>
        <v>#VALUE!</v>
      </c>
      <c r="T96" t="e">
        <f t="shared" si="83"/>
        <v>#VALUE!</v>
      </c>
      <c r="U96" t="str">
        <f>IF(A96="YES",CONCATENATE(G96,"_",'Program Page'!$C$4,'Program Page'!$C$5,"_",D96,"_",E96),"")</f>
        <v/>
      </c>
      <c r="V96" t="str">
        <f t="shared" si="82"/>
        <v/>
      </c>
      <c r="W96" t="str">
        <f>IF(A96="YES",CONCATENATE("{",'Code List'!$B$4,'Code List'!$D$4,",",'Code List'!$B$5,'Code List'!$D$5,",",'Code List'!$B$6,"""",U96,"""",",",'Code List'!$B$7,'Code List'!$D$7,",",'Code List'!$B$8,'Code List'!$D$8,",",'Code List'!$B$9,'Code List'!$D$9,",",'Code List'!$B$10,'Code List'!$D$10,",",'Code List'!$B$11,"""",V96,"""",",",'Code List'!$B$12,"""",H96,"""",",",'Code List'!$B$13,"""",I96,"""",",",'Code List'!$B$14,"""",J96,"""",",",'Code List'!$B$15,"""",K96,"""",",",'Code List'!$B$16,"""",L96,"""",",",'Code List'!$B$17,"""",M96,"""",",",'Code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96" s="167" t="str">
        <f>IF(A96="YES",CONCATENATE("{",'Code List'!$B$31,"""",U96,"""",",",'Code List'!$B$32,'Code List'!$D$32,",",'Code List'!$B$33,'Code List'!$D$33,",",'Code List'!$B$34,'Code List'!$D$34,",",'Code List'!$B$35,'Code List'!$D$35,",",'Code List'!$B$36,'Code List'!$D$36,",",'Code List'!$B$37,'Code List'!$D$37,",",'Code List'!$B$38,"""",H96,"""",",",'Code List'!$B$39,"""",I96,"""",",",'Code List'!$B$40,"""",J96,"""",",",'Code List'!$B$41,"""",K96,"""",",",'Code List'!$B$42,"""",L96,"""",",",'Code List'!$B$43,"""",M96,"""",",",'Code List'!$B$44,"""",N96,"""",",",'Code List'!$B$45,"""",O96,"""",",",'Code List'!$B$46,"""",P96,"""",",",'Code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List'!$B$59,"""",T96,"""","}"),"")</f>
        <v/>
      </c>
    </row>
    <row r="97" spans="1:25" x14ac:dyDescent="0.25">
      <c r="A97" t="str">
        <f>IF(AND($A92="YES",E92=$D$1,F97&gt;0),"YES","NO")</f>
        <v>NO</v>
      </c>
      <c r="C97" t="s">
        <v>5</v>
      </c>
      <c r="D97" s="12" t="str">
        <f t="shared" si="77"/>
        <v>2E</v>
      </c>
      <c r="E97" t="s">
        <v>191</v>
      </c>
      <c r="F97">
        <f>'Expanded Base Data'!I90</f>
        <v>0</v>
      </c>
      <c r="G97" s="171">
        <f>F92</f>
        <v>0</v>
      </c>
      <c r="H97">
        <f>ROUND(B92+'Slide Measurements'!$D$17,$O$1)</f>
        <v>374.51</v>
      </c>
      <c r="I97">
        <f>ROUND(H97+(F97*'Slide Measurements'!$D$21),$O$1)</f>
        <v>374.51</v>
      </c>
      <c r="J97">
        <f>K96</f>
        <v>48.08</v>
      </c>
      <c r="K97">
        <f>J97+($I$1*'Slide Measurements'!$E$23-'Slide Measurements'!$E$23)</f>
        <v>49.93</v>
      </c>
      <c r="L97" s="5" t="str">
        <f>'Expanded Base Data'!$L90</f>
        <v/>
      </c>
      <c r="M97" s="5" t="str">
        <f>'Expanded Base Data'!$K90</f>
        <v/>
      </c>
      <c r="N97">
        <f t="shared" si="78"/>
        <v>0</v>
      </c>
      <c r="O97">
        <f t="shared" si="79"/>
        <v>1.85</v>
      </c>
      <c r="P97" s="5" t="e">
        <f t="shared" si="80"/>
        <v>#VALUE!</v>
      </c>
      <c r="Q97">
        <f>'Code List'!$C$63</f>
        <v>3</v>
      </c>
      <c r="R97">
        <f>F98+'Code List'!$G$63</f>
        <v>2</v>
      </c>
      <c r="S97" t="e">
        <f t="shared" si="81"/>
        <v>#VALUE!</v>
      </c>
      <c r="T97" t="e">
        <f t="shared" si="83"/>
        <v>#VALUE!</v>
      </c>
      <c r="U97" t="str">
        <f>IF(A97="YES",CONCATENATE(G97,"_",'Program Page'!$C$4,'Program Page'!$C$5,"_",D97,"_",E97),"")</f>
        <v/>
      </c>
      <c r="V97" t="str">
        <f t="shared" si="82"/>
        <v/>
      </c>
      <c r="W97" t="str">
        <f>IF(A97="YES",CONCATENATE("{",'Code List'!$B$4,'Code List'!$D$4,",",'Code List'!$B$5,'Code List'!$D$5,",",'Code List'!$B$6,"""",U97,"""",",",'Code List'!$B$7,'Code List'!$D$7,",",'Code List'!$B$8,'Code List'!$D$8,",",'Code List'!$B$9,'Code List'!$D$9,",",'Code List'!$B$10,'Code List'!$D$10,",",'Code List'!$B$11,"""",V97,"""",",",'Code List'!$B$12,"""",H97,"""",",",'Code List'!$B$13,"""",I97,"""",",",'Code List'!$B$14,"""",J97,"""",",",'Code List'!$B$15,"""",K97,"""",",",'Code List'!$B$16,"""",L97,"""",",",'Code List'!$B$17,"""",M97,"""",",",'Code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97" s="167" t="str">
        <f>IF(A97="YES",CONCATENATE("{",'Code List'!$B$31,"""",U97,"""",",",'Code List'!$B$32,'Code List'!$D$32,",",'Code List'!$B$33,'Code List'!$D$33,",",'Code List'!$B$34,'Code List'!$D$34,",",'Code List'!$B$35,'Code List'!$D$35,",",'Code List'!$B$36,'Code List'!$D$36,",",'Code List'!$B$37,'Code List'!$D$37,",",'Code List'!$B$38,"""",H97,"""",",",'Code List'!$B$39,"""",I97,"""",",",'Code List'!$B$40,"""",J97,"""",",",'Code List'!$B$41,"""",K97,"""",",",'Code List'!$B$42,"""",L97,"""",",",'Code List'!$B$43,"""",M97,"""",",",'Code List'!$B$44,"""",N97,"""",",",'Code List'!$B$45,"""",O97,"""",",",'Code List'!$B$46,"""",P97,"""",",",'Code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List'!$B$59,"""",T97,"""","}"),"")</f>
        <v/>
      </c>
    </row>
    <row r="98" spans="1:25" x14ac:dyDescent="0.25">
      <c r="A98" t="str">
        <f>IF(AND($A92="YES",E92=$D$1,F98&gt;0),"YES","NO")</f>
        <v>NO</v>
      </c>
      <c r="C98" t="s">
        <v>5</v>
      </c>
      <c r="D98" s="12" t="str">
        <f t="shared" si="77"/>
        <v>2E</v>
      </c>
      <c r="E98" t="s">
        <v>196</v>
      </c>
      <c r="F98">
        <f>'Expanded Base Data'!J90</f>
        <v>0</v>
      </c>
      <c r="G98" s="171">
        <f>F92</f>
        <v>0</v>
      </c>
      <c r="H98">
        <f>ROUND(B92+'Slide Measurements'!$D$17,$O$1)</f>
        <v>374.51</v>
      </c>
      <c r="I98">
        <f>ROUND(H98+(F98*'Slide Measurements'!$D$21),$O$1)</f>
        <v>374.51</v>
      </c>
      <c r="J98">
        <f>K97</f>
        <v>49.93</v>
      </c>
      <c r="K98">
        <f>J98+($I$1*'Slide Measurements'!$E$23-'Slide Measurements'!$E$23)</f>
        <v>51.78</v>
      </c>
      <c r="L98" s="5" t="str">
        <f>'Expanded Base Data'!$L90</f>
        <v/>
      </c>
      <c r="M98" s="5" t="str">
        <f>'Expanded Base Data'!$K90</f>
        <v/>
      </c>
      <c r="N98">
        <f t="shared" si="78"/>
        <v>0</v>
      </c>
      <c r="O98">
        <f t="shared" si="79"/>
        <v>1.85</v>
      </c>
      <c r="P98" s="5" t="e">
        <f t="shared" si="80"/>
        <v>#VALUE!</v>
      </c>
      <c r="Q98">
        <f>'Code List'!$C$63</f>
        <v>3</v>
      </c>
      <c r="R98">
        <f>F99+'Code List'!$G$63</f>
        <v>2</v>
      </c>
      <c r="S98" t="e">
        <f t="shared" si="81"/>
        <v>#VALUE!</v>
      </c>
      <c r="T98" t="e">
        <f t="shared" si="83"/>
        <v>#VALUE!</v>
      </c>
      <c r="U98" t="str">
        <f>IF(A98="YES",CONCATENATE(G98,"_",'Program Page'!$C$4,'Program Page'!$C$5,"_",D98,"_",E98),"")</f>
        <v/>
      </c>
      <c r="V98" t="str">
        <f t="shared" si="82"/>
        <v/>
      </c>
      <c r="W98" t="str">
        <f>IF(A98="YES",CONCATENATE("{",'Code List'!$B$4,'Code List'!$D$4,",",'Code List'!$B$5,'Code List'!$D$5,",",'Code List'!$B$6,"""",U98,"""",",",'Code List'!$B$7,'Code List'!$D$7,",",'Code List'!$B$8,'Code List'!$D$8,",",'Code List'!$B$9,'Code List'!$D$9,",",'Code List'!$B$10,'Code List'!$D$10,",",'Code List'!$B$11,"""",V98,"""",",",'Code List'!$B$12,"""",H98,"""",",",'Code List'!$B$13,"""",I98,"""",",",'Code List'!$B$14,"""",J98,"""",",",'Code List'!$B$15,"""",K98,"""",",",'Code List'!$B$16,"""",L98,"""",",",'Code List'!$B$17,"""",M98,"""",",",'Code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98" s="167" t="str">
        <f>IF(A98="YES",CONCATENATE("{",'Code List'!$B$31,"""",U98,"""",",",'Code List'!$B$32,'Code List'!$D$32,",",'Code List'!$B$33,'Code List'!$D$33,",",'Code List'!$B$34,'Code List'!$D$34,",",'Code List'!$B$35,'Code List'!$D$35,",",'Code List'!$B$36,'Code List'!$D$36,",",'Code List'!$B$37,'Code List'!$D$37,",",'Code List'!$B$38,"""",H98,"""",",",'Code List'!$B$39,"""",I98,"""",",",'Code List'!$B$40,"""",J98,"""",",",'Code List'!$B$41,"""",K98,"""",",",'Code List'!$B$42,"""",L98,"""",",",'Code List'!$B$43,"""",M98,"""",",",'Code List'!$B$44,"""",N98,"""",",",'Code List'!$B$45,"""",O98,"""",",",'Code List'!$B$46,"""",P98,"""",",",'Code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List'!$B$59,"""",T98,"""","}"),"")</f>
        <v/>
      </c>
    </row>
    <row r="99" spans="1:25" x14ac:dyDescent="0.25">
      <c r="A99" s="162" t="str">
        <f>IF(AND($A92="YES",E92=$E$1),"YES","NO")</f>
        <v>NO</v>
      </c>
      <c r="C99" t="s">
        <v>259</v>
      </c>
      <c r="D99" s="12" t="str">
        <f>D98</f>
        <v>2E</v>
      </c>
      <c r="E99" t="s">
        <v>259</v>
      </c>
      <c r="G99" s="171">
        <f>F92</f>
        <v>0</v>
      </c>
      <c r="H99">
        <f>ROUND(B92,$O$1)</f>
        <v>349.11</v>
      </c>
      <c r="I99">
        <f>ROUND(B92+'Slide Measurements'!$D$1,$O$1)</f>
        <v>425.56</v>
      </c>
      <c r="J99">
        <f>C92</f>
        <v>38.229999999999997</v>
      </c>
      <c r="K99">
        <f>C92+'Slide Measurements'!$D$2</f>
        <v>65.63</v>
      </c>
      <c r="L99" s="5" t="str">
        <f>'Expanded Base Data'!$L90</f>
        <v/>
      </c>
      <c r="M99" s="5" t="str">
        <f>'Expanded Base Data'!$K90</f>
        <v/>
      </c>
      <c r="N99">
        <f t="shared" si="78"/>
        <v>76.45</v>
      </c>
      <c r="O99">
        <f t="shared" si="79"/>
        <v>27.4</v>
      </c>
      <c r="P99" s="5" t="e">
        <f>ROUND((L99-M99),$O$1)</f>
        <v>#VALUE!</v>
      </c>
      <c r="Q99">
        <f>'Code List'!$C$70</f>
        <v>11</v>
      </c>
      <c r="R99">
        <f>'Code List'!$D$70</f>
        <v>19</v>
      </c>
      <c r="S99" t="e">
        <f>IF(P99=0,"1",ROUND((P99/$K$1)+$M$1,0))</f>
        <v>#VALUE!</v>
      </c>
      <c r="T99" t="e">
        <f>Q99*R99*S99</f>
        <v>#VALUE!</v>
      </c>
      <c r="U99" t="str">
        <f>IF(A99="YES",CONCATENATE(G99,"_",'Program Page'!$C$4,'Program Page'!$C$5,"_",D99,"_",E99),"")</f>
        <v/>
      </c>
      <c r="V99" t="str">
        <f>IF(U99="","",CONCATENATE(U99,"_"))</f>
        <v/>
      </c>
      <c r="W99" t="str">
        <f>IF(A99="YES",CONCATENATE("{",'Code List'!$B$4,'Code List'!$D$4,",",'Code List'!$B$5,'Code List'!$D$5,",",'Code List'!$B$6,"""",U99,"""",",",'Code List'!$B$7,'Code List'!$D$7,",",'Code List'!$B$8,'Code List'!$D$8,",",'Code List'!$B$9,'Code List'!$D$9,",",'Code List'!$B$10,'Code List'!$D$10,",",'Code List'!$B$11,"""",V99,"""",",",'Code List'!$B$12,"""",H99,"""",",",'Code List'!$B$13,"""",I99,"""",",",'Code List'!$B$14,"""",J99,"""",",",'Code List'!$B$15,"""",K99,"""",",",'Code List'!$B$16,"""",L99,"""",",",'Code List'!$B$17,"""",M99,"""",",",'Code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99" s="167" t="str">
        <f>IF(A99="YES",CONCATENATE("{",'Code List'!$B$31,"""",U99,"""",",",'Code List'!$B$32,'Code List'!$D$32,",",'Code List'!$B$33,'Code List'!$D$33,",",'Code List'!$B$34,'Code List'!$D$34,",",'Code List'!$B$35,'Code List'!$D$35,",",'Code List'!$B$36,'Code List'!$D$36,",",'Code List'!$B$37,'Code List'!$D$37,",",'Code List'!$B$38,"""",H99,"""",",",'Code List'!$B$39,"""",I99,"""",",",'Code List'!$B$40,"""",J99,"""",",",'Code List'!$B$41,"""",K99,"""",",",'Code List'!$B$42,"""",L99,"""",",",'Code List'!$B$43,"""",M99,"""",",",'Code List'!$B$44,"""",N99,"""",",",'Code List'!$B$45,"""",O99,"""",",",'Code List'!$B$46,"""",P99,"""",",",'Code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List'!$B$59,"""",T99,"""","}"),"")</f>
        <v/>
      </c>
    </row>
    <row r="100" spans="1:25" ht="18.75" x14ac:dyDescent="0.3">
      <c r="A100" s="35" t="str">
        <f>IF(OR(E100=$C$1,E100=$D$1,E100=$E$1),"YES","NO")</f>
        <v>NO</v>
      </c>
      <c r="B100" s="35">
        <f>'Expanded Base Data'!D98</f>
        <v>435.71000000000004</v>
      </c>
      <c r="C100" s="35">
        <f>'Expanded Base Data'!E98</f>
        <v>38.229999999999997</v>
      </c>
      <c r="D100" s="36" t="str">
        <f>'Expanded Base Data'!B98</f>
        <v>2F</v>
      </c>
      <c r="E100" s="35">
        <f>'Expanded Base Data'!C98</f>
        <v>0</v>
      </c>
      <c r="F100" s="35">
        <f>'Expanded Base Data'!M98</f>
        <v>0</v>
      </c>
      <c r="G100" s="170">
        <f>F100</f>
        <v>0</v>
      </c>
      <c r="Y100" s="167" t="str">
        <f>""</f>
        <v/>
      </c>
    </row>
    <row r="101" spans="1:25" x14ac:dyDescent="0.25">
      <c r="A101" t="str">
        <f>IF(AND($A100="YES",E100=$C$1),"YES","NO")</f>
        <v>NO</v>
      </c>
      <c r="C101" t="s">
        <v>6</v>
      </c>
      <c r="D101" s="12" t="str">
        <f>D100</f>
        <v>2F</v>
      </c>
      <c r="E101" t="s">
        <v>6</v>
      </c>
      <c r="F101" t="s">
        <v>198</v>
      </c>
      <c r="G101" s="171">
        <f>F100</f>
        <v>0</v>
      </c>
      <c r="H101">
        <f>IF('Expanded Base Data'!N98="",ROUND(B100+'Slide Measurements'!$D$11,$O$1),B100+'Expanded Base Data'!N98)</f>
        <v>468.71</v>
      </c>
      <c r="I101">
        <f>IF('Expanded Base Data'!O98="",ROUND(B100+'Slide Measurements'!$D$12,$O$1),B100+'Expanded Base Data'!O98)</f>
        <v>477.31</v>
      </c>
      <c r="J101">
        <f>IF('Expanded Base Data'!P98="",C100+'Slide Measurements'!$E$13,C100+'Expanded Base Data'!P98)</f>
        <v>46.929999999999993</v>
      </c>
      <c r="K101">
        <f>IF('Expanded Base Data'!Q98="",C100+'Slide Measurements'!$E$14,C100+'Expanded Base Data'!Q98)</f>
        <v>55.529999999999994</v>
      </c>
      <c r="L101" s="5" t="str">
        <f>'Expanded Base Data'!$L98</f>
        <v/>
      </c>
      <c r="M101" s="5" t="str">
        <f>'Expanded Base Data'!$K98</f>
        <v/>
      </c>
      <c r="N101">
        <f>ROUND((I101-H101),$O$1)</f>
        <v>8.6</v>
      </c>
      <c r="O101">
        <f>ROUND((K101-J101),$O$1)</f>
        <v>8.6</v>
      </c>
      <c r="P101" s="5" t="e">
        <f>ROUND((L101-M101),$O$1)</f>
        <v>#VALUE!</v>
      </c>
      <c r="Q101">
        <f>'Code List'!$C$62</f>
        <v>5</v>
      </c>
      <c r="R101">
        <f>F102+'Code List'!$G$63</f>
        <v>2</v>
      </c>
      <c r="S101" t="e">
        <f>IF(P101=0,"1",ROUND((P101/$K$1)+$M$1,0))</f>
        <v>#VALUE!</v>
      </c>
      <c r="T101" t="e">
        <f>Q101*R101*S101</f>
        <v>#VALUE!</v>
      </c>
      <c r="U101" t="str">
        <f>IF(A101="YES",CONCATENATE(G101,"_",'Program Page'!$C$4,'Program Page'!$C$5,"_",D101,"_",E101),"")</f>
        <v/>
      </c>
      <c r="V101" t="str">
        <f>IF(U101="","",CONCATENATE(U101,"_"))</f>
        <v/>
      </c>
      <c r="W101" t="str">
        <f>IF(A101="YES",CONCATENATE("{",'Code List'!$B$4,'Code List'!$D$4,",",'Code List'!$B$5,'Code List'!$D$5,",",'Code List'!$B$6,"""",U101,"""",",",'Code List'!$B$7,'Code List'!$D$7,",",'Code List'!$B$8,'Code List'!$D$8,",",'Code List'!$B$9,'Code List'!$D$9,",",'Code List'!$B$10,'Code List'!$D$10,",",'Code List'!$B$11,"""",V101,"""",",",'Code List'!$B$12,"""",H101,"""",",",'Code List'!$B$13,"""",I101,"""",",",'Code List'!$B$14,"""",J101,"""",",",'Code List'!$B$15,"""",K101,"""",",",'Code List'!$B$16,"""",L101,"""",",",'Code List'!$B$17,"""",M101,"""",",",'Code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01" s="167" t="str">
        <f>IF(A101="YES",CONCATENATE("{",'Code List'!$B$31,"""",U101,"""",",",'Code List'!$B$32,'Code List'!$D$32,",",'Code List'!$B$33,'Code List'!$D$33,",",'Code List'!$B$34,'Code List'!$D$34,",",'Code List'!$B$35,'Code List'!$D$35,",",'Code List'!$B$36,'Code List'!$D$36,",",'Code List'!$B$37,'Code List'!$D$37,",",'Code List'!$B$38,"""",H101,"""",",",'Code List'!$B$39,"""",I101,"""",",",'Code List'!$B$40,"""",J101,"""",",",'Code List'!$B$41,"""",K101,"""",",",'Code List'!$B$42,"""",L101,"""",",",'Code List'!$B$43,"""",M101,"""",",",'Code List'!$B$44,"""",N101,"""",",",'Code List'!$B$45,"""",O101,"""",",",'Code List'!$B$46,"""",P101,"""",",",'Code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List'!$B$59,"""",T101,"""","}"),"")</f>
        <v/>
      </c>
    </row>
    <row r="102" spans="1:25" x14ac:dyDescent="0.25">
      <c r="A102" t="str">
        <f>IF(AND($A100="YES",E100=$D$1,F102&gt;0),"YES","NO")</f>
        <v>NO</v>
      </c>
      <c r="C102" t="s">
        <v>5</v>
      </c>
      <c r="D102" s="12" t="str">
        <f t="shared" ref="D102:D106" si="84">D101</f>
        <v>2F</v>
      </c>
      <c r="E102" t="s">
        <v>188</v>
      </c>
      <c r="F102">
        <f>'Expanded Base Data'!F98</f>
        <v>0</v>
      </c>
      <c r="G102" s="171">
        <f>F100</f>
        <v>0</v>
      </c>
      <c r="H102">
        <f>ROUND(B100+'Slide Measurements'!$D$17,$O$1)</f>
        <v>461.11</v>
      </c>
      <c r="I102">
        <f>ROUND(H102+(F102*'Slide Measurements'!$D$21),$O$1)</f>
        <v>461.11</v>
      </c>
      <c r="J102">
        <f>C100+'Slide Measurements'!$E$17</f>
        <v>42.529999999999994</v>
      </c>
      <c r="K102">
        <f>J102+($I$1*'Slide Measurements'!$E$23-'Slide Measurements'!$E$23)</f>
        <v>44.379999999999995</v>
      </c>
      <c r="L102" s="5" t="str">
        <f>'Expanded Base Data'!$L98</f>
        <v/>
      </c>
      <c r="M102" s="5" t="str">
        <f>'Expanded Base Data'!$K98</f>
        <v/>
      </c>
      <c r="N102">
        <f t="shared" ref="N102:N107" si="85">ROUND((I102-H102),$O$1)</f>
        <v>0</v>
      </c>
      <c r="O102">
        <f t="shared" ref="O102:O107" si="86">ROUND((K102-J102),$O$1)</f>
        <v>1.85</v>
      </c>
      <c r="P102" s="5" t="e">
        <f t="shared" ref="P102:P106" si="87">ROUND((L102-M102),$O$1)</f>
        <v>#VALUE!</v>
      </c>
      <c r="Q102">
        <f>'Code List'!$C$63</f>
        <v>3</v>
      </c>
      <c r="R102">
        <f>F103+'Code List'!$G$63</f>
        <v>2</v>
      </c>
      <c r="S102" t="e">
        <f t="shared" ref="S102:S106" si="88">IF(P102=0,"1",ROUND((P102/$K$1)+$M$1,0))</f>
        <v>#VALUE!</v>
      </c>
      <c r="T102" t="e">
        <f>Q102*R102*S102</f>
        <v>#VALUE!</v>
      </c>
      <c r="U102" t="str">
        <f>IF(A102="YES",CONCATENATE(G102,"_",'Program Page'!$C$4,'Program Page'!$C$5,"_",D102,"_",E102),"")</f>
        <v/>
      </c>
      <c r="V102" t="str">
        <f t="shared" ref="V102:V106" si="89">IF(U102="","",CONCATENATE(U102,"_"))</f>
        <v/>
      </c>
      <c r="W102" t="str">
        <f>IF(A102="YES",CONCATENATE("{",'Code List'!$B$4,'Code List'!$D$4,",",'Code List'!$B$5,'Code List'!$D$5,",",'Code List'!$B$6,"""",U102,"""",",",'Code List'!$B$7,'Code List'!$D$7,",",'Code List'!$B$8,'Code List'!$D$8,",",'Code List'!$B$9,'Code List'!$D$9,",",'Code List'!$B$10,'Code List'!$D$10,",",'Code List'!$B$11,"""",V102,"""",",",'Code List'!$B$12,"""",H102,"""",",",'Code List'!$B$13,"""",I102,"""",",",'Code List'!$B$14,"""",J102,"""",",",'Code List'!$B$15,"""",K102,"""",",",'Code List'!$B$16,"""",L102,"""",",",'Code List'!$B$17,"""",M102,"""",",",'Code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02" s="167" t="str">
        <f>IF(A102="YES",CONCATENATE("{",'Code List'!$B$31,"""",U102,"""",",",'Code List'!$B$32,'Code List'!$D$32,",",'Code List'!$B$33,'Code List'!$D$33,",",'Code List'!$B$34,'Code List'!$D$34,",",'Code List'!$B$35,'Code List'!$D$35,",",'Code List'!$B$36,'Code List'!$D$36,",",'Code List'!$B$37,'Code List'!$D$37,",",'Code List'!$B$38,"""",H102,"""",",",'Code List'!$B$39,"""",I102,"""",",",'Code List'!$B$40,"""",J102,"""",",",'Code List'!$B$41,"""",K102,"""",",",'Code List'!$B$42,"""",L102,"""",",",'Code List'!$B$43,"""",M102,"""",",",'Code List'!$B$44,"""",N102,"""",",",'Code List'!$B$45,"""",O102,"""",",",'Code List'!$B$46,"""",P102,"""",",",'Code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List'!$B$59,"""",T102,"""","}"),"")</f>
        <v/>
      </c>
    </row>
    <row r="103" spans="1:25" x14ac:dyDescent="0.25">
      <c r="A103" t="str">
        <f>IF(AND($A100="YES",E100=$D$1,F103&gt;0),"YES","NO")</f>
        <v>NO</v>
      </c>
      <c r="C103" t="s">
        <v>5</v>
      </c>
      <c r="D103" s="12" t="str">
        <f t="shared" si="84"/>
        <v>2F</v>
      </c>
      <c r="E103" t="s">
        <v>189</v>
      </c>
      <c r="F103">
        <f>'Expanded Base Data'!G98</f>
        <v>0</v>
      </c>
      <c r="G103" s="171">
        <f>F100</f>
        <v>0</v>
      </c>
      <c r="H103">
        <f>ROUND(B100+'Slide Measurements'!$D$17,$O$1)</f>
        <v>461.11</v>
      </c>
      <c r="I103">
        <f>ROUND(H103+(F103*'Slide Measurements'!$D$21),$O$1)</f>
        <v>461.11</v>
      </c>
      <c r="J103">
        <f>K102</f>
        <v>44.379999999999995</v>
      </c>
      <c r="K103">
        <f>J103+($I$1*'Slide Measurements'!$E$23-'Slide Measurements'!$E$23)</f>
        <v>46.23</v>
      </c>
      <c r="L103" s="5" t="str">
        <f>'Expanded Base Data'!$L98</f>
        <v/>
      </c>
      <c r="M103" s="5" t="str">
        <f>'Expanded Base Data'!$K98</f>
        <v/>
      </c>
      <c r="N103">
        <f t="shared" si="85"/>
        <v>0</v>
      </c>
      <c r="O103">
        <f t="shared" si="86"/>
        <v>1.85</v>
      </c>
      <c r="P103" s="5" t="e">
        <f t="shared" si="87"/>
        <v>#VALUE!</v>
      </c>
      <c r="Q103">
        <f>'Code List'!$C$63</f>
        <v>3</v>
      </c>
      <c r="R103">
        <f>F104+'Code List'!$G$63</f>
        <v>2</v>
      </c>
      <c r="S103" t="e">
        <f t="shared" si="88"/>
        <v>#VALUE!</v>
      </c>
      <c r="T103" t="e">
        <f t="shared" ref="T103:T106" si="90">Q103*R103*S103</f>
        <v>#VALUE!</v>
      </c>
      <c r="U103" t="str">
        <f>IF(A103="YES",CONCATENATE(G103,"_",'Program Page'!$C$4,'Program Page'!$C$5,"_",D103,"_",E103),"")</f>
        <v/>
      </c>
      <c r="V103" t="str">
        <f t="shared" si="89"/>
        <v/>
      </c>
      <c r="W103" t="str">
        <f>IF(A103="YES",CONCATENATE("{",'Code List'!$B$4,'Code List'!$D$4,",",'Code List'!$B$5,'Code List'!$D$5,",",'Code List'!$B$6,"""",U103,"""",",",'Code List'!$B$7,'Code List'!$D$7,",",'Code List'!$B$8,'Code List'!$D$8,",",'Code List'!$B$9,'Code List'!$D$9,",",'Code List'!$B$10,'Code List'!$D$10,",",'Code List'!$B$11,"""",V103,"""",",",'Code List'!$B$12,"""",H103,"""",",",'Code List'!$B$13,"""",I103,"""",",",'Code List'!$B$14,"""",J103,"""",",",'Code List'!$B$15,"""",K103,"""",",",'Code List'!$B$16,"""",L103,"""",",",'Code List'!$B$17,"""",M103,"""",",",'Code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03" s="167" t="str">
        <f>IF(A103="YES",CONCATENATE("{",'Code List'!$B$31,"""",U103,"""",",",'Code List'!$B$32,'Code List'!$D$32,",",'Code List'!$B$33,'Code List'!$D$33,",",'Code List'!$B$34,'Code List'!$D$34,",",'Code List'!$B$35,'Code List'!$D$35,",",'Code List'!$B$36,'Code List'!$D$36,",",'Code List'!$B$37,'Code List'!$D$37,",",'Code List'!$B$38,"""",H103,"""",",",'Code List'!$B$39,"""",I103,"""",",",'Code List'!$B$40,"""",J103,"""",",",'Code List'!$B$41,"""",K103,"""",",",'Code List'!$B$42,"""",L103,"""",",",'Code List'!$B$43,"""",M103,"""",",",'Code List'!$B$44,"""",N103,"""",",",'Code List'!$B$45,"""",O103,"""",",",'Code List'!$B$46,"""",P103,"""",",",'Code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List'!$B$59,"""",T103,"""","}"),"")</f>
        <v/>
      </c>
    </row>
    <row r="104" spans="1:25" x14ac:dyDescent="0.25">
      <c r="A104" t="str">
        <f>IF(AND($A100="YES",E100=$D$1,F104&gt;0),"YES","NO")</f>
        <v>NO</v>
      </c>
      <c r="C104" t="s">
        <v>5</v>
      </c>
      <c r="D104" s="12" t="str">
        <f t="shared" si="84"/>
        <v>2F</v>
      </c>
      <c r="E104" t="s">
        <v>190</v>
      </c>
      <c r="F104">
        <f>'Expanded Base Data'!H98</f>
        <v>0</v>
      </c>
      <c r="G104" s="171">
        <f>F100</f>
        <v>0</v>
      </c>
      <c r="H104">
        <f>ROUND(B100+'Slide Measurements'!$D$17,$O$1)</f>
        <v>461.11</v>
      </c>
      <c r="I104">
        <f>ROUND(H104+(F104*'Slide Measurements'!$D$21),$O$1)</f>
        <v>461.11</v>
      </c>
      <c r="J104">
        <f>K103</f>
        <v>46.23</v>
      </c>
      <c r="K104">
        <f>J104+($I$1*'Slide Measurements'!$E$23-'Slide Measurements'!$E$23)</f>
        <v>48.08</v>
      </c>
      <c r="L104" s="5" t="str">
        <f>'Expanded Base Data'!$L98</f>
        <v/>
      </c>
      <c r="M104" s="5" t="str">
        <f>'Expanded Base Data'!$K98</f>
        <v/>
      </c>
      <c r="N104">
        <f t="shared" si="85"/>
        <v>0</v>
      </c>
      <c r="O104">
        <f t="shared" si="86"/>
        <v>1.85</v>
      </c>
      <c r="P104" s="5" t="e">
        <f t="shared" si="87"/>
        <v>#VALUE!</v>
      </c>
      <c r="Q104">
        <f>'Code List'!$C$63</f>
        <v>3</v>
      </c>
      <c r="R104">
        <f>F105+'Code List'!$G$63</f>
        <v>2</v>
      </c>
      <c r="S104" t="e">
        <f t="shared" si="88"/>
        <v>#VALUE!</v>
      </c>
      <c r="T104" t="e">
        <f t="shared" si="90"/>
        <v>#VALUE!</v>
      </c>
      <c r="U104" t="str">
        <f>IF(A104="YES",CONCATENATE(G104,"_",'Program Page'!$C$4,'Program Page'!$C$5,"_",D104,"_",E104),"")</f>
        <v/>
      </c>
      <c r="V104" t="str">
        <f t="shared" si="89"/>
        <v/>
      </c>
      <c r="W104" t="str">
        <f>IF(A104="YES",CONCATENATE("{",'Code List'!$B$4,'Code List'!$D$4,",",'Code List'!$B$5,'Code List'!$D$5,",",'Code List'!$B$6,"""",U104,"""",",",'Code List'!$B$7,'Code List'!$D$7,",",'Code List'!$B$8,'Code List'!$D$8,",",'Code List'!$B$9,'Code List'!$D$9,",",'Code List'!$B$10,'Code List'!$D$10,",",'Code List'!$B$11,"""",V104,"""",",",'Code List'!$B$12,"""",H104,"""",",",'Code List'!$B$13,"""",I104,"""",",",'Code List'!$B$14,"""",J104,"""",",",'Code List'!$B$15,"""",K104,"""",",",'Code List'!$B$16,"""",L104,"""",",",'Code List'!$B$17,"""",M104,"""",",",'Code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04" s="167" t="str">
        <f>IF(A104="YES",CONCATENATE("{",'Code List'!$B$31,"""",U104,"""",",",'Code List'!$B$32,'Code List'!$D$32,",",'Code List'!$B$33,'Code List'!$D$33,",",'Code List'!$B$34,'Code List'!$D$34,",",'Code List'!$B$35,'Code List'!$D$35,",",'Code List'!$B$36,'Code List'!$D$36,",",'Code List'!$B$37,'Code List'!$D$37,",",'Code List'!$B$38,"""",H104,"""",",",'Code List'!$B$39,"""",I104,"""",",",'Code List'!$B$40,"""",J104,"""",",",'Code List'!$B$41,"""",K104,"""",",",'Code List'!$B$42,"""",L104,"""",",",'Code List'!$B$43,"""",M104,"""",",",'Code List'!$B$44,"""",N104,"""",",",'Code List'!$B$45,"""",O104,"""",",",'Code List'!$B$46,"""",P104,"""",",",'Code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List'!$B$59,"""",T104,"""","}"),"")</f>
        <v/>
      </c>
    </row>
    <row r="105" spans="1:25" x14ac:dyDescent="0.25">
      <c r="A105" t="str">
        <f>IF(AND($A100="YES",E100=$D$1,F105&gt;0),"YES","NO")</f>
        <v>NO</v>
      </c>
      <c r="C105" t="s">
        <v>5</v>
      </c>
      <c r="D105" s="12" t="str">
        <f t="shared" si="84"/>
        <v>2F</v>
      </c>
      <c r="E105" t="s">
        <v>191</v>
      </c>
      <c r="F105">
        <f>'Expanded Base Data'!I98</f>
        <v>0</v>
      </c>
      <c r="G105" s="171">
        <f>F100</f>
        <v>0</v>
      </c>
      <c r="H105">
        <f>ROUND(B100+'Slide Measurements'!$D$17,$O$1)</f>
        <v>461.11</v>
      </c>
      <c r="I105">
        <f>ROUND(H105+(F105*'Slide Measurements'!$D$21),$O$1)</f>
        <v>461.11</v>
      </c>
      <c r="J105">
        <f>K104</f>
        <v>48.08</v>
      </c>
      <c r="K105">
        <f>J105+($I$1*'Slide Measurements'!$E$23-'Slide Measurements'!$E$23)</f>
        <v>49.93</v>
      </c>
      <c r="L105" s="5" t="str">
        <f>'Expanded Base Data'!$L98</f>
        <v/>
      </c>
      <c r="M105" s="5" t="str">
        <f>'Expanded Base Data'!$K98</f>
        <v/>
      </c>
      <c r="N105">
        <f t="shared" si="85"/>
        <v>0</v>
      </c>
      <c r="O105">
        <f t="shared" si="86"/>
        <v>1.85</v>
      </c>
      <c r="P105" s="5" t="e">
        <f t="shared" si="87"/>
        <v>#VALUE!</v>
      </c>
      <c r="Q105">
        <f>'Code List'!$C$63</f>
        <v>3</v>
      </c>
      <c r="R105">
        <f>F106+'Code List'!$G$63</f>
        <v>2</v>
      </c>
      <c r="S105" t="e">
        <f t="shared" si="88"/>
        <v>#VALUE!</v>
      </c>
      <c r="T105" t="e">
        <f t="shared" si="90"/>
        <v>#VALUE!</v>
      </c>
      <c r="U105" t="str">
        <f>IF(A105="YES",CONCATENATE(G105,"_",'Program Page'!$C$4,'Program Page'!$C$5,"_",D105,"_",E105),"")</f>
        <v/>
      </c>
      <c r="V105" t="str">
        <f t="shared" si="89"/>
        <v/>
      </c>
      <c r="W105" t="str">
        <f>IF(A105="YES",CONCATENATE("{",'Code List'!$B$4,'Code List'!$D$4,",",'Code List'!$B$5,'Code List'!$D$5,",",'Code List'!$B$6,"""",U105,"""",",",'Code List'!$B$7,'Code List'!$D$7,",",'Code List'!$B$8,'Code List'!$D$8,",",'Code List'!$B$9,'Code List'!$D$9,",",'Code List'!$B$10,'Code List'!$D$10,",",'Code List'!$B$11,"""",V105,"""",",",'Code List'!$B$12,"""",H105,"""",",",'Code List'!$B$13,"""",I105,"""",",",'Code List'!$B$14,"""",J105,"""",",",'Code List'!$B$15,"""",K105,"""",",",'Code List'!$B$16,"""",L105,"""",",",'Code List'!$B$17,"""",M105,"""",",",'Code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05" s="167" t="str">
        <f>IF(A105="YES",CONCATENATE("{",'Code List'!$B$31,"""",U105,"""",",",'Code List'!$B$32,'Code List'!$D$32,",",'Code List'!$B$33,'Code List'!$D$33,",",'Code List'!$B$34,'Code List'!$D$34,",",'Code List'!$B$35,'Code List'!$D$35,",",'Code List'!$B$36,'Code List'!$D$36,",",'Code List'!$B$37,'Code List'!$D$37,",",'Code List'!$B$38,"""",H105,"""",",",'Code List'!$B$39,"""",I105,"""",",",'Code List'!$B$40,"""",J105,"""",",",'Code List'!$B$41,"""",K105,"""",",",'Code List'!$B$42,"""",L105,"""",",",'Code List'!$B$43,"""",M105,"""",",",'Code List'!$B$44,"""",N105,"""",",",'Code List'!$B$45,"""",O105,"""",",",'Code List'!$B$46,"""",P105,"""",",",'Code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List'!$B$59,"""",T105,"""","}"),"")</f>
        <v/>
      </c>
    </row>
    <row r="106" spans="1:25" x14ac:dyDescent="0.25">
      <c r="A106" t="str">
        <f>IF(AND($A100="YES",E100=$D$1,F106&gt;0),"YES","NO")</f>
        <v>NO</v>
      </c>
      <c r="C106" t="s">
        <v>5</v>
      </c>
      <c r="D106" s="12" t="str">
        <f t="shared" si="84"/>
        <v>2F</v>
      </c>
      <c r="E106" t="s">
        <v>196</v>
      </c>
      <c r="F106">
        <f>'Expanded Base Data'!J98</f>
        <v>0</v>
      </c>
      <c r="G106" s="171">
        <f>F100</f>
        <v>0</v>
      </c>
      <c r="H106">
        <f>ROUND(B100+'Slide Measurements'!$D$17,$O$1)</f>
        <v>461.11</v>
      </c>
      <c r="I106">
        <f>ROUND(H106+(F106*'Slide Measurements'!$D$21),$O$1)</f>
        <v>461.11</v>
      </c>
      <c r="J106">
        <f>K105</f>
        <v>49.93</v>
      </c>
      <c r="K106">
        <f>J106+($I$1*'Slide Measurements'!$E$23-'Slide Measurements'!$E$23)</f>
        <v>51.78</v>
      </c>
      <c r="L106" s="5" t="str">
        <f>'Expanded Base Data'!$L98</f>
        <v/>
      </c>
      <c r="M106" s="5" t="str">
        <f>'Expanded Base Data'!$K98</f>
        <v/>
      </c>
      <c r="N106">
        <f t="shared" si="85"/>
        <v>0</v>
      </c>
      <c r="O106">
        <f t="shared" si="86"/>
        <v>1.85</v>
      </c>
      <c r="P106" s="5" t="e">
        <f t="shared" si="87"/>
        <v>#VALUE!</v>
      </c>
      <c r="Q106">
        <f>'Code List'!$C$63</f>
        <v>3</v>
      </c>
      <c r="R106">
        <f>F107+'Code List'!$G$63</f>
        <v>2</v>
      </c>
      <c r="S106" t="e">
        <f t="shared" si="88"/>
        <v>#VALUE!</v>
      </c>
      <c r="T106" t="e">
        <f t="shared" si="90"/>
        <v>#VALUE!</v>
      </c>
      <c r="U106" t="str">
        <f>IF(A106="YES",CONCATENATE(G106,"_",'Program Page'!$C$4,'Program Page'!$C$5,"_",D106,"_",E106),"")</f>
        <v/>
      </c>
      <c r="V106" t="str">
        <f t="shared" si="89"/>
        <v/>
      </c>
      <c r="W106" t="str">
        <f>IF(A106="YES",CONCATENATE("{",'Code List'!$B$4,'Code List'!$D$4,",",'Code List'!$B$5,'Code List'!$D$5,",",'Code List'!$B$6,"""",U106,"""",",",'Code List'!$B$7,'Code List'!$D$7,",",'Code List'!$B$8,'Code List'!$D$8,",",'Code List'!$B$9,'Code List'!$D$9,",",'Code List'!$B$10,'Code List'!$D$10,",",'Code List'!$B$11,"""",V106,"""",",",'Code List'!$B$12,"""",H106,"""",",",'Code List'!$B$13,"""",I106,"""",",",'Code List'!$B$14,"""",J106,"""",",",'Code List'!$B$15,"""",K106,"""",",",'Code List'!$B$16,"""",L106,"""",",",'Code List'!$B$17,"""",M106,"""",",",'Code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06" s="167" t="str">
        <f>IF(A106="YES",CONCATENATE("{",'Code List'!$B$31,"""",U106,"""",",",'Code List'!$B$32,'Code List'!$D$32,",",'Code List'!$B$33,'Code List'!$D$33,",",'Code List'!$B$34,'Code List'!$D$34,",",'Code List'!$B$35,'Code List'!$D$35,",",'Code List'!$B$36,'Code List'!$D$36,",",'Code List'!$B$37,'Code List'!$D$37,",",'Code List'!$B$38,"""",H106,"""",",",'Code List'!$B$39,"""",I106,"""",",",'Code List'!$B$40,"""",J106,"""",",",'Code List'!$B$41,"""",K106,"""",",",'Code List'!$B$42,"""",L106,"""",",",'Code List'!$B$43,"""",M106,"""",",",'Code List'!$B$44,"""",N106,"""",",",'Code List'!$B$45,"""",O106,"""",",",'Code List'!$B$46,"""",P106,"""",",",'Code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List'!$B$59,"""",T106,"""","}"),"")</f>
        <v/>
      </c>
    </row>
    <row r="107" spans="1:25" x14ac:dyDescent="0.25">
      <c r="A107" s="162" t="str">
        <f>IF(AND($A100="YES",E100=$E$1),"YES","NO")</f>
        <v>NO</v>
      </c>
      <c r="C107" t="s">
        <v>259</v>
      </c>
      <c r="D107" s="12" t="str">
        <f>D106</f>
        <v>2F</v>
      </c>
      <c r="E107" t="s">
        <v>259</v>
      </c>
      <c r="G107" s="171">
        <f>F100</f>
        <v>0</v>
      </c>
      <c r="H107">
        <f>ROUND(B100,$O$1)</f>
        <v>435.71</v>
      </c>
      <c r="I107">
        <f>ROUND(B100+'Slide Measurements'!$D$1,$O$1)</f>
        <v>512.16</v>
      </c>
      <c r="J107">
        <f>C100</f>
        <v>38.229999999999997</v>
      </c>
      <c r="K107">
        <f>C100+'Slide Measurements'!$D$2</f>
        <v>65.63</v>
      </c>
      <c r="L107" s="5" t="str">
        <f>'Expanded Base Data'!$L98</f>
        <v/>
      </c>
      <c r="M107" s="5" t="str">
        <f>'Expanded Base Data'!$K98</f>
        <v/>
      </c>
      <c r="N107">
        <f t="shared" si="85"/>
        <v>76.45</v>
      </c>
      <c r="O107">
        <f t="shared" si="86"/>
        <v>27.4</v>
      </c>
      <c r="P107" s="5" t="e">
        <f>ROUND((L107-M107),$O$1)</f>
        <v>#VALUE!</v>
      </c>
      <c r="Q107">
        <f>'Code List'!$C$70</f>
        <v>11</v>
      </c>
      <c r="R107">
        <f>'Code List'!$D$70</f>
        <v>19</v>
      </c>
      <c r="S107" t="e">
        <f>IF(P107=0,"1",ROUND((P107/$K$1)+$M$1,0))</f>
        <v>#VALUE!</v>
      </c>
      <c r="T107" t="e">
        <f>Q107*R107*S107</f>
        <v>#VALUE!</v>
      </c>
      <c r="U107" t="str">
        <f>IF(A107="YES",CONCATENATE(G107,"_",'Program Page'!$C$4,'Program Page'!$C$5,"_",D107,"_",E107),"")</f>
        <v/>
      </c>
      <c r="V107" t="str">
        <f>IF(U107="","",CONCATENATE(U107,"_"))</f>
        <v/>
      </c>
      <c r="W107" t="str">
        <f>IF(A107="YES",CONCATENATE("{",'Code List'!$B$4,'Code List'!$D$4,",",'Code List'!$B$5,'Code List'!$D$5,",",'Code List'!$B$6,"""",U107,"""",",",'Code List'!$B$7,'Code List'!$D$7,",",'Code List'!$B$8,'Code List'!$D$8,",",'Code List'!$B$9,'Code List'!$D$9,",",'Code List'!$B$10,'Code List'!$D$10,",",'Code List'!$B$11,"""",V107,"""",",",'Code List'!$B$12,"""",H107,"""",",",'Code List'!$B$13,"""",I107,"""",",",'Code List'!$B$14,"""",J107,"""",",",'Code List'!$B$15,"""",K107,"""",",",'Code List'!$B$16,"""",L107,"""",",",'Code List'!$B$17,"""",M107,"""",",",'Code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107" s="167" t="str">
        <f>IF(A107="YES",CONCATENATE("{",'Code List'!$B$31,"""",U107,"""",",",'Code List'!$B$32,'Code List'!$D$32,",",'Code List'!$B$33,'Code List'!$D$33,",",'Code List'!$B$34,'Code List'!$D$34,",",'Code List'!$B$35,'Code List'!$D$35,",",'Code List'!$B$36,'Code List'!$D$36,",",'Code List'!$B$37,'Code List'!$D$37,",",'Code List'!$B$38,"""",H107,"""",",",'Code List'!$B$39,"""",I107,"""",",",'Code List'!$B$40,"""",J107,"""",",",'Code List'!$B$41,"""",K107,"""",",",'Code List'!$B$42,"""",L107,"""",",",'Code List'!$B$43,"""",M107,"""",",",'Code List'!$B$44,"""",N107,"""",",",'Code List'!$B$45,"""",O107,"""",",",'Code List'!$B$46,"""",P107,"""",",",'Code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List'!$B$59,"""",T107,"""","}"),"")</f>
        <v/>
      </c>
    </row>
    <row r="108" spans="1:25" ht="18.75" x14ac:dyDescent="0.3">
      <c r="A108" s="35" t="str">
        <f>IF(OR(E108=$C$1,E108=$D$1,E108=$E$1),"YES","NO")</f>
        <v>NO</v>
      </c>
      <c r="B108" s="35">
        <f>'Expanded Base Data'!D106</f>
        <v>522.61</v>
      </c>
      <c r="C108" s="35">
        <f>'Expanded Base Data'!E106</f>
        <v>38.229999999999997</v>
      </c>
      <c r="D108" s="36" t="str">
        <f>'Expanded Base Data'!B106</f>
        <v>2G</v>
      </c>
      <c r="E108" s="35">
        <f>'Expanded Base Data'!C106</f>
        <v>0</v>
      </c>
      <c r="F108" s="35">
        <f>'Expanded Base Data'!M106</f>
        <v>0</v>
      </c>
      <c r="G108" s="170">
        <f>F108</f>
        <v>0</v>
      </c>
      <c r="Y108" s="167" t="str">
        <f>""</f>
        <v/>
      </c>
    </row>
    <row r="109" spans="1:25" x14ac:dyDescent="0.25">
      <c r="A109" t="str">
        <f>IF(AND($A108="YES",E108=$C$1),"YES","NO")</f>
        <v>NO</v>
      </c>
      <c r="C109" t="s">
        <v>6</v>
      </c>
      <c r="D109" s="12" t="str">
        <f>D108</f>
        <v>2G</v>
      </c>
      <c r="E109" t="s">
        <v>6</v>
      </c>
      <c r="F109" t="s">
        <v>198</v>
      </c>
      <c r="G109" s="171">
        <f>F108</f>
        <v>0</v>
      </c>
      <c r="H109">
        <f>IF('Expanded Base Data'!N106="",ROUND(B108+'Slide Measurements'!$D$11,$O$1),B108+'Expanded Base Data'!N106)</f>
        <v>555.61</v>
      </c>
      <c r="I109">
        <f>IF('Expanded Base Data'!O106="",ROUND(B108+'Slide Measurements'!$D$12,$O$1),B108+'Expanded Base Data'!O106)</f>
        <v>564.21</v>
      </c>
      <c r="J109">
        <f>IF('Expanded Base Data'!P106="",C108+'Slide Measurements'!$E$13,C108+'Expanded Base Data'!P106)</f>
        <v>46.929999999999993</v>
      </c>
      <c r="K109">
        <f>IF('Expanded Base Data'!Q106="",C108+'Slide Measurements'!$E$14,C108+'Expanded Base Data'!Q106)</f>
        <v>55.529999999999994</v>
      </c>
      <c r="L109" s="5" t="str">
        <f>'Expanded Base Data'!$L106</f>
        <v/>
      </c>
      <c r="M109" s="5" t="str">
        <f>'Expanded Base Data'!$K106</f>
        <v/>
      </c>
      <c r="N109">
        <f>ROUND((I109-H109),$O$1)</f>
        <v>8.6</v>
      </c>
      <c r="O109">
        <f>ROUND((K109-J109),$O$1)</f>
        <v>8.6</v>
      </c>
      <c r="P109" s="5" t="e">
        <f>ROUND((L109-M109),$O$1)</f>
        <v>#VALUE!</v>
      </c>
      <c r="Q109">
        <f>'Code List'!$C$62</f>
        <v>5</v>
      </c>
      <c r="R109">
        <f>F110+'Code List'!$G$63</f>
        <v>2</v>
      </c>
      <c r="S109" t="e">
        <f>IF(P109=0,"1",ROUND((P109/$K$1)+$M$1,0))</f>
        <v>#VALUE!</v>
      </c>
      <c r="T109" t="e">
        <f>Q109*R109*S109</f>
        <v>#VALUE!</v>
      </c>
      <c r="U109" t="str">
        <f>IF(A109="YES",CONCATENATE(G109,"_",'Program Page'!$C$4,'Program Page'!$C$5,"_",D109,"_",E109),"")</f>
        <v/>
      </c>
      <c r="V109" t="str">
        <f>IF(U109="","",CONCATENATE(U109,"_"))</f>
        <v/>
      </c>
      <c r="W109" t="str">
        <f>IF(A109="YES",CONCATENATE("{",'Code List'!$B$4,'Code List'!$D$4,",",'Code List'!$B$5,'Code List'!$D$5,",",'Code List'!$B$6,"""",U109,"""",",",'Code List'!$B$7,'Code List'!$D$7,",",'Code List'!$B$8,'Code List'!$D$8,",",'Code List'!$B$9,'Code List'!$D$9,",",'Code List'!$B$10,'Code List'!$D$10,",",'Code List'!$B$11,"""",V109,"""",",",'Code List'!$B$12,"""",H109,"""",",",'Code List'!$B$13,"""",I109,"""",",",'Code List'!$B$14,"""",J109,"""",",",'Code List'!$B$15,"""",K109,"""",",",'Code List'!$B$16,"""",L109,"""",",",'Code List'!$B$17,"""",M109,"""",",",'Code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09" s="167" t="str">
        <f>IF(A109="YES",CONCATENATE("{",'Code List'!$B$31,"""",U109,"""",",",'Code List'!$B$32,'Code List'!$D$32,",",'Code List'!$B$33,'Code List'!$D$33,",",'Code List'!$B$34,'Code List'!$D$34,",",'Code List'!$B$35,'Code List'!$D$35,",",'Code List'!$B$36,'Code List'!$D$36,",",'Code List'!$B$37,'Code List'!$D$37,",",'Code List'!$B$38,"""",H109,"""",",",'Code List'!$B$39,"""",I109,"""",",",'Code List'!$B$40,"""",J109,"""",",",'Code List'!$B$41,"""",K109,"""",",",'Code List'!$B$42,"""",L109,"""",",",'Code List'!$B$43,"""",M109,"""",",",'Code List'!$B$44,"""",N109,"""",",",'Code List'!$B$45,"""",O109,"""",",",'Code List'!$B$46,"""",P109,"""",",",'Code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List'!$B$59,"""",T109,"""","}"),"")</f>
        <v/>
      </c>
    </row>
    <row r="110" spans="1:25" x14ac:dyDescent="0.25">
      <c r="A110" t="str">
        <f>IF(AND($A108="YES",E108=$D$1,F110&gt;0),"YES","NO")</f>
        <v>NO</v>
      </c>
      <c r="C110" t="s">
        <v>5</v>
      </c>
      <c r="D110" s="12" t="str">
        <f t="shared" ref="D110:D114" si="91">D109</f>
        <v>2G</v>
      </c>
      <c r="E110" t="s">
        <v>188</v>
      </c>
      <c r="F110">
        <f>'Expanded Base Data'!F106</f>
        <v>0</v>
      </c>
      <c r="G110" s="171">
        <f>F108</f>
        <v>0</v>
      </c>
      <c r="H110">
        <f>ROUND(B108+'Slide Measurements'!$D$17,$O$1)</f>
        <v>548.01</v>
      </c>
      <c r="I110">
        <f>ROUND(H110+(F110*'Slide Measurements'!$D$21),$O$1)</f>
        <v>548.01</v>
      </c>
      <c r="J110">
        <f>C108+'Slide Measurements'!$E$17</f>
        <v>42.529999999999994</v>
      </c>
      <c r="K110">
        <f>J110+($I$1*'Slide Measurements'!$E$23-'Slide Measurements'!$E$23)</f>
        <v>44.379999999999995</v>
      </c>
      <c r="L110" s="5" t="str">
        <f>'Expanded Base Data'!$L106</f>
        <v/>
      </c>
      <c r="M110" s="5" t="str">
        <f>'Expanded Base Data'!$K106</f>
        <v/>
      </c>
      <c r="N110">
        <f t="shared" ref="N110:N115" si="92">ROUND((I110-H110),$O$1)</f>
        <v>0</v>
      </c>
      <c r="O110">
        <f t="shared" ref="O110:O115" si="93">ROUND((K110-J110),$O$1)</f>
        <v>1.85</v>
      </c>
      <c r="P110" s="5" t="e">
        <f t="shared" ref="P110:P114" si="94">ROUND((L110-M110),$O$1)</f>
        <v>#VALUE!</v>
      </c>
      <c r="Q110">
        <f>'Code List'!$C$63</f>
        <v>3</v>
      </c>
      <c r="R110">
        <f>F111+'Code List'!$G$63</f>
        <v>2</v>
      </c>
      <c r="S110" t="e">
        <f t="shared" ref="S110:S114" si="95">IF(P110=0,"1",ROUND((P110/$K$1)+$M$1,0))</f>
        <v>#VALUE!</v>
      </c>
      <c r="T110" t="e">
        <f>Q110*R110*S110</f>
        <v>#VALUE!</v>
      </c>
      <c r="U110" t="str">
        <f>IF(A110="YES",CONCATENATE(G110,"_",'Program Page'!$C$4,'Program Page'!$C$5,"_",D110,"_",E110),"")</f>
        <v/>
      </c>
      <c r="V110" t="str">
        <f t="shared" ref="V110:V114" si="96">IF(U110="","",CONCATENATE(U110,"_"))</f>
        <v/>
      </c>
      <c r="W110" t="str">
        <f>IF(A110="YES",CONCATENATE("{",'Code List'!$B$4,'Code List'!$D$4,",",'Code List'!$B$5,'Code List'!$D$5,",",'Code List'!$B$6,"""",U110,"""",",",'Code List'!$B$7,'Code List'!$D$7,",",'Code List'!$B$8,'Code List'!$D$8,",",'Code List'!$B$9,'Code List'!$D$9,",",'Code List'!$B$10,'Code List'!$D$10,",",'Code List'!$B$11,"""",V110,"""",",",'Code List'!$B$12,"""",H110,"""",",",'Code List'!$B$13,"""",I110,"""",",",'Code List'!$B$14,"""",J110,"""",",",'Code List'!$B$15,"""",K110,"""",",",'Code List'!$B$16,"""",L110,"""",",",'Code List'!$B$17,"""",M110,"""",",",'Code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10" s="167" t="str">
        <f>IF(A110="YES",CONCATENATE("{",'Code List'!$B$31,"""",U110,"""",",",'Code List'!$B$32,'Code List'!$D$32,",",'Code List'!$B$33,'Code List'!$D$33,",",'Code List'!$B$34,'Code List'!$D$34,",",'Code List'!$B$35,'Code List'!$D$35,",",'Code List'!$B$36,'Code List'!$D$36,",",'Code List'!$B$37,'Code List'!$D$37,",",'Code List'!$B$38,"""",H110,"""",",",'Code List'!$B$39,"""",I110,"""",",",'Code List'!$B$40,"""",J110,"""",",",'Code List'!$B$41,"""",K110,"""",",",'Code List'!$B$42,"""",L110,"""",",",'Code List'!$B$43,"""",M110,"""",",",'Code List'!$B$44,"""",N110,"""",",",'Code List'!$B$45,"""",O110,"""",",",'Code List'!$B$46,"""",P110,"""",",",'Code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List'!$B$59,"""",T110,"""","}"),"")</f>
        <v/>
      </c>
    </row>
    <row r="111" spans="1:25" x14ac:dyDescent="0.25">
      <c r="A111" t="str">
        <f>IF(AND($A108="YES",E108=$D$1,F111&gt;0),"YES","NO")</f>
        <v>NO</v>
      </c>
      <c r="C111" t="s">
        <v>5</v>
      </c>
      <c r="D111" s="12" t="str">
        <f t="shared" si="91"/>
        <v>2G</v>
      </c>
      <c r="E111" t="s">
        <v>189</v>
      </c>
      <c r="F111">
        <f>'Expanded Base Data'!G106</f>
        <v>0</v>
      </c>
      <c r="G111" s="171">
        <f>F108</f>
        <v>0</v>
      </c>
      <c r="H111">
        <f>ROUND(B108+'Slide Measurements'!$D$17,$O$1)</f>
        <v>548.01</v>
      </c>
      <c r="I111">
        <f>ROUND(H111+(F111*'Slide Measurements'!$D$21),$O$1)</f>
        <v>548.01</v>
      </c>
      <c r="J111">
        <f>K110</f>
        <v>44.379999999999995</v>
      </c>
      <c r="K111">
        <f>J111+($I$1*'Slide Measurements'!$E$23-'Slide Measurements'!$E$23)</f>
        <v>46.23</v>
      </c>
      <c r="L111" s="5" t="str">
        <f>'Expanded Base Data'!$L106</f>
        <v/>
      </c>
      <c r="M111" s="5" t="str">
        <f>'Expanded Base Data'!$K106</f>
        <v/>
      </c>
      <c r="N111">
        <f t="shared" si="92"/>
        <v>0</v>
      </c>
      <c r="O111">
        <f t="shared" si="93"/>
        <v>1.85</v>
      </c>
      <c r="P111" s="5" t="e">
        <f t="shared" si="94"/>
        <v>#VALUE!</v>
      </c>
      <c r="Q111">
        <f>'Code List'!$C$63</f>
        <v>3</v>
      </c>
      <c r="R111">
        <f>F112+'Code List'!$G$63</f>
        <v>2</v>
      </c>
      <c r="S111" t="e">
        <f t="shared" si="95"/>
        <v>#VALUE!</v>
      </c>
      <c r="T111" t="e">
        <f t="shared" ref="T111:T114" si="97">Q111*R111*S111</f>
        <v>#VALUE!</v>
      </c>
      <c r="U111" t="str">
        <f>IF(A111="YES",CONCATENATE(G111,"_",'Program Page'!$C$4,'Program Page'!$C$5,"_",D111,"_",E111),"")</f>
        <v/>
      </c>
      <c r="V111" t="str">
        <f t="shared" si="96"/>
        <v/>
      </c>
      <c r="W111" t="str">
        <f>IF(A111="YES",CONCATENATE("{",'Code List'!$B$4,'Code List'!$D$4,",",'Code List'!$B$5,'Code List'!$D$5,",",'Code List'!$B$6,"""",U111,"""",",",'Code List'!$B$7,'Code List'!$D$7,",",'Code List'!$B$8,'Code List'!$D$8,",",'Code List'!$B$9,'Code List'!$D$9,",",'Code List'!$B$10,'Code List'!$D$10,",",'Code List'!$B$11,"""",V111,"""",",",'Code List'!$B$12,"""",H111,"""",",",'Code List'!$B$13,"""",I111,"""",",",'Code List'!$B$14,"""",J111,"""",",",'Code List'!$B$15,"""",K111,"""",",",'Code List'!$B$16,"""",L111,"""",",",'Code List'!$B$17,"""",M111,"""",",",'Code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11" s="167" t="str">
        <f>IF(A111="YES",CONCATENATE("{",'Code List'!$B$31,"""",U111,"""",",",'Code List'!$B$32,'Code List'!$D$32,",",'Code List'!$B$33,'Code List'!$D$33,",",'Code List'!$B$34,'Code List'!$D$34,",",'Code List'!$B$35,'Code List'!$D$35,",",'Code List'!$B$36,'Code List'!$D$36,",",'Code List'!$B$37,'Code List'!$D$37,",",'Code List'!$B$38,"""",H111,"""",",",'Code List'!$B$39,"""",I111,"""",",",'Code List'!$B$40,"""",J111,"""",",",'Code List'!$B$41,"""",K111,"""",",",'Code List'!$B$42,"""",L111,"""",",",'Code List'!$B$43,"""",M111,"""",",",'Code List'!$B$44,"""",N111,"""",",",'Code List'!$B$45,"""",O111,"""",",",'Code List'!$B$46,"""",P111,"""",",",'Code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List'!$B$59,"""",T111,"""","}"),"")</f>
        <v/>
      </c>
    </row>
    <row r="112" spans="1:25" x14ac:dyDescent="0.25">
      <c r="A112" t="str">
        <f>IF(AND($A108="YES",E108=$D$1,F112&gt;0),"YES","NO")</f>
        <v>NO</v>
      </c>
      <c r="C112" t="s">
        <v>5</v>
      </c>
      <c r="D112" s="12" t="str">
        <f t="shared" si="91"/>
        <v>2G</v>
      </c>
      <c r="E112" t="s">
        <v>190</v>
      </c>
      <c r="F112">
        <f>'Expanded Base Data'!H106</f>
        <v>0</v>
      </c>
      <c r="G112" s="171">
        <f>F108</f>
        <v>0</v>
      </c>
      <c r="H112">
        <f>ROUND(B108+'Slide Measurements'!$D$17,$O$1)</f>
        <v>548.01</v>
      </c>
      <c r="I112">
        <f>ROUND(H112+(F112*'Slide Measurements'!$D$21),$O$1)</f>
        <v>548.01</v>
      </c>
      <c r="J112">
        <f>K111</f>
        <v>46.23</v>
      </c>
      <c r="K112">
        <f>J112+($I$1*'Slide Measurements'!$E$23-'Slide Measurements'!$E$23)</f>
        <v>48.08</v>
      </c>
      <c r="L112" s="5" t="str">
        <f>'Expanded Base Data'!$L106</f>
        <v/>
      </c>
      <c r="M112" s="5" t="str">
        <f>'Expanded Base Data'!$K106</f>
        <v/>
      </c>
      <c r="N112">
        <f t="shared" si="92"/>
        <v>0</v>
      </c>
      <c r="O112">
        <f t="shared" si="93"/>
        <v>1.85</v>
      </c>
      <c r="P112" s="5" t="e">
        <f t="shared" si="94"/>
        <v>#VALUE!</v>
      </c>
      <c r="Q112">
        <f>'Code List'!$C$63</f>
        <v>3</v>
      </c>
      <c r="R112">
        <f>F113+'Code List'!$G$63</f>
        <v>2</v>
      </c>
      <c r="S112" t="e">
        <f t="shared" si="95"/>
        <v>#VALUE!</v>
      </c>
      <c r="T112" t="e">
        <f t="shared" si="97"/>
        <v>#VALUE!</v>
      </c>
      <c r="U112" t="str">
        <f>IF(A112="YES",CONCATENATE(G112,"_",'Program Page'!$C$4,'Program Page'!$C$5,"_",D112,"_",E112),"")</f>
        <v/>
      </c>
      <c r="V112" t="str">
        <f t="shared" si="96"/>
        <v/>
      </c>
      <c r="W112" t="str">
        <f>IF(A112="YES",CONCATENATE("{",'Code List'!$B$4,'Code List'!$D$4,",",'Code List'!$B$5,'Code List'!$D$5,",",'Code List'!$B$6,"""",U112,"""",",",'Code List'!$B$7,'Code List'!$D$7,",",'Code List'!$B$8,'Code List'!$D$8,",",'Code List'!$B$9,'Code List'!$D$9,",",'Code List'!$B$10,'Code List'!$D$10,",",'Code List'!$B$11,"""",V112,"""",",",'Code List'!$B$12,"""",H112,"""",",",'Code List'!$B$13,"""",I112,"""",",",'Code List'!$B$14,"""",J112,"""",",",'Code List'!$B$15,"""",K112,"""",",",'Code List'!$B$16,"""",L112,"""",",",'Code List'!$B$17,"""",M112,"""",",",'Code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12" s="167" t="str">
        <f>IF(A112="YES",CONCATENATE("{",'Code List'!$B$31,"""",U112,"""",",",'Code List'!$B$32,'Code List'!$D$32,",",'Code List'!$B$33,'Code List'!$D$33,",",'Code List'!$B$34,'Code List'!$D$34,",",'Code List'!$B$35,'Code List'!$D$35,",",'Code List'!$B$36,'Code List'!$D$36,",",'Code List'!$B$37,'Code List'!$D$37,",",'Code List'!$B$38,"""",H112,"""",",",'Code List'!$B$39,"""",I112,"""",",",'Code List'!$B$40,"""",J112,"""",",",'Code List'!$B$41,"""",K112,"""",",",'Code List'!$B$42,"""",L112,"""",",",'Code List'!$B$43,"""",M112,"""",",",'Code List'!$B$44,"""",N112,"""",",",'Code List'!$B$45,"""",O112,"""",",",'Code List'!$B$46,"""",P112,"""",",",'Code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List'!$B$59,"""",T112,"""","}"),"")</f>
        <v/>
      </c>
    </row>
    <row r="113" spans="1:25" x14ac:dyDescent="0.25">
      <c r="A113" t="str">
        <f>IF(AND($A108="YES",E108=$D$1,F113&gt;0),"YES","NO")</f>
        <v>NO</v>
      </c>
      <c r="C113" t="s">
        <v>5</v>
      </c>
      <c r="D113" s="12" t="str">
        <f t="shared" si="91"/>
        <v>2G</v>
      </c>
      <c r="E113" t="s">
        <v>191</v>
      </c>
      <c r="F113">
        <f>'Expanded Base Data'!I106</f>
        <v>0</v>
      </c>
      <c r="G113" s="171">
        <f>F108</f>
        <v>0</v>
      </c>
      <c r="H113">
        <f>ROUND(B108+'Slide Measurements'!$D$17,$O$1)</f>
        <v>548.01</v>
      </c>
      <c r="I113">
        <f>ROUND(H113+(F113*'Slide Measurements'!$D$21),$O$1)</f>
        <v>548.01</v>
      </c>
      <c r="J113">
        <f>K112</f>
        <v>48.08</v>
      </c>
      <c r="K113">
        <f>J113+($I$1*'Slide Measurements'!$E$23-'Slide Measurements'!$E$23)</f>
        <v>49.93</v>
      </c>
      <c r="L113" s="5" t="str">
        <f>'Expanded Base Data'!$L106</f>
        <v/>
      </c>
      <c r="M113" s="5" t="str">
        <f>'Expanded Base Data'!$K106</f>
        <v/>
      </c>
      <c r="N113">
        <f t="shared" si="92"/>
        <v>0</v>
      </c>
      <c r="O113">
        <f t="shared" si="93"/>
        <v>1.85</v>
      </c>
      <c r="P113" s="5" t="e">
        <f t="shared" si="94"/>
        <v>#VALUE!</v>
      </c>
      <c r="Q113">
        <f>'Code List'!$C$63</f>
        <v>3</v>
      </c>
      <c r="R113">
        <f>F114+'Code List'!$G$63</f>
        <v>2</v>
      </c>
      <c r="S113" t="e">
        <f t="shared" si="95"/>
        <v>#VALUE!</v>
      </c>
      <c r="T113" t="e">
        <f t="shared" si="97"/>
        <v>#VALUE!</v>
      </c>
      <c r="U113" t="str">
        <f>IF(A113="YES",CONCATENATE(G113,"_",'Program Page'!$C$4,'Program Page'!$C$5,"_",D113,"_",E113),"")</f>
        <v/>
      </c>
      <c r="V113" t="str">
        <f t="shared" si="96"/>
        <v/>
      </c>
      <c r="W113" t="str">
        <f>IF(A113="YES",CONCATENATE("{",'Code List'!$B$4,'Code List'!$D$4,",",'Code List'!$B$5,'Code List'!$D$5,",",'Code List'!$B$6,"""",U113,"""",",",'Code List'!$B$7,'Code List'!$D$7,",",'Code List'!$B$8,'Code List'!$D$8,",",'Code List'!$B$9,'Code List'!$D$9,",",'Code List'!$B$10,'Code List'!$D$10,",",'Code List'!$B$11,"""",V113,"""",",",'Code List'!$B$12,"""",H113,"""",",",'Code List'!$B$13,"""",I113,"""",",",'Code List'!$B$14,"""",J113,"""",",",'Code List'!$B$15,"""",K113,"""",",",'Code List'!$B$16,"""",L113,"""",",",'Code List'!$B$17,"""",M113,"""",",",'Code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13" s="167" t="str">
        <f>IF(A113="YES",CONCATENATE("{",'Code List'!$B$31,"""",U113,"""",",",'Code List'!$B$32,'Code List'!$D$32,",",'Code List'!$B$33,'Code List'!$D$33,",",'Code List'!$B$34,'Code List'!$D$34,",",'Code List'!$B$35,'Code List'!$D$35,",",'Code List'!$B$36,'Code List'!$D$36,",",'Code List'!$B$37,'Code List'!$D$37,",",'Code List'!$B$38,"""",H113,"""",",",'Code List'!$B$39,"""",I113,"""",",",'Code List'!$B$40,"""",J113,"""",",",'Code List'!$B$41,"""",K113,"""",",",'Code List'!$B$42,"""",L113,"""",",",'Code List'!$B$43,"""",M113,"""",",",'Code List'!$B$44,"""",N113,"""",",",'Code List'!$B$45,"""",O113,"""",",",'Code List'!$B$46,"""",P113,"""",",",'Code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List'!$B$59,"""",T113,"""","}"),"")</f>
        <v/>
      </c>
    </row>
    <row r="114" spans="1:25" x14ac:dyDescent="0.25">
      <c r="A114" t="str">
        <f>IF(AND($A108="YES",E108=$D$1,F114&gt;0),"YES","NO")</f>
        <v>NO</v>
      </c>
      <c r="C114" t="s">
        <v>5</v>
      </c>
      <c r="D114" s="12" t="str">
        <f t="shared" si="91"/>
        <v>2G</v>
      </c>
      <c r="E114" t="s">
        <v>196</v>
      </c>
      <c r="F114">
        <f>'Expanded Base Data'!J106</f>
        <v>0</v>
      </c>
      <c r="G114" s="171">
        <f>F108</f>
        <v>0</v>
      </c>
      <c r="H114">
        <f>ROUND(B108+'Slide Measurements'!$D$17,$O$1)</f>
        <v>548.01</v>
      </c>
      <c r="I114">
        <f>ROUND(H114+(F114*'Slide Measurements'!$D$21),$O$1)</f>
        <v>548.01</v>
      </c>
      <c r="J114">
        <f>K113</f>
        <v>49.93</v>
      </c>
      <c r="K114">
        <f>J114+($I$1*'Slide Measurements'!$E$23-'Slide Measurements'!$E$23)</f>
        <v>51.78</v>
      </c>
      <c r="L114" s="5" t="str">
        <f>'Expanded Base Data'!$L106</f>
        <v/>
      </c>
      <c r="M114" s="5" t="str">
        <f>'Expanded Base Data'!$K106</f>
        <v/>
      </c>
      <c r="N114">
        <f t="shared" si="92"/>
        <v>0</v>
      </c>
      <c r="O114">
        <f t="shared" si="93"/>
        <v>1.85</v>
      </c>
      <c r="P114" s="5" t="e">
        <f t="shared" si="94"/>
        <v>#VALUE!</v>
      </c>
      <c r="Q114">
        <f>'Code List'!$C$63</f>
        <v>3</v>
      </c>
      <c r="R114">
        <f>F115+'Code List'!$G$63</f>
        <v>2</v>
      </c>
      <c r="S114" t="e">
        <f t="shared" si="95"/>
        <v>#VALUE!</v>
      </c>
      <c r="T114" t="e">
        <f t="shared" si="97"/>
        <v>#VALUE!</v>
      </c>
      <c r="U114" t="str">
        <f>IF(A114="YES",CONCATENATE(G114,"_",'Program Page'!$C$4,'Program Page'!$C$5,"_",D114,"_",E114),"")</f>
        <v/>
      </c>
      <c r="V114" t="str">
        <f t="shared" si="96"/>
        <v/>
      </c>
      <c r="W114" t="str">
        <f>IF(A114="YES",CONCATENATE("{",'Code List'!$B$4,'Code List'!$D$4,",",'Code List'!$B$5,'Code List'!$D$5,",",'Code List'!$B$6,"""",U114,"""",",",'Code List'!$B$7,'Code List'!$D$7,",",'Code List'!$B$8,'Code List'!$D$8,",",'Code List'!$B$9,'Code List'!$D$9,",",'Code List'!$B$10,'Code List'!$D$10,",",'Code List'!$B$11,"""",V114,"""",",",'Code List'!$B$12,"""",H114,"""",",",'Code List'!$B$13,"""",I114,"""",",",'Code List'!$B$14,"""",J114,"""",",",'Code List'!$B$15,"""",K114,"""",",",'Code List'!$B$16,"""",L114,"""",",",'Code List'!$B$17,"""",M114,"""",",",'Code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14" s="167" t="str">
        <f>IF(A114="YES",CONCATENATE("{",'Code List'!$B$31,"""",U114,"""",",",'Code List'!$B$32,'Code List'!$D$32,",",'Code List'!$B$33,'Code List'!$D$33,",",'Code List'!$B$34,'Code List'!$D$34,",",'Code List'!$B$35,'Code List'!$D$35,",",'Code List'!$B$36,'Code List'!$D$36,",",'Code List'!$B$37,'Code List'!$D$37,",",'Code List'!$B$38,"""",H114,"""",",",'Code List'!$B$39,"""",I114,"""",",",'Code List'!$B$40,"""",J114,"""",",",'Code List'!$B$41,"""",K114,"""",",",'Code List'!$B$42,"""",L114,"""",",",'Code List'!$B$43,"""",M114,"""",",",'Code List'!$B$44,"""",N114,"""",",",'Code List'!$B$45,"""",O114,"""",",",'Code List'!$B$46,"""",P114,"""",",",'Code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List'!$B$59,"""",T114,"""","}"),"")</f>
        <v/>
      </c>
    </row>
    <row r="115" spans="1:25" x14ac:dyDescent="0.25">
      <c r="A115" s="162" t="str">
        <f>IF(AND($A108="YES",E108=$E$1),"YES","NO")</f>
        <v>NO</v>
      </c>
      <c r="C115" t="s">
        <v>259</v>
      </c>
      <c r="D115" s="12" t="str">
        <f>D114</f>
        <v>2G</v>
      </c>
      <c r="E115" t="s">
        <v>259</v>
      </c>
      <c r="G115" s="171">
        <f>F108</f>
        <v>0</v>
      </c>
      <c r="H115">
        <f>ROUND(B108,$O$1)</f>
        <v>522.61</v>
      </c>
      <c r="I115">
        <f>ROUND(B108+'Slide Measurements'!$D$1,$O$1)</f>
        <v>599.05999999999995</v>
      </c>
      <c r="J115">
        <f>C108</f>
        <v>38.229999999999997</v>
      </c>
      <c r="K115">
        <f>C108+'Slide Measurements'!$D$2</f>
        <v>65.63</v>
      </c>
      <c r="L115" s="5" t="str">
        <f>'Expanded Base Data'!$L106</f>
        <v/>
      </c>
      <c r="M115" s="5" t="str">
        <f>'Expanded Base Data'!$K106</f>
        <v/>
      </c>
      <c r="N115">
        <f t="shared" si="92"/>
        <v>76.45</v>
      </c>
      <c r="O115">
        <f t="shared" si="93"/>
        <v>27.4</v>
      </c>
      <c r="P115" s="5" t="e">
        <f>ROUND((L115-M115),$O$1)</f>
        <v>#VALUE!</v>
      </c>
      <c r="Q115">
        <f>'Code List'!$C$70</f>
        <v>11</v>
      </c>
      <c r="R115">
        <f>'Code List'!$D$70</f>
        <v>19</v>
      </c>
      <c r="S115" t="e">
        <f>IF(P115=0,"1",ROUND((P115/$K$1)+$M$1,0))</f>
        <v>#VALUE!</v>
      </c>
      <c r="T115" t="e">
        <f>Q115*R115*S115</f>
        <v>#VALUE!</v>
      </c>
      <c r="U115" t="str">
        <f>IF(A115="YES",CONCATENATE(G115,"_",'Program Page'!$C$4,'Program Page'!$C$5,"_",D115,"_",E115),"")</f>
        <v/>
      </c>
      <c r="V115" t="str">
        <f>IF(U115="","",CONCATENATE(U115,"_"))</f>
        <v/>
      </c>
      <c r="W115" t="str">
        <f>IF(A115="YES",CONCATENATE("{",'Code List'!$B$4,'Code List'!$D$4,",",'Code List'!$B$5,'Code List'!$D$5,",",'Code List'!$B$6,"""",U115,"""",",",'Code List'!$B$7,'Code List'!$D$7,",",'Code List'!$B$8,'Code List'!$D$8,",",'Code List'!$B$9,'Code List'!$D$9,",",'Code List'!$B$10,'Code List'!$D$10,",",'Code List'!$B$11,"""",V115,"""",",",'Code List'!$B$12,"""",H115,"""",",",'Code List'!$B$13,"""",I115,"""",",",'Code List'!$B$14,"""",J115,"""",",",'Code List'!$B$15,"""",K115,"""",",",'Code List'!$B$16,"""",L115,"""",",",'Code List'!$B$17,"""",M115,"""",",",'Code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115" s="167" t="str">
        <f>IF(A115="YES",CONCATENATE("{",'Code List'!$B$31,"""",U115,"""",",",'Code List'!$B$32,'Code List'!$D$32,",",'Code List'!$B$33,'Code List'!$D$33,",",'Code List'!$B$34,'Code List'!$D$34,",",'Code List'!$B$35,'Code List'!$D$35,",",'Code List'!$B$36,'Code List'!$D$36,",",'Code List'!$B$37,'Code List'!$D$37,",",'Code List'!$B$38,"""",H115,"""",",",'Code List'!$B$39,"""",I115,"""",",",'Code List'!$B$40,"""",J115,"""",",",'Code List'!$B$41,"""",K115,"""",",",'Code List'!$B$42,"""",L115,"""",",",'Code List'!$B$43,"""",M115,"""",",",'Code List'!$B$44,"""",N115,"""",",",'Code List'!$B$45,"""",O115,"""",",",'Code List'!$B$46,"""",P115,"""",",",'Code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List'!$B$59,"""",T115,"""","}"),"")</f>
        <v/>
      </c>
    </row>
    <row r="116" spans="1:25" ht="18.75" x14ac:dyDescent="0.3">
      <c r="A116" s="35" t="str">
        <f>IF(OR(E116=$C$1,E116=$D$1,E116=$E$1),"YES","NO")</f>
        <v>NO</v>
      </c>
      <c r="B116" s="35">
        <f>'Expanded Base Data'!D114</f>
        <v>1.91</v>
      </c>
      <c r="C116" s="35">
        <f>'Expanded Base Data'!E114</f>
        <v>74.72</v>
      </c>
      <c r="D116" s="36" t="str">
        <f>'Expanded Base Data'!B114</f>
        <v>3A</v>
      </c>
      <c r="E116" s="35">
        <f>'Expanded Base Data'!C114</f>
        <v>0</v>
      </c>
      <c r="F116" s="35">
        <f>'Expanded Base Data'!M114</f>
        <v>0</v>
      </c>
      <c r="G116" s="170">
        <f>F116</f>
        <v>0</v>
      </c>
      <c r="Y116" s="167" t="str">
        <f>""</f>
        <v/>
      </c>
    </row>
    <row r="117" spans="1:25" x14ac:dyDescent="0.25">
      <c r="A117" t="str">
        <f>IF(AND($A116="YES",E116=$C$1),"YES","NO")</f>
        <v>NO</v>
      </c>
      <c r="C117" t="s">
        <v>6</v>
      </c>
      <c r="D117" s="12" t="str">
        <f>D116</f>
        <v>3A</v>
      </c>
      <c r="E117" t="s">
        <v>6</v>
      </c>
      <c r="F117" t="s">
        <v>198</v>
      </c>
      <c r="G117" s="171">
        <f>F116</f>
        <v>0</v>
      </c>
      <c r="H117">
        <f>IF('Expanded Base Data'!N114="",ROUND(B116+'Slide Measurements'!$D$11,$O$1),B116+'Expanded Base Data'!N114)</f>
        <v>34.909999999999997</v>
      </c>
      <c r="I117">
        <f>IF('Expanded Base Data'!O114="",ROUND(B116+'Slide Measurements'!$D$12,$O$1),B116+'Expanded Base Data'!O114)</f>
        <v>43.51</v>
      </c>
      <c r="J117">
        <f>IF('Expanded Base Data'!P114="",C116+'Slide Measurements'!$E$13,C116+'Expanded Base Data'!P114)</f>
        <v>83.42</v>
      </c>
      <c r="K117">
        <f>IF('Expanded Base Data'!Q114="",C116+'Slide Measurements'!$E$14,C116+'Expanded Base Data'!Q114)</f>
        <v>92.02</v>
      </c>
      <c r="L117" s="5" t="str">
        <f>'Expanded Base Data'!$L114</f>
        <v/>
      </c>
      <c r="M117" s="5" t="str">
        <f>'Expanded Base Data'!$K114</f>
        <v/>
      </c>
      <c r="N117">
        <f>ROUND((I117-H117),$O$1)</f>
        <v>8.6</v>
      </c>
      <c r="O117">
        <f>ROUND((K117-J117),$O$1)</f>
        <v>8.6</v>
      </c>
      <c r="P117" s="5" t="e">
        <f>ROUND((L117-M117),$O$1)</f>
        <v>#VALUE!</v>
      </c>
      <c r="Q117">
        <f>'Code List'!$C$62</f>
        <v>5</v>
      </c>
      <c r="R117">
        <f>F118+'Code List'!$G$63</f>
        <v>2</v>
      </c>
      <c r="S117" t="e">
        <f>IF(P117=0,"1",ROUND((P117/$K$1)+$M$1,0))</f>
        <v>#VALUE!</v>
      </c>
      <c r="T117" t="e">
        <f>Q117*R117*S117</f>
        <v>#VALUE!</v>
      </c>
      <c r="U117" t="str">
        <f>IF(A117="YES",CONCATENATE(G117,"_",'Program Page'!$C$4,'Program Page'!$C$5,"_",D117,"_",E117),"")</f>
        <v/>
      </c>
      <c r="V117" t="str">
        <f>IF(U117="","",CONCATENATE(U117,"_"))</f>
        <v/>
      </c>
      <c r="W117" t="str">
        <f>IF(A117="YES",CONCATENATE("{",'Code List'!$B$4,'Code List'!$D$4,",",'Code List'!$B$5,'Code List'!$D$5,",",'Code List'!$B$6,"""",U117,"""",",",'Code List'!$B$7,'Code List'!$D$7,",",'Code List'!$B$8,'Code List'!$D$8,",",'Code List'!$B$9,'Code List'!$D$9,",",'Code List'!$B$10,'Code List'!$D$10,",",'Code List'!$B$11,"""",V117,"""",",",'Code List'!$B$12,"""",H117,"""",",",'Code List'!$B$13,"""",I117,"""",",",'Code List'!$B$14,"""",J117,"""",",",'Code List'!$B$15,"""",K117,"""",",",'Code List'!$B$16,"""",L117,"""",",",'Code List'!$B$17,"""",M117,"""",",",'Code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17" s="167" t="str">
        <f>IF(A117="YES",CONCATENATE("{",'Code List'!$B$31,"""",U117,"""",",",'Code List'!$B$32,'Code List'!$D$32,",",'Code List'!$B$33,'Code List'!$D$33,",",'Code List'!$B$34,'Code List'!$D$34,",",'Code List'!$B$35,'Code List'!$D$35,",",'Code List'!$B$36,'Code List'!$D$36,",",'Code List'!$B$37,'Code List'!$D$37,",",'Code List'!$B$38,"""",H117,"""",",",'Code List'!$B$39,"""",I117,"""",",",'Code List'!$B$40,"""",J117,"""",",",'Code List'!$B$41,"""",K117,"""",",",'Code List'!$B$42,"""",L117,"""",",",'Code List'!$B$43,"""",M117,"""",",",'Code List'!$B$44,"""",N117,"""",",",'Code List'!$B$45,"""",O117,"""",",",'Code List'!$B$46,"""",P117,"""",",",'Code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List'!$B$59,"""",T117,"""","}"),"")</f>
        <v/>
      </c>
    </row>
    <row r="118" spans="1:25" x14ac:dyDescent="0.25">
      <c r="A118" t="str">
        <f>IF(AND($A116="YES",E116=$D$1,F118&gt;0),"YES","NO")</f>
        <v>NO</v>
      </c>
      <c r="C118" t="s">
        <v>5</v>
      </c>
      <c r="D118" s="12" t="str">
        <f t="shared" ref="D118:D122" si="98">D117</f>
        <v>3A</v>
      </c>
      <c r="E118" t="s">
        <v>188</v>
      </c>
      <c r="F118">
        <f>'Expanded Base Data'!F114</f>
        <v>0</v>
      </c>
      <c r="G118" s="171">
        <f>F116</f>
        <v>0</v>
      </c>
      <c r="H118">
        <f>ROUND(B116+'Slide Measurements'!$D$17,$O$1)</f>
        <v>27.31</v>
      </c>
      <c r="I118">
        <f>ROUND(H118+(F118*'Slide Measurements'!$D$21),$O$1)</f>
        <v>27.31</v>
      </c>
      <c r="J118">
        <f>C116+'Slide Measurements'!$E$17</f>
        <v>79.02</v>
      </c>
      <c r="K118">
        <f>J118+($I$1*'Slide Measurements'!$E$23-'Slide Measurements'!$E$23)</f>
        <v>80.86999999999999</v>
      </c>
      <c r="L118" s="5" t="str">
        <f>'Expanded Base Data'!$L114</f>
        <v/>
      </c>
      <c r="M118" s="5" t="str">
        <f>'Expanded Base Data'!$K114</f>
        <v/>
      </c>
      <c r="N118">
        <f t="shared" ref="N118:N123" si="99">ROUND((I118-H118),$O$1)</f>
        <v>0</v>
      </c>
      <c r="O118">
        <f t="shared" ref="O118:O123" si="100">ROUND((K118-J118),$O$1)</f>
        <v>1.85</v>
      </c>
      <c r="P118" s="5" t="e">
        <f t="shared" ref="P118:P122" si="101">ROUND((L118-M118),$O$1)</f>
        <v>#VALUE!</v>
      </c>
      <c r="Q118">
        <f>'Code List'!$C$63</f>
        <v>3</v>
      </c>
      <c r="R118">
        <f>F119+'Code List'!$G$63</f>
        <v>2</v>
      </c>
      <c r="S118" t="e">
        <f t="shared" ref="S118:S122" si="102">IF(P118=0,"1",ROUND((P118/$K$1)+$M$1,0))</f>
        <v>#VALUE!</v>
      </c>
      <c r="T118" t="e">
        <f>Q118*R118*S118</f>
        <v>#VALUE!</v>
      </c>
      <c r="U118" t="str">
        <f>IF(A118="YES",CONCATENATE(G118,"_",'Program Page'!$C$4,'Program Page'!$C$5,"_",D118,"_",E118),"")</f>
        <v/>
      </c>
      <c r="V118" t="str">
        <f t="shared" ref="V118:V122" si="103">IF(U118="","",CONCATENATE(U118,"_"))</f>
        <v/>
      </c>
      <c r="W118" t="str">
        <f>IF(A118="YES",CONCATENATE("{",'Code List'!$B$4,'Code List'!$D$4,",",'Code List'!$B$5,'Code List'!$D$5,",",'Code List'!$B$6,"""",U118,"""",",",'Code List'!$B$7,'Code List'!$D$7,",",'Code List'!$B$8,'Code List'!$D$8,",",'Code List'!$B$9,'Code List'!$D$9,",",'Code List'!$B$10,'Code List'!$D$10,",",'Code List'!$B$11,"""",V118,"""",",",'Code List'!$B$12,"""",H118,"""",",",'Code List'!$B$13,"""",I118,"""",",",'Code List'!$B$14,"""",J118,"""",",",'Code List'!$B$15,"""",K118,"""",",",'Code List'!$B$16,"""",L118,"""",",",'Code List'!$B$17,"""",M118,"""",",",'Code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18" s="167" t="str">
        <f>IF(A118="YES",CONCATENATE("{",'Code List'!$B$31,"""",U118,"""",",",'Code List'!$B$32,'Code List'!$D$32,",",'Code List'!$B$33,'Code List'!$D$33,",",'Code List'!$B$34,'Code List'!$D$34,",",'Code List'!$B$35,'Code List'!$D$35,",",'Code List'!$B$36,'Code List'!$D$36,",",'Code List'!$B$37,'Code List'!$D$37,",",'Code List'!$B$38,"""",H118,"""",",",'Code List'!$B$39,"""",I118,"""",",",'Code List'!$B$40,"""",J118,"""",",",'Code List'!$B$41,"""",K118,"""",",",'Code List'!$B$42,"""",L118,"""",",",'Code List'!$B$43,"""",M118,"""",",",'Code List'!$B$44,"""",N118,"""",",",'Code List'!$B$45,"""",O118,"""",",",'Code List'!$B$46,"""",P118,"""",",",'Code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List'!$B$59,"""",T118,"""","}"),"")</f>
        <v/>
      </c>
    </row>
    <row r="119" spans="1:25" x14ac:dyDescent="0.25">
      <c r="A119" t="str">
        <f>IF(AND($A116="YES",E116=$D$1,F119&gt;0),"YES","NO")</f>
        <v>NO</v>
      </c>
      <c r="C119" t="s">
        <v>5</v>
      </c>
      <c r="D119" s="12" t="str">
        <f t="shared" si="98"/>
        <v>3A</v>
      </c>
      <c r="E119" t="s">
        <v>189</v>
      </c>
      <c r="F119">
        <f>'Expanded Base Data'!G114</f>
        <v>0</v>
      </c>
      <c r="G119" s="171">
        <f>F116</f>
        <v>0</v>
      </c>
      <c r="H119">
        <f>ROUND(B116+'Slide Measurements'!$D$17,$O$1)</f>
        <v>27.31</v>
      </c>
      <c r="I119">
        <f>ROUND(H119+(F119*'Slide Measurements'!$D$21),$O$1)</f>
        <v>27.31</v>
      </c>
      <c r="J119">
        <f>K118</f>
        <v>80.86999999999999</v>
      </c>
      <c r="K119">
        <f>J119+($I$1*'Slide Measurements'!$E$23-'Slide Measurements'!$E$23)</f>
        <v>82.719999999999985</v>
      </c>
      <c r="L119" s="5" t="str">
        <f>'Expanded Base Data'!$L114</f>
        <v/>
      </c>
      <c r="M119" s="5" t="str">
        <f>'Expanded Base Data'!$K114</f>
        <v/>
      </c>
      <c r="N119">
        <f t="shared" si="99"/>
        <v>0</v>
      </c>
      <c r="O119">
        <f t="shared" si="100"/>
        <v>1.85</v>
      </c>
      <c r="P119" s="5" t="e">
        <f t="shared" si="101"/>
        <v>#VALUE!</v>
      </c>
      <c r="Q119">
        <f>'Code List'!$C$63</f>
        <v>3</v>
      </c>
      <c r="R119">
        <f>F120+'Code List'!$G$63</f>
        <v>2</v>
      </c>
      <c r="S119" t="e">
        <f t="shared" si="102"/>
        <v>#VALUE!</v>
      </c>
      <c r="T119" t="e">
        <f t="shared" ref="T119:T122" si="104">Q119*R119*S119</f>
        <v>#VALUE!</v>
      </c>
      <c r="U119" t="str">
        <f>IF(A119="YES",CONCATENATE(G119,"_",'Program Page'!$C$4,'Program Page'!$C$5,"_",D119,"_",E119),"")</f>
        <v/>
      </c>
      <c r="V119" t="str">
        <f t="shared" si="103"/>
        <v/>
      </c>
      <c r="W119" t="str">
        <f>IF(A119="YES",CONCATENATE("{",'Code List'!$B$4,'Code List'!$D$4,",",'Code List'!$B$5,'Code List'!$D$5,",",'Code List'!$B$6,"""",U119,"""",",",'Code List'!$B$7,'Code List'!$D$7,",",'Code List'!$B$8,'Code List'!$D$8,",",'Code List'!$B$9,'Code List'!$D$9,",",'Code List'!$B$10,'Code List'!$D$10,",",'Code List'!$B$11,"""",V119,"""",",",'Code List'!$B$12,"""",H119,"""",",",'Code List'!$B$13,"""",I119,"""",",",'Code List'!$B$14,"""",J119,"""",",",'Code List'!$B$15,"""",K119,"""",",",'Code List'!$B$16,"""",L119,"""",",",'Code List'!$B$17,"""",M119,"""",",",'Code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19" s="167" t="str">
        <f>IF(A119="YES",CONCATENATE("{",'Code List'!$B$31,"""",U119,"""",",",'Code List'!$B$32,'Code List'!$D$32,",",'Code List'!$B$33,'Code List'!$D$33,",",'Code List'!$B$34,'Code List'!$D$34,",",'Code List'!$B$35,'Code List'!$D$35,",",'Code List'!$B$36,'Code List'!$D$36,",",'Code List'!$B$37,'Code List'!$D$37,",",'Code List'!$B$38,"""",H119,"""",",",'Code List'!$B$39,"""",I119,"""",",",'Code List'!$B$40,"""",J119,"""",",",'Code List'!$B$41,"""",K119,"""",",",'Code List'!$B$42,"""",L119,"""",",",'Code List'!$B$43,"""",M119,"""",",",'Code List'!$B$44,"""",N119,"""",",",'Code List'!$B$45,"""",O119,"""",",",'Code List'!$B$46,"""",P119,"""",",",'Code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List'!$B$59,"""",T119,"""","}"),"")</f>
        <v/>
      </c>
    </row>
    <row r="120" spans="1:25" x14ac:dyDescent="0.25">
      <c r="A120" t="str">
        <f>IF(AND($A116="YES",E116=$D$1,F120&gt;0),"YES","NO")</f>
        <v>NO</v>
      </c>
      <c r="C120" t="s">
        <v>5</v>
      </c>
      <c r="D120" s="12" t="str">
        <f t="shared" si="98"/>
        <v>3A</v>
      </c>
      <c r="E120" t="s">
        <v>190</v>
      </c>
      <c r="F120">
        <f>'Expanded Base Data'!H114</f>
        <v>0</v>
      </c>
      <c r="G120" s="171">
        <f>F116</f>
        <v>0</v>
      </c>
      <c r="H120">
        <f>ROUND(B116+'Slide Measurements'!$D$17,$O$1)</f>
        <v>27.31</v>
      </c>
      <c r="I120">
        <f>ROUND(H120+(F120*'Slide Measurements'!$D$21),$O$1)</f>
        <v>27.31</v>
      </c>
      <c r="J120">
        <f>K119</f>
        <v>82.719999999999985</v>
      </c>
      <c r="K120">
        <f>J120+($I$1*'Slide Measurements'!$E$23-'Slide Measurements'!$E$23)</f>
        <v>84.569999999999979</v>
      </c>
      <c r="L120" s="5" t="str">
        <f>'Expanded Base Data'!$L114</f>
        <v/>
      </c>
      <c r="M120" s="5" t="str">
        <f>'Expanded Base Data'!$K114</f>
        <v/>
      </c>
      <c r="N120">
        <f t="shared" si="99"/>
        <v>0</v>
      </c>
      <c r="O120">
        <f t="shared" si="100"/>
        <v>1.85</v>
      </c>
      <c r="P120" s="5" t="e">
        <f t="shared" si="101"/>
        <v>#VALUE!</v>
      </c>
      <c r="Q120">
        <f>'Code List'!$C$63</f>
        <v>3</v>
      </c>
      <c r="R120">
        <f>F121+'Code List'!$G$63</f>
        <v>2</v>
      </c>
      <c r="S120" t="e">
        <f t="shared" si="102"/>
        <v>#VALUE!</v>
      </c>
      <c r="T120" t="e">
        <f t="shared" si="104"/>
        <v>#VALUE!</v>
      </c>
      <c r="U120" t="str">
        <f>IF(A120="YES",CONCATENATE(G120,"_",'Program Page'!$C$4,'Program Page'!$C$5,"_",D120,"_",E120),"")</f>
        <v/>
      </c>
      <c r="V120" t="str">
        <f t="shared" si="103"/>
        <v/>
      </c>
      <c r="W120" t="str">
        <f>IF(A120="YES",CONCATENATE("{",'Code List'!$B$4,'Code List'!$D$4,",",'Code List'!$B$5,'Code List'!$D$5,",",'Code List'!$B$6,"""",U120,"""",",",'Code List'!$B$7,'Code List'!$D$7,",",'Code List'!$B$8,'Code List'!$D$8,",",'Code List'!$B$9,'Code List'!$D$9,",",'Code List'!$B$10,'Code List'!$D$10,",",'Code List'!$B$11,"""",V120,"""",",",'Code List'!$B$12,"""",H120,"""",",",'Code List'!$B$13,"""",I120,"""",",",'Code List'!$B$14,"""",J120,"""",",",'Code List'!$B$15,"""",K120,"""",",",'Code List'!$B$16,"""",L120,"""",",",'Code List'!$B$17,"""",M120,"""",",",'Code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20" s="167" t="str">
        <f>IF(A120="YES",CONCATENATE("{",'Code List'!$B$31,"""",U120,"""",",",'Code List'!$B$32,'Code List'!$D$32,",",'Code List'!$B$33,'Code List'!$D$33,",",'Code List'!$B$34,'Code List'!$D$34,",",'Code List'!$B$35,'Code List'!$D$35,",",'Code List'!$B$36,'Code List'!$D$36,",",'Code List'!$B$37,'Code List'!$D$37,",",'Code List'!$B$38,"""",H120,"""",",",'Code List'!$B$39,"""",I120,"""",",",'Code List'!$B$40,"""",J120,"""",",",'Code List'!$B$41,"""",K120,"""",",",'Code List'!$B$42,"""",L120,"""",",",'Code List'!$B$43,"""",M120,"""",",",'Code List'!$B$44,"""",N120,"""",",",'Code List'!$B$45,"""",O120,"""",",",'Code List'!$B$46,"""",P120,"""",",",'Code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List'!$B$59,"""",T120,"""","}"),"")</f>
        <v/>
      </c>
    </row>
    <row r="121" spans="1:25" x14ac:dyDescent="0.25">
      <c r="A121" t="str">
        <f>IF(AND($A116="YES",E116=$D$1,F121&gt;0),"YES","NO")</f>
        <v>NO</v>
      </c>
      <c r="C121" t="s">
        <v>5</v>
      </c>
      <c r="D121" s="12" t="str">
        <f t="shared" si="98"/>
        <v>3A</v>
      </c>
      <c r="E121" t="s">
        <v>191</v>
      </c>
      <c r="F121">
        <f>'Expanded Base Data'!I114</f>
        <v>0</v>
      </c>
      <c r="G121" s="171">
        <f>F116</f>
        <v>0</v>
      </c>
      <c r="H121">
        <f>ROUND(B116+'Slide Measurements'!$D$17,$O$1)</f>
        <v>27.31</v>
      </c>
      <c r="I121">
        <f>ROUND(H121+(F121*'Slide Measurements'!$D$21),$O$1)</f>
        <v>27.31</v>
      </c>
      <c r="J121">
        <f>K120</f>
        <v>84.569999999999979</v>
      </c>
      <c r="K121">
        <f>J121+($I$1*'Slide Measurements'!$E$23-'Slide Measurements'!$E$23)</f>
        <v>86.419999999999973</v>
      </c>
      <c r="L121" s="5" t="str">
        <f>'Expanded Base Data'!$L114</f>
        <v/>
      </c>
      <c r="M121" s="5" t="str">
        <f>'Expanded Base Data'!$K114</f>
        <v/>
      </c>
      <c r="N121">
        <f t="shared" si="99"/>
        <v>0</v>
      </c>
      <c r="O121">
        <f t="shared" si="100"/>
        <v>1.85</v>
      </c>
      <c r="P121" s="5" t="e">
        <f t="shared" si="101"/>
        <v>#VALUE!</v>
      </c>
      <c r="Q121">
        <f>'Code List'!$C$63</f>
        <v>3</v>
      </c>
      <c r="R121">
        <f>F122+'Code List'!$G$63</f>
        <v>2</v>
      </c>
      <c r="S121" t="e">
        <f t="shared" si="102"/>
        <v>#VALUE!</v>
      </c>
      <c r="T121" t="e">
        <f t="shared" si="104"/>
        <v>#VALUE!</v>
      </c>
      <c r="U121" t="str">
        <f>IF(A121="YES",CONCATENATE(G121,"_",'Program Page'!$C$4,'Program Page'!$C$5,"_",D121,"_",E121),"")</f>
        <v/>
      </c>
      <c r="V121" t="str">
        <f t="shared" si="103"/>
        <v/>
      </c>
      <c r="W121" t="str">
        <f>IF(A121="YES",CONCATENATE("{",'Code List'!$B$4,'Code List'!$D$4,",",'Code List'!$B$5,'Code List'!$D$5,",",'Code List'!$B$6,"""",U121,"""",",",'Code List'!$B$7,'Code List'!$D$7,",",'Code List'!$B$8,'Code List'!$D$8,",",'Code List'!$B$9,'Code List'!$D$9,",",'Code List'!$B$10,'Code List'!$D$10,",",'Code List'!$B$11,"""",V121,"""",",",'Code List'!$B$12,"""",H121,"""",",",'Code List'!$B$13,"""",I121,"""",",",'Code List'!$B$14,"""",J121,"""",",",'Code List'!$B$15,"""",K121,"""",",",'Code List'!$B$16,"""",L121,"""",",",'Code List'!$B$17,"""",M121,"""",",",'Code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21" s="167" t="str">
        <f>IF(A121="YES",CONCATENATE("{",'Code List'!$B$31,"""",U121,"""",",",'Code List'!$B$32,'Code List'!$D$32,",",'Code List'!$B$33,'Code List'!$D$33,",",'Code List'!$B$34,'Code List'!$D$34,",",'Code List'!$B$35,'Code List'!$D$35,",",'Code List'!$B$36,'Code List'!$D$36,",",'Code List'!$B$37,'Code List'!$D$37,",",'Code List'!$B$38,"""",H121,"""",",",'Code List'!$B$39,"""",I121,"""",",",'Code List'!$B$40,"""",J121,"""",",",'Code List'!$B$41,"""",K121,"""",",",'Code List'!$B$42,"""",L121,"""",",",'Code List'!$B$43,"""",M121,"""",",",'Code List'!$B$44,"""",N121,"""",",",'Code List'!$B$45,"""",O121,"""",",",'Code List'!$B$46,"""",P121,"""",",",'Code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List'!$B$59,"""",T121,"""","}"),"")</f>
        <v/>
      </c>
    </row>
    <row r="122" spans="1:25" x14ac:dyDescent="0.25">
      <c r="A122" t="str">
        <f>IF(AND($A116="YES",E116=$D$1,F122&gt;0),"YES","NO")</f>
        <v>NO</v>
      </c>
      <c r="C122" t="s">
        <v>5</v>
      </c>
      <c r="D122" s="12" t="str">
        <f t="shared" si="98"/>
        <v>3A</v>
      </c>
      <c r="E122" t="s">
        <v>196</v>
      </c>
      <c r="F122">
        <f>'Expanded Base Data'!J114</f>
        <v>0</v>
      </c>
      <c r="G122" s="171">
        <f>F116</f>
        <v>0</v>
      </c>
      <c r="H122">
        <f>ROUND(B116+'Slide Measurements'!$D$17,$O$1)</f>
        <v>27.31</v>
      </c>
      <c r="I122">
        <f>ROUND(H122+(F122*'Slide Measurements'!$D$21),$O$1)</f>
        <v>27.31</v>
      </c>
      <c r="J122">
        <f>K121</f>
        <v>86.419999999999973</v>
      </c>
      <c r="K122">
        <f>J122+($I$1*'Slide Measurements'!$E$23-'Slide Measurements'!$E$23)</f>
        <v>88.269999999999968</v>
      </c>
      <c r="L122" s="5" t="str">
        <f>'Expanded Base Data'!$L114</f>
        <v/>
      </c>
      <c r="M122" s="5" t="str">
        <f>'Expanded Base Data'!$K114</f>
        <v/>
      </c>
      <c r="N122">
        <f t="shared" si="99"/>
        <v>0</v>
      </c>
      <c r="O122">
        <f t="shared" si="100"/>
        <v>1.85</v>
      </c>
      <c r="P122" s="5" t="e">
        <f t="shared" si="101"/>
        <v>#VALUE!</v>
      </c>
      <c r="Q122">
        <f>'Code List'!$C$63</f>
        <v>3</v>
      </c>
      <c r="R122">
        <f>F123+'Code List'!$G$63</f>
        <v>2</v>
      </c>
      <c r="S122" t="e">
        <f t="shared" si="102"/>
        <v>#VALUE!</v>
      </c>
      <c r="T122" t="e">
        <f t="shared" si="104"/>
        <v>#VALUE!</v>
      </c>
      <c r="U122" t="str">
        <f>IF(A122="YES",CONCATENATE(G122,"_",'Program Page'!$C$4,'Program Page'!$C$5,"_",D122,"_",E122),"")</f>
        <v/>
      </c>
      <c r="V122" t="str">
        <f t="shared" si="103"/>
        <v/>
      </c>
      <c r="W122" t="str">
        <f>IF(A122="YES",CONCATENATE("{",'Code List'!$B$4,'Code List'!$D$4,",",'Code List'!$B$5,'Code List'!$D$5,",",'Code List'!$B$6,"""",U122,"""",",",'Code List'!$B$7,'Code List'!$D$7,",",'Code List'!$B$8,'Code List'!$D$8,",",'Code List'!$B$9,'Code List'!$D$9,",",'Code List'!$B$10,'Code List'!$D$10,",",'Code List'!$B$11,"""",V122,"""",",",'Code List'!$B$12,"""",H122,"""",",",'Code List'!$B$13,"""",I122,"""",",",'Code List'!$B$14,"""",J122,"""",",",'Code List'!$B$15,"""",K122,"""",",",'Code List'!$B$16,"""",L122,"""",",",'Code List'!$B$17,"""",M122,"""",",",'Code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22" s="167" t="str">
        <f>IF(A122="YES",CONCATENATE("{",'Code List'!$B$31,"""",U122,"""",",",'Code List'!$B$32,'Code List'!$D$32,",",'Code List'!$B$33,'Code List'!$D$33,",",'Code List'!$B$34,'Code List'!$D$34,",",'Code List'!$B$35,'Code List'!$D$35,",",'Code List'!$B$36,'Code List'!$D$36,",",'Code List'!$B$37,'Code List'!$D$37,",",'Code List'!$B$38,"""",H122,"""",",",'Code List'!$B$39,"""",I122,"""",",",'Code List'!$B$40,"""",J122,"""",",",'Code List'!$B$41,"""",K122,"""",",",'Code List'!$B$42,"""",L122,"""",",",'Code List'!$B$43,"""",M122,"""",",",'Code List'!$B$44,"""",N122,"""",",",'Code List'!$B$45,"""",O122,"""",",",'Code List'!$B$46,"""",P122,"""",",",'Code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List'!$B$59,"""",T122,"""","}"),"")</f>
        <v/>
      </c>
    </row>
    <row r="123" spans="1:25" x14ac:dyDescent="0.25">
      <c r="A123" s="162" t="str">
        <f>IF(AND($A116="YES",E116=$E$1),"YES","NO")</f>
        <v>NO</v>
      </c>
      <c r="C123" t="s">
        <v>259</v>
      </c>
      <c r="D123" s="12" t="str">
        <f>D122</f>
        <v>3A</v>
      </c>
      <c r="E123" t="s">
        <v>259</v>
      </c>
      <c r="G123" s="171">
        <f>F116</f>
        <v>0</v>
      </c>
      <c r="H123">
        <f>ROUND(B116,$O$1)</f>
        <v>1.91</v>
      </c>
      <c r="I123">
        <f>ROUND(B116+'Slide Measurements'!$D$1,$O$1)</f>
        <v>78.36</v>
      </c>
      <c r="J123">
        <f>C116</f>
        <v>74.72</v>
      </c>
      <c r="K123">
        <f>C116+'Slide Measurements'!$D$2</f>
        <v>102.12</v>
      </c>
      <c r="L123" s="5" t="str">
        <f>'Expanded Base Data'!$L114</f>
        <v/>
      </c>
      <c r="M123" s="5" t="str">
        <f>'Expanded Base Data'!$K114</f>
        <v/>
      </c>
      <c r="N123">
        <f t="shared" si="99"/>
        <v>76.45</v>
      </c>
      <c r="O123">
        <f t="shared" si="100"/>
        <v>27.4</v>
      </c>
      <c r="P123" s="5" t="e">
        <f>ROUND((L123-M123),$O$1)</f>
        <v>#VALUE!</v>
      </c>
      <c r="Q123">
        <f>'Code List'!$C$70</f>
        <v>11</v>
      </c>
      <c r="R123">
        <f>'Code List'!$D$70</f>
        <v>19</v>
      </c>
      <c r="S123" t="e">
        <f>IF(P123=0,"1",ROUND((P123/$K$1)+$M$1,0))</f>
        <v>#VALUE!</v>
      </c>
      <c r="T123" t="e">
        <f>Q123*R123*S123</f>
        <v>#VALUE!</v>
      </c>
      <c r="U123" t="str">
        <f>IF(A123="YES",CONCATENATE(G123,"_",'Program Page'!$C$4,'Program Page'!$C$5,"_",D123,"_",E123),"")</f>
        <v/>
      </c>
      <c r="V123" t="str">
        <f>IF(U123="","",CONCATENATE(U123,"_"))</f>
        <v/>
      </c>
      <c r="W123" t="str">
        <f>IF(A123="YES",CONCATENATE("{",'Code List'!$B$4,'Code List'!$D$4,",",'Code List'!$B$5,'Code List'!$D$5,",",'Code List'!$B$6,"""",U123,"""",",",'Code List'!$B$7,'Code List'!$D$7,",",'Code List'!$B$8,'Code List'!$D$8,",",'Code List'!$B$9,'Code List'!$D$9,",",'Code List'!$B$10,'Code List'!$D$10,",",'Code List'!$B$11,"""",V123,"""",",",'Code List'!$B$12,"""",H123,"""",",",'Code List'!$B$13,"""",I123,"""",",",'Code List'!$B$14,"""",J123,"""",",",'Code List'!$B$15,"""",K123,"""",",",'Code List'!$B$16,"""",L123,"""",",",'Code List'!$B$17,"""",M123,"""",",",'Code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123" s="167" t="str">
        <f>IF(A123="YES",CONCATENATE("{",'Code List'!$B$31,"""",U123,"""",",",'Code List'!$B$32,'Code List'!$D$32,",",'Code List'!$B$33,'Code List'!$D$33,",",'Code List'!$B$34,'Code List'!$D$34,",",'Code List'!$B$35,'Code List'!$D$35,",",'Code List'!$B$36,'Code List'!$D$36,",",'Code List'!$B$37,'Code List'!$D$37,",",'Code List'!$B$38,"""",H123,"""",",",'Code List'!$B$39,"""",I123,"""",",",'Code List'!$B$40,"""",J123,"""",",",'Code List'!$B$41,"""",K123,"""",",",'Code List'!$B$42,"""",L123,"""",",",'Code List'!$B$43,"""",M123,"""",",",'Code List'!$B$44,"""",N123,"""",",",'Code List'!$B$45,"""",O123,"""",",",'Code List'!$B$46,"""",P123,"""",",",'Code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List'!$B$59,"""",T123,"""","}"),"")</f>
        <v/>
      </c>
    </row>
    <row r="124" spans="1:25" ht="18.75" x14ac:dyDescent="0.3">
      <c r="A124" s="35" t="str">
        <f>IF(OR(E124=$C$1,E124=$D$1,E124=$E$1),"YES","NO")</f>
        <v>NO</v>
      </c>
      <c r="B124" s="35">
        <f>'Expanded Base Data'!D122</f>
        <v>89.11</v>
      </c>
      <c r="C124" s="35">
        <f>'Expanded Base Data'!E122</f>
        <v>74.72</v>
      </c>
      <c r="D124" s="36" t="str">
        <f>'Expanded Base Data'!B122</f>
        <v>3B</v>
      </c>
      <c r="E124" s="35">
        <f>'Expanded Base Data'!C122</f>
        <v>0</v>
      </c>
      <c r="F124" s="35">
        <f>'Expanded Base Data'!M122</f>
        <v>0</v>
      </c>
      <c r="G124" s="170">
        <f>F124</f>
        <v>0</v>
      </c>
      <c r="Y124" s="167" t="str">
        <f>""</f>
        <v/>
      </c>
    </row>
    <row r="125" spans="1:25" x14ac:dyDescent="0.25">
      <c r="A125" t="str">
        <f>IF(AND($A124="YES",E124=$C$1),"YES","NO")</f>
        <v>NO</v>
      </c>
      <c r="C125" t="s">
        <v>6</v>
      </c>
      <c r="D125" s="12" t="str">
        <f>D124</f>
        <v>3B</v>
      </c>
      <c r="E125" t="s">
        <v>6</v>
      </c>
      <c r="F125" t="s">
        <v>198</v>
      </c>
      <c r="G125" s="171">
        <f>F124</f>
        <v>0</v>
      </c>
      <c r="H125">
        <f>IF('Expanded Base Data'!N122="",ROUND(B124+'Slide Measurements'!$D$11,$O$1),B124+'Expanded Base Data'!N122)</f>
        <v>122.11</v>
      </c>
      <c r="I125">
        <f>IF('Expanded Base Data'!O122="",ROUND(B124+'Slide Measurements'!$D$12,$O$1),B124+'Expanded Base Data'!O122)</f>
        <v>130.71</v>
      </c>
      <c r="J125">
        <f>IF('Expanded Base Data'!P122="",C124+'Slide Measurements'!$E$13,C124+'Expanded Base Data'!P122)</f>
        <v>83.42</v>
      </c>
      <c r="K125">
        <f>IF('Expanded Base Data'!Q122="",C124+'Slide Measurements'!$E$14,C124+'Expanded Base Data'!Q122)</f>
        <v>92.02</v>
      </c>
      <c r="L125" s="5" t="str">
        <f>'Expanded Base Data'!$L122</f>
        <v/>
      </c>
      <c r="M125" s="5" t="str">
        <f>'Expanded Base Data'!$K122</f>
        <v/>
      </c>
      <c r="N125">
        <f>ROUND((I125-H125),$O$1)</f>
        <v>8.6</v>
      </c>
      <c r="O125">
        <f>ROUND((K125-J125),$O$1)</f>
        <v>8.6</v>
      </c>
      <c r="P125" s="5" t="e">
        <f>ROUND((L125-M125),$O$1)</f>
        <v>#VALUE!</v>
      </c>
      <c r="Q125">
        <f>'Code List'!$C$62</f>
        <v>5</v>
      </c>
      <c r="R125">
        <f>F126+'Code List'!$G$63</f>
        <v>2</v>
      </c>
      <c r="S125" t="e">
        <f>IF(P125=0,"1",ROUND((P125/$K$1)+$M$1,0))</f>
        <v>#VALUE!</v>
      </c>
      <c r="T125" t="e">
        <f>Q125*R125*S125</f>
        <v>#VALUE!</v>
      </c>
      <c r="U125" t="str">
        <f>IF(A125="YES",CONCATENATE(G125,"_",'Program Page'!$C$4,'Program Page'!$C$5,"_",D125,"_",E125),"")</f>
        <v/>
      </c>
      <c r="V125" t="str">
        <f>IF(U125="","",CONCATENATE(U125,"_"))</f>
        <v/>
      </c>
      <c r="W125" t="str">
        <f>IF(A125="YES",CONCATENATE("{",'Code List'!$B$4,'Code List'!$D$4,",",'Code List'!$B$5,'Code List'!$D$5,",",'Code List'!$B$6,"""",U125,"""",",",'Code List'!$B$7,'Code List'!$D$7,",",'Code List'!$B$8,'Code List'!$D$8,",",'Code List'!$B$9,'Code List'!$D$9,",",'Code List'!$B$10,'Code List'!$D$10,",",'Code List'!$B$11,"""",V125,"""",",",'Code List'!$B$12,"""",H125,"""",",",'Code List'!$B$13,"""",I125,"""",",",'Code List'!$B$14,"""",J125,"""",",",'Code List'!$B$15,"""",K125,"""",",",'Code List'!$B$16,"""",L125,"""",",",'Code List'!$B$17,"""",M125,"""",",",'Code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25" s="167" t="str">
        <f>IF(A125="YES",CONCATENATE("{",'Code List'!$B$31,"""",U125,"""",",",'Code List'!$B$32,'Code List'!$D$32,",",'Code List'!$B$33,'Code List'!$D$33,",",'Code List'!$B$34,'Code List'!$D$34,",",'Code List'!$B$35,'Code List'!$D$35,",",'Code List'!$B$36,'Code List'!$D$36,",",'Code List'!$B$37,'Code List'!$D$37,",",'Code List'!$B$38,"""",H125,"""",",",'Code List'!$B$39,"""",I125,"""",",",'Code List'!$B$40,"""",J125,"""",",",'Code List'!$B$41,"""",K125,"""",",",'Code List'!$B$42,"""",L125,"""",",",'Code List'!$B$43,"""",M125,"""",",",'Code List'!$B$44,"""",N125,"""",",",'Code List'!$B$45,"""",O125,"""",",",'Code List'!$B$46,"""",P125,"""",",",'Code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List'!$B$59,"""",T125,"""","}"),"")</f>
        <v/>
      </c>
    </row>
    <row r="126" spans="1:25" x14ac:dyDescent="0.25">
      <c r="A126" t="str">
        <f>IF(AND($A124="YES",E124=$D$1,F126&gt;0),"YES","NO")</f>
        <v>NO</v>
      </c>
      <c r="C126" t="s">
        <v>5</v>
      </c>
      <c r="D126" s="12" t="str">
        <f t="shared" ref="D126:D130" si="105">D125</f>
        <v>3B</v>
      </c>
      <c r="E126" t="s">
        <v>188</v>
      </c>
      <c r="F126">
        <f>'Expanded Base Data'!F122</f>
        <v>0</v>
      </c>
      <c r="G126" s="171">
        <f>F124</f>
        <v>0</v>
      </c>
      <c r="H126">
        <f>ROUND(B124+'Slide Measurements'!$D$17,$O$1)</f>
        <v>114.51</v>
      </c>
      <c r="I126">
        <f>ROUND(H126+(F126*'Slide Measurements'!$D$21),$O$1)</f>
        <v>114.51</v>
      </c>
      <c r="J126">
        <f>C124+'Slide Measurements'!$E$17</f>
        <v>79.02</v>
      </c>
      <c r="K126">
        <f>J126+($I$1*'Slide Measurements'!$E$23-'Slide Measurements'!$E$23)</f>
        <v>80.86999999999999</v>
      </c>
      <c r="L126" s="5" t="str">
        <f>'Expanded Base Data'!$L122</f>
        <v/>
      </c>
      <c r="M126" s="5" t="str">
        <f>'Expanded Base Data'!$K122</f>
        <v/>
      </c>
      <c r="N126">
        <f t="shared" ref="N126:N131" si="106">ROUND((I126-H126),$O$1)</f>
        <v>0</v>
      </c>
      <c r="O126">
        <f t="shared" ref="O126:O131" si="107">ROUND((K126-J126),$O$1)</f>
        <v>1.85</v>
      </c>
      <c r="P126" s="5" t="e">
        <f t="shared" ref="P126:P130" si="108">ROUND((L126-M126),$O$1)</f>
        <v>#VALUE!</v>
      </c>
      <c r="Q126">
        <f>'Code List'!$C$63</f>
        <v>3</v>
      </c>
      <c r="R126">
        <f>F127+'Code List'!$G$63</f>
        <v>2</v>
      </c>
      <c r="S126" t="e">
        <f t="shared" ref="S126:S130" si="109">IF(P126=0,"1",ROUND((P126/$K$1)+$M$1,0))</f>
        <v>#VALUE!</v>
      </c>
      <c r="T126" t="e">
        <f>Q126*R126*S126</f>
        <v>#VALUE!</v>
      </c>
      <c r="U126" t="str">
        <f>IF(A126="YES",CONCATENATE(G126,"_",'Program Page'!$C$4,'Program Page'!$C$5,"_",D126,"_",E126),"")</f>
        <v/>
      </c>
      <c r="V126" t="str">
        <f t="shared" ref="V126:V130" si="110">IF(U126="","",CONCATENATE(U126,"_"))</f>
        <v/>
      </c>
      <c r="W126" t="str">
        <f>IF(A126="YES",CONCATENATE("{",'Code List'!$B$4,'Code List'!$D$4,",",'Code List'!$B$5,'Code List'!$D$5,",",'Code List'!$B$6,"""",U126,"""",",",'Code List'!$B$7,'Code List'!$D$7,",",'Code List'!$B$8,'Code List'!$D$8,",",'Code List'!$B$9,'Code List'!$D$9,",",'Code List'!$B$10,'Code List'!$D$10,",",'Code List'!$B$11,"""",V126,"""",",",'Code List'!$B$12,"""",H126,"""",",",'Code List'!$B$13,"""",I126,"""",",",'Code List'!$B$14,"""",J126,"""",",",'Code List'!$B$15,"""",K126,"""",",",'Code List'!$B$16,"""",L126,"""",",",'Code List'!$B$17,"""",M126,"""",",",'Code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26" s="167" t="str">
        <f>IF(A126="YES",CONCATENATE("{",'Code List'!$B$31,"""",U126,"""",",",'Code List'!$B$32,'Code List'!$D$32,",",'Code List'!$B$33,'Code List'!$D$33,",",'Code List'!$B$34,'Code List'!$D$34,",",'Code List'!$B$35,'Code List'!$D$35,",",'Code List'!$B$36,'Code List'!$D$36,",",'Code List'!$B$37,'Code List'!$D$37,",",'Code List'!$B$38,"""",H126,"""",",",'Code List'!$B$39,"""",I126,"""",",",'Code List'!$B$40,"""",J126,"""",",",'Code List'!$B$41,"""",K126,"""",",",'Code List'!$B$42,"""",L126,"""",",",'Code List'!$B$43,"""",M126,"""",",",'Code List'!$B$44,"""",N126,"""",",",'Code List'!$B$45,"""",O126,"""",",",'Code List'!$B$46,"""",P126,"""",",",'Code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List'!$B$59,"""",T126,"""","}"),"")</f>
        <v/>
      </c>
    </row>
    <row r="127" spans="1:25" x14ac:dyDescent="0.25">
      <c r="A127" t="str">
        <f>IF(AND($A124="YES",E124=$D$1,F127&gt;0),"YES","NO")</f>
        <v>NO</v>
      </c>
      <c r="C127" t="s">
        <v>5</v>
      </c>
      <c r="D127" s="12" t="str">
        <f t="shared" si="105"/>
        <v>3B</v>
      </c>
      <c r="E127" t="s">
        <v>189</v>
      </c>
      <c r="F127">
        <f>'Expanded Base Data'!G122</f>
        <v>0</v>
      </c>
      <c r="G127" s="171">
        <f>F124</f>
        <v>0</v>
      </c>
      <c r="H127">
        <f>ROUND(B124+'Slide Measurements'!$D$17,$O$1)</f>
        <v>114.51</v>
      </c>
      <c r="I127">
        <f>ROUND(H127+(F127*'Slide Measurements'!$D$21),$O$1)</f>
        <v>114.51</v>
      </c>
      <c r="J127">
        <f>K126</f>
        <v>80.86999999999999</v>
      </c>
      <c r="K127">
        <f>J127+($I$1*'Slide Measurements'!$E$23-'Slide Measurements'!$E$23)</f>
        <v>82.719999999999985</v>
      </c>
      <c r="L127" s="5" t="str">
        <f>'Expanded Base Data'!$L122</f>
        <v/>
      </c>
      <c r="M127" s="5" t="str">
        <f>'Expanded Base Data'!$K122</f>
        <v/>
      </c>
      <c r="N127">
        <f t="shared" si="106"/>
        <v>0</v>
      </c>
      <c r="O127">
        <f t="shared" si="107"/>
        <v>1.85</v>
      </c>
      <c r="P127" s="5" t="e">
        <f t="shared" si="108"/>
        <v>#VALUE!</v>
      </c>
      <c r="Q127">
        <f>'Code List'!$C$63</f>
        <v>3</v>
      </c>
      <c r="R127">
        <f>F128+'Code List'!$G$63</f>
        <v>2</v>
      </c>
      <c r="S127" t="e">
        <f t="shared" si="109"/>
        <v>#VALUE!</v>
      </c>
      <c r="T127" t="e">
        <f t="shared" ref="T127:T130" si="111">Q127*R127*S127</f>
        <v>#VALUE!</v>
      </c>
      <c r="U127" t="str">
        <f>IF(A127="YES",CONCATENATE(G127,"_",'Program Page'!$C$4,'Program Page'!$C$5,"_",D127,"_",E127),"")</f>
        <v/>
      </c>
      <c r="V127" t="str">
        <f t="shared" si="110"/>
        <v/>
      </c>
      <c r="W127" t="str">
        <f>IF(A127="YES",CONCATENATE("{",'Code List'!$B$4,'Code List'!$D$4,",",'Code List'!$B$5,'Code List'!$D$5,",",'Code List'!$B$6,"""",U127,"""",",",'Code List'!$B$7,'Code List'!$D$7,",",'Code List'!$B$8,'Code List'!$D$8,",",'Code List'!$B$9,'Code List'!$D$9,",",'Code List'!$B$10,'Code List'!$D$10,",",'Code List'!$B$11,"""",V127,"""",",",'Code List'!$B$12,"""",H127,"""",",",'Code List'!$B$13,"""",I127,"""",",",'Code List'!$B$14,"""",J127,"""",",",'Code List'!$B$15,"""",K127,"""",",",'Code List'!$B$16,"""",L127,"""",",",'Code List'!$B$17,"""",M127,"""",",",'Code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27" s="167" t="str">
        <f>IF(A127="YES",CONCATENATE("{",'Code List'!$B$31,"""",U127,"""",",",'Code List'!$B$32,'Code List'!$D$32,",",'Code List'!$B$33,'Code List'!$D$33,",",'Code List'!$B$34,'Code List'!$D$34,",",'Code List'!$B$35,'Code List'!$D$35,",",'Code List'!$B$36,'Code List'!$D$36,",",'Code List'!$B$37,'Code List'!$D$37,",",'Code List'!$B$38,"""",H127,"""",",",'Code List'!$B$39,"""",I127,"""",",",'Code List'!$B$40,"""",J127,"""",",",'Code List'!$B$41,"""",K127,"""",",",'Code List'!$B$42,"""",L127,"""",",",'Code List'!$B$43,"""",M127,"""",",",'Code List'!$B$44,"""",N127,"""",",",'Code List'!$B$45,"""",O127,"""",",",'Code List'!$B$46,"""",P127,"""",",",'Code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List'!$B$59,"""",T127,"""","}"),"")</f>
        <v/>
      </c>
    </row>
    <row r="128" spans="1:25" x14ac:dyDescent="0.25">
      <c r="A128" t="str">
        <f>IF(AND($A124="YES",E124=$D$1,F128&gt;0),"YES","NO")</f>
        <v>NO</v>
      </c>
      <c r="C128" t="s">
        <v>5</v>
      </c>
      <c r="D128" s="12" t="str">
        <f t="shared" si="105"/>
        <v>3B</v>
      </c>
      <c r="E128" t="s">
        <v>190</v>
      </c>
      <c r="F128">
        <f>'Expanded Base Data'!H122</f>
        <v>0</v>
      </c>
      <c r="G128" s="171">
        <f>F124</f>
        <v>0</v>
      </c>
      <c r="H128">
        <f>ROUND(B124+'Slide Measurements'!$D$17,$O$1)</f>
        <v>114.51</v>
      </c>
      <c r="I128">
        <f>ROUND(H128+(F128*'Slide Measurements'!$D$21),$O$1)</f>
        <v>114.51</v>
      </c>
      <c r="J128">
        <f>K127</f>
        <v>82.719999999999985</v>
      </c>
      <c r="K128">
        <f>J128+($I$1*'Slide Measurements'!$E$23-'Slide Measurements'!$E$23)</f>
        <v>84.569999999999979</v>
      </c>
      <c r="L128" s="5" t="str">
        <f>'Expanded Base Data'!$L122</f>
        <v/>
      </c>
      <c r="M128" s="5" t="str">
        <f>'Expanded Base Data'!$K122</f>
        <v/>
      </c>
      <c r="N128">
        <f t="shared" si="106"/>
        <v>0</v>
      </c>
      <c r="O128">
        <f t="shared" si="107"/>
        <v>1.85</v>
      </c>
      <c r="P128" s="5" t="e">
        <f t="shared" si="108"/>
        <v>#VALUE!</v>
      </c>
      <c r="Q128">
        <f>'Code List'!$C$63</f>
        <v>3</v>
      </c>
      <c r="R128">
        <f>F129+'Code List'!$G$63</f>
        <v>2</v>
      </c>
      <c r="S128" t="e">
        <f t="shared" si="109"/>
        <v>#VALUE!</v>
      </c>
      <c r="T128" t="e">
        <f t="shared" si="111"/>
        <v>#VALUE!</v>
      </c>
      <c r="U128" t="str">
        <f>IF(A128="YES",CONCATENATE(G128,"_",'Program Page'!$C$4,'Program Page'!$C$5,"_",D128,"_",E128),"")</f>
        <v/>
      </c>
      <c r="V128" t="str">
        <f t="shared" si="110"/>
        <v/>
      </c>
      <c r="W128" t="str">
        <f>IF(A128="YES",CONCATENATE("{",'Code List'!$B$4,'Code List'!$D$4,",",'Code List'!$B$5,'Code List'!$D$5,",",'Code List'!$B$6,"""",U128,"""",",",'Code List'!$B$7,'Code List'!$D$7,",",'Code List'!$B$8,'Code List'!$D$8,",",'Code List'!$B$9,'Code List'!$D$9,",",'Code List'!$B$10,'Code List'!$D$10,",",'Code List'!$B$11,"""",V128,"""",",",'Code List'!$B$12,"""",H128,"""",",",'Code List'!$B$13,"""",I128,"""",",",'Code List'!$B$14,"""",J128,"""",",",'Code List'!$B$15,"""",K128,"""",",",'Code List'!$B$16,"""",L128,"""",",",'Code List'!$B$17,"""",M128,"""",",",'Code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28" s="167" t="str">
        <f>IF(A128="YES",CONCATENATE("{",'Code List'!$B$31,"""",U128,"""",",",'Code List'!$B$32,'Code List'!$D$32,",",'Code List'!$B$33,'Code List'!$D$33,",",'Code List'!$B$34,'Code List'!$D$34,",",'Code List'!$B$35,'Code List'!$D$35,",",'Code List'!$B$36,'Code List'!$D$36,",",'Code List'!$B$37,'Code List'!$D$37,",",'Code List'!$B$38,"""",H128,"""",",",'Code List'!$B$39,"""",I128,"""",",",'Code List'!$B$40,"""",J128,"""",",",'Code List'!$B$41,"""",K128,"""",",",'Code List'!$B$42,"""",L128,"""",",",'Code List'!$B$43,"""",M128,"""",",",'Code List'!$B$44,"""",N128,"""",",",'Code List'!$B$45,"""",O128,"""",",",'Code List'!$B$46,"""",P128,"""",",",'Code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List'!$B$59,"""",T128,"""","}"),"")</f>
        <v/>
      </c>
    </row>
    <row r="129" spans="1:25" x14ac:dyDescent="0.25">
      <c r="A129" t="str">
        <f>IF(AND($A124="YES",E124=$D$1,F129&gt;0),"YES","NO")</f>
        <v>NO</v>
      </c>
      <c r="C129" t="s">
        <v>5</v>
      </c>
      <c r="D129" s="12" t="str">
        <f t="shared" si="105"/>
        <v>3B</v>
      </c>
      <c r="E129" t="s">
        <v>191</v>
      </c>
      <c r="F129">
        <f>'Expanded Base Data'!I122</f>
        <v>0</v>
      </c>
      <c r="G129" s="171">
        <f>F124</f>
        <v>0</v>
      </c>
      <c r="H129">
        <f>ROUND(B124+'Slide Measurements'!$D$17,$O$1)</f>
        <v>114.51</v>
      </c>
      <c r="I129">
        <f>ROUND(H129+(F129*'Slide Measurements'!$D$21),$O$1)</f>
        <v>114.51</v>
      </c>
      <c r="J129">
        <f>K128</f>
        <v>84.569999999999979</v>
      </c>
      <c r="K129">
        <f>J129+($I$1*'Slide Measurements'!$E$23-'Slide Measurements'!$E$23)</f>
        <v>86.419999999999973</v>
      </c>
      <c r="L129" s="5" t="str">
        <f>'Expanded Base Data'!$L122</f>
        <v/>
      </c>
      <c r="M129" s="5" t="str">
        <f>'Expanded Base Data'!$K122</f>
        <v/>
      </c>
      <c r="N129">
        <f t="shared" si="106"/>
        <v>0</v>
      </c>
      <c r="O129">
        <f t="shared" si="107"/>
        <v>1.85</v>
      </c>
      <c r="P129" s="5" t="e">
        <f t="shared" si="108"/>
        <v>#VALUE!</v>
      </c>
      <c r="Q129">
        <f>'Code List'!$C$63</f>
        <v>3</v>
      </c>
      <c r="R129">
        <f>F130+'Code List'!$G$63</f>
        <v>2</v>
      </c>
      <c r="S129" t="e">
        <f t="shared" si="109"/>
        <v>#VALUE!</v>
      </c>
      <c r="T129" t="e">
        <f t="shared" si="111"/>
        <v>#VALUE!</v>
      </c>
      <c r="U129" t="str">
        <f>IF(A129="YES",CONCATENATE(G129,"_",'Program Page'!$C$4,'Program Page'!$C$5,"_",D129,"_",E129),"")</f>
        <v/>
      </c>
      <c r="V129" t="str">
        <f t="shared" si="110"/>
        <v/>
      </c>
      <c r="W129" t="str">
        <f>IF(A129="YES",CONCATENATE("{",'Code List'!$B$4,'Code List'!$D$4,",",'Code List'!$B$5,'Code List'!$D$5,",",'Code List'!$B$6,"""",U129,"""",",",'Code List'!$B$7,'Code List'!$D$7,",",'Code List'!$B$8,'Code List'!$D$8,",",'Code List'!$B$9,'Code List'!$D$9,",",'Code List'!$B$10,'Code List'!$D$10,",",'Code List'!$B$11,"""",V129,"""",",",'Code List'!$B$12,"""",H129,"""",",",'Code List'!$B$13,"""",I129,"""",",",'Code List'!$B$14,"""",J129,"""",",",'Code List'!$B$15,"""",K129,"""",",",'Code List'!$B$16,"""",L129,"""",",",'Code List'!$B$17,"""",M129,"""",",",'Code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29" s="167" t="str">
        <f>IF(A129="YES",CONCATENATE("{",'Code List'!$B$31,"""",U129,"""",",",'Code List'!$B$32,'Code List'!$D$32,",",'Code List'!$B$33,'Code List'!$D$33,",",'Code List'!$B$34,'Code List'!$D$34,",",'Code List'!$B$35,'Code List'!$D$35,",",'Code List'!$B$36,'Code List'!$D$36,",",'Code List'!$B$37,'Code List'!$D$37,",",'Code List'!$B$38,"""",H129,"""",",",'Code List'!$B$39,"""",I129,"""",",",'Code List'!$B$40,"""",J129,"""",",",'Code List'!$B$41,"""",K129,"""",",",'Code List'!$B$42,"""",L129,"""",",",'Code List'!$B$43,"""",M129,"""",",",'Code List'!$B$44,"""",N129,"""",",",'Code List'!$B$45,"""",O129,"""",",",'Code List'!$B$46,"""",P129,"""",",",'Code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List'!$B$59,"""",T129,"""","}"),"")</f>
        <v/>
      </c>
    </row>
    <row r="130" spans="1:25" x14ac:dyDescent="0.25">
      <c r="A130" t="str">
        <f>IF(AND($A124="YES",E124=$D$1,F130&gt;0),"YES","NO")</f>
        <v>NO</v>
      </c>
      <c r="C130" t="s">
        <v>5</v>
      </c>
      <c r="D130" s="12" t="str">
        <f t="shared" si="105"/>
        <v>3B</v>
      </c>
      <c r="E130" t="s">
        <v>196</v>
      </c>
      <c r="F130">
        <f>'Expanded Base Data'!J122</f>
        <v>0</v>
      </c>
      <c r="G130" s="171">
        <f>F124</f>
        <v>0</v>
      </c>
      <c r="H130">
        <f>ROUND(B124+'Slide Measurements'!$D$17,$O$1)</f>
        <v>114.51</v>
      </c>
      <c r="I130">
        <f>ROUND(H130+(F130*'Slide Measurements'!$D$21),$O$1)</f>
        <v>114.51</v>
      </c>
      <c r="J130">
        <f>K129</f>
        <v>86.419999999999973</v>
      </c>
      <c r="K130">
        <f>J130+($I$1*'Slide Measurements'!$E$23-'Slide Measurements'!$E$23)</f>
        <v>88.269999999999968</v>
      </c>
      <c r="L130" s="5" t="str">
        <f>'Expanded Base Data'!$L122</f>
        <v/>
      </c>
      <c r="M130" s="5" t="str">
        <f>'Expanded Base Data'!$K122</f>
        <v/>
      </c>
      <c r="N130">
        <f t="shared" si="106"/>
        <v>0</v>
      </c>
      <c r="O130">
        <f t="shared" si="107"/>
        <v>1.85</v>
      </c>
      <c r="P130" s="5" t="e">
        <f t="shared" si="108"/>
        <v>#VALUE!</v>
      </c>
      <c r="Q130">
        <f>'Code List'!$C$63</f>
        <v>3</v>
      </c>
      <c r="R130">
        <f>F131+'Code List'!$G$63</f>
        <v>2</v>
      </c>
      <c r="S130" t="e">
        <f t="shared" si="109"/>
        <v>#VALUE!</v>
      </c>
      <c r="T130" t="e">
        <f t="shared" si="111"/>
        <v>#VALUE!</v>
      </c>
      <c r="U130" t="str">
        <f>IF(A130="YES",CONCATENATE(G130,"_",'Program Page'!$C$4,'Program Page'!$C$5,"_",D130,"_",E130),"")</f>
        <v/>
      </c>
      <c r="V130" t="str">
        <f t="shared" si="110"/>
        <v/>
      </c>
      <c r="W130" t="str">
        <f>IF(A130="YES",CONCATENATE("{",'Code List'!$B$4,'Code List'!$D$4,",",'Code List'!$B$5,'Code List'!$D$5,",",'Code List'!$B$6,"""",U130,"""",",",'Code List'!$B$7,'Code List'!$D$7,",",'Code List'!$B$8,'Code List'!$D$8,",",'Code List'!$B$9,'Code List'!$D$9,",",'Code List'!$B$10,'Code List'!$D$10,",",'Code List'!$B$11,"""",V130,"""",",",'Code List'!$B$12,"""",H130,"""",",",'Code List'!$B$13,"""",I130,"""",",",'Code List'!$B$14,"""",J130,"""",",",'Code List'!$B$15,"""",K130,"""",",",'Code List'!$B$16,"""",L130,"""",",",'Code List'!$B$17,"""",M130,"""",",",'Code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30" s="167" t="str">
        <f>IF(A130="YES",CONCATENATE("{",'Code List'!$B$31,"""",U130,"""",",",'Code List'!$B$32,'Code List'!$D$32,",",'Code List'!$B$33,'Code List'!$D$33,",",'Code List'!$B$34,'Code List'!$D$34,",",'Code List'!$B$35,'Code List'!$D$35,",",'Code List'!$B$36,'Code List'!$D$36,",",'Code List'!$B$37,'Code List'!$D$37,",",'Code List'!$B$38,"""",H130,"""",",",'Code List'!$B$39,"""",I130,"""",",",'Code List'!$B$40,"""",J130,"""",",",'Code List'!$B$41,"""",K130,"""",",",'Code List'!$B$42,"""",L130,"""",",",'Code List'!$B$43,"""",M130,"""",",",'Code List'!$B$44,"""",N130,"""",",",'Code List'!$B$45,"""",O130,"""",",",'Code List'!$B$46,"""",P130,"""",",",'Code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List'!$B$59,"""",T130,"""","}"),"")</f>
        <v/>
      </c>
    </row>
    <row r="131" spans="1:25" x14ac:dyDescent="0.25">
      <c r="A131" s="162" t="str">
        <f>IF(AND($A124="YES",E124=$E$1),"YES","NO")</f>
        <v>NO</v>
      </c>
      <c r="C131" t="s">
        <v>259</v>
      </c>
      <c r="D131" s="12" t="str">
        <f>D130</f>
        <v>3B</v>
      </c>
      <c r="E131" t="s">
        <v>259</v>
      </c>
      <c r="G131" s="171">
        <f>F124</f>
        <v>0</v>
      </c>
      <c r="H131">
        <f>ROUND(B124,$O$1)</f>
        <v>89.11</v>
      </c>
      <c r="I131">
        <f>ROUND(B124+'Slide Measurements'!$D$1,$O$1)</f>
        <v>165.56</v>
      </c>
      <c r="J131">
        <f>C124</f>
        <v>74.72</v>
      </c>
      <c r="K131">
        <f>C124+'Slide Measurements'!$D$2</f>
        <v>102.12</v>
      </c>
      <c r="L131" s="5" t="str">
        <f>'Expanded Base Data'!$L122</f>
        <v/>
      </c>
      <c r="M131" s="5" t="str">
        <f>'Expanded Base Data'!$K122</f>
        <v/>
      </c>
      <c r="N131">
        <f t="shared" si="106"/>
        <v>76.45</v>
      </c>
      <c r="O131">
        <f t="shared" si="107"/>
        <v>27.4</v>
      </c>
      <c r="P131" s="5" t="e">
        <f>ROUND((L131-M131),$O$1)</f>
        <v>#VALUE!</v>
      </c>
      <c r="Q131">
        <f>'Code List'!$C$70</f>
        <v>11</v>
      </c>
      <c r="R131">
        <f>'Code List'!$D$70</f>
        <v>19</v>
      </c>
      <c r="S131" t="e">
        <f>IF(P131=0,"1",ROUND((P131/$K$1)+$M$1,0))</f>
        <v>#VALUE!</v>
      </c>
      <c r="T131" t="e">
        <f>Q131*R131*S131</f>
        <v>#VALUE!</v>
      </c>
      <c r="U131" t="str">
        <f>IF(A131="YES",CONCATENATE(G131,"_",'Program Page'!$C$4,'Program Page'!$C$5,"_",D131,"_",E131),"")</f>
        <v/>
      </c>
      <c r="V131" t="str">
        <f>IF(U131="","",CONCATENATE(U131,"_"))</f>
        <v/>
      </c>
      <c r="W131" t="str">
        <f>IF(A131="YES",CONCATENATE("{",'Code List'!$B$4,'Code List'!$D$4,",",'Code List'!$B$5,'Code List'!$D$5,",",'Code List'!$B$6,"""",U131,"""",",",'Code List'!$B$7,'Code List'!$D$7,",",'Code List'!$B$8,'Code List'!$D$8,",",'Code List'!$B$9,'Code List'!$D$9,",",'Code List'!$B$10,'Code List'!$D$10,",",'Code List'!$B$11,"""",V131,"""",",",'Code List'!$B$12,"""",H131,"""",",",'Code List'!$B$13,"""",I131,"""",",",'Code List'!$B$14,"""",J131,"""",",",'Code List'!$B$15,"""",K131,"""",",",'Code List'!$B$16,"""",L131,"""",",",'Code List'!$B$17,"""",M131,"""",",",'Code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131" s="167" t="str">
        <f>IF(A131="YES",CONCATENATE("{",'Code List'!$B$31,"""",U131,"""",",",'Code List'!$B$32,'Code List'!$D$32,",",'Code List'!$B$33,'Code List'!$D$33,",",'Code List'!$B$34,'Code List'!$D$34,",",'Code List'!$B$35,'Code List'!$D$35,",",'Code List'!$B$36,'Code List'!$D$36,",",'Code List'!$B$37,'Code List'!$D$37,",",'Code List'!$B$38,"""",H131,"""",",",'Code List'!$B$39,"""",I131,"""",",",'Code List'!$B$40,"""",J131,"""",",",'Code List'!$B$41,"""",K131,"""",",",'Code List'!$B$42,"""",L131,"""",",",'Code List'!$B$43,"""",M131,"""",",",'Code List'!$B$44,"""",N131,"""",",",'Code List'!$B$45,"""",O131,"""",",",'Code List'!$B$46,"""",P131,"""",",",'Code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List'!$B$59,"""",T131,"""","}"),"")</f>
        <v/>
      </c>
    </row>
    <row r="132" spans="1:25" ht="18.75" x14ac:dyDescent="0.3">
      <c r="A132" s="35" t="str">
        <f>IF(OR(E132=$C$1,E132=$D$1,E132=$E$1),"YES","NO")</f>
        <v>NO</v>
      </c>
      <c r="B132" s="35">
        <f>'Expanded Base Data'!D130</f>
        <v>175.71</v>
      </c>
      <c r="C132" s="35">
        <f>'Expanded Base Data'!E130</f>
        <v>74.72</v>
      </c>
      <c r="D132" s="36" t="str">
        <f>'Expanded Base Data'!B130</f>
        <v>3C</v>
      </c>
      <c r="E132" s="35">
        <f>'Expanded Base Data'!C130</f>
        <v>0</v>
      </c>
      <c r="F132" s="35">
        <f>'Expanded Base Data'!M130</f>
        <v>0</v>
      </c>
      <c r="G132" s="170">
        <f>F132</f>
        <v>0</v>
      </c>
      <c r="Y132" s="167" t="str">
        <f>""</f>
        <v/>
      </c>
    </row>
    <row r="133" spans="1:25" x14ac:dyDescent="0.25">
      <c r="A133" t="str">
        <f>IF(AND($A132="YES",E132=$C$1),"YES","NO")</f>
        <v>NO</v>
      </c>
      <c r="C133" t="s">
        <v>6</v>
      </c>
      <c r="D133" s="12" t="str">
        <f>D132</f>
        <v>3C</v>
      </c>
      <c r="E133" t="s">
        <v>6</v>
      </c>
      <c r="F133" t="s">
        <v>198</v>
      </c>
      <c r="G133" s="171">
        <f>F132</f>
        <v>0</v>
      </c>
      <c r="H133">
        <f>IF('Expanded Base Data'!N130="",ROUND(B132+'Slide Measurements'!$D$11,$O$1),B132+'Expanded Base Data'!N130)</f>
        <v>208.71</v>
      </c>
      <c r="I133">
        <f>IF('Expanded Base Data'!O130="",ROUND(B132+'Slide Measurements'!$D$12,$O$1),B132+'Expanded Base Data'!O130)</f>
        <v>217.31</v>
      </c>
      <c r="J133">
        <f>IF('Expanded Base Data'!P130="",C132+'Slide Measurements'!$E$13,C132+'Expanded Base Data'!P130)</f>
        <v>83.42</v>
      </c>
      <c r="K133">
        <f>IF('Expanded Base Data'!Q130="",C132+'Slide Measurements'!$E$14,C132+'Expanded Base Data'!Q130)</f>
        <v>92.02</v>
      </c>
      <c r="L133" s="5" t="str">
        <f>'Expanded Base Data'!$L130</f>
        <v/>
      </c>
      <c r="M133" s="5" t="str">
        <f>'Expanded Base Data'!$K130</f>
        <v/>
      </c>
      <c r="N133">
        <f>ROUND((I133-H133),$O$1)</f>
        <v>8.6</v>
      </c>
      <c r="O133">
        <f>ROUND((K133-J133),$O$1)</f>
        <v>8.6</v>
      </c>
      <c r="P133" s="5" t="e">
        <f>ROUND((L133-M133),$O$1)</f>
        <v>#VALUE!</v>
      </c>
      <c r="Q133">
        <f>'Code List'!$C$62</f>
        <v>5</v>
      </c>
      <c r="R133">
        <f>F134+'Code List'!$G$63</f>
        <v>2</v>
      </c>
      <c r="S133" t="e">
        <f>IF(P133=0,"1",ROUND((P133/$K$1)+$M$1,0))</f>
        <v>#VALUE!</v>
      </c>
      <c r="T133" t="e">
        <f>Q133*R133*S133</f>
        <v>#VALUE!</v>
      </c>
      <c r="U133" t="str">
        <f>IF(A133="YES",CONCATENATE(G133,"_",'Program Page'!$C$4,'Program Page'!$C$5,"_",D133,"_",E133),"")</f>
        <v/>
      </c>
      <c r="V133" t="str">
        <f>IF(U133="","",CONCATENATE(U133,"_"))</f>
        <v/>
      </c>
      <c r="W133" t="str">
        <f>IF(A133="YES",CONCATENATE("{",'Code List'!$B$4,'Code List'!$D$4,",",'Code List'!$B$5,'Code List'!$D$5,",",'Code List'!$B$6,"""",U133,"""",",",'Code List'!$B$7,'Code List'!$D$7,",",'Code List'!$B$8,'Code List'!$D$8,",",'Code List'!$B$9,'Code List'!$D$9,",",'Code List'!$B$10,'Code List'!$D$10,",",'Code List'!$B$11,"""",V133,"""",",",'Code List'!$B$12,"""",H133,"""",",",'Code List'!$B$13,"""",I133,"""",",",'Code List'!$B$14,"""",J133,"""",",",'Code List'!$B$15,"""",K133,"""",",",'Code List'!$B$16,"""",L133,"""",",",'Code List'!$B$17,"""",M133,"""",",",'Code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33" s="167" t="str">
        <f>IF(A133="YES",CONCATENATE("{",'Code List'!$B$31,"""",U133,"""",",",'Code List'!$B$32,'Code List'!$D$32,",",'Code List'!$B$33,'Code List'!$D$33,",",'Code List'!$B$34,'Code List'!$D$34,",",'Code List'!$B$35,'Code List'!$D$35,",",'Code List'!$B$36,'Code List'!$D$36,",",'Code List'!$B$37,'Code List'!$D$37,",",'Code List'!$B$38,"""",H133,"""",",",'Code List'!$B$39,"""",I133,"""",",",'Code List'!$B$40,"""",J133,"""",",",'Code List'!$B$41,"""",K133,"""",",",'Code List'!$B$42,"""",L133,"""",",",'Code List'!$B$43,"""",M133,"""",",",'Code List'!$B$44,"""",N133,"""",",",'Code List'!$B$45,"""",O133,"""",",",'Code List'!$B$46,"""",P133,"""",",",'Code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List'!$B$59,"""",T133,"""","}"),"")</f>
        <v/>
      </c>
    </row>
    <row r="134" spans="1:25" x14ac:dyDescent="0.25">
      <c r="A134" t="str">
        <f>IF(AND($A132="YES",E132=$D$1,F134&gt;0),"YES","NO")</f>
        <v>NO</v>
      </c>
      <c r="C134" t="s">
        <v>5</v>
      </c>
      <c r="D134" s="12" t="str">
        <f t="shared" ref="D134:D138" si="112">D133</f>
        <v>3C</v>
      </c>
      <c r="E134" t="s">
        <v>188</v>
      </c>
      <c r="F134">
        <f>'Expanded Base Data'!F130</f>
        <v>0</v>
      </c>
      <c r="G134" s="171">
        <f>F132</f>
        <v>0</v>
      </c>
      <c r="H134">
        <f>ROUND(B132+'Slide Measurements'!$D$17,$O$1)</f>
        <v>201.11</v>
      </c>
      <c r="I134">
        <f>ROUND(H134+(F134*'Slide Measurements'!$D$21),$O$1)</f>
        <v>201.11</v>
      </c>
      <c r="J134">
        <f>C132+'Slide Measurements'!$E$17</f>
        <v>79.02</v>
      </c>
      <c r="K134">
        <f>J134+($I$1*'Slide Measurements'!$E$23-'Slide Measurements'!$E$23)</f>
        <v>80.86999999999999</v>
      </c>
      <c r="L134" s="5" t="str">
        <f>'Expanded Base Data'!$L130</f>
        <v/>
      </c>
      <c r="M134" s="5" t="str">
        <f>'Expanded Base Data'!$K130</f>
        <v/>
      </c>
      <c r="N134">
        <f t="shared" ref="N134:N139" si="113">ROUND((I134-H134),$O$1)</f>
        <v>0</v>
      </c>
      <c r="O134">
        <f t="shared" ref="O134:O139" si="114">ROUND((K134-J134),$O$1)</f>
        <v>1.85</v>
      </c>
      <c r="P134" s="5" t="e">
        <f t="shared" ref="P134:P138" si="115">ROUND((L134-M134),$O$1)</f>
        <v>#VALUE!</v>
      </c>
      <c r="Q134">
        <f>'Code List'!$C$63</f>
        <v>3</v>
      </c>
      <c r="R134">
        <f>F135+'Code List'!$G$63</f>
        <v>2</v>
      </c>
      <c r="S134" t="e">
        <f t="shared" ref="S134:S138" si="116">IF(P134=0,"1",ROUND((P134/$K$1)+$M$1,0))</f>
        <v>#VALUE!</v>
      </c>
      <c r="T134" t="e">
        <f>Q134*R134*S134</f>
        <v>#VALUE!</v>
      </c>
      <c r="U134" t="str">
        <f>IF(A134="YES",CONCATENATE(G134,"_",'Program Page'!$C$4,'Program Page'!$C$5,"_",D134,"_",E134),"")</f>
        <v/>
      </c>
      <c r="V134" t="str">
        <f t="shared" ref="V134:V138" si="117">IF(U134="","",CONCATENATE(U134,"_"))</f>
        <v/>
      </c>
      <c r="W134" t="str">
        <f>IF(A134="YES",CONCATENATE("{",'Code List'!$B$4,'Code List'!$D$4,",",'Code List'!$B$5,'Code List'!$D$5,",",'Code List'!$B$6,"""",U134,"""",",",'Code List'!$B$7,'Code List'!$D$7,",",'Code List'!$B$8,'Code List'!$D$8,",",'Code List'!$B$9,'Code List'!$D$9,",",'Code List'!$B$10,'Code List'!$D$10,",",'Code List'!$B$11,"""",V134,"""",",",'Code List'!$B$12,"""",H134,"""",",",'Code List'!$B$13,"""",I134,"""",",",'Code List'!$B$14,"""",J134,"""",",",'Code List'!$B$15,"""",K134,"""",",",'Code List'!$B$16,"""",L134,"""",",",'Code List'!$B$17,"""",M134,"""",",",'Code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34" s="167" t="str">
        <f>IF(A134="YES",CONCATENATE("{",'Code List'!$B$31,"""",U134,"""",",",'Code List'!$B$32,'Code List'!$D$32,",",'Code List'!$B$33,'Code List'!$D$33,",",'Code List'!$B$34,'Code List'!$D$34,",",'Code List'!$B$35,'Code List'!$D$35,",",'Code List'!$B$36,'Code List'!$D$36,",",'Code List'!$B$37,'Code List'!$D$37,",",'Code List'!$B$38,"""",H134,"""",",",'Code List'!$B$39,"""",I134,"""",",",'Code List'!$B$40,"""",J134,"""",",",'Code List'!$B$41,"""",K134,"""",",",'Code List'!$B$42,"""",L134,"""",",",'Code List'!$B$43,"""",M134,"""",",",'Code List'!$B$44,"""",N134,"""",",",'Code List'!$B$45,"""",O134,"""",",",'Code List'!$B$46,"""",P134,"""",",",'Code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List'!$B$59,"""",T134,"""","}"),"")</f>
        <v/>
      </c>
    </row>
    <row r="135" spans="1:25" x14ac:dyDescent="0.25">
      <c r="A135" t="str">
        <f>IF(AND($A132="YES",E132=$D$1,F135&gt;0),"YES","NO")</f>
        <v>NO</v>
      </c>
      <c r="C135" t="s">
        <v>5</v>
      </c>
      <c r="D135" s="12" t="str">
        <f t="shared" si="112"/>
        <v>3C</v>
      </c>
      <c r="E135" t="s">
        <v>189</v>
      </c>
      <c r="F135">
        <f>'Expanded Base Data'!G130</f>
        <v>0</v>
      </c>
      <c r="G135" s="171">
        <f>F132</f>
        <v>0</v>
      </c>
      <c r="H135">
        <f>ROUND(B132+'Slide Measurements'!$D$17,$O$1)</f>
        <v>201.11</v>
      </c>
      <c r="I135">
        <f>ROUND(H135+(F135*'Slide Measurements'!$D$21),$O$1)</f>
        <v>201.11</v>
      </c>
      <c r="J135">
        <f>K134</f>
        <v>80.86999999999999</v>
      </c>
      <c r="K135">
        <f>J135+($I$1*'Slide Measurements'!$E$23-'Slide Measurements'!$E$23)</f>
        <v>82.719999999999985</v>
      </c>
      <c r="L135" s="5" t="str">
        <f>'Expanded Base Data'!$L130</f>
        <v/>
      </c>
      <c r="M135" s="5" t="str">
        <f>'Expanded Base Data'!$K130</f>
        <v/>
      </c>
      <c r="N135">
        <f t="shared" si="113"/>
        <v>0</v>
      </c>
      <c r="O135">
        <f t="shared" si="114"/>
        <v>1.85</v>
      </c>
      <c r="P135" s="5" t="e">
        <f t="shared" si="115"/>
        <v>#VALUE!</v>
      </c>
      <c r="Q135">
        <f>'Code List'!$C$63</f>
        <v>3</v>
      </c>
      <c r="R135">
        <f>F136+'Code List'!$G$63</f>
        <v>2</v>
      </c>
      <c r="S135" t="e">
        <f t="shared" si="116"/>
        <v>#VALUE!</v>
      </c>
      <c r="T135" t="e">
        <f t="shared" ref="T135:T138" si="118">Q135*R135*S135</f>
        <v>#VALUE!</v>
      </c>
      <c r="U135" t="str">
        <f>IF(A135="YES",CONCATENATE(G135,"_",'Program Page'!$C$4,'Program Page'!$C$5,"_",D135,"_",E135),"")</f>
        <v/>
      </c>
      <c r="V135" t="str">
        <f t="shared" si="117"/>
        <v/>
      </c>
      <c r="W135" t="str">
        <f>IF(A135="YES",CONCATENATE("{",'Code List'!$B$4,'Code List'!$D$4,",",'Code List'!$B$5,'Code List'!$D$5,",",'Code List'!$B$6,"""",U135,"""",",",'Code List'!$B$7,'Code List'!$D$7,",",'Code List'!$B$8,'Code List'!$D$8,",",'Code List'!$B$9,'Code List'!$D$9,",",'Code List'!$B$10,'Code List'!$D$10,",",'Code List'!$B$11,"""",V135,"""",",",'Code List'!$B$12,"""",H135,"""",",",'Code List'!$B$13,"""",I135,"""",",",'Code List'!$B$14,"""",J135,"""",",",'Code List'!$B$15,"""",K135,"""",",",'Code List'!$B$16,"""",L135,"""",",",'Code List'!$B$17,"""",M135,"""",",",'Code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35" s="167" t="str">
        <f>IF(A135="YES",CONCATENATE("{",'Code List'!$B$31,"""",U135,"""",",",'Code List'!$B$32,'Code List'!$D$32,",",'Code List'!$B$33,'Code List'!$D$33,",",'Code List'!$B$34,'Code List'!$D$34,",",'Code List'!$B$35,'Code List'!$D$35,",",'Code List'!$B$36,'Code List'!$D$36,",",'Code List'!$B$37,'Code List'!$D$37,",",'Code List'!$B$38,"""",H135,"""",",",'Code List'!$B$39,"""",I135,"""",",",'Code List'!$B$40,"""",J135,"""",",",'Code List'!$B$41,"""",K135,"""",",",'Code List'!$B$42,"""",L135,"""",",",'Code List'!$B$43,"""",M135,"""",",",'Code List'!$B$44,"""",N135,"""",",",'Code List'!$B$45,"""",O135,"""",",",'Code List'!$B$46,"""",P135,"""",",",'Code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List'!$B$59,"""",T135,"""","}"),"")</f>
        <v/>
      </c>
    </row>
    <row r="136" spans="1:25" x14ac:dyDescent="0.25">
      <c r="A136" t="str">
        <f>IF(AND($A132="YES",E132=$D$1,F136&gt;0),"YES","NO")</f>
        <v>NO</v>
      </c>
      <c r="C136" t="s">
        <v>5</v>
      </c>
      <c r="D136" s="12" t="str">
        <f t="shared" si="112"/>
        <v>3C</v>
      </c>
      <c r="E136" t="s">
        <v>190</v>
      </c>
      <c r="F136">
        <f>'Expanded Base Data'!H130</f>
        <v>0</v>
      </c>
      <c r="G136" s="171">
        <f>F132</f>
        <v>0</v>
      </c>
      <c r="H136">
        <f>ROUND(B132+'Slide Measurements'!$D$17,$O$1)</f>
        <v>201.11</v>
      </c>
      <c r="I136">
        <f>ROUND(H136+(F136*'Slide Measurements'!$D$21),$O$1)</f>
        <v>201.11</v>
      </c>
      <c r="J136">
        <f>K135</f>
        <v>82.719999999999985</v>
      </c>
      <c r="K136">
        <f>J136+($I$1*'Slide Measurements'!$E$23-'Slide Measurements'!$E$23)</f>
        <v>84.569999999999979</v>
      </c>
      <c r="L136" s="5" t="str">
        <f>'Expanded Base Data'!$L130</f>
        <v/>
      </c>
      <c r="M136" s="5" t="str">
        <f>'Expanded Base Data'!$K130</f>
        <v/>
      </c>
      <c r="N136">
        <f t="shared" si="113"/>
        <v>0</v>
      </c>
      <c r="O136">
        <f t="shared" si="114"/>
        <v>1.85</v>
      </c>
      <c r="P136" s="5" t="e">
        <f t="shared" si="115"/>
        <v>#VALUE!</v>
      </c>
      <c r="Q136">
        <f>'Code List'!$C$63</f>
        <v>3</v>
      </c>
      <c r="R136">
        <f>F137+'Code List'!$G$63</f>
        <v>2</v>
      </c>
      <c r="S136" t="e">
        <f t="shared" si="116"/>
        <v>#VALUE!</v>
      </c>
      <c r="T136" t="e">
        <f t="shared" si="118"/>
        <v>#VALUE!</v>
      </c>
      <c r="U136" t="str">
        <f>IF(A136="YES",CONCATENATE(G136,"_",'Program Page'!$C$4,'Program Page'!$C$5,"_",D136,"_",E136),"")</f>
        <v/>
      </c>
      <c r="V136" t="str">
        <f t="shared" si="117"/>
        <v/>
      </c>
      <c r="W136" t="str">
        <f>IF(A136="YES",CONCATENATE("{",'Code List'!$B$4,'Code List'!$D$4,",",'Code List'!$B$5,'Code List'!$D$5,",",'Code List'!$B$6,"""",U136,"""",",",'Code List'!$B$7,'Code List'!$D$7,",",'Code List'!$B$8,'Code List'!$D$8,",",'Code List'!$B$9,'Code List'!$D$9,",",'Code List'!$B$10,'Code List'!$D$10,",",'Code List'!$B$11,"""",V136,"""",",",'Code List'!$B$12,"""",H136,"""",",",'Code List'!$B$13,"""",I136,"""",",",'Code List'!$B$14,"""",J136,"""",",",'Code List'!$B$15,"""",K136,"""",",",'Code List'!$B$16,"""",L136,"""",",",'Code List'!$B$17,"""",M136,"""",",",'Code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36" s="167" t="str">
        <f>IF(A136="YES",CONCATENATE("{",'Code List'!$B$31,"""",U136,"""",",",'Code List'!$B$32,'Code List'!$D$32,",",'Code List'!$B$33,'Code List'!$D$33,",",'Code List'!$B$34,'Code List'!$D$34,",",'Code List'!$B$35,'Code List'!$D$35,",",'Code List'!$B$36,'Code List'!$D$36,",",'Code List'!$B$37,'Code List'!$D$37,",",'Code List'!$B$38,"""",H136,"""",",",'Code List'!$B$39,"""",I136,"""",",",'Code List'!$B$40,"""",J136,"""",",",'Code List'!$B$41,"""",K136,"""",",",'Code List'!$B$42,"""",L136,"""",",",'Code List'!$B$43,"""",M136,"""",",",'Code List'!$B$44,"""",N136,"""",",",'Code List'!$B$45,"""",O136,"""",",",'Code List'!$B$46,"""",P136,"""",",",'Code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List'!$B$59,"""",T136,"""","}"),"")</f>
        <v/>
      </c>
    </row>
    <row r="137" spans="1:25" x14ac:dyDescent="0.25">
      <c r="A137" t="str">
        <f>IF(AND($A132="YES",E132=$D$1,F137&gt;0),"YES","NO")</f>
        <v>NO</v>
      </c>
      <c r="C137" t="s">
        <v>5</v>
      </c>
      <c r="D137" s="12" t="str">
        <f t="shared" si="112"/>
        <v>3C</v>
      </c>
      <c r="E137" t="s">
        <v>191</v>
      </c>
      <c r="F137">
        <f>'Expanded Base Data'!I130</f>
        <v>0</v>
      </c>
      <c r="G137" s="171">
        <f>F132</f>
        <v>0</v>
      </c>
      <c r="H137">
        <f>ROUND(B132+'Slide Measurements'!$D$17,$O$1)</f>
        <v>201.11</v>
      </c>
      <c r="I137">
        <f>ROUND(H137+(F137*'Slide Measurements'!$D$21),$O$1)</f>
        <v>201.11</v>
      </c>
      <c r="J137">
        <f>K136</f>
        <v>84.569999999999979</v>
      </c>
      <c r="K137">
        <f>J137+($I$1*'Slide Measurements'!$E$23-'Slide Measurements'!$E$23)</f>
        <v>86.419999999999973</v>
      </c>
      <c r="L137" s="5" t="str">
        <f>'Expanded Base Data'!$L130</f>
        <v/>
      </c>
      <c r="M137" s="5" t="str">
        <f>'Expanded Base Data'!$K130</f>
        <v/>
      </c>
      <c r="N137">
        <f t="shared" si="113"/>
        <v>0</v>
      </c>
      <c r="O137">
        <f t="shared" si="114"/>
        <v>1.85</v>
      </c>
      <c r="P137" s="5" t="e">
        <f t="shared" si="115"/>
        <v>#VALUE!</v>
      </c>
      <c r="Q137">
        <f>'Code List'!$C$63</f>
        <v>3</v>
      </c>
      <c r="R137">
        <f>F138+'Code List'!$G$63</f>
        <v>2</v>
      </c>
      <c r="S137" t="e">
        <f t="shared" si="116"/>
        <v>#VALUE!</v>
      </c>
      <c r="T137" t="e">
        <f t="shared" si="118"/>
        <v>#VALUE!</v>
      </c>
      <c r="U137" t="str">
        <f>IF(A137="YES",CONCATENATE(G137,"_",'Program Page'!$C$4,'Program Page'!$C$5,"_",D137,"_",E137),"")</f>
        <v/>
      </c>
      <c r="V137" t="str">
        <f t="shared" si="117"/>
        <v/>
      </c>
      <c r="W137" t="str">
        <f>IF(A137="YES",CONCATENATE("{",'Code List'!$B$4,'Code List'!$D$4,",",'Code List'!$B$5,'Code List'!$D$5,",",'Code List'!$B$6,"""",U137,"""",",",'Code List'!$B$7,'Code List'!$D$7,",",'Code List'!$B$8,'Code List'!$D$8,",",'Code List'!$B$9,'Code List'!$D$9,",",'Code List'!$B$10,'Code List'!$D$10,",",'Code List'!$B$11,"""",V137,"""",",",'Code List'!$B$12,"""",H137,"""",",",'Code List'!$B$13,"""",I137,"""",",",'Code List'!$B$14,"""",J137,"""",",",'Code List'!$B$15,"""",K137,"""",",",'Code List'!$B$16,"""",L137,"""",",",'Code List'!$B$17,"""",M137,"""",",",'Code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37" s="167" t="str">
        <f>IF(A137="YES",CONCATENATE("{",'Code List'!$B$31,"""",U137,"""",",",'Code List'!$B$32,'Code List'!$D$32,",",'Code List'!$B$33,'Code List'!$D$33,",",'Code List'!$B$34,'Code List'!$D$34,",",'Code List'!$B$35,'Code List'!$D$35,",",'Code List'!$B$36,'Code List'!$D$36,",",'Code List'!$B$37,'Code List'!$D$37,",",'Code List'!$B$38,"""",H137,"""",",",'Code List'!$B$39,"""",I137,"""",",",'Code List'!$B$40,"""",J137,"""",",",'Code List'!$B$41,"""",K137,"""",",",'Code List'!$B$42,"""",L137,"""",",",'Code List'!$B$43,"""",M137,"""",",",'Code List'!$B$44,"""",N137,"""",",",'Code List'!$B$45,"""",O137,"""",",",'Code List'!$B$46,"""",P137,"""",",",'Code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List'!$B$59,"""",T137,"""","}"),"")</f>
        <v/>
      </c>
    </row>
    <row r="138" spans="1:25" x14ac:dyDescent="0.25">
      <c r="A138" t="str">
        <f>IF(AND($A132="YES",E132=$D$1,F138&gt;0),"YES","NO")</f>
        <v>NO</v>
      </c>
      <c r="C138" t="s">
        <v>5</v>
      </c>
      <c r="D138" s="12" t="str">
        <f t="shared" si="112"/>
        <v>3C</v>
      </c>
      <c r="E138" t="s">
        <v>196</v>
      </c>
      <c r="F138">
        <f>'Expanded Base Data'!J130</f>
        <v>0</v>
      </c>
      <c r="G138" s="171">
        <f>F132</f>
        <v>0</v>
      </c>
      <c r="H138">
        <f>ROUND(B132+'Slide Measurements'!$D$17,$O$1)</f>
        <v>201.11</v>
      </c>
      <c r="I138">
        <f>ROUND(H138+(F138*'Slide Measurements'!$D$21),$O$1)</f>
        <v>201.11</v>
      </c>
      <c r="J138">
        <f>K137</f>
        <v>86.419999999999973</v>
      </c>
      <c r="K138">
        <f>J138+($I$1*'Slide Measurements'!$E$23-'Slide Measurements'!$E$23)</f>
        <v>88.269999999999968</v>
      </c>
      <c r="L138" s="5" t="str">
        <f>'Expanded Base Data'!$L130</f>
        <v/>
      </c>
      <c r="M138" s="5" t="str">
        <f>'Expanded Base Data'!$K130</f>
        <v/>
      </c>
      <c r="N138">
        <f t="shared" si="113"/>
        <v>0</v>
      </c>
      <c r="O138">
        <f t="shared" si="114"/>
        <v>1.85</v>
      </c>
      <c r="P138" s="5" t="e">
        <f t="shared" si="115"/>
        <v>#VALUE!</v>
      </c>
      <c r="Q138">
        <f>'Code List'!$C$63</f>
        <v>3</v>
      </c>
      <c r="R138">
        <f>F139+'Code List'!$G$63</f>
        <v>2</v>
      </c>
      <c r="S138" t="e">
        <f t="shared" si="116"/>
        <v>#VALUE!</v>
      </c>
      <c r="T138" t="e">
        <f t="shared" si="118"/>
        <v>#VALUE!</v>
      </c>
      <c r="U138" t="str">
        <f>IF(A138="YES",CONCATENATE(G138,"_",'Program Page'!$C$4,'Program Page'!$C$5,"_",D138,"_",E138),"")</f>
        <v/>
      </c>
      <c r="V138" t="str">
        <f t="shared" si="117"/>
        <v/>
      </c>
      <c r="W138" t="str">
        <f>IF(A138="YES",CONCATENATE("{",'Code List'!$B$4,'Code List'!$D$4,",",'Code List'!$B$5,'Code List'!$D$5,",",'Code List'!$B$6,"""",U138,"""",",",'Code List'!$B$7,'Code List'!$D$7,",",'Code List'!$B$8,'Code List'!$D$8,",",'Code List'!$B$9,'Code List'!$D$9,",",'Code List'!$B$10,'Code List'!$D$10,",",'Code List'!$B$11,"""",V138,"""",",",'Code List'!$B$12,"""",H138,"""",",",'Code List'!$B$13,"""",I138,"""",",",'Code List'!$B$14,"""",J138,"""",",",'Code List'!$B$15,"""",K138,"""",",",'Code List'!$B$16,"""",L138,"""",",",'Code List'!$B$17,"""",M138,"""",",",'Code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38" s="167" t="str">
        <f>IF(A138="YES",CONCATENATE("{",'Code List'!$B$31,"""",U138,"""",",",'Code List'!$B$32,'Code List'!$D$32,",",'Code List'!$B$33,'Code List'!$D$33,",",'Code List'!$B$34,'Code List'!$D$34,",",'Code List'!$B$35,'Code List'!$D$35,",",'Code List'!$B$36,'Code List'!$D$36,",",'Code List'!$B$37,'Code List'!$D$37,",",'Code List'!$B$38,"""",H138,"""",",",'Code List'!$B$39,"""",I138,"""",",",'Code List'!$B$40,"""",J138,"""",",",'Code List'!$B$41,"""",K138,"""",",",'Code List'!$B$42,"""",L138,"""",",",'Code List'!$B$43,"""",M138,"""",",",'Code List'!$B$44,"""",N138,"""",",",'Code List'!$B$45,"""",O138,"""",",",'Code List'!$B$46,"""",P138,"""",",",'Code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List'!$B$59,"""",T138,"""","}"),"")</f>
        <v/>
      </c>
    </row>
    <row r="139" spans="1:25" x14ac:dyDescent="0.25">
      <c r="A139" s="162" t="str">
        <f>IF(AND($A132="YES",E132=$E$1),"YES","NO")</f>
        <v>NO</v>
      </c>
      <c r="C139" t="s">
        <v>259</v>
      </c>
      <c r="D139" s="12" t="str">
        <f>D138</f>
        <v>3C</v>
      </c>
      <c r="E139" t="s">
        <v>259</v>
      </c>
      <c r="G139" s="171">
        <f>F132</f>
        <v>0</v>
      </c>
      <c r="H139">
        <f>ROUND(B132,$O$1)</f>
        <v>175.71</v>
      </c>
      <c r="I139">
        <f>ROUND(B132+'Slide Measurements'!$D$1,$O$1)</f>
        <v>252.16</v>
      </c>
      <c r="J139">
        <f>C132</f>
        <v>74.72</v>
      </c>
      <c r="K139">
        <f>C132+'Slide Measurements'!$D$2</f>
        <v>102.12</v>
      </c>
      <c r="L139" s="5" t="str">
        <f>'Expanded Base Data'!$L130</f>
        <v/>
      </c>
      <c r="M139" s="5" t="str">
        <f>'Expanded Base Data'!$K130</f>
        <v/>
      </c>
      <c r="N139">
        <f t="shared" si="113"/>
        <v>76.45</v>
      </c>
      <c r="O139">
        <f t="shared" si="114"/>
        <v>27.4</v>
      </c>
      <c r="P139" s="5" t="e">
        <f>ROUND((L139-M139),$O$1)</f>
        <v>#VALUE!</v>
      </c>
      <c r="Q139">
        <f>'Code List'!$C$70</f>
        <v>11</v>
      </c>
      <c r="R139">
        <f>'Code List'!$D$70</f>
        <v>19</v>
      </c>
      <c r="S139" t="e">
        <f>IF(P139=0,"1",ROUND((P139/$K$1)+$M$1,0))</f>
        <v>#VALUE!</v>
      </c>
      <c r="T139" t="e">
        <f>Q139*R139*S139</f>
        <v>#VALUE!</v>
      </c>
      <c r="U139" t="str">
        <f>IF(A139="YES",CONCATENATE(G139,"_",'Program Page'!$C$4,'Program Page'!$C$5,"_",D139,"_",E139),"")</f>
        <v/>
      </c>
      <c r="V139" t="str">
        <f>IF(U139="","",CONCATENATE(U139,"_"))</f>
        <v/>
      </c>
      <c r="W139" t="str">
        <f>IF(A139="YES",CONCATENATE("{",'Code List'!$B$4,'Code List'!$D$4,",",'Code List'!$B$5,'Code List'!$D$5,",",'Code List'!$B$6,"""",U139,"""",",",'Code List'!$B$7,'Code List'!$D$7,",",'Code List'!$B$8,'Code List'!$D$8,",",'Code List'!$B$9,'Code List'!$D$9,",",'Code List'!$B$10,'Code List'!$D$10,",",'Code List'!$B$11,"""",V139,"""",",",'Code List'!$B$12,"""",H139,"""",",",'Code List'!$B$13,"""",I139,"""",",",'Code List'!$B$14,"""",J139,"""",",",'Code List'!$B$15,"""",K139,"""",",",'Code List'!$B$16,"""",L139,"""",",",'Code List'!$B$17,"""",M139,"""",",",'Code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139" s="167" t="str">
        <f>IF(A139="YES",CONCATENATE("{",'Code List'!$B$31,"""",U139,"""",",",'Code List'!$B$32,'Code List'!$D$32,",",'Code List'!$B$33,'Code List'!$D$33,",",'Code List'!$B$34,'Code List'!$D$34,",",'Code List'!$B$35,'Code List'!$D$35,",",'Code List'!$B$36,'Code List'!$D$36,",",'Code List'!$B$37,'Code List'!$D$37,",",'Code List'!$B$38,"""",H139,"""",",",'Code List'!$B$39,"""",I139,"""",",",'Code List'!$B$40,"""",J139,"""",",",'Code List'!$B$41,"""",K139,"""",",",'Code List'!$B$42,"""",L139,"""",",",'Code List'!$B$43,"""",M139,"""",",",'Code List'!$B$44,"""",N139,"""",",",'Code List'!$B$45,"""",O139,"""",",",'Code List'!$B$46,"""",P139,"""",",",'Code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List'!$B$59,"""",T139,"""","}"),"")</f>
        <v/>
      </c>
    </row>
    <row r="140" spans="1:25" ht="18.75" x14ac:dyDescent="0.3">
      <c r="A140" s="35" t="str">
        <f>IF(OR(E140=$C$1,E140=$D$1,E140=$E$1),"YES","NO")</f>
        <v>NO</v>
      </c>
      <c r="B140" s="35">
        <f>'Expanded Base Data'!D138</f>
        <v>262.71000000000004</v>
      </c>
      <c r="C140" s="35">
        <f>'Expanded Base Data'!E138</f>
        <v>74.72</v>
      </c>
      <c r="D140" s="36" t="str">
        <f>'Expanded Base Data'!B138</f>
        <v>3D</v>
      </c>
      <c r="E140" s="35">
        <f>'Expanded Base Data'!C138</f>
        <v>0</v>
      </c>
      <c r="F140" s="35">
        <f>'Expanded Base Data'!M138</f>
        <v>0</v>
      </c>
      <c r="G140" s="170">
        <f>F140</f>
        <v>0</v>
      </c>
      <c r="Y140" s="167" t="str">
        <f>""</f>
        <v/>
      </c>
    </row>
    <row r="141" spans="1:25" x14ac:dyDescent="0.25">
      <c r="A141" t="str">
        <f>IF(AND($A140="YES",E140=$C$1),"YES","NO")</f>
        <v>NO</v>
      </c>
      <c r="C141" t="s">
        <v>6</v>
      </c>
      <c r="D141" s="12" t="str">
        <f>D140</f>
        <v>3D</v>
      </c>
      <c r="E141" t="s">
        <v>6</v>
      </c>
      <c r="F141" t="s">
        <v>198</v>
      </c>
      <c r="G141" s="171">
        <f>F140</f>
        <v>0</v>
      </c>
      <c r="H141">
        <f>IF('Expanded Base Data'!N138="",ROUND(B140+'Slide Measurements'!$D$11,$O$1),B140+'Expanded Base Data'!N138)</f>
        <v>295.70999999999998</v>
      </c>
      <c r="I141">
        <f>IF('Expanded Base Data'!O138="",ROUND(B140+'Slide Measurements'!$D$12,$O$1),B140+'Expanded Base Data'!O138)</f>
        <v>304.31</v>
      </c>
      <c r="J141">
        <f>IF('Expanded Base Data'!P138="",C140+'Slide Measurements'!$E$13,C140+'Expanded Base Data'!P138)</f>
        <v>83.42</v>
      </c>
      <c r="K141">
        <f>IF('Expanded Base Data'!Q138="",C140+'Slide Measurements'!$E$14,C140+'Expanded Base Data'!Q138)</f>
        <v>92.02</v>
      </c>
      <c r="L141" s="5" t="str">
        <f>'Expanded Base Data'!$L138</f>
        <v/>
      </c>
      <c r="M141" s="5" t="str">
        <f>'Expanded Base Data'!$K138</f>
        <v/>
      </c>
      <c r="N141">
        <f>ROUND((I141-H141),$O$1)</f>
        <v>8.6</v>
      </c>
      <c r="O141">
        <f>ROUND((K141-J141),$O$1)</f>
        <v>8.6</v>
      </c>
      <c r="P141" s="5" t="e">
        <f>ROUND((L141-M141),$O$1)</f>
        <v>#VALUE!</v>
      </c>
      <c r="Q141">
        <f>'Code List'!$C$62</f>
        <v>5</v>
      </c>
      <c r="R141">
        <f>F142+'Code List'!$G$63</f>
        <v>2</v>
      </c>
      <c r="S141" t="e">
        <f>IF(P141=0,"1",ROUND((P141/$K$1)+$M$1,0))</f>
        <v>#VALUE!</v>
      </c>
      <c r="T141" t="e">
        <f>Q141*R141*S141</f>
        <v>#VALUE!</v>
      </c>
      <c r="U141" t="str">
        <f>IF(A141="YES",CONCATENATE(G141,"_",'Program Page'!$C$4,'Program Page'!$C$5,"_",D141,"_",E141),"")</f>
        <v/>
      </c>
      <c r="V141" t="str">
        <f>IF(U141="","",CONCATENATE(U141,"_"))</f>
        <v/>
      </c>
      <c r="W141" t="str">
        <f>IF(A141="YES",CONCATENATE("{",'Code List'!$B$4,'Code List'!$D$4,",",'Code List'!$B$5,'Code List'!$D$5,",",'Code List'!$B$6,"""",U141,"""",",",'Code List'!$B$7,'Code List'!$D$7,",",'Code List'!$B$8,'Code List'!$D$8,",",'Code List'!$B$9,'Code List'!$D$9,",",'Code List'!$B$10,'Code List'!$D$10,",",'Code List'!$B$11,"""",V141,"""",",",'Code List'!$B$12,"""",H141,"""",",",'Code List'!$B$13,"""",I141,"""",",",'Code List'!$B$14,"""",J141,"""",",",'Code List'!$B$15,"""",K141,"""",",",'Code List'!$B$16,"""",L141,"""",",",'Code List'!$B$17,"""",M141,"""",",",'Code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41" s="167" t="str">
        <f>IF(A141="YES",CONCATENATE("{",'Code List'!$B$31,"""",U141,"""",",",'Code List'!$B$32,'Code List'!$D$32,",",'Code List'!$B$33,'Code List'!$D$33,",",'Code List'!$B$34,'Code List'!$D$34,",",'Code List'!$B$35,'Code List'!$D$35,",",'Code List'!$B$36,'Code List'!$D$36,",",'Code List'!$B$37,'Code List'!$D$37,",",'Code List'!$B$38,"""",H141,"""",",",'Code List'!$B$39,"""",I141,"""",",",'Code List'!$B$40,"""",J141,"""",",",'Code List'!$B$41,"""",K141,"""",",",'Code List'!$B$42,"""",L141,"""",",",'Code List'!$B$43,"""",M141,"""",",",'Code List'!$B$44,"""",N141,"""",",",'Code List'!$B$45,"""",O141,"""",",",'Code List'!$B$46,"""",P141,"""",",",'Code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List'!$B$59,"""",T141,"""","}"),"")</f>
        <v/>
      </c>
    </row>
    <row r="142" spans="1:25" x14ac:dyDescent="0.25">
      <c r="A142" t="str">
        <f>IF(AND($A140="YES",E140=$D$1,F142&gt;0),"YES","NO")</f>
        <v>NO</v>
      </c>
      <c r="C142" t="s">
        <v>5</v>
      </c>
      <c r="D142" s="12" t="str">
        <f t="shared" ref="D142:D146" si="119">D141</f>
        <v>3D</v>
      </c>
      <c r="E142" t="s">
        <v>188</v>
      </c>
      <c r="F142">
        <f>'Expanded Base Data'!F138</f>
        <v>0</v>
      </c>
      <c r="G142" s="171">
        <f>F140</f>
        <v>0</v>
      </c>
      <c r="H142">
        <f>ROUND(B140+'Slide Measurements'!$D$17,$O$1)</f>
        <v>288.11</v>
      </c>
      <c r="I142">
        <f>ROUND(H142+(F142*'Slide Measurements'!$D$21),$O$1)</f>
        <v>288.11</v>
      </c>
      <c r="J142">
        <f>C140+'Slide Measurements'!$E$17</f>
        <v>79.02</v>
      </c>
      <c r="K142">
        <f>J142+($I$1*'Slide Measurements'!$E$23-'Slide Measurements'!$E$23)</f>
        <v>80.86999999999999</v>
      </c>
      <c r="L142" s="5" t="str">
        <f>'Expanded Base Data'!$L138</f>
        <v/>
      </c>
      <c r="M142" s="5" t="str">
        <f>'Expanded Base Data'!$K138</f>
        <v/>
      </c>
      <c r="N142">
        <f t="shared" ref="N142:N147" si="120">ROUND((I142-H142),$O$1)</f>
        <v>0</v>
      </c>
      <c r="O142">
        <f t="shared" ref="O142:O147" si="121">ROUND((K142-J142),$O$1)</f>
        <v>1.85</v>
      </c>
      <c r="P142" s="5" t="e">
        <f t="shared" ref="P142:P146" si="122">ROUND((L142-M142),$O$1)</f>
        <v>#VALUE!</v>
      </c>
      <c r="Q142">
        <f>'Code List'!$C$63</f>
        <v>3</v>
      </c>
      <c r="R142">
        <f>F143+'Code List'!$G$63</f>
        <v>2</v>
      </c>
      <c r="S142" t="e">
        <f t="shared" ref="S142:S146" si="123">IF(P142=0,"1",ROUND((P142/$K$1)+$M$1,0))</f>
        <v>#VALUE!</v>
      </c>
      <c r="T142" t="e">
        <f>Q142*R142*S142</f>
        <v>#VALUE!</v>
      </c>
      <c r="U142" t="str">
        <f>IF(A142="YES",CONCATENATE(G142,"_",'Program Page'!$C$4,'Program Page'!$C$5,"_",D142,"_",E142),"")</f>
        <v/>
      </c>
      <c r="V142" t="str">
        <f t="shared" ref="V142:V146" si="124">IF(U142="","",CONCATENATE(U142,"_"))</f>
        <v/>
      </c>
      <c r="W142" t="str">
        <f>IF(A142="YES",CONCATENATE("{",'Code List'!$B$4,'Code List'!$D$4,",",'Code List'!$B$5,'Code List'!$D$5,",",'Code List'!$B$6,"""",U142,"""",",",'Code List'!$B$7,'Code List'!$D$7,",",'Code List'!$B$8,'Code List'!$D$8,",",'Code List'!$B$9,'Code List'!$D$9,",",'Code List'!$B$10,'Code List'!$D$10,",",'Code List'!$B$11,"""",V142,"""",",",'Code List'!$B$12,"""",H142,"""",",",'Code List'!$B$13,"""",I142,"""",",",'Code List'!$B$14,"""",J142,"""",",",'Code List'!$B$15,"""",K142,"""",",",'Code List'!$B$16,"""",L142,"""",",",'Code List'!$B$17,"""",M142,"""",",",'Code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42" s="167" t="str">
        <f>IF(A142="YES",CONCATENATE("{",'Code List'!$B$31,"""",U142,"""",",",'Code List'!$B$32,'Code List'!$D$32,",",'Code List'!$B$33,'Code List'!$D$33,",",'Code List'!$B$34,'Code List'!$D$34,",",'Code List'!$B$35,'Code List'!$D$35,",",'Code List'!$B$36,'Code List'!$D$36,",",'Code List'!$B$37,'Code List'!$D$37,",",'Code List'!$B$38,"""",H142,"""",",",'Code List'!$B$39,"""",I142,"""",",",'Code List'!$B$40,"""",J142,"""",",",'Code List'!$B$41,"""",K142,"""",",",'Code List'!$B$42,"""",L142,"""",",",'Code List'!$B$43,"""",M142,"""",",",'Code List'!$B$44,"""",N142,"""",",",'Code List'!$B$45,"""",O142,"""",",",'Code List'!$B$46,"""",P142,"""",",",'Code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List'!$B$59,"""",T142,"""","}"),"")</f>
        <v/>
      </c>
    </row>
    <row r="143" spans="1:25" x14ac:dyDescent="0.25">
      <c r="A143" t="str">
        <f>IF(AND($A140="YES",E140=$D$1,F143&gt;0),"YES","NO")</f>
        <v>NO</v>
      </c>
      <c r="C143" t="s">
        <v>5</v>
      </c>
      <c r="D143" s="12" t="str">
        <f t="shared" si="119"/>
        <v>3D</v>
      </c>
      <c r="E143" t="s">
        <v>189</v>
      </c>
      <c r="F143">
        <f>'Expanded Base Data'!G138</f>
        <v>0</v>
      </c>
      <c r="G143" s="171">
        <f>F140</f>
        <v>0</v>
      </c>
      <c r="H143">
        <f>ROUND(B140+'Slide Measurements'!$D$17,$O$1)</f>
        <v>288.11</v>
      </c>
      <c r="I143">
        <f>ROUND(H143+(F143*'Slide Measurements'!$D$21),$O$1)</f>
        <v>288.11</v>
      </c>
      <c r="J143">
        <f>K142</f>
        <v>80.86999999999999</v>
      </c>
      <c r="K143">
        <f>J143+($I$1*'Slide Measurements'!$E$23-'Slide Measurements'!$E$23)</f>
        <v>82.719999999999985</v>
      </c>
      <c r="L143" s="5" t="str">
        <f>'Expanded Base Data'!$L138</f>
        <v/>
      </c>
      <c r="M143" s="5" t="str">
        <f>'Expanded Base Data'!$K138</f>
        <v/>
      </c>
      <c r="N143">
        <f t="shared" si="120"/>
        <v>0</v>
      </c>
      <c r="O143">
        <f t="shared" si="121"/>
        <v>1.85</v>
      </c>
      <c r="P143" s="5" t="e">
        <f t="shared" si="122"/>
        <v>#VALUE!</v>
      </c>
      <c r="Q143">
        <f>'Code List'!$C$63</f>
        <v>3</v>
      </c>
      <c r="R143">
        <f>F144+'Code List'!$G$63</f>
        <v>2</v>
      </c>
      <c r="S143" t="e">
        <f t="shared" si="123"/>
        <v>#VALUE!</v>
      </c>
      <c r="T143" t="e">
        <f t="shared" ref="T143:T146" si="125">Q143*R143*S143</f>
        <v>#VALUE!</v>
      </c>
      <c r="U143" t="str">
        <f>IF(A143="YES",CONCATENATE(G143,"_",'Program Page'!$C$4,'Program Page'!$C$5,"_",D143,"_",E143),"")</f>
        <v/>
      </c>
      <c r="V143" t="str">
        <f t="shared" si="124"/>
        <v/>
      </c>
      <c r="W143" t="str">
        <f>IF(A143="YES",CONCATENATE("{",'Code List'!$B$4,'Code List'!$D$4,",",'Code List'!$B$5,'Code List'!$D$5,",",'Code List'!$B$6,"""",U143,"""",",",'Code List'!$B$7,'Code List'!$D$7,",",'Code List'!$B$8,'Code List'!$D$8,",",'Code List'!$B$9,'Code List'!$D$9,",",'Code List'!$B$10,'Code List'!$D$10,",",'Code List'!$B$11,"""",V143,"""",",",'Code List'!$B$12,"""",H143,"""",",",'Code List'!$B$13,"""",I143,"""",",",'Code List'!$B$14,"""",J143,"""",",",'Code List'!$B$15,"""",K143,"""",",",'Code List'!$B$16,"""",L143,"""",",",'Code List'!$B$17,"""",M143,"""",",",'Code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43" s="167" t="str">
        <f>IF(A143="YES",CONCATENATE("{",'Code List'!$B$31,"""",U143,"""",",",'Code List'!$B$32,'Code List'!$D$32,",",'Code List'!$B$33,'Code List'!$D$33,",",'Code List'!$B$34,'Code List'!$D$34,",",'Code List'!$B$35,'Code List'!$D$35,",",'Code List'!$B$36,'Code List'!$D$36,",",'Code List'!$B$37,'Code List'!$D$37,",",'Code List'!$B$38,"""",H143,"""",",",'Code List'!$B$39,"""",I143,"""",",",'Code List'!$B$40,"""",J143,"""",",",'Code List'!$B$41,"""",K143,"""",",",'Code List'!$B$42,"""",L143,"""",",",'Code List'!$B$43,"""",M143,"""",",",'Code List'!$B$44,"""",N143,"""",",",'Code List'!$B$45,"""",O143,"""",",",'Code List'!$B$46,"""",P143,"""",",",'Code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List'!$B$59,"""",T143,"""","}"),"")</f>
        <v/>
      </c>
    </row>
    <row r="144" spans="1:25" x14ac:dyDescent="0.25">
      <c r="A144" t="str">
        <f>IF(AND($A140="YES",E140=$D$1,F144&gt;0),"YES","NO")</f>
        <v>NO</v>
      </c>
      <c r="C144" t="s">
        <v>5</v>
      </c>
      <c r="D144" s="12" t="str">
        <f t="shared" si="119"/>
        <v>3D</v>
      </c>
      <c r="E144" t="s">
        <v>190</v>
      </c>
      <c r="F144">
        <f>'Expanded Base Data'!H138</f>
        <v>0</v>
      </c>
      <c r="G144" s="171">
        <f>F140</f>
        <v>0</v>
      </c>
      <c r="H144">
        <f>ROUND(B140+'Slide Measurements'!$D$17,$O$1)</f>
        <v>288.11</v>
      </c>
      <c r="I144">
        <f>ROUND(H144+(F144*'Slide Measurements'!$D$21),$O$1)</f>
        <v>288.11</v>
      </c>
      <c r="J144">
        <f>K143</f>
        <v>82.719999999999985</v>
      </c>
      <c r="K144">
        <f>J144+($I$1*'Slide Measurements'!$E$23-'Slide Measurements'!$E$23)</f>
        <v>84.569999999999979</v>
      </c>
      <c r="L144" s="5" t="str">
        <f>'Expanded Base Data'!$L138</f>
        <v/>
      </c>
      <c r="M144" s="5" t="str">
        <f>'Expanded Base Data'!$K138</f>
        <v/>
      </c>
      <c r="N144">
        <f t="shared" si="120"/>
        <v>0</v>
      </c>
      <c r="O144">
        <f t="shared" si="121"/>
        <v>1.85</v>
      </c>
      <c r="P144" s="5" t="e">
        <f t="shared" si="122"/>
        <v>#VALUE!</v>
      </c>
      <c r="Q144">
        <f>'Code List'!$C$63</f>
        <v>3</v>
      </c>
      <c r="R144">
        <f>F145+'Code List'!$G$63</f>
        <v>2</v>
      </c>
      <c r="S144" t="e">
        <f t="shared" si="123"/>
        <v>#VALUE!</v>
      </c>
      <c r="T144" t="e">
        <f t="shared" si="125"/>
        <v>#VALUE!</v>
      </c>
      <c r="U144" t="str">
        <f>IF(A144="YES",CONCATENATE(G144,"_",'Program Page'!$C$4,'Program Page'!$C$5,"_",D144,"_",E144),"")</f>
        <v/>
      </c>
      <c r="V144" t="str">
        <f t="shared" si="124"/>
        <v/>
      </c>
      <c r="W144" t="str">
        <f>IF(A144="YES",CONCATENATE("{",'Code List'!$B$4,'Code List'!$D$4,",",'Code List'!$B$5,'Code List'!$D$5,",",'Code List'!$B$6,"""",U144,"""",",",'Code List'!$B$7,'Code List'!$D$7,",",'Code List'!$B$8,'Code List'!$D$8,",",'Code List'!$B$9,'Code List'!$D$9,",",'Code List'!$B$10,'Code List'!$D$10,",",'Code List'!$B$11,"""",V144,"""",",",'Code List'!$B$12,"""",H144,"""",",",'Code List'!$B$13,"""",I144,"""",",",'Code List'!$B$14,"""",J144,"""",",",'Code List'!$B$15,"""",K144,"""",",",'Code List'!$B$16,"""",L144,"""",",",'Code List'!$B$17,"""",M144,"""",",",'Code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44" s="167" t="str">
        <f>IF(A144="YES",CONCATENATE("{",'Code List'!$B$31,"""",U144,"""",",",'Code List'!$B$32,'Code List'!$D$32,",",'Code List'!$B$33,'Code List'!$D$33,",",'Code List'!$B$34,'Code List'!$D$34,",",'Code List'!$B$35,'Code List'!$D$35,",",'Code List'!$B$36,'Code List'!$D$36,",",'Code List'!$B$37,'Code List'!$D$37,",",'Code List'!$B$38,"""",H144,"""",",",'Code List'!$B$39,"""",I144,"""",",",'Code List'!$B$40,"""",J144,"""",",",'Code List'!$B$41,"""",K144,"""",",",'Code List'!$B$42,"""",L144,"""",",",'Code List'!$B$43,"""",M144,"""",",",'Code List'!$B$44,"""",N144,"""",",",'Code List'!$B$45,"""",O144,"""",",",'Code List'!$B$46,"""",P144,"""",",",'Code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List'!$B$59,"""",T144,"""","}"),"")</f>
        <v/>
      </c>
    </row>
    <row r="145" spans="1:25" x14ac:dyDescent="0.25">
      <c r="A145" t="str">
        <f>IF(AND($A140="YES",E140=$D$1,F145&gt;0),"YES","NO")</f>
        <v>NO</v>
      </c>
      <c r="C145" t="s">
        <v>5</v>
      </c>
      <c r="D145" s="12" t="str">
        <f t="shared" si="119"/>
        <v>3D</v>
      </c>
      <c r="E145" t="s">
        <v>191</v>
      </c>
      <c r="F145">
        <f>'Expanded Base Data'!I138</f>
        <v>0</v>
      </c>
      <c r="G145" s="171">
        <f>F140</f>
        <v>0</v>
      </c>
      <c r="H145">
        <f>ROUND(B140+'Slide Measurements'!$D$17,$O$1)</f>
        <v>288.11</v>
      </c>
      <c r="I145">
        <f>ROUND(H145+(F145*'Slide Measurements'!$D$21),$O$1)</f>
        <v>288.11</v>
      </c>
      <c r="J145">
        <f>K144</f>
        <v>84.569999999999979</v>
      </c>
      <c r="K145">
        <f>J145+($I$1*'Slide Measurements'!$E$23-'Slide Measurements'!$E$23)</f>
        <v>86.419999999999973</v>
      </c>
      <c r="L145" s="5" t="str">
        <f>'Expanded Base Data'!$L138</f>
        <v/>
      </c>
      <c r="M145" s="5" t="str">
        <f>'Expanded Base Data'!$K138</f>
        <v/>
      </c>
      <c r="N145">
        <f t="shared" si="120"/>
        <v>0</v>
      </c>
      <c r="O145">
        <f t="shared" si="121"/>
        <v>1.85</v>
      </c>
      <c r="P145" s="5" t="e">
        <f t="shared" si="122"/>
        <v>#VALUE!</v>
      </c>
      <c r="Q145">
        <f>'Code List'!$C$63</f>
        <v>3</v>
      </c>
      <c r="R145">
        <f>F146+'Code List'!$G$63</f>
        <v>2</v>
      </c>
      <c r="S145" t="e">
        <f t="shared" si="123"/>
        <v>#VALUE!</v>
      </c>
      <c r="T145" t="e">
        <f t="shared" si="125"/>
        <v>#VALUE!</v>
      </c>
      <c r="U145" t="str">
        <f>IF(A145="YES",CONCATENATE(G145,"_",'Program Page'!$C$4,'Program Page'!$C$5,"_",D145,"_",E145),"")</f>
        <v/>
      </c>
      <c r="V145" t="str">
        <f t="shared" si="124"/>
        <v/>
      </c>
      <c r="W145" t="str">
        <f>IF(A145="YES",CONCATENATE("{",'Code List'!$B$4,'Code List'!$D$4,",",'Code List'!$B$5,'Code List'!$D$5,",",'Code List'!$B$6,"""",U145,"""",",",'Code List'!$B$7,'Code List'!$D$7,",",'Code List'!$B$8,'Code List'!$D$8,",",'Code List'!$B$9,'Code List'!$D$9,",",'Code List'!$B$10,'Code List'!$D$10,",",'Code List'!$B$11,"""",V145,"""",",",'Code List'!$B$12,"""",H145,"""",",",'Code List'!$B$13,"""",I145,"""",",",'Code List'!$B$14,"""",J145,"""",",",'Code List'!$B$15,"""",K145,"""",",",'Code List'!$B$16,"""",L145,"""",",",'Code List'!$B$17,"""",M145,"""",",",'Code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45" s="167" t="str">
        <f>IF(A145="YES",CONCATENATE("{",'Code List'!$B$31,"""",U145,"""",",",'Code List'!$B$32,'Code List'!$D$32,",",'Code List'!$B$33,'Code List'!$D$33,",",'Code List'!$B$34,'Code List'!$D$34,",",'Code List'!$B$35,'Code List'!$D$35,",",'Code List'!$B$36,'Code List'!$D$36,",",'Code List'!$B$37,'Code List'!$D$37,",",'Code List'!$B$38,"""",H145,"""",",",'Code List'!$B$39,"""",I145,"""",",",'Code List'!$B$40,"""",J145,"""",",",'Code List'!$B$41,"""",K145,"""",",",'Code List'!$B$42,"""",L145,"""",",",'Code List'!$B$43,"""",M145,"""",",",'Code List'!$B$44,"""",N145,"""",",",'Code List'!$B$45,"""",O145,"""",",",'Code List'!$B$46,"""",P145,"""",",",'Code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List'!$B$59,"""",T145,"""","}"),"")</f>
        <v/>
      </c>
    </row>
    <row r="146" spans="1:25" x14ac:dyDescent="0.25">
      <c r="A146" t="str">
        <f>IF(AND($A140="YES",E140=$D$1,F146&gt;0),"YES","NO")</f>
        <v>NO</v>
      </c>
      <c r="C146" t="s">
        <v>5</v>
      </c>
      <c r="D146" s="12" t="str">
        <f t="shared" si="119"/>
        <v>3D</v>
      </c>
      <c r="E146" t="s">
        <v>196</v>
      </c>
      <c r="F146">
        <f>'Expanded Base Data'!J138</f>
        <v>0</v>
      </c>
      <c r="G146" s="171">
        <f>F140</f>
        <v>0</v>
      </c>
      <c r="H146">
        <f>ROUND(B140+'Slide Measurements'!$D$17,$O$1)</f>
        <v>288.11</v>
      </c>
      <c r="I146">
        <f>ROUND(H146+(F146*'Slide Measurements'!$D$21),$O$1)</f>
        <v>288.11</v>
      </c>
      <c r="J146">
        <f>K145</f>
        <v>86.419999999999973</v>
      </c>
      <c r="K146">
        <f>J146+($I$1*'Slide Measurements'!$E$23-'Slide Measurements'!$E$23)</f>
        <v>88.269999999999968</v>
      </c>
      <c r="L146" s="5" t="str">
        <f>'Expanded Base Data'!$L138</f>
        <v/>
      </c>
      <c r="M146" s="5" t="str">
        <f>'Expanded Base Data'!$K138</f>
        <v/>
      </c>
      <c r="N146">
        <f t="shared" si="120"/>
        <v>0</v>
      </c>
      <c r="O146">
        <f t="shared" si="121"/>
        <v>1.85</v>
      </c>
      <c r="P146" s="5" t="e">
        <f t="shared" si="122"/>
        <v>#VALUE!</v>
      </c>
      <c r="Q146">
        <f>'Code List'!$C$63</f>
        <v>3</v>
      </c>
      <c r="R146">
        <f>F147+'Code List'!$G$63</f>
        <v>2</v>
      </c>
      <c r="S146" t="e">
        <f t="shared" si="123"/>
        <v>#VALUE!</v>
      </c>
      <c r="T146" t="e">
        <f t="shared" si="125"/>
        <v>#VALUE!</v>
      </c>
      <c r="U146" t="str">
        <f>IF(A146="YES",CONCATENATE(G146,"_",'Program Page'!$C$4,'Program Page'!$C$5,"_",D146,"_",E146),"")</f>
        <v/>
      </c>
      <c r="V146" t="str">
        <f t="shared" si="124"/>
        <v/>
      </c>
      <c r="W146" t="str">
        <f>IF(A146="YES",CONCATENATE("{",'Code List'!$B$4,'Code List'!$D$4,",",'Code List'!$B$5,'Code List'!$D$5,",",'Code List'!$B$6,"""",U146,"""",",",'Code List'!$B$7,'Code List'!$D$7,",",'Code List'!$B$8,'Code List'!$D$8,",",'Code List'!$B$9,'Code List'!$D$9,",",'Code List'!$B$10,'Code List'!$D$10,",",'Code List'!$B$11,"""",V146,"""",",",'Code List'!$B$12,"""",H146,"""",",",'Code List'!$B$13,"""",I146,"""",",",'Code List'!$B$14,"""",J146,"""",",",'Code List'!$B$15,"""",K146,"""",",",'Code List'!$B$16,"""",L146,"""",",",'Code List'!$B$17,"""",M146,"""",",",'Code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46" s="167" t="str">
        <f>IF(A146="YES",CONCATENATE("{",'Code List'!$B$31,"""",U146,"""",",",'Code List'!$B$32,'Code List'!$D$32,",",'Code List'!$B$33,'Code List'!$D$33,",",'Code List'!$B$34,'Code List'!$D$34,",",'Code List'!$B$35,'Code List'!$D$35,",",'Code List'!$B$36,'Code List'!$D$36,",",'Code List'!$B$37,'Code List'!$D$37,",",'Code List'!$B$38,"""",H146,"""",",",'Code List'!$B$39,"""",I146,"""",",",'Code List'!$B$40,"""",J146,"""",",",'Code List'!$B$41,"""",K146,"""",",",'Code List'!$B$42,"""",L146,"""",",",'Code List'!$B$43,"""",M146,"""",",",'Code List'!$B$44,"""",N146,"""",",",'Code List'!$B$45,"""",O146,"""",",",'Code List'!$B$46,"""",P146,"""",",",'Code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List'!$B$59,"""",T146,"""","}"),"")</f>
        <v/>
      </c>
    </row>
    <row r="147" spans="1:25" x14ac:dyDescent="0.25">
      <c r="A147" s="162" t="str">
        <f>IF(AND($A140="YES",E140=$E$1),"YES","NO")</f>
        <v>NO</v>
      </c>
      <c r="C147" t="s">
        <v>259</v>
      </c>
      <c r="D147" s="12" t="str">
        <f>D146</f>
        <v>3D</v>
      </c>
      <c r="E147" t="s">
        <v>259</v>
      </c>
      <c r="G147" s="171">
        <f>F140</f>
        <v>0</v>
      </c>
      <c r="H147">
        <f>ROUND(B140,$O$1)</f>
        <v>262.70999999999998</v>
      </c>
      <c r="I147">
        <f>ROUND(B140+'Slide Measurements'!$D$1,$O$1)</f>
        <v>339.16</v>
      </c>
      <c r="J147">
        <f>C140</f>
        <v>74.72</v>
      </c>
      <c r="K147">
        <f>C140+'Slide Measurements'!$D$2</f>
        <v>102.12</v>
      </c>
      <c r="L147" s="5" t="str">
        <f>'Expanded Base Data'!$L138</f>
        <v/>
      </c>
      <c r="M147" s="5" t="str">
        <f>'Expanded Base Data'!$K138</f>
        <v/>
      </c>
      <c r="N147">
        <f t="shared" si="120"/>
        <v>76.45</v>
      </c>
      <c r="O147">
        <f t="shared" si="121"/>
        <v>27.4</v>
      </c>
      <c r="P147" s="5" t="e">
        <f>ROUND((L147-M147),$O$1)</f>
        <v>#VALUE!</v>
      </c>
      <c r="Q147">
        <f>'Code List'!$C$70</f>
        <v>11</v>
      </c>
      <c r="R147">
        <f>'Code List'!$D$70</f>
        <v>19</v>
      </c>
      <c r="S147" t="e">
        <f>IF(P147=0,"1",ROUND((P147/$K$1)+$M$1,0))</f>
        <v>#VALUE!</v>
      </c>
      <c r="T147" t="e">
        <f>Q147*R147*S147</f>
        <v>#VALUE!</v>
      </c>
      <c r="U147" t="str">
        <f>IF(A147="YES",CONCATENATE(G147,"_",'Program Page'!$C$4,'Program Page'!$C$5,"_",D147,"_",E147),"")</f>
        <v/>
      </c>
      <c r="V147" t="str">
        <f>IF(U147="","",CONCATENATE(U147,"_"))</f>
        <v/>
      </c>
      <c r="W147" t="str">
        <f>IF(A147="YES",CONCATENATE("{",'Code List'!$B$4,'Code List'!$D$4,",",'Code List'!$B$5,'Code List'!$D$5,",",'Code List'!$B$6,"""",U147,"""",",",'Code List'!$B$7,'Code List'!$D$7,",",'Code List'!$B$8,'Code List'!$D$8,",",'Code List'!$B$9,'Code List'!$D$9,",",'Code List'!$B$10,'Code List'!$D$10,",",'Code List'!$B$11,"""",V147,"""",",",'Code List'!$B$12,"""",H147,"""",",",'Code List'!$B$13,"""",I147,"""",",",'Code List'!$B$14,"""",J147,"""",",",'Code List'!$B$15,"""",K147,"""",",",'Code List'!$B$16,"""",L147,"""",",",'Code List'!$B$17,"""",M147,"""",",",'Code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147" s="167" t="str">
        <f>IF(A147="YES",CONCATENATE("{",'Code List'!$B$31,"""",U147,"""",",",'Code List'!$B$32,'Code List'!$D$32,",",'Code List'!$B$33,'Code List'!$D$33,",",'Code List'!$B$34,'Code List'!$D$34,",",'Code List'!$B$35,'Code List'!$D$35,",",'Code List'!$B$36,'Code List'!$D$36,",",'Code List'!$B$37,'Code List'!$D$37,",",'Code List'!$B$38,"""",H147,"""",",",'Code List'!$B$39,"""",I147,"""",",",'Code List'!$B$40,"""",J147,"""",",",'Code List'!$B$41,"""",K147,"""",",",'Code List'!$B$42,"""",L147,"""",",",'Code List'!$B$43,"""",M147,"""",",",'Code List'!$B$44,"""",N147,"""",",",'Code List'!$B$45,"""",O147,"""",",",'Code List'!$B$46,"""",P147,"""",",",'Code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List'!$B$59,"""",T147,"""","}"),"")</f>
        <v/>
      </c>
    </row>
    <row r="148" spans="1:25" ht="18.75" x14ac:dyDescent="0.3">
      <c r="A148" s="35" t="str">
        <f>IF(OR(E148=$C$1,E148=$D$1,E148=$E$1),"YES","NO")</f>
        <v>NO</v>
      </c>
      <c r="B148" s="35">
        <f>'Expanded Base Data'!D146</f>
        <v>349.11</v>
      </c>
      <c r="C148" s="35">
        <f>'Expanded Base Data'!E146</f>
        <v>74.72</v>
      </c>
      <c r="D148" s="36" t="str">
        <f>'Expanded Base Data'!B146</f>
        <v>3E</v>
      </c>
      <c r="E148" s="35">
        <f>'Expanded Base Data'!C146</f>
        <v>0</v>
      </c>
      <c r="F148" s="35">
        <f>'Expanded Base Data'!M146</f>
        <v>0</v>
      </c>
      <c r="G148" s="170">
        <f>F148</f>
        <v>0</v>
      </c>
      <c r="Y148" s="167" t="str">
        <f>""</f>
        <v/>
      </c>
    </row>
    <row r="149" spans="1:25" x14ac:dyDescent="0.25">
      <c r="A149" t="str">
        <f>IF(AND($A148="YES",E148=$C$1),"YES","NO")</f>
        <v>NO</v>
      </c>
      <c r="C149" t="s">
        <v>6</v>
      </c>
      <c r="D149" s="12" t="str">
        <f>D148</f>
        <v>3E</v>
      </c>
      <c r="E149" t="s">
        <v>6</v>
      </c>
      <c r="F149" t="s">
        <v>198</v>
      </c>
      <c r="G149" s="171">
        <f>F148</f>
        <v>0</v>
      </c>
      <c r="H149">
        <f>IF('Expanded Base Data'!N146="",ROUND(B148+'Slide Measurements'!$D$11,$O$1),B148+'Expanded Base Data'!N146)</f>
        <v>382.11</v>
      </c>
      <c r="I149">
        <f>IF('Expanded Base Data'!O146="",ROUND(B148+'Slide Measurements'!$D$12,$O$1),B148+'Expanded Base Data'!O146)</f>
        <v>390.71</v>
      </c>
      <c r="J149">
        <f>IF('Expanded Base Data'!P146="",C148+'Slide Measurements'!$E$13,C148+'Expanded Base Data'!P146)</f>
        <v>83.42</v>
      </c>
      <c r="K149">
        <f>IF('Expanded Base Data'!Q146="",C148+'Slide Measurements'!$E$14,C148+'Expanded Base Data'!Q146)</f>
        <v>92.02</v>
      </c>
      <c r="L149" s="5" t="str">
        <f>'Expanded Base Data'!$L146</f>
        <v/>
      </c>
      <c r="M149" s="5" t="str">
        <f>'Expanded Base Data'!$K146</f>
        <v/>
      </c>
      <c r="N149">
        <f>ROUND((I149-H149),$O$1)</f>
        <v>8.6</v>
      </c>
      <c r="O149">
        <f>ROUND((K149-J149),$O$1)</f>
        <v>8.6</v>
      </c>
      <c r="P149" s="5" t="e">
        <f>ROUND((L149-M149),$O$1)</f>
        <v>#VALUE!</v>
      </c>
      <c r="Q149">
        <f>'Code List'!$C$62</f>
        <v>5</v>
      </c>
      <c r="R149">
        <f>F150+'Code List'!$G$63</f>
        <v>2</v>
      </c>
      <c r="S149" t="e">
        <f>IF(P149=0,"1",ROUND((P149/$K$1)+$M$1,0))</f>
        <v>#VALUE!</v>
      </c>
      <c r="T149" t="e">
        <f>Q149*R149*S149</f>
        <v>#VALUE!</v>
      </c>
      <c r="U149" t="str">
        <f>IF(A149="YES",CONCATENATE(G149,"_",'Program Page'!$C$4,'Program Page'!$C$5,"_",D149,"_",E149),"")</f>
        <v/>
      </c>
      <c r="V149" t="str">
        <f>IF(U149="","",CONCATENATE(U149,"_"))</f>
        <v/>
      </c>
      <c r="W149" t="str">
        <f>IF(A149="YES",CONCATENATE("{",'Code List'!$B$4,'Code List'!$D$4,",",'Code List'!$B$5,'Code List'!$D$5,",",'Code List'!$B$6,"""",U149,"""",",",'Code List'!$B$7,'Code List'!$D$7,",",'Code List'!$B$8,'Code List'!$D$8,",",'Code List'!$B$9,'Code List'!$D$9,",",'Code List'!$B$10,'Code List'!$D$10,",",'Code List'!$B$11,"""",V149,"""",",",'Code List'!$B$12,"""",H149,"""",",",'Code List'!$B$13,"""",I149,"""",",",'Code List'!$B$14,"""",J149,"""",",",'Code List'!$B$15,"""",K149,"""",",",'Code List'!$B$16,"""",L149,"""",",",'Code List'!$B$17,"""",M149,"""",",",'Code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49" s="167" t="str">
        <f>IF(A149="YES",CONCATENATE("{",'Code List'!$B$31,"""",U149,"""",",",'Code List'!$B$32,'Code List'!$D$32,",",'Code List'!$B$33,'Code List'!$D$33,",",'Code List'!$B$34,'Code List'!$D$34,",",'Code List'!$B$35,'Code List'!$D$35,",",'Code List'!$B$36,'Code List'!$D$36,",",'Code List'!$B$37,'Code List'!$D$37,",",'Code List'!$B$38,"""",H149,"""",",",'Code List'!$B$39,"""",I149,"""",",",'Code List'!$B$40,"""",J149,"""",",",'Code List'!$B$41,"""",K149,"""",",",'Code List'!$B$42,"""",L149,"""",",",'Code List'!$B$43,"""",M149,"""",",",'Code List'!$B$44,"""",N149,"""",",",'Code List'!$B$45,"""",O149,"""",",",'Code List'!$B$46,"""",P149,"""",",",'Code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List'!$B$59,"""",T149,"""","}"),"")</f>
        <v/>
      </c>
    </row>
    <row r="150" spans="1:25" x14ac:dyDescent="0.25">
      <c r="A150" t="str">
        <f>IF(AND($A148="YES",E148=$D$1,F150&gt;0),"YES","NO")</f>
        <v>NO</v>
      </c>
      <c r="C150" t="s">
        <v>5</v>
      </c>
      <c r="D150" s="12" t="str">
        <f t="shared" ref="D150:D154" si="126">D149</f>
        <v>3E</v>
      </c>
      <c r="E150" t="s">
        <v>188</v>
      </c>
      <c r="F150">
        <f>'Expanded Base Data'!F146</f>
        <v>0</v>
      </c>
      <c r="G150" s="171">
        <f>F148</f>
        <v>0</v>
      </c>
      <c r="H150">
        <f>ROUND(B148+'Slide Measurements'!$D$17,$O$1)</f>
        <v>374.51</v>
      </c>
      <c r="I150">
        <f>ROUND(H150+(F150*'Slide Measurements'!$D$21),$O$1)</f>
        <v>374.51</v>
      </c>
      <c r="J150">
        <f>C148+'Slide Measurements'!$E$17</f>
        <v>79.02</v>
      </c>
      <c r="K150">
        <f>J150+($I$1*'Slide Measurements'!$E$23-'Slide Measurements'!$E$23)</f>
        <v>80.86999999999999</v>
      </c>
      <c r="L150" s="5" t="str">
        <f>'Expanded Base Data'!$L146</f>
        <v/>
      </c>
      <c r="M150" s="5" t="str">
        <f>'Expanded Base Data'!$K146</f>
        <v/>
      </c>
      <c r="N150">
        <f t="shared" ref="N150:N155" si="127">ROUND((I150-H150),$O$1)</f>
        <v>0</v>
      </c>
      <c r="O150">
        <f t="shared" ref="O150:O155" si="128">ROUND((K150-J150),$O$1)</f>
        <v>1.85</v>
      </c>
      <c r="P150" s="5" t="e">
        <f t="shared" ref="P150:P154" si="129">ROUND((L150-M150),$O$1)</f>
        <v>#VALUE!</v>
      </c>
      <c r="Q150">
        <f>'Code List'!$C$63</f>
        <v>3</v>
      </c>
      <c r="R150">
        <f>F151+'Code List'!$G$63</f>
        <v>2</v>
      </c>
      <c r="S150" t="e">
        <f t="shared" ref="S150:S154" si="130">IF(P150=0,"1",ROUND((P150/$K$1)+$M$1,0))</f>
        <v>#VALUE!</v>
      </c>
      <c r="T150" t="e">
        <f>Q150*R150*S150</f>
        <v>#VALUE!</v>
      </c>
      <c r="U150" t="str">
        <f>IF(A150="YES",CONCATENATE(G150,"_",'Program Page'!$C$4,'Program Page'!$C$5,"_",D150,"_",E150),"")</f>
        <v/>
      </c>
      <c r="V150" t="str">
        <f t="shared" ref="V150:V154" si="131">IF(U150="","",CONCATENATE(U150,"_"))</f>
        <v/>
      </c>
      <c r="W150" t="str">
        <f>IF(A150="YES",CONCATENATE("{",'Code List'!$B$4,'Code List'!$D$4,",",'Code List'!$B$5,'Code List'!$D$5,",",'Code List'!$B$6,"""",U150,"""",",",'Code List'!$B$7,'Code List'!$D$7,",",'Code List'!$B$8,'Code List'!$D$8,",",'Code List'!$B$9,'Code List'!$D$9,",",'Code List'!$B$10,'Code List'!$D$10,",",'Code List'!$B$11,"""",V150,"""",",",'Code List'!$B$12,"""",H150,"""",",",'Code List'!$B$13,"""",I150,"""",",",'Code List'!$B$14,"""",J150,"""",",",'Code List'!$B$15,"""",K150,"""",",",'Code List'!$B$16,"""",L150,"""",",",'Code List'!$B$17,"""",M150,"""",",",'Code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50" s="167" t="str">
        <f>IF(A150="YES",CONCATENATE("{",'Code List'!$B$31,"""",U150,"""",",",'Code List'!$B$32,'Code List'!$D$32,",",'Code List'!$B$33,'Code List'!$D$33,",",'Code List'!$B$34,'Code List'!$D$34,",",'Code List'!$B$35,'Code List'!$D$35,",",'Code List'!$B$36,'Code List'!$D$36,",",'Code List'!$B$37,'Code List'!$D$37,",",'Code List'!$B$38,"""",H150,"""",",",'Code List'!$B$39,"""",I150,"""",",",'Code List'!$B$40,"""",J150,"""",",",'Code List'!$B$41,"""",K150,"""",",",'Code List'!$B$42,"""",L150,"""",",",'Code List'!$B$43,"""",M150,"""",",",'Code List'!$B$44,"""",N150,"""",",",'Code List'!$B$45,"""",O150,"""",",",'Code List'!$B$46,"""",P150,"""",",",'Code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List'!$B$59,"""",T150,"""","}"),"")</f>
        <v/>
      </c>
    </row>
    <row r="151" spans="1:25" x14ac:dyDescent="0.25">
      <c r="A151" t="str">
        <f>IF(AND($A148="YES",E148=$D$1,F151&gt;0),"YES","NO")</f>
        <v>NO</v>
      </c>
      <c r="C151" t="s">
        <v>5</v>
      </c>
      <c r="D151" s="12" t="str">
        <f t="shared" si="126"/>
        <v>3E</v>
      </c>
      <c r="E151" t="s">
        <v>189</v>
      </c>
      <c r="F151">
        <f>'Expanded Base Data'!G146</f>
        <v>0</v>
      </c>
      <c r="G151" s="171">
        <f>F148</f>
        <v>0</v>
      </c>
      <c r="H151">
        <f>ROUND(B148+'Slide Measurements'!$D$17,$O$1)</f>
        <v>374.51</v>
      </c>
      <c r="I151">
        <f>ROUND(H151+(F151*'Slide Measurements'!$D$21),$O$1)</f>
        <v>374.51</v>
      </c>
      <c r="J151">
        <f>K150</f>
        <v>80.86999999999999</v>
      </c>
      <c r="K151">
        <f>J151+($I$1*'Slide Measurements'!$E$23-'Slide Measurements'!$E$23)</f>
        <v>82.719999999999985</v>
      </c>
      <c r="L151" s="5" t="str">
        <f>'Expanded Base Data'!$L146</f>
        <v/>
      </c>
      <c r="M151" s="5" t="str">
        <f>'Expanded Base Data'!$K146</f>
        <v/>
      </c>
      <c r="N151">
        <f t="shared" si="127"/>
        <v>0</v>
      </c>
      <c r="O151">
        <f t="shared" si="128"/>
        <v>1.85</v>
      </c>
      <c r="P151" s="5" t="e">
        <f t="shared" si="129"/>
        <v>#VALUE!</v>
      </c>
      <c r="Q151">
        <f>'Code List'!$C$63</f>
        <v>3</v>
      </c>
      <c r="R151">
        <f>F152+'Code List'!$G$63</f>
        <v>2</v>
      </c>
      <c r="S151" t="e">
        <f t="shared" si="130"/>
        <v>#VALUE!</v>
      </c>
      <c r="T151" t="e">
        <f t="shared" ref="T151:T154" si="132">Q151*R151*S151</f>
        <v>#VALUE!</v>
      </c>
      <c r="U151" t="str">
        <f>IF(A151="YES",CONCATENATE(G151,"_",'Program Page'!$C$4,'Program Page'!$C$5,"_",D151,"_",E151),"")</f>
        <v/>
      </c>
      <c r="V151" t="str">
        <f t="shared" si="131"/>
        <v/>
      </c>
      <c r="W151" t="str">
        <f>IF(A151="YES",CONCATENATE("{",'Code List'!$B$4,'Code List'!$D$4,",",'Code List'!$B$5,'Code List'!$D$5,",",'Code List'!$B$6,"""",U151,"""",",",'Code List'!$B$7,'Code List'!$D$7,",",'Code List'!$B$8,'Code List'!$D$8,",",'Code List'!$B$9,'Code List'!$D$9,",",'Code List'!$B$10,'Code List'!$D$10,",",'Code List'!$B$11,"""",V151,"""",",",'Code List'!$B$12,"""",H151,"""",",",'Code List'!$B$13,"""",I151,"""",",",'Code List'!$B$14,"""",J151,"""",",",'Code List'!$B$15,"""",K151,"""",",",'Code List'!$B$16,"""",L151,"""",",",'Code List'!$B$17,"""",M151,"""",",",'Code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51" s="167" t="str">
        <f>IF(A151="YES",CONCATENATE("{",'Code List'!$B$31,"""",U151,"""",",",'Code List'!$B$32,'Code List'!$D$32,",",'Code List'!$B$33,'Code List'!$D$33,",",'Code List'!$B$34,'Code List'!$D$34,",",'Code List'!$B$35,'Code List'!$D$35,",",'Code List'!$B$36,'Code List'!$D$36,",",'Code List'!$B$37,'Code List'!$D$37,",",'Code List'!$B$38,"""",H151,"""",",",'Code List'!$B$39,"""",I151,"""",",",'Code List'!$B$40,"""",J151,"""",",",'Code List'!$B$41,"""",K151,"""",",",'Code List'!$B$42,"""",L151,"""",",",'Code List'!$B$43,"""",M151,"""",",",'Code List'!$B$44,"""",N151,"""",",",'Code List'!$B$45,"""",O151,"""",",",'Code List'!$B$46,"""",P151,"""",",",'Code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List'!$B$59,"""",T151,"""","}"),"")</f>
        <v/>
      </c>
    </row>
    <row r="152" spans="1:25" x14ac:dyDescent="0.25">
      <c r="A152" t="str">
        <f>IF(AND($A148="YES",E148=$D$1,F152&gt;0),"YES","NO")</f>
        <v>NO</v>
      </c>
      <c r="C152" t="s">
        <v>5</v>
      </c>
      <c r="D152" s="12" t="str">
        <f t="shared" si="126"/>
        <v>3E</v>
      </c>
      <c r="E152" t="s">
        <v>190</v>
      </c>
      <c r="F152">
        <f>'Expanded Base Data'!H146</f>
        <v>0</v>
      </c>
      <c r="G152" s="171">
        <f>F148</f>
        <v>0</v>
      </c>
      <c r="H152">
        <f>ROUND(B148+'Slide Measurements'!$D$17,$O$1)</f>
        <v>374.51</v>
      </c>
      <c r="I152">
        <f>ROUND(H152+(F152*'Slide Measurements'!$D$21),$O$1)</f>
        <v>374.51</v>
      </c>
      <c r="J152">
        <f>K151</f>
        <v>82.719999999999985</v>
      </c>
      <c r="K152">
        <f>J152+($I$1*'Slide Measurements'!$E$23-'Slide Measurements'!$E$23)</f>
        <v>84.569999999999979</v>
      </c>
      <c r="L152" s="5" t="str">
        <f>'Expanded Base Data'!$L146</f>
        <v/>
      </c>
      <c r="M152" s="5" t="str">
        <f>'Expanded Base Data'!$K146</f>
        <v/>
      </c>
      <c r="N152">
        <f t="shared" si="127"/>
        <v>0</v>
      </c>
      <c r="O152">
        <f t="shared" si="128"/>
        <v>1.85</v>
      </c>
      <c r="P152" s="5" t="e">
        <f t="shared" si="129"/>
        <v>#VALUE!</v>
      </c>
      <c r="Q152">
        <f>'Code List'!$C$63</f>
        <v>3</v>
      </c>
      <c r="R152">
        <f>F153+'Code List'!$G$63</f>
        <v>2</v>
      </c>
      <c r="S152" t="e">
        <f t="shared" si="130"/>
        <v>#VALUE!</v>
      </c>
      <c r="T152" t="e">
        <f t="shared" si="132"/>
        <v>#VALUE!</v>
      </c>
      <c r="U152" t="str">
        <f>IF(A152="YES",CONCATENATE(G152,"_",'Program Page'!$C$4,'Program Page'!$C$5,"_",D152,"_",E152),"")</f>
        <v/>
      </c>
      <c r="V152" t="str">
        <f t="shared" si="131"/>
        <v/>
      </c>
      <c r="W152" t="str">
        <f>IF(A152="YES",CONCATENATE("{",'Code List'!$B$4,'Code List'!$D$4,",",'Code List'!$B$5,'Code List'!$D$5,",",'Code List'!$B$6,"""",U152,"""",",",'Code List'!$B$7,'Code List'!$D$7,",",'Code List'!$B$8,'Code List'!$D$8,",",'Code List'!$B$9,'Code List'!$D$9,",",'Code List'!$B$10,'Code List'!$D$10,",",'Code List'!$B$11,"""",V152,"""",",",'Code List'!$B$12,"""",H152,"""",",",'Code List'!$B$13,"""",I152,"""",",",'Code List'!$B$14,"""",J152,"""",",",'Code List'!$B$15,"""",K152,"""",",",'Code List'!$B$16,"""",L152,"""",",",'Code List'!$B$17,"""",M152,"""",",",'Code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52" s="167" t="str">
        <f>IF(A152="YES",CONCATENATE("{",'Code List'!$B$31,"""",U152,"""",",",'Code List'!$B$32,'Code List'!$D$32,",",'Code List'!$B$33,'Code List'!$D$33,",",'Code List'!$B$34,'Code List'!$D$34,",",'Code List'!$B$35,'Code List'!$D$35,",",'Code List'!$B$36,'Code List'!$D$36,",",'Code List'!$B$37,'Code List'!$D$37,",",'Code List'!$B$38,"""",H152,"""",",",'Code List'!$B$39,"""",I152,"""",",",'Code List'!$B$40,"""",J152,"""",",",'Code List'!$B$41,"""",K152,"""",",",'Code List'!$B$42,"""",L152,"""",",",'Code List'!$B$43,"""",M152,"""",",",'Code List'!$B$44,"""",N152,"""",",",'Code List'!$B$45,"""",O152,"""",",",'Code List'!$B$46,"""",P152,"""",",",'Code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List'!$B$59,"""",T152,"""","}"),"")</f>
        <v/>
      </c>
    </row>
    <row r="153" spans="1:25" x14ac:dyDescent="0.25">
      <c r="A153" t="str">
        <f>IF(AND($A148="YES",E148=$D$1,F153&gt;0),"YES","NO")</f>
        <v>NO</v>
      </c>
      <c r="C153" t="s">
        <v>5</v>
      </c>
      <c r="D153" s="12" t="str">
        <f t="shared" si="126"/>
        <v>3E</v>
      </c>
      <c r="E153" t="s">
        <v>191</v>
      </c>
      <c r="F153">
        <f>'Expanded Base Data'!I146</f>
        <v>0</v>
      </c>
      <c r="G153" s="171">
        <f>F148</f>
        <v>0</v>
      </c>
      <c r="H153">
        <f>ROUND(B148+'Slide Measurements'!$D$17,$O$1)</f>
        <v>374.51</v>
      </c>
      <c r="I153">
        <f>ROUND(H153+(F153*'Slide Measurements'!$D$21),$O$1)</f>
        <v>374.51</v>
      </c>
      <c r="J153">
        <f>K152</f>
        <v>84.569999999999979</v>
      </c>
      <c r="K153">
        <f>J153+($I$1*'Slide Measurements'!$E$23-'Slide Measurements'!$E$23)</f>
        <v>86.419999999999973</v>
      </c>
      <c r="L153" s="5" t="str">
        <f>'Expanded Base Data'!$L146</f>
        <v/>
      </c>
      <c r="M153" s="5" t="str">
        <f>'Expanded Base Data'!$K146</f>
        <v/>
      </c>
      <c r="N153">
        <f t="shared" si="127"/>
        <v>0</v>
      </c>
      <c r="O153">
        <f t="shared" si="128"/>
        <v>1.85</v>
      </c>
      <c r="P153" s="5" t="e">
        <f t="shared" si="129"/>
        <v>#VALUE!</v>
      </c>
      <c r="Q153">
        <f>'Code List'!$C$63</f>
        <v>3</v>
      </c>
      <c r="R153">
        <f>F154+'Code List'!$G$63</f>
        <v>2</v>
      </c>
      <c r="S153" t="e">
        <f t="shared" si="130"/>
        <v>#VALUE!</v>
      </c>
      <c r="T153" t="e">
        <f t="shared" si="132"/>
        <v>#VALUE!</v>
      </c>
      <c r="U153" t="str">
        <f>IF(A153="YES",CONCATENATE(G153,"_",'Program Page'!$C$4,'Program Page'!$C$5,"_",D153,"_",E153),"")</f>
        <v/>
      </c>
      <c r="V153" t="str">
        <f t="shared" si="131"/>
        <v/>
      </c>
      <c r="W153" t="str">
        <f>IF(A153="YES",CONCATENATE("{",'Code List'!$B$4,'Code List'!$D$4,",",'Code List'!$B$5,'Code List'!$D$5,",",'Code List'!$B$6,"""",U153,"""",",",'Code List'!$B$7,'Code List'!$D$7,",",'Code List'!$B$8,'Code List'!$D$8,",",'Code List'!$B$9,'Code List'!$D$9,",",'Code List'!$B$10,'Code List'!$D$10,",",'Code List'!$B$11,"""",V153,"""",",",'Code List'!$B$12,"""",H153,"""",",",'Code List'!$B$13,"""",I153,"""",",",'Code List'!$B$14,"""",J153,"""",",",'Code List'!$B$15,"""",K153,"""",",",'Code List'!$B$16,"""",L153,"""",",",'Code List'!$B$17,"""",M153,"""",",",'Code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53" s="167" t="str">
        <f>IF(A153="YES",CONCATENATE("{",'Code List'!$B$31,"""",U153,"""",",",'Code List'!$B$32,'Code List'!$D$32,",",'Code List'!$B$33,'Code List'!$D$33,",",'Code List'!$B$34,'Code List'!$D$34,",",'Code List'!$B$35,'Code List'!$D$35,",",'Code List'!$B$36,'Code List'!$D$36,",",'Code List'!$B$37,'Code List'!$D$37,",",'Code List'!$B$38,"""",H153,"""",",",'Code List'!$B$39,"""",I153,"""",",",'Code List'!$B$40,"""",J153,"""",",",'Code List'!$B$41,"""",K153,"""",",",'Code List'!$B$42,"""",L153,"""",",",'Code List'!$B$43,"""",M153,"""",",",'Code List'!$B$44,"""",N153,"""",",",'Code List'!$B$45,"""",O153,"""",",",'Code List'!$B$46,"""",P153,"""",",",'Code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List'!$B$59,"""",T153,"""","}"),"")</f>
        <v/>
      </c>
    </row>
    <row r="154" spans="1:25" x14ac:dyDescent="0.25">
      <c r="A154" t="str">
        <f>IF(AND($A148="YES",E148=$D$1,F154&gt;0),"YES","NO")</f>
        <v>NO</v>
      </c>
      <c r="C154" t="s">
        <v>5</v>
      </c>
      <c r="D154" s="12" t="str">
        <f t="shared" si="126"/>
        <v>3E</v>
      </c>
      <c r="E154" t="s">
        <v>196</v>
      </c>
      <c r="F154">
        <f>'Expanded Base Data'!J146</f>
        <v>0</v>
      </c>
      <c r="G154" s="171">
        <f>F148</f>
        <v>0</v>
      </c>
      <c r="H154">
        <f>ROUND(B148+'Slide Measurements'!$D$17,$O$1)</f>
        <v>374.51</v>
      </c>
      <c r="I154">
        <f>ROUND(H154+(F154*'Slide Measurements'!$D$21),$O$1)</f>
        <v>374.51</v>
      </c>
      <c r="J154">
        <f>K153</f>
        <v>86.419999999999973</v>
      </c>
      <c r="K154">
        <f>J154+($I$1*'Slide Measurements'!$E$23-'Slide Measurements'!$E$23)</f>
        <v>88.269999999999968</v>
      </c>
      <c r="L154" s="5" t="str">
        <f>'Expanded Base Data'!$L146</f>
        <v/>
      </c>
      <c r="M154" s="5" t="str">
        <f>'Expanded Base Data'!$K146</f>
        <v/>
      </c>
      <c r="N154">
        <f t="shared" si="127"/>
        <v>0</v>
      </c>
      <c r="O154">
        <f t="shared" si="128"/>
        <v>1.85</v>
      </c>
      <c r="P154" s="5" t="e">
        <f t="shared" si="129"/>
        <v>#VALUE!</v>
      </c>
      <c r="Q154">
        <f>'Code List'!$C$63</f>
        <v>3</v>
      </c>
      <c r="R154">
        <f>F155+'Code List'!$G$63</f>
        <v>2</v>
      </c>
      <c r="S154" t="e">
        <f t="shared" si="130"/>
        <v>#VALUE!</v>
      </c>
      <c r="T154" t="e">
        <f t="shared" si="132"/>
        <v>#VALUE!</v>
      </c>
      <c r="U154" t="str">
        <f>IF(A154="YES",CONCATENATE(G154,"_",'Program Page'!$C$4,'Program Page'!$C$5,"_",D154,"_",E154),"")</f>
        <v/>
      </c>
      <c r="V154" t="str">
        <f t="shared" si="131"/>
        <v/>
      </c>
      <c r="W154" t="str">
        <f>IF(A154="YES",CONCATENATE("{",'Code List'!$B$4,'Code List'!$D$4,",",'Code List'!$B$5,'Code List'!$D$5,",",'Code List'!$B$6,"""",U154,"""",",",'Code List'!$B$7,'Code List'!$D$7,",",'Code List'!$B$8,'Code List'!$D$8,",",'Code List'!$B$9,'Code List'!$D$9,",",'Code List'!$B$10,'Code List'!$D$10,",",'Code List'!$B$11,"""",V154,"""",",",'Code List'!$B$12,"""",H154,"""",",",'Code List'!$B$13,"""",I154,"""",",",'Code List'!$B$14,"""",J154,"""",",",'Code List'!$B$15,"""",K154,"""",",",'Code List'!$B$16,"""",L154,"""",",",'Code List'!$B$17,"""",M154,"""",",",'Code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54" s="167" t="str">
        <f>IF(A154="YES",CONCATENATE("{",'Code List'!$B$31,"""",U154,"""",",",'Code List'!$B$32,'Code List'!$D$32,",",'Code List'!$B$33,'Code List'!$D$33,",",'Code List'!$B$34,'Code List'!$D$34,",",'Code List'!$B$35,'Code List'!$D$35,",",'Code List'!$B$36,'Code List'!$D$36,",",'Code List'!$B$37,'Code List'!$D$37,",",'Code List'!$B$38,"""",H154,"""",",",'Code List'!$B$39,"""",I154,"""",",",'Code List'!$B$40,"""",J154,"""",",",'Code List'!$B$41,"""",K154,"""",",",'Code List'!$B$42,"""",L154,"""",",",'Code List'!$B$43,"""",M154,"""",",",'Code List'!$B$44,"""",N154,"""",",",'Code List'!$B$45,"""",O154,"""",",",'Code List'!$B$46,"""",P154,"""",",",'Code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List'!$B$59,"""",T154,"""","}"),"")</f>
        <v/>
      </c>
    </row>
    <row r="155" spans="1:25" x14ac:dyDescent="0.25">
      <c r="A155" s="162" t="str">
        <f>IF(AND($A148="YES",E148=$E$1),"YES","NO")</f>
        <v>NO</v>
      </c>
      <c r="C155" t="s">
        <v>259</v>
      </c>
      <c r="D155" s="12" t="str">
        <f>D154</f>
        <v>3E</v>
      </c>
      <c r="E155" t="s">
        <v>259</v>
      </c>
      <c r="G155" s="171">
        <f>F148</f>
        <v>0</v>
      </c>
      <c r="H155">
        <f>ROUND(B148,$O$1)</f>
        <v>349.11</v>
      </c>
      <c r="I155">
        <f>ROUND(B148+'Slide Measurements'!$D$1,$O$1)</f>
        <v>425.56</v>
      </c>
      <c r="J155">
        <f>C148</f>
        <v>74.72</v>
      </c>
      <c r="K155">
        <f>C148+'Slide Measurements'!$D$2</f>
        <v>102.12</v>
      </c>
      <c r="L155" s="5" t="str">
        <f>'Expanded Base Data'!$L146</f>
        <v/>
      </c>
      <c r="M155" s="5" t="str">
        <f>'Expanded Base Data'!$K146</f>
        <v/>
      </c>
      <c r="N155">
        <f t="shared" si="127"/>
        <v>76.45</v>
      </c>
      <c r="O155">
        <f t="shared" si="128"/>
        <v>27.4</v>
      </c>
      <c r="P155" s="5" t="e">
        <f>ROUND((L155-M155),$O$1)</f>
        <v>#VALUE!</v>
      </c>
      <c r="Q155">
        <f>'Code List'!$C$70</f>
        <v>11</v>
      </c>
      <c r="R155">
        <f>'Code List'!$D$70</f>
        <v>19</v>
      </c>
      <c r="S155" t="e">
        <f>IF(P155=0,"1",ROUND((P155/$K$1)+$M$1,0))</f>
        <v>#VALUE!</v>
      </c>
      <c r="T155" t="e">
        <f>Q155*R155*S155</f>
        <v>#VALUE!</v>
      </c>
      <c r="U155" t="str">
        <f>IF(A155="YES",CONCATENATE(G155,"_",'Program Page'!$C$4,'Program Page'!$C$5,"_",D155,"_",E155),"")</f>
        <v/>
      </c>
      <c r="V155" t="str">
        <f>IF(U155="","",CONCATENATE(U155,"_"))</f>
        <v/>
      </c>
      <c r="W155" t="str">
        <f>IF(A155="YES",CONCATENATE("{",'Code List'!$B$4,'Code List'!$D$4,",",'Code List'!$B$5,'Code List'!$D$5,",",'Code List'!$B$6,"""",U155,"""",",",'Code List'!$B$7,'Code List'!$D$7,",",'Code List'!$B$8,'Code List'!$D$8,",",'Code List'!$B$9,'Code List'!$D$9,",",'Code List'!$B$10,'Code List'!$D$10,",",'Code List'!$B$11,"""",V155,"""",",",'Code List'!$B$12,"""",H155,"""",",",'Code List'!$B$13,"""",I155,"""",",",'Code List'!$B$14,"""",J155,"""",",",'Code List'!$B$15,"""",K155,"""",",",'Code List'!$B$16,"""",L155,"""",",",'Code List'!$B$17,"""",M155,"""",",",'Code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155" s="167" t="str">
        <f>IF(A155="YES",CONCATENATE("{",'Code List'!$B$31,"""",U155,"""",",",'Code List'!$B$32,'Code List'!$D$32,",",'Code List'!$B$33,'Code List'!$D$33,",",'Code List'!$B$34,'Code List'!$D$34,",",'Code List'!$B$35,'Code List'!$D$35,",",'Code List'!$B$36,'Code List'!$D$36,",",'Code List'!$B$37,'Code List'!$D$37,",",'Code List'!$B$38,"""",H155,"""",",",'Code List'!$B$39,"""",I155,"""",",",'Code List'!$B$40,"""",J155,"""",",",'Code List'!$B$41,"""",K155,"""",",",'Code List'!$B$42,"""",L155,"""",",",'Code List'!$B$43,"""",M155,"""",",",'Code List'!$B$44,"""",N155,"""",",",'Code List'!$B$45,"""",O155,"""",",",'Code List'!$B$46,"""",P155,"""",",",'Code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List'!$B$59,"""",T155,"""","}"),"")</f>
        <v/>
      </c>
    </row>
    <row r="156" spans="1:25" ht="18.75" x14ac:dyDescent="0.3">
      <c r="A156" s="35" t="str">
        <f>IF(OR(E156=$C$1,E156=$D$1,E156=$E$1),"YES","NO")</f>
        <v>NO</v>
      </c>
      <c r="B156" s="35">
        <f>'Expanded Base Data'!D154</f>
        <v>435.71000000000004</v>
      </c>
      <c r="C156" s="35">
        <f>'Expanded Base Data'!E154</f>
        <v>74.72</v>
      </c>
      <c r="D156" s="36" t="str">
        <f>'Expanded Base Data'!B154</f>
        <v>3F</v>
      </c>
      <c r="E156" s="35">
        <f>'Expanded Base Data'!C154</f>
        <v>0</v>
      </c>
      <c r="F156" s="35">
        <f>'Expanded Base Data'!M154</f>
        <v>0</v>
      </c>
      <c r="G156" s="170">
        <f>F156</f>
        <v>0</v>
      </c>
      <c r="Y156" s="167" t="str">
        <f>""</f>
        <v/>
      </c>
    </row>
    <row r="157" spans="1:25" x14ac:dyDescent="0.25">
      <c r="A157" t="str">
        <f>IF(AND($A156="YES",E156=$C$1),"YES","NO")</f>
        <v>NO</v>
      </c>
      <c r="C157" t="s">
        <v>6</v>
      </c>
      <c r="D157" s="12" t="str">
        <f>D156</f>
        <v>3F</v>
      </c>
      <c r="E157" t="s">
        <v>6</v>
      </c>
      <c r="F157" t="s">
        <v>198</v>
      </c>
      <c r="G157" s="171">
        <f>F156</f>
        <v>0</v>
      </c>
      <c r="H157">
        <f>IF('Expanded Base Data'!N154="",ROUND(B156+'Slide Measurements'!$D$11,$O$1),B156+'Expanded Base Data'!N154)</f>
        <v>468.71</v>
      </c>
      <c r="I157">
        <f>IF('Expanded Base Data'!O154="",ROUND(B156+'Slide Measurements'!$D$12,$O$1),B156+'Expanded Base Data'!O154)</f>
        <v>477.31</v>
      </c>
      <c r="J157">
        <f>IF('Expanded Base Data'!P154="",C156+'Slide Measurements'!$E$13,C156+'Expanded Base Data'!P154)</f>
        <v>83.42</v>
      </c>
      <c r="K157">
        <f>IF('Expanded Base Data'!Q154="",C156+'Slide Measurements'!$E$14,C156+'Expanded Base Data'!Q154)</f>
        <v>92.02</v>
      </c>
      <c r="L157" s="5" t="str">
        <f>'Expanded Base Data'!$L154</f>
        <v/>
      </c>
      <c r="M157" s="5" t="str">
        <f>'Expanded Base Data'!$K154</f>
        <v/>
      </c>
      <c r="N157">
        <f>ROUND((I157-H157),$O$1)</f>
        <v>8.6</v>
      </c>
      <c r="O157">
        <f>ROUND((K157-J157),$O$1)</f>
        <v>8.6</v>
      </c>
      <c r="P157" s="5" t="e">
        <f>ROUND((L157-M157),$O$1)</f>
        <v>#VALUE!</v>
      </c>
      <c r="Q157">
        <f>'Code List'!$C$62</f>
        <v>5</v>
      </c>
      <c r="R157">
        <f>F158+'Code List'!$G$63</f>
        <v>2</v>
      </c>
      <c r="S157" t="e">
        <f>IF(P157=0,"1",ROUND((P157/$K$1)+$M$1,0))</f>
        <v>#VALUE!</v>
      </c>
      <c r="T157" t="e">
        <f>Q157*R157*S157</f>
        <v>#VALUE!</v>
      </c>
      <c r="U157" t="str">
        <f>IF(A157="YES",CONCATENATE(G157,"_",'Program Page'!$C$4,'Program Page'!$C$5,"_",D157,"_",E157),"")</f>
        <v/>
      </c>
      <c r="V157" t="str">
        <f>IF(U157="","",CONCATENATE(U157,"_"))</f>
        <v/>
      </c>
      <c r="W157" t="str">
        <f>IF(A157="YES",CONCATENATE("{",'Code List'!$B$4,'Code List'!$D$4,",",'Code List'!$B$5,'Code List'!$D$5,",",'Code List'!$B$6,"""",U157,"""",",",'Code List'!$B$7,'Code List'!$D$7,",",'Code List'!$B$8,'Code List'!$D$8,",",'Code List'!$B$9,'Code List'!$D$9,",",'Code List'!$B$10,'Code List'!$D$10,",",'Code List'!$B$11,"""",V157,"""",",",'Code List'!$B$12,"""",H157,"""",",",'Code List'!$B$13,"""",I157,"""",",",'Code List'!$B$14,"""",J157,"""",",",'Code List'!$B$15,"""",K157,"""",",",'Code List'!$B$16,"""",L157,"""",",",'Code List'!$B$17,"""",M157,"""",",",'Code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57" s="167" t="str">
        <f>IF(A157="YES",CONCATENATE("{",'Code List'!$B$31,"""",U157,"""",",",'Code List'!$B$32,'Code List'!$D$32,",",'Code List'!$B$33,'Code List'!$D$33,",",'Code List'!$B$34,'Code List'!$D$34,",",'Code List'!$B$35,'Code List'!$D$35,",",'Code List'!$B$36,'Code List'!$D$36,",",'Code List'!$B$37,'Code List'!$D$37,",",'Code List'!$B$38,"""",H157,"""",",",'Code List'!$B$39,"""",I157,"""",",",'Code List'!$B$40,"""",J157,"""",",",'Code List'!$B$41,"""",K157,"""",",",'Code List'!$B$42,"""",L157,"""",",",'Code List'!$B$43,"""",M157,"""",",",'Code List'!$B$44,"""",N157,"""",",",'Code List'!$B$45,"""",O157,"""",",",'Code List'!$B$46,"""",P157,"""",",",'Code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List'!$B$59,"""",T157,"""","}"),"")</f>
        <v/>
      </c>
    </row>
    <row r="158" spans="1:25" x14ac:dyDescent="0.25">
      <c r="A158" t="str">
        <f>IF(AND($A156="YES",E156=$D$1,F158&gt;0),"YES","NO")</f>
        <v>NO</v>
      </c>
      <c r="C158" t="s">
        <v>5</v>
      </c>
      <c r="D158" s="12" t="str">
        <f t="shared" ref="D158:D162" si="133">D157</f>
        <v>3F</v>
      </c>
      <c r="E158" t="s">
        <v>188</v>
      </c>
      <c r="F158">
        <f>'Expanded Base Data'!F154</f>
        <v>0</v>
      </c>
      <c r="G158" s="171">
        <f>F156</f>
        <v>0</v>
      </c>
      <c r="H158">
        <f>ROUND(B156+'Slide Measurements'!$D$17,$O$1)</f>
        <v>461.11</v>
      </c>
      <c r="I158">
        <f>ROUND(H158+(F158*'Slide Measurements'!$D$21),$O$1)</f>
        <v>461.11</v>
      </c>
      <c r="J158">
        <f>C156+'Slide Measurements'!$E$17</f>
        <v>79.02</v>
      </c>
      <c r="K158">
        <f>J158+($I$1*'Slide Measurements'!$E$23-'Slide Measurements'!$E$23)</f>
        <v>80.86999999999999</v>
      </c>
      <c r="L158" s="5" t="str">
        <f>'Expanded Base Data'!$L154</f>
        <v/>
      </c>
      <c r="M158" s="5" t="str">
        <f>'Expanded Base Data'!$K154</f>
        <v/>
      </c>
      <c r="N158">
        <f t="shared" ref="N158:N163" si="134">ROUND((I158-H158),$O$1)</f>
        <v>0</v>
      </c>
      <c r="O158">
        <f t="shared" ref="O158:O163" si="135">ROUND((K158-J158),$O$1)</f>
        <v>1.85</v>
      </c>
      <c r="P158" s="5" t="e">
        <f t="shared" ref="P158:P162" si="136">ROUND((L158-M158),$O$1)</f>
        <v>#VALUE!</v>
      </c>
      <c r="Q158">
        <f>'Code List'!$C$63</f>
        <v>3</v>
      </c>
      <c r="R158">
        <f>F159+'Code List'!$G$63</f>
        <v>2</v>
      </c>
      <c r="S158" t="e">
        <f t="shared" ref="S158:S162" si="137">IF(P158=0,"1",ROUND((P158/$K$1)+$M$1,0))</f>
        <v>#VALUE!</v>
      </c>
      <c r="T158" t="e">
        <f>Q158*R158*S158</f>
        <v>#VALUE!</v>
      </c>
      <c r="U158" t="str">
        <f>IF(A158="YES",CONCATENATE(G158,"_",'Program Page'!$C$4,'Program Page'!$C$5,"_",D158,"_",E158),"")</f>
        <v/>
      </c>
      <c r="V158" t="str">
        <f t="shared" ref="V158:V162" si="138">IF(U158="","",CONCATENATE(U158,"_"))</f>
        <v/>
      </c>
      <c r="W158" t="str">
        <f>IF(A158="YES",CONCATENATE("{",'Code List'!$B$4,'Code List'!$D$4,",",'Code List'!$B$5,'Code List'!$D$5,",",'Code List'!$B$6,"""",U158,"""",",",'Code List'!$B$7,'Code List'!$D$7,",",'Code List'!$B$8,'Code List'!$D$8,",",'Code List'!$B$9,'Code List'!$D$9,",",'Code List'!$B$10,'Code List'!$D$10,",",'Code List'!$B$11,"""",V158,"""",",",'Code List'!$B$12,"""",H158,"""",",",'Code List'!$B$13,"""",I158,"""",",",'Code List'!$B$14,"""",J158,"""",",",'Code List'!$B$15,"""",K158,"""",",",'Code List'!$B$16,"""",L158,"""",",",'Code List'!$B$17,"""",M158,"""",",",'Code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58" s="167" t="str">
        <f>IF(A158="YES",CONCATENATE("{",'Code List'!$B$31,"""",U158,"""",",",'Code List'!$B$32,'Code List'!$D$32,",",'Code List'!$B$33,'Code List'!$D$33,",",'Code List'!$B$34,'Code List'!$D$34,",",'Code List'!$B$35,'Code List'!$D$35,",",'Code List'!$B$36,'Code List'!$D$36,",",'Code List'!$B$37,'Code List'!$D$37,",",'Code List'!$B$38,"""",H158,"""",",",'Code List'!$B$39,"""",I158,"""",",",'Code List'!$B$40,"""",J158,"""",",",'Code List'!$B$41,"""",K158,"""",",",'Code List'!$B$42,"""",L158,"""",",",'Code List'!$B$43,"""",M158,"""",",",'Code List'!$B$44,"""",N158,"""",",",'Code List'!$B$45,"""",O158,"""",",",'Code List'!$B$46,"""",P158,"""",",",'Code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List'!$B$59,"""",T158,"""","}"),"")</f>
        <v/>
      </c>
    </row>
    <row r="159" spans="1:25" x14ac:dyDescent="0.25">
      <c r="A159" t="str">
        <f>IF(AND($A156="YES",E156=$D$1,F159&gt;0),"YES","NO")</f>
        <v>NO</v>
      </c>
      <c r="C159" t="s">
        <v>5</v>
      </c>
      <c r="D159" s="12" t="str">
        <f t="shared" si="133"/>
        <v>3F</v>
      </c>
      <c r="E159" t="s">
        <v>189</v>
      </c>
      <c r="F159">
        <f>'Expanded Base Data'!G154</f>
        <v>0</v>
      </c>
      <c r="G159" s="171">
        <f>F156</f>
        <v>0</v>
      </c>
      <c r="H159">
        <f>ROUND(B156+'Slide Measurements'!$D$17,$O$1)</f>
        <v>461.11</v>
      </c>
      <c r="I159">
        <f>ROUND(H159+(F159*'Slide Measurements'!$D$21),$O$1)</f>
        <v>461.11</v>
      </c>
      <c r="J159">
        <f>K158</f>
        <v>80.86999999999999</v>
      </c>
      <c r="K159">
        <f>J159+($I$1*'Slide Measurements'!$E$23-'Slide Measurements'!$E$23)</f>
        <v>82.719999999999985</v>
      </c>
      <c r="L159" s="5" t="str">
        <f>'Expanded Base Data'!$L154</f>
        <v/>
      </c>
      <c r="M159" s="5" t="str">
        <f>'Expanded Base Data'!$K154</f>
        <v/>
      </c>
      <c r="N159">
        <f t="shared" si="134"/>
        <v>0</v>
      </c>
      <c r="O159">
        <f t="shared" si="135"/>
        <v>1.85</v>
      </c>
      <c r="P159" s="5" t="e">
        <f t="shared" si="136"/>
        <v>#VALUE!</v>
      </c>
      <c r="Q159">
        <f>'Code List'!$C$63</f>
        <v>3</v>
      </c>
      <c r="R159">
        <f>F160+'Code List'!$G$63</f>
        <v>2</v>
      </c>
      <c r="S159" t="e">
        <f t="shared" si="137"/>
        <v>#VALUE!</v>
      </c>
      <c r="T159" t="e">
        <f t="shared" ref="T159:T162" si="139">Q159*R159*S159</f>
        <v>#VALUE!</v>
      </c>
      <c r="U159" t="str">
        <f>IF(A159="YES",CONCATENATE(G159,"_",'Program Page'!$C$4,'Program Page'!$C$5,"_",D159,"_",E159),"")</f>
        <v/>
      </c>
      <c r="V159" t="str">
        <f t="shared" si="138"/>
        <v/>
      </c>
      <c r="W159" t="str">
        <f>IF(A159="YES",CONCATENATE("{",'Code List'!$B$4,'Code List'!$D$4,",",'Code List'!$B$5,'Code List'!$D$5,",",'Code List'!$B$6,"""",U159,"""",",",'Code List'!$B$7,'Code List'!$D$7,",",'Code List'!$B$8,'Code List'!$D$8,",",'Code List'!$B$9,'Code List'!$D$9,",",'Code List'!$B$10,'Code List'!$D$10,",",'Code List'!$B$11,"""",V159,"""",",",'Code List'!$B$12,"""",H159,"""",",",'Code List'!$B$13,"""",I159,"""",",",'Code List'!$B$14,"""",J159,"""",",",'Code List'!$B$15,"""",K159,"""",",",'Code List'!$B$16,"""",L159,"""",",",'Code List'!$B$17,"""",M159,"""",",",'Code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59" s="167" t="str">
        <f>IF(A159="YES",CONCATENATE("{",'Code List'!$B$31,"""",U159,"""",",",'Code List'!$B$32,'Code List'!$D$32,",",'Code List'!$B$33,'Code List'!$D$33,",",'Code List'!$B$34,'Code List'!$D$34,",",'Code List'!$B$35,'Code List'!$D$35,",",'Code List'!$B$36,'Code List'!$D$36,",",'Code List'!$B$37,'Code List'!$D$37,",",'Code List'!$B$38,"""",H159,"""",",",'Code List'!$B$39,"""",I159,"""",",",'Code List'!$B$40,"""",J159,"""",",",'Code List'!$B$41,"""",K159,"""",",",'Code List'!$B$42,"""",L159,"""",",",'Code List'!$B$43,"""",M159,"""",",",'Code List'!$B$44,"""",N159,"""",",",'Code List'!$B$45,"""",O159,"""",",",'Code List'!$B$46,"""",P159,"""",",",'Code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List'!$B$59,"""",T159,"""","}"),"")</f>
        <v/>
      </c>
    </row>
    <row r="160" spans="1:25" x14ac:dyDescent="0.25">
      <c r="A160" t="str">
        <f>IF(AND($A156="YES",E156=$D$1,F160&gt;0),"YES","NO")</f>
        <v>NO</v>
      </c>
      <c r="C160" t="s">
        <v>5</v>
      </c>
      <c r="D160" s="12" t="str">
        <f t="shared" si="133"/>
        <v>3F</v>
      </c>
      <c r="E160" t="s">
        <v>190</v>
      </c>
      <c r="F160">
        <f>'Expanded Base Data'!H154</f>
        <v>0</v>
      </c>
      <c r="G160" s="171">
        <f>F156</f>
        <v>0</v>
      </c>
      <c r="H160">
        <f>ROUND(B156+'Slide Measurements'!$D$17,$O$1)</f>
        <v>461.11</v>
      </c>
      <c r="I160">
        <f>ROUND(H160+(F160*'Slide Measurements'!$D$21),$O$1)</f>
        <v>461.11</v>
      </c>
      <c r="J160">
        <f>K159</f>
        <v>82.719999999999985</v>
      </c>
      <c r="K160">
        <f>J160+($I$1*'Slide Measurements'!$E$23-'Slide Measurements'!$E$23)</f>
        <v>84.569999999999979</v>
      </c>
      <c r="L160" s="5" t="str">
        <f>'Expanded Base Data'!$L154</f>
        <v/>
      </c>
      <c r="M160" s="5" t="str">
        <f>'Expanded Base Data'!$K154</f>
        <v/>
      </c>
      <c r="N160">
        <f t="shared" si="134"/>
        <v>0</v>
      </c>
      <c r="O160">
        <f t="shared" si="135"/>
        <v>1.85</v>
      </c>
      <c r="P160" s="5" t="e">
        <f t="shared" si="136"/>
        <v>#VALUE!</v>
      </c>
      <c r="Q160">
        <f>'Code List'!$C$63</f>
        <v>3</v>
      </c>
      <c r="R160">
        <f>F161+'Code List'!$G$63</f>
        <v>2</v>
      </c>
      <c r="S160" t="e">
        <f t="shared" si="137"/>
        <v>#VALUE!</v>
      </c>
      <c r="T160" t="e">
        <f t="shared" si="139"/>
        <v>#VALUE!</v>
      </c>
      <c r="U160" t="str">
        <f>IF(A160="YES",CONCATENATE(G160,"_",'Program Page'!$C$4,'Program Page'!$C$5,"_",D160,"_",E160),"")</f>
        <v/>
      </c>
      <c r="V160" t="str">
        <f t="shared" si="138"/>
        <v/>
      </c>
      <c r="W160" t="str">
        <f>IF(A160="YES",CONCATENATE("{",'Code List'!$B$4,'Code List'!$D$4,",",'Code List'!$B$5,'Code List'!$D$5,",",'Code List'!$B$6,"""",U160,"""",",",'Code List'!$B$7,'Code List'!$D$7,",",'Code List'!$B$8,'Code List'!$D$8,",",'Code List'!$B$9,'Code List'!$D$9,",",'Code List'!$B$10,'Code List'!$D$10,",",'Code List'!$B$11,"""",V160,"""",",",'Code List'!$B$12,"""",H160,"""",",",'Code List'!$B$13,"""",I160,"""",",",'Code List'!$B$14,"""",J160,"""",",",'Code List'!$B$15,"""",K160,"""",",",'Code List'!$B$16,"""",L160,"""",",",'Code List'!$B$17,"""",M160,"""",",",'Code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60" s="167" t="str">
        <f>IF(A160="YES",CONCATENATE("{",'Code List'!$B$31,"""",U160,"""",",",'Code List'!$B$32,'Code List'!$D$32,",",'Code List'!$B$33,'Code List'!$D$33,",",'Code List'!$B$34,'Code List'!$D$34,",",'Code List'!$B$35,'Code List'!$D$35,",",'Code List'!$B$36,'Code List'!$D$36,",",'Code List'!$B$37,'Code List'!$D$37,",",'Code List'!$B$38,"""",H160,"""",",",'Code List'!$B$39,"""",I160,"""",",",'Code List'!$B$40,"""",J160,"""",",",'Code List'!$B$41,"""",K160,"""",",",'Code List'!$B$42,"""",L160,"""",",",'Code List'!$B$43,"""",M160,"""",",",'Code List'!$B$44,"""",N160,"""",",",'Code List'!$B$45,"""",O160,"""",",",'Code List'!$B$46,"""",P160,"""",",",'Code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List'!$B$59,"""",T160,"""","}"),"")</f>
        <v/>
      </c>
    </row>
    <row r="161" spans="1:25" x14ac:dyDescent="0.25">
      <c r="A161" t="str">
        <f>IF(AND($A156="YES",E156=$D$1,F161&gt;0),"YES","NO")</f>
        <v>NO</v>
      </c>
      <c r="C161" t="s">
        <v>5</v>
      </c>
      <c r="D161" s="12" t="str">
        <f t="shared" si="133"/>
        <v>3F</v>
      </c>
      <c r="E161" t="s">
        <v>191</v>
      </c>
      <c r="F161">
        <f>'Expanded Base Data'!I154</f>
        <v>0</v>
      </c>
      <c r="G161" s="171">
        <f>F156</f>
        <v>0</v>
      </c>
      <c r="H161">
        <f>ROUND(B156+'Slide Measurements'!$D$17,$O$1)</f>
        <v>461.11</v>
      </c>
      <c r="I161">
        <f>ROUND(H161+(F161*'Slide Measurements'!$D$21),$O$1)</f>
        <v>461.11</v>
      </c>
      <c r="J161">
        <f>K160</f>
        <v>84.569999999999979</v>
      </c>
      <c r="K161">
        <f>J161+($I$1*'Slide Measurements'!$E$23-'Slide Measurements'!$E$23)</f>
        <v>86.419999999999973</v>
      </c>
      <c r="L161" s="5" t="str">
        <f>'Expanded Base Data'!$L154</f>
        <v/>
      </c>
      <c r="M161" s="5" t="str">
        <f>'Expanded Base Data'!$K154</f>
        <v/>
      </c>
      <c r="N161">
        <f t="shared" si="134"/>
        <v>0</v>
      </c>
      <c r="O161">
        <f t="shared" si="135"/>
        <v>1.85</v>
      </c>
      <c r="P161" s="5" t="e">
        <f t="shared" si="136"/>
        <v>#VALUE!</v>
      </c>
      <c r="Q161">
        <f>'Code List'!$C$63</f>
        <v>3</v>
      </c>
      <c r="R161">
        <f>F162+'Code List'!$G$63</f>
        <v>2</v>
      </c>
      <c r="S161" t="e">
        <f t="shared" si="137"/>
        <v>#VALUE!</v>
      </c>
      <c r="T161" t="e">
        <f t="shared" si="139"/>
        <v>#VALUE!</v>
      </c>
      <c r="U161" t="str">
        <f>IF(A161="YES",CONCATENATE(G161,"_",'Program Page'!$C$4,'Program Page'!$C$5,"_",D161,"_",E161),"")</f>
        <v/>
      </c>
      <c r="V161" t="str">
        <f t="shared" si="138"/>
        <v/>
      </c>
      <c r="W161" t="str">
        <f>IF(A161="YES",CONCATENATE("{",'Code List'!$B$4,'Code List'!$D$4,",",'Code List'!$B$5,'Code List'!$D$5,",",'Code List'!$B$6,"""",U161,"""",",",'Code List'!$B$7,'Code List'!$D$7,",",'Code List'!$B$8,'Code List'!$D$8,",",'Code List'!$B$9,'Code List'!$D$9,",",'Code List'!$B$10,'Code List'!$D$10,",",'Code List'!$B$11,"""",V161,"""",",",'Code List'!$B$12,"""",H161,"""",",",'Code List'!$B$13,"""",I161,"""",",",'Code List'!$B$14,"""",J161,"""",",",'Code List'!$B$15,"""",K161,"""",",",'Code List'!$B$16,"""",L161,"""",",",'Code List'!$B$17,"""",M161,"""",",",'Code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61" s="167" t="str">
        <f>IF(A161="YES",CONCATENATE("{",'Code List'!$B$31,"""",U161,"""",",",'Code List'!$B$32,'Code List'!$D$32,",",'Code List'!$B$33,'Code List'!$D$33,",",'Code List'!$B$34,'Code List'!$D$34,",",'Code List'!$B$35,'Code List'!$D$35,",",'Code List'!$B$36,'Code List'!$D$36,",",'Code List'!$B$37,'Code List'!$D$37,",",'Code List'!$B$38,"""",H161,"""",",",'Code List'!$B$39,"""",I161,"""",",",'Code List'!$B$40,"""",J161,"""",",",'Code List'!$B$41,"""",K161,"""",",",'Code List'!$B$42,"""",L161,"""",",",'Code List'!$B$43,"""",M161,"""",",",'Code List'!$B$44,"""",N161,"""",",",'Code List'!$B$45,"""",O161,"""",",",'Code List'!$B$46,"""",P161,"""",",",'Code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List'!$B$59,"""",T161,"""","}"),"")</f>
        <v/>
      </c>
    </row>
    <row r="162" spans="1:25" x14ac:dyDescent="0.25">
      <c r="A162" t="str">
        <f>IF(AND($A156="YES",E156=$D$1,F162&gt;0),"YES","NO")</f>
        <v>NO</v>
      </c>
      <c r="C162" t="s">
        <v>5</v>
      </c>
      <c r="D162" s="12" t="str">
        <f t="shared" si="133"/>
        <v>3F</v>
      </c>
      <c r="E162" t="s">
        <v>196</v>
      </c>
      <c r="F162">
        <f>'Expanded Base Data'!J154</f>
        <v>0</v>
      </c>
      <c r="G162" s="171">
        <f>F156</f>
        <v>0</v>
      </c>
      <c r="H162">
        <f>ROUND(B156+'Slide Measurements'!$D$17,$O$1)</f>
        <v>461.11</v>
      </c>
      <c r="I162">
        <f>ROUND(H162+(F162*'Slide Measurements'!$D$21),$O$1)</f>
        <v>461.11</v>
      </c>
      <c r="J162">
        <f>K161</f>
        <v>86.419999999999973</v>
      </c>
      <c r="K162">
        <f>J162+($I$1*'Slide Measurements'!$E$23-'Slide Measurements'!$E$23)</f>
        <v>88.269999999999968</v>
      </c>
      <c r="L162" s="5" t="str">
        <f>'Expanded Base Data'!$L154</f>
        <v/>
      </c>
      <c r="M162" s="5" t="str">
        <f>'Expanded Base Data'!$K154</f>
        <v/>
      </c>
      <c r="N162">
        <f t="shared" si="134"/>
        <v>0</v>
      </c>
      <c r="O162">
        <f t="shared" si="135"/>
        <v>1.85</v>
      </c>
      <c r="P162" s="5" t="e">
        <f t="shared" si="136"/>
        <v>#VALUE!</v>
      </c>
      <c r="Q162">
        <f>'Code List'!$C$63</f>
        <v>3</v>
      </c>
      <c r="R162">
        <f>F163+'Code List'!$G$63</f>
        <v>2</v>
      </c>
      <c r="S162" t="e">
        <f t="shared" si="137"/>
        <v>#VALUE!</v>
      </c>
      <c r="T162" t="e">
        <f t="shared" si="139"/>
        <v>#VALUE!</v>
      </c>
      <c r="U162" t="str">
        <f>IF(A162="YES",CONCATENATE(G162,"_",'Program Page'!$C$4,'Program Page'!$C$5,"_",D162,"_",E162),"")</f>
        <v/>
      </c>
      <c r="V162" t="str">
        <f t="shared" si="138"/>
        <v/>
      </c>
      <c r="W162" t="str">
        <f>IF(A162="YES",CONCATENATE("{",'Code List'!$B$4,'Code List'!$D$4,",",'Code List'!$B$5,'Code List'!$D$5,",",'Code List'!$B$6,"""",U162,"""",",",'Code List'!$B$7,'Code List'!$D$7,",",'Code List'!$B$8,'Code List'!$D$8,",",'Code List'!$B$9,'Code List'!$D$9,",",'Code List'!$B$10,'Code List'!$D$10,",",'Code List'!$B$11,"""",V162,"""",",",'Code List'!$B$12,"""",H162,"""",",",'Code List'!$B$13,"""",I162,"""",",",'Code List'!$B$14,"""",J162,"""",",",'Code List'!$B$15,"""",K162,"""",",",'Code List'!$B$16,"""",L162,"""",",",'Code List'!$B$17,"""",M162,"""",",",'Code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62" s="167" t="str">
        <f>IF(A162="YES",CONCATENATE("{",'Code List'!$B$31,"""",U162,"""",",",'Code List'!$B$32,'Code List'!$D$32,",",'Code List'!$B$33,'Code List'!$D$33,",",'Code List'!$B$34,'Code List'!$D$34,",",'Code List'!$B$35,'Code List'!$D$35,",",'Code List'!$B$36,'Code List'!$D$36,",",'Code List'!$B$37,'Code List'!$D$37,",",'Code List'!$B$38,"""",H162,"""",",",'Code List'!$B$39,"""",I162,"""",",",'Code List'!$B$40,"""",J162,"""",",",'Code List'!$B$41,"""",K162,"""",",",'Code List'!$B$42,"""",L162,"""",",",'Code List'!$B$43,"""",M162,"""",",",'Code List'!$B$44,"""",N162,"""",",",'Code List'!$B$45,"""",O162,"""",",",'Code List'!$B$46,"""",P162,"""",",",'Code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List'!$B$59,"""",T162,"""","}"),"")</f>
        <v/>
      </c>
    </row>
    <row r="163" spans="1:25" x14ac:dyDescent="0.25">
      <c r="A163" s="162" t="str">
        <f>IF(AND($A156="YES",E156=$E$1),"YES","NO")</f>
        <v>NO</v>
      </c>
      <c r="C163" t="s">
        <v>259</v>
      </c>
      <c r="D163" s="12" t="str">
        <f>D162</f>
        <v>3F</v>
      </c>
      <c r="E163" t="s">
        <v>259</v>
      </c>
      <c r="G163" s="171">
        <f>F156</f>
        <v>0</v>
      </c>
      <c r="H163">
        <f>ROUND(B156,$O$1)</f>
        <v>435.71</v>
      </c>
      <c r="I163">
        <f>ROUND(B156+'Slide Measurements'!$D$1,$O$1)</f>
        <v>512.16</v>
      </c>
      <c r="J163">
        <f>C156</f>
        <v>74.72</v>
      </c>
      <c r="K163">
        <f>C156+'Slide Measurements'!$D$2</f>
        <v>102.12</v>
      </c>
      <c r="L163" s="5" t="str">
        <f>'Expanded Base Data'!$L154</f>
        <v/>
      </c>
      <c r="M163" s="5" t="str">
        <f>'Expanded Base Data'!$K154</f>
        <v/>
      </c>
      <c r="N163">
        <f t="shared" si="134"/>
        <v>76.45</v>
      </c>
      <c r="O163">
        <f t="shared" si="135"/>
        <v>27.4</v>
      </c>
      <c r="P163" s="5" t="e">
        <f>ROUND((L163-M163),$O$1)</f>
        <v>#VALUE!</v>
      </c>
      <c r="Q163">
        <f>'Code List'!$C$70</f>
        <v>11</v>
      </c>
      <c r="R163">
        <f>'Code List'!$D$70</f>
        <v>19</v>
      </c>
      <c r="S163" t="e">
        <f>IF(P163=0,"1",ROUND((P163/$K$1)+$M$1,0))</f>
        <v>#VALUE!</v>
      </c>
      <c r="T163" t="e">
        <f>Q163*R163*S163</f>
        <v>#VALUE!</v>
      </c>
      <c r="U163" t="str">
        <f>IF(A163="YES",CONCATENATE(G163,"_",'Program Page'!$C$4,'Program Page'!$C$5,"_",D163,"_",E163),"")</f>
        <v/>
      </c>
      <c r="V163" t="str">
        <f>IF(U163="","",CONCATENATE(U163,"_"))</f>
        <v/>
      </c>
      <c r="W163" t="str">
        <f>IF(A163="YES",CONCATENATE("{",'Code List'!$B$4,'Code List'!$D$4,",",'Code List'!$B$5,'Code List'!$D$5,",",'Code List'!$B$6,"""",U163,"""",",",'Code List'!$B$7,'Code List'!$D$7,",",'Code List'!$B$8,'Code List'!$D$8,",",'Code List'!$B$9,'Code List'!$D$9,",",'Code List'!$B$10,'Code List'!$D$10,",",'Code List'!$B$11,"""",V163,"""",",",'Code List'!$B$12,"""",H163,"""",",",'Code List'!$B$13,"""",I163,"""",",",'Code List'!$B$14,"""",J163,"""",",",'Code List'!$B$15,"""",K163,"""",",",'Code List'!$B$16,"""",L163,"""",",",'Code List'!$B$17,"""",M163,"""",",",'Code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163" s="167" t="str">
        <f>IF(A163="YES",CONCATENATE("{",'Code List'!$B$31,"""",U163,"""",",",'Code List'!$B$32,'Code List'!$D$32,",",'Code List'!$B$33,'Code List'!$D$33,",",'Code List'!$B$34,'Code List'!$D$34,",",'Code List'!$B$35,'Code List'!$D$35,",",'Code List'!$B$36,'Code List'!$D$36,",",'Code List'!$B$37,'Code List'!$D$37,",",'Code List'!$B$38,"""",H163,"""",",",'Code List'!$B$39,"""",I163,"""",",",'Code List'!$B$40,"""",J163,"""",",",'Code List'!$B$41,"""",K163,"""",",",'Code List'!$B$42,"""",L163,"""",",",'Code List'!$B$43,"""",M163,"""",",",'Code List'!$B$44,"""",N163,"""",",",'Code List'!$B$45,"""",O163,"""",",",'Code List'!$B$46,"""",P163,"""",",",'Code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List'!$B$59,"""",T163,"""","}"),"")</f>
        <v/>
      </c>
    </row>
    <row r="164" spans="1:25" ht="18.75" x14ac:dyDescent="0.3">
      <c r="A164" s="35" t="str">
        <f>IF(OR(E164=$C$1,E164=$D$1,E164=$E$1),"YES","NO")</f>
        <v>NO</v>
      </c>
      <c r="B164" s="35">
        <f>'Expanded Base Data'!D162</f>
        <v>522.61</v>
      </c>
      <c r="C164" s="35">
        <f>'Expanded Base Data'!E162</f>
        <v>74.72</v>
      </c>
      <c r="D164" s="36" t="str">
        <f>'Expanded Base Data'!B162</f>
        <v>3G</v>
      </c>
      <c r="E164" s="35">
        <f>'Expanded Base Data'!C162</f>
        <v>0</v>
      </c>
      <c r="F164" s="35">
        <f>'Expanded Base Data'!M162</f>
        <v>0</v>
      </c>
      <c r="G164" s="170">
        <f>F164</f>
        <v>0</v>
      </c>
      <c r="Y164" s="167" t="str">
        <f>""</f>
        <v/>
      </c>
    </row>
    <row r="165" spans="1:25" x14ac:dyDescent="0.25">
      <c r="A165" t="str">
        <f>IF(AND($A164="YES",E164=$C$1),"YES","NO")</f>
        <v>NO</v>
      </c>
      <c r="C165" t="s">
        <v>6</v>
      </c>
      <c r="D165" s="12" t="str">
        <f>D164</f>
        <v>3G</v>
      </c>
      <c r="E165" t="s">
        <v>6</v>
      </c>
      <c r="F165" t="s">
        <v>198</v>
      </c>
      <c r="G165" s="171">
        <f>F164</f>
        <v>0</v>
      </c>
      <c r="H165">
        <f>IF('Expanded Base Data'!N162="",ROUND(B164+'Slide Measurements'!$D$11,$O$1),B164+'Expanded Base Data'!N162)</f>
        <v>555.61</v>
      </c>
      <c r="I165">
        <f>IF('Expanded Base Data'!O162="",ROUND(B164+'Slide Measurements'!$D$12,$O$1),B164+'Expanded Base Data'!O162)</f>
        <v>564.21</v>
      </c>
      <c r="J165">
        <f>IF('Expanded Base Data'!P162="",C164+'Slide Measurements'!$E$13,C164+'Expanded Base Data'!P162)</f>
        <v>83.42</v>
      </c>
      <c r="K165">
        <f>IF('Expanded Base Data'!Q162="",C164+'Slide Measurements'!$E$14,C164+'Expanded Base Data'!Q162)</f>
        <v>92.02</v>
      </c>
      <c r="L165" s="5" t="str">
        <f>'Expanded Base Data'!$L162</f>
        <v/>
      </c>
      <c r="M165" s="5" t="str">
        <f>'Expanded Base Data'!$K162</f>
        <v/>
      </c>
      <c r="N165">
        <f>ROUND((I165-H165),$O$1)</f>
        <v>8.6</v>
      </c>
      <c r="O165">
        <f>ROUND((K165-J165),$O$1)</f>
        <v>8.6</v>
      </c>
      <c r="P165" s="5" t="e">
        <f>ROUND((L165-M165),$O$1)</f>
        <v>#VALUE!</v>
      </c>
      <c r="Q165">
        <f>'Code List'!$C$62</f>
        <v>5</v>
      </c>
      <c r="R165">
        <f>F166+'Code List'!$G$63</f>
        <v>2</v>
      </c>
      <c r="S165" t="e">
        <f>IF(P165=0,"1",ROUND((P165/$K$1)+$M$1,0))</f>
        <v>#VALUE!</v>
      </c>
      <c r="T165" t="e">
        <f>Q165*R165*S165</f>
        <v>#VALUE!</v>
      </c>
      <c r="U165" t="str">
        <f>IF(A165="YES",CONCATENATE(G165,"_",'Program Page'!$C$4,'Program Page'!$C$5,"_",D165,"_",E165),"")</f>
        <v/>
      </c>
      <c r="V165" t="str">
        <f>IF(U165="","",CONCATENATE(U165,"_"))</f>
        <v/>
      </c>
      <c r="W165" t="str">
        <f>IF(A165="YES",CONCATENATE("{",'Code List'!$B$4,'Code List'!$D$4,",",'Code List'!$B$5,'Code List'!$D$5,",",'Code List'!$B$6,"""",U165,"""",",",'Code List'!$B$7,'Code List'!$D$7,",",'Code List'!$B$8,'Code List'!$D$8,",",'Code List'!$B$9,'Code List'!$D$9,",",'Code List'!$B$10,'Code List'!$D$10,",",'Code List'!$B$11,"""",V165,"""",",",'Code List'!$B$12,"""",H165,"""",",",'Code List'!$B$13,"""",I165,"""",",",'Code List'!$B$14,"""",J165,"""",",",'Code List'!$B$15,"""",K165,"""",",",'Code List'!$B$16,"""",L165,"""",",",'Code List'!$B$17,"""",M165,"""",",",'Code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65" s="167" t="str">
        <f>IF(A165="YES",CONCATENATE("{",'Code List'!$B$31,"""",U165,"""",",",'Code List'!$B$32,'Code List'!$D$32,",",'Code List'!$B$33,'Code List'!$D$33,",",'Code List'!$B$34,'Code List'!$D$34,",",'Code List'!$B$35,'Code List'!$D$35,",",'Code List'!$B$36,'Code List'!$D$36,",",'Code List'!$B$37,'Code List'!$D$37,",",'Code List'!$B$38,"""",H165,"""",",",'Code List'!$B$39,"""",I165,"""",",",'Code List'!$B$40,"""",J165,"""",",",'Code List'!$B$41,"""",K165,"""",",",'Code List'!$B$42,"""",L165,"""",",",'Code List'!$B$43,"""",M165,"""",",",'Code List'!$B$44,"""",N165,"""",",",'Code List'!$B$45,"""",O165,"""",",",'Code List'!$B$46,"""",P165,"""",",",'Code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List'!$B$59,"""",T165,"""","}"),"")</f>
        <v/>
      </c>
    </row>
    <row r="166" spans="1:25" x14ac:dyDescent="0.25">
      <c r="A166" t="str">
        <f>IF(AND($A164="YES",E164=$D$1,F166&gt;0),"YES","NO")</f>
        <v>NO</v>
      </c>
      <c r="C166" t="s">
        <v>5</v>
      </c>
      <c r="D166" s="12" t="str">
        <f t="shared" ref="D166:D170" si="140">D165</f>
        <v>3G</v>
      </c>
      <c r="E166" t="s">
        <v>188</v>
      </c>
      <c r="F166">
        <f>'Expanded Base Data'!F162</f>
        <v>0</v>
      </c>
      <c r="G166" s="171">
        <f>F164</f>
        <v>0</v>
      </c>
      <c r="H166">
        <f>ROUND(B164+'Slide Measurements'!$D$17,$O$1)</f>
        <v>548.01</v>
      </c>
      <c r="I166">
        <f>ROUND(H166+(F166*'Slide Measurements'!$D$21),$O$1)</f>
        <v>548.01</v>
      </c>
      <c r="J166">
        <f>C164+'Slide Measurements'!$E$17</f>
        <v>79.02</v>
      </c>
      <c r="K166">
        <f>J166+($I$1*'Slide Measurements'!$E$23-'Slide Measurements'!$E$23)</f>
        <v>80.86999999999999</v>
      </c>
      <c r="L166" s="5" t="str">
        <f>'Expanded Base Data'!$L162</f>
        <v/>
      </c>
      <c r="M166" s="5" t="str">
        <f>'Expanded Base Data'!$K162</f>
        <v/>
      </c>
      <c r="N166">
        <f t="shared" ref="N166:N171" si="141">ROUND((I166-H166),$O$1)</f>
        <v>0</v>
      </c>
      <c r="O166">
        <f t="shared" ref="O166:O171" si="142">ROUND((K166-J166),$O$1)</f>
        <v>1.85</v>
      </c>
      <c r="P166" s="5" t="e">
        <f t="shared" ref="P166:P170" si="143">ROUND((L166-M166),$O$1)</f>
        <v>#VALUE!</v>
      </c>
      <c r="Q166">
        <f>'Code List'!$C$63</f>
        <v>3</v>
      </c>
      <c r="R166">
        <f>F167+'Code List'!$G$63</f>
        <v>2</v>
      </c>
      <c r="S166" t="e">
        <f t="shared" ref="S166:S170" si="144">IF(P166=0,"1",ROUND((P166/$K$1)+$M$1,0))</f>
        <v>#VALUE!</v>
      </c>
      <c r="T166" t="e">
        <f>Q166*R166*S166</f>
        <v>#VALUE!</v>
      </c>
      <c r="U166" t="str">
        <f>IF(A166="YES",CONCATENATE(G166,"_",'Program Page'!$C$4,'Program Page'!$C$5,"_",D166,"_",E166),"")</f>
        <v/>
      </c>
      <c r="V166" t="str">
        <f t="shared" ref="V166:V170" si="145">IF(U166="","",CONCATENATE(U166,"_"))</f>
        <v/>
      </c>
      <c r="W166" t="str">
        <f>IF(A166="YES",CONCATENATE("{",'Code List'!$B$4,'Code List'!$D$4,",",'Code List'!$B$5,'Code List'!$D$5,",",'Code List'!$B$6,"""",U166,"""",",",'Code List'!$B$7,'Code List'!$D$7,",",'Code List'!$B$8,'Code List'!$D$8,",",'Code List'!$B$9,'Code List'!$D$9,",",'Code List'!$B$10,'Code List'!$D$10,",",'Code List'!$B$11,"""",V166,"""",",",'Code List'!$B$12,"""",H166,"""",",",'Code List'!$B$13,"""",I166,"""",",",'Code List'!$B$14,"""",J166,"""",",",'Code List'!$B$15,"""",K166,"""",",",'Code List'!$B$16,"""",L166,"""",",",'Code List'!$B$17,"""",M166,"""",",",'Code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66" s="167" t="str">
        <f>IF(A166="YES",CONCATENATE("{",'Code List'!$B$31,"""",U166,"""",",",'Code List'!$B$32,'Code List'!$D$32,",",'Code List'!$B$33,'Code List'!$D$33,",",'Code List'!$B$34,'Code List'!$D$34,",",'Code List'!$B$35,'Code List'!$D$35,",",'Code List'!$B$36,'Code List'!$D$36,",",'Code List'!$B$37,'Code List'!$D$37,",",'Code List'!$B$38,"""",H166,"""",",",'Code List'!$B$39,"""",I166,"""",",",'Code List'!$B$40,"""",J166,"""",",",'Code List'!$B$41,"""",K166,"""",",",'Code List'!$B$42,"""",L166,"""",",",'Code List'!$B$43,"""",M166,"""",",",'Code List'!$B$44,"""",N166,"""",",",'Code List'!$B$45,"""",O166,"""",",",'Code List'!$B$46,"""",P166,"""",",",'Code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List'!$B$59,"""",T166,"""","}"),"")</f>
        <v/>
      </c>
    </row>
    <row r="167" spans="1:25" x14ac:dyDescent="0.25">
      <c r="A167" t="str">
        <f>IF(AND($A164="YES",E164=$D$1,F167&gt;0),"YES","NO")</f>
        <v>NO</v>
      </c>
      <c r="C167" t="s">
        <v>5</v>
      </c>
      <c r="D167" s="12" t="str">
        <f t="shared" si="140"/>
        <v>3G</v>
      </c>
      <c r="E167" t="s">
        <v>189</v>
      </c>
      <c r="F167">
        <f>'Expanded Base Data'!G162</f>
        <v>0</v>
      </c>
      <c r="G167" s="171">
        <f>F164</f>
        <v>0</v>
      </c>
      <c r="H167">
        <f>ROUND(B164+'Slide Measurements'!$D$17,$O$1)</f>
        <v>548.01</v>
      </c>
      <c r="I167">
        <f>ROUND(H167+(F167*'Slide Measurements'!$D$21),$O$1)</f>
        <v>548.01</v>
      </c>
      <c r="J167">
        <f>K166</f>
        <v>80.86999999999999</v>
      </c>
      <c r="K167">
        <f>J167+($I$1*'Slide Measurements'!$E$23-'Slide Measurements'!$E$23)</f>
        <v>82.719999999999985</v>
      </c>
      <c r="L167" s="5" t="str">
        <f>'Expanded Base Data'!$L162</f>
        <v/>
      </c>
      <c r="M167" s="5" t="str">
        <f>'Expanded Base Data'!$K162</f>
        <v/>
      </c>
      <c r="N167">
        <f t="shared" si="141"/>
        <v>0</v>
      </c>
      <c r="O167">
        <f t="shared" si="142"/>
        <v>1.85</v>
      </c>
      <c r="P167" s="5" t="e">
        <f t="shared" si="143"/>
        <v>#VALUE!</v>
      </c>
      <c r="Q167">
        <f>'Code List'!$C$63</f>
        <v>3</v>
      </c>
      <c r="R167">
        <f>F168+'Code List'!$G$63</f>
        <v>2</v>
      </c>
      <c r="S167" t="e">
        <f t="shared" si="144"/>
        <v>#VALUE!</v>
      </c>
      <c r="T167" t="e">
        <f t="shared" ref="T167:T170" si="146">Q167*R167*S167</f>
        <v>#VALUE!</v>
      </c>
      <c r="U167" t="str">
        <f>IF(A167="YES",CONCATENATE(G167,"_",'Program Page'!$C$4,'Program Page'!$C$5,"_",D167,"_",E167),"")</f>
        <v/>
      </c>
      <c r="V167" t="str">
        <f t="shared" si="145"/>
        <v/>
      </c>
      <c r="W167" t="str">
        <f>IF(A167="YES",CONCATENATE("{",'Code List'!$B$4,'Code List'!$D$4,",",'Code List'!$B$5,'Code List'!$D$5,",",'Code List'!$B$6,"""",U167,"""",",",'Code List'!$B$7,'Code List'!$D$7,",",'Code List'!$B$8,'Code List'!$D$8,",",'Code List'!$B$9,'Code List'!$D$9,",",'Code List'!$B$10,'Code List'!$D$10,",",'Code List'!$B$11,"""",V167,"""",",",'Code List'!$B$12,"""",H167,"""",",",'Code List'!$B$13,"""",I167,"""",",",'Code List'!$B$14,"""",J167,"""",",",'Code List'!$B$15,"""",K167,"""",",",'Code List'!$B$16,"""",L167,"""",",",'Code List'!$B$17,"""",M167,"""",",",'Code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67" s="167" t="str">
        <f>IF(A167="YES",CONCATENATE("{",'Code List'!$B$31,"""",U167,"""",",",'Code List'!$B$32,'Code List'!$D$32,",",'Code List'!$B$33,'Code List'!$D$33,",",'Code List'!$B$34,'Code List'!$D$34,",",'Code List'!$B$35,'Code List'!$D$35,",",'Code List'!$B$36,'Code List'!$D$36,",",'Code List'!$B$37,'Code List'!$D$37,",",'Code List'!$B$38,"""",H167,"""",",",'Code List'!$B$39,"""",I167,"""",",",'Code List'!$B$40,"""",J167,"""",",",'Code List'!$B$41,"""",K167,"""",",",'Code List'!$B$42,"""",L167,"""",",",'Code List'!$B$43,"""",M167,"""",",",'Code List'!$B$44,"""",N167,"""",",",'Code List'!$B$45,"""",O167,"""",",",'Code List'!$B$46,"""",P167,"""",",",'Code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List'!$B$59,"""",T167,"""","}"),"")</f>
        <v/>
      </c>
    </row>
    <row r="168" spans="1:25" x14ac:dyDescent="0.25">
      <c r="A168" t="str">
        <f>IF(AND($A164="YES",E164=$D$1,F168&gt;0),"YES","NO")</f>
        <v>NO</v>
      </c>
      <c r="C168" t="s">
        <v>5</v>
      </c>
      <c r="D168" s="12" t="str">
        <f t="shared" si="140"/>
        <v>3G</v>
      </c>
      <c r="E168" t="s">
        <v>190</v>
      </c>
      <c r="F168">
        <f>'Expanded Base Data'!H162</f>
        <v>0</v>
      </c>
      <c r="G168" s="171">
        <f>F164</f>
        <v>0</v>
      </c>
      <c r="H168">
        <f>ROUND(B164+'Slide Measurements'!$D$17,$O$1)</f>
        <v>548.01</v>
      </c>
      <c r="I168">
        <f>ROUND(H168+(F168*'Slide Measurements'!$D$21),$O$1)</f>
        <v>548.01</v>
      </c>
      <c r="J168">
        <f>K167</f>
        <v>82.719999999999985</v>
      </c>
      <c r="K168">
        <f>J168+($I$1*'Slide Measurements'!$E$23-'Slide Measurements'!$E$23)</f>
        <v>84.569999999999979</v>
      </c>
      <c r="L168" s="5" t="str">
        <f>'Expanded Base Data'!$L162</f>
        <v/>
      </c>
      <c r="M168" s="5" t="str">
        <f>'Expanded Base Data'!$K162</f>
        <v/>
      </c>
      <c r="N168">
        <f t="shared" si="141"/>
        <v>0</v>
      </c>
      <c r="O168">
        <f t="shared" si="142"/>
        <v>1.85</v>
      </c>
      <c r="P168" s="5" t="e">
        <f t="shared" si="143"/>
        <v>#VALUE!</v>
      </c>
      <c r="Q168">
        <f>'Code List'!$C$63</f>
        <v>3</v>
      </c>
      <c r="R168">
        <f>F169+'Code List'!$G$63</f>
        <v>2</v>
      </c>
      <c r="S168" t="e">
        <f t="shared" si="144"/>
        <v>#VALUE!</v>
      </c>
      <c r="T168" t="e">
        <f t="shared" si="146"/>
        <v>#VALUE!</v>
      </c>
      <c r="U168" t="str">
        <f>IF(A168="YES",CONCATENATE(G168,"_",'Program Page'!$C$4,'Program Page'!$C$5,"_",D168,"_",E168),"")</f>
        <v/>
      </c>
      <c r="V168" t="str">
        <f t="shared" si="145"/>
        <v/>
      </c>
      <c r="W168" t="str">
        <f>IF(A168="YES",CONCATENATE("{",'Code List'!$B$4,'Code List'!$D$4,",",'Code List'!$B$5,'Code List'!$D$5,",",'Code List'!$B$6,"""",U168,"""",",",'Code List'!$B$7,'Code List'!$D$7,",",'Code List'!$B$8,'Code List'!$D$8,",",'Code List'!$B$9,'Code List'!$D$9,",",'Code List'!$B$10,'Code List'!$D$10,",",'Code List'!$B$11,"""",V168,"""",",",'Code List'!$B$12,"""",H168,"""",",",'Code List'!$B$13,"""",I168,"""",",",'Code List'!$B$14,"""",J168,"""",",",'Code List'!$B$15,"""",K168,"""",",",'Code List'!$B$16,"""",L168,"""",",",'Code List'!$B$17,"""",M168,"""",",",'Code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68" s="167" t="str">
        <f>IF(A168="YES",CONCATENATE("{",'Code List'!$B$31,"""",U168,"""",",",'Code List'!$B$32,'Code List'!$D$32,",",'Code List'!$B$33,'Code List'!$D$33,",",'Code List'!$B$34,'Code List'!$D$34,",",'Code List'!$B$35,'Code List'!$D$35,",",'Code List'!$B$36,'Code List'!$D$36,",",'Code List'!$B$37,'Code List'!$D$37,",",'Code List'!$B$38,"""",H168,"""",",",'Code List'!$B$39,"""",I168,"""",",",'Code List'!$B$40,"""",J168,"""",",",'Code List'!$B$41,"""",K168,"""",",",'Code List'!$B$42,"""",L168,"""",",",'Code List'!$B$43,"""",M168,"""",",",'Code List'!$B$44,"""",N168,"""",",",'Code List'!$B$45,"""",O168,"""",",",'Code List'!$B$46,"""",P168,"""",",",'Code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List'!$B$59,"""",T168,"""","}"),"")</f>
        <v/>
      </c>
    </row>
    <row r="169" spans="1:25" x14ac:dyDescent="0.25">
      <c r="A169" t="str">
        <f>IF(AND($A164="YES",E164=$D$1,F169&gt;0),"YES","NO")</f>
        <v>NO</v>
      </c>
      <c r="C169" t="s">
        <v>5</v>
      </c>
      <c r="D169" s="12" t="str">
        <f t="shared" si="140"/>
        <v>3G</v>
      </c>
      <c r="E169" t="s">
        <v>191</v>
      </c>
      <c r="F169">
        <f>'Expanded Base Data'!I162</f>
        <v>0</v>
      </c>
      <c r="G169" s="171">
        <f>F164</f>
        <v>0</v>
      </c>
      <c r="H169">
        <f>ROUND(B164+'Slide Measurements'!$D$17,$O$1)</f>
        <v>548.01</v>
      </c>
      <c r="I169">
        <f>ROUND(H169+(F169*'Slide Measurements'!$D$21),$O$1)</f>
        <v>548.01</v>
      </c>
      <c r="J169">
        <f>K168</f>
        <v>84.569999999999979</v>
      </c>
      <c r="K169">
        <f>J169+($I$1*'Slide Measurements'!$E$23-'Slide Measurements'!$E$23)</f>
        <v>86.419999999999973</v>
      </c>
      <c r="L169" s="5" t="str">
        <f>'Expanded Base Data'!$L162</f>
        <v/>
      </c>
      <c r="M169" s="5" t="str">
        <f>'Expanded Base Data'!$K162</f>
        <v/>
      </c>
      <c r="N169">
        <f t="shared" si="141"/>
        <v>0</v>
      </c>
      <c r="O169">
        <f t="shared" si="142"/>
        <v>1.85</v>
      </c>
      <c r="P169" s="5" t="e">
        <f t="shared" si="143"/>
        <v>#VALUE!</v>
      </c>
      <c r="Q169">
        <f>'Code List'!$C$63</f>
        <v>3</v>
      </c>
      <c r="R169">
        <f>F170+'Code List'!$G$63</f>
        <v>2</v>
      </c>
      <c r="S169" t="e">
        <f t="shared" si="144"/>
        <v>#VALUE!</v>
      </c>
      <c r="T169" t="e">
        <f t="shared" si="146"/>
        <v>#VALUE!</v>
      </c>
      <c r="U169" t="str">
        <f>IF(A169="YES",CONCATENATE(G169,"_",'Program Page'!$C$4,'Program Page'!$C$5,"_",D169,"_",E169),"")</f>
        <v/>
      </c>
      <c r="V169" t="str">
        <f t="shared" si="145"/>
        <v/>
      </c>
      <c r="W169" t="str">
        <f>IF(A169="YES",CONCATENATE("{",'Code List'!$B$4,'Code List'!$D$4,",",'Code List'!$B$5,'Code List'!$D$5,",",'Code List'!$B$6,"""",U169,"""",",",'Code List'!$B$7,'Code List'!$D$7,",",'Code List'!$B$8,'Code List'!$D$8,",",'Code List'!$B$9,'Code List'!$D$9,",",'Code List'!$B$10,'Code List'!$D$10,",",'Code List'!$B$11,"""",V169,"""",",",'Code List'!$B$12,"""",H169,"""",",",'Code List'!$B$13,"""",I169,"""",",",'Code List'!$B$14,"""",J169,"""",",",'Code List'!$B$15,"""",K169,"""",",",'Code List'!$B$16,"""",L169,"""",",",'Code List'!$B$17,"""",M169,"""",",",'Code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69" s="167" t="str">
        <f>IF(A169="YES",CONCATENATE("{",'Code List'!$B$31,"""",U169,"""",",",'Code List'!$B$32,'Code List'!$D$32,",",'Code List'!$B$33,'Code List'!$D$33,",",'Code List'!$B$34,'Code List'!$D$34,",",'Code List'!$B$35,'Code List'!$D$35,",",'Code List'!$B$36,'Code List'!$D$36,",",'Code List'!$B$37,'Code List'!$D$37,",",'Code List'!$B$38,"""",H169,"""",",",'Code List'!$B$39,"""",I169,"""",",",'Code List'!$B$40,"""",J169,"""",",",'Code List'!$B$41,"""",K169,"""",",",'Code List'!$B$42,"""",L169,"""",",",'Code List'!$B$43,"""",M169,"""",",",'Code List'!$B$44,"""",N169,"""",",",'Code List'!$B$45,"""",O169,"""",",",'Code List'!$B$46,"""",P169,"""",",",'Code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List'!$B$59,"""",T169,"""","}"),"")</f>
        <v/>
      </c>
    </row>
    <row r="170" spans="1:25" x14ac:dyDescent="0.25">
      <c r="A170" t="str">
        <f>IF(AND($A164="YES",E164=$D$1,F170&gt;0),"YES","NO")</f>
        <v>NO</v>
      </c>
      <c r="C170" t="s">
        <v>5</v>
      </c>
      <c r="D170" s="12" t="str">
        <f t="shared" si="140"/>
        <v>3G</v>
      </c>
      <c r="E170" t="s">
        <v>196</v>
      </c>
      <c r="F170">
        <f>'Expanded Base Data'!J162</f>
        <v>0</v>
      </c>
      <c r="G170" s="171">
        <f>F164</f>
        <v>0</v>
      </c>
      <c r="H170">
        <f>ROUND(B164+'Slide Measurements'!$D$17,$O$1)</f>
        <v>548.01</v>
      </c>
      <c r="I170">
        <f>ROUND(H170+(F170*'Slide Measurements'!$D$21),$O$1)</f>
        <v>548.01</v>
      </c>
      <c r="J170">
        <f>K169</f>
        <v>86.419999999999973</v>
      </c>
      <c r="K170">
        <f>J170+($I$1*'Slide Measurements'!$E$23-'Slide Measurements'!$E$23)</f>
        <v>88.269999999999968</v>
      </c>
      <c r="L170" s="5" t="str">
        <f>'Expanded Base Data'!$L162</f>
        <v/>
      </c>
      <c r="M170" s="5" t="str">
        <f>'Expanded Base Data'!$K162</f>
        <v/>
      </c>
      <c r="N170">
        <f t="shared" si="141"/>
        <v>0</v>
      </c>
      <c r="O170">
        <f t="shared" si="142"/>
        <v>1.85</v>
      </c>
      <c r="P170" s="5" t="e">
        <f t="shared" si="143"/>
        <v>#VALUE!</v>
      </c>
      <c r="Q170">
        <f>'Code List'!$C$63</f>
        <v>3</v>
      </c>
      <c r="R170">
        <f>F171+'Code List'!$G$63</f>
        <v>2</v>
      </c>
      <c r="S170" t="e">
        <f t="shared" si="144"/>
        <v>#VALUE!</v>
      </c>
      <c r="T170" t="e">
        <f t="shared" si="146"/>
        <v>#VALUE!</v>
      </c>
      <c r="U170" t="str">
        <f>IF(A170="YES",CONCATENATE(G170,"_",'Program Page'!$C$4,'Program Page'!$C$5,"_",D170,"_",E170),"")</f>
        <v/>
      </c>
      <c r="V170" t="str">
        <f t="shared" si="145"/>
        <v/>
      </c>
      <c r="W170" t="str">
        <f>IF(A170="YES",CONCATENATE("{",'Code List'!$B$4,'Code List'!$D$4,",",'Code List'!$B$5,'Code List'!$D$5,",",'Code List'!$B$6,"""",U170,"""",",",'Code List'!$B$7,'Code List'!$D$7,",",'Code List'!$B$8,'Code List'!$D$8,",",'Code List'!$B$9,'Code List'!$D$9,",",'Code List'!$B$10,'Code List'!$D$10,",",'Code List'!$B$11,"""",V170,"""",",",'Code List'!$B$12,"""",H170,"""",",",'Code List'!$B$13,"""",I170,"""",",",'Code List'!$B$14,"""",J170,"""",",",'Code List'!$B$15,"""",K170,"""",",",'Code List'!$B$16,"""",L170,"""",",",'Code List'!$B$17,"""",M170,"""",",",'Code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70" s="167" t="str">
        <f>IF(A170="YES",CONCATENATE("{",'Code List'!$B$31,"""",U170,"""",",",'Code List'!$B$32,'Code List'!$D$32,",",'Code List'!$B$33,'Code List'!$D$33,",",'Code List'!$B$34,'Code List'!$D$34,",",'Code List'!$B$35,'Code List'!$D$35,",",'Code List'!$B$36,'Code List'!$D$36,",",'Code List'!$B$37,'Code List'!$D$37,",",'Code List'!$B$38,"""",H170,"""",",",'Code List'!$B$39,"""",I170,"""",",",'Code List'!$B$40,"""",J170,"""",",",'Code List'!$B$41,"""",K170,"""",",",'Code List'!$B$42,"""",L170,"""",",",'Code List'!$B$43,"""",M170,"""",",",'Code List'!$B$44,"""",N170,"""",",",'Code List'!$B$45,"""",O170,"""",",",'Code List'!$B$46,"""",P170,"""",",",'Code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List'!$B$59,"""",T170,"""","}"),"")</f>
        <v/>
      </c>
    </row>
    <row r="171" spans="1:25" x14ac:dyDescent="0.25">
      <c r="A171" s="162" t="str">
        <f>IF(AND($A164="YES",E164=$E$1),"YES","NO")</f>
        <v>NO</v>
      </c>
      <c r="C171" t="s">
        <v>259</v>
      </c>
      <c r="D171" s="12" t="str">
        <f>D170</f>
        <v>3G</v>
      </c>
      <c r="E171" t="s">
        <v>259</v>
      </c>
      <c r="G171" s="171">
        <f>F164</f>
        <v>0</v>
      </c>
      <c r="H171">
        <f>ROUND(B164,$O$1)</f>
        <v>522.61</v>
      </c>
      <c r="I171">
        <f>ROUND(B164+'Slide Measurements'!$D$1,$O$1)</f>
        <v>599.05999999999995</v>
      </c>
      <c r="J171">
        <f>C164</f>
        <v>74.72</v>
      </c>
      <c r="K171">
        <f>C164+'Slide Measurements'!$D$2</f>
        <v>102.12</v>
      </c>
      <c r="L171" s="5" t="str">
        <f>'Expanded Base Data'!$L162</f>
        <v/>
      </c>
      <c r="M171" s="5" t="str">
        <f>'Expanded Base Data'!$K162</f>
        <v/>
      </c>
      <c r="N171">
        <f t="shared" si="141"/>
        <v>76.45</v>
      </c>
      <c r="O171">
        <f t="shared" si="142"/>
        <v>27.4</v>
      </c>
      <c r="P171" s="5" t="e">
        <f>ROUND((L171-M171),$O$1)</f>
        <v>#VALUE!</v>
      </c>
      <c r="Q171">
        <f>'Code List'!$C$70</f>
        <v>11</v>
      </c>
      <c r="R171">
        <f>'Code List'!$D$70</f>
        <v>19</v>
      </c>
      <c r="S171" t="e">
        <f>IF(P171=0,"1",ROUND((P171/$K$1)+$M$1,0))</f>
        <v>#VALUE!</v>
      </c>
      <c r="T171" t="e">
        <f>Q171*R171*S171</f>
        <v>#VALUE!</v>
      </c>
      <c r="U171" t="str">
        <f>IF(A171="YES",CONCATENATE(G171,"_",'Program Page'!$C$4,'Program Page'!$C$5,"_",D171,"_",E171),"")</f>
        <v/>
      </c>
      <c r="V171" t="str">
        <f>IF(U171="","",CONCATENATE(U171,"_"))</f>
        <v/>
      </c>
      <c r="W171" t="str">
        <f>IF(A171="YES",CONCATENATE("{",'Code List'!$B$4,'Code List'!$D$4,",",'Code List'!$B$5,'Code List'!$D$5,",",'Code List'!$B$6,"""",U171,"""",",",'Code List'!$B$7,'Code List'!$D$7,",",'Code List'!$B$8,'Code List'!$D$8,",",'Code List'!$B$9,'Code List'!$D$9,",",'Code List'!$B$10,'Code List'!$D$10,",",'Code List'!$B$11,"""",V171,"""",",",'Code List'!$B$12,"""",H171,"""",",",'Code List'!$B$13,"""",I171,"""",",",'Code List'!$B$14,"""",J171,"""",",",'Code List'!$B$15,"""",K171,"""",",",'Code List'!$B$16,"""",L171,"""",",",'Code List'!$B$17,"""",M171,"""",",",'Code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171" s="167" t="str">
        <f>IF(A171="YES",CONCATENATE("{",'Code List'!$B$31,"""",U171,"""",",",'Code List'!$B$32,'Code List'!$D$32,",",'Code List'!$B$33,'Code List'!$D$33,",",'Code List'!$B$34,'Code List'!$D$34,",",'Code List'!$B$35,'Code List'!$D$35,",",'Code List'!$B$36,'Code List'!$D$36,",",'Code List'!$B$37,'Code List'!$D$37,",",'Code List'!$B$38,"""",H171,"""",",",'Code List'!$B$39,"""",I171,"""",",",'Code List'!$B$40,"""",J171,"""",",",'Code List'!$B$41,"""",K171,"""",",",'Code List'!$B$42,"""",L171,"""",",",'Code List'!$B$43,"""",M171,"""",",",'Code List'!$B$44,"""",N171,"""",",",'Code List'!$B$45,"""",O171,"""",",",'Code List'!$B$46,"""",P171,"""",",",'Code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List'!$B$59,"""",T171,"""","}"),"")</f>
        <v/>
      </c>
    </row>
    <row r="172" spans="1:25" ht="18.75" x14ac:dyDescent="0.3">
      <c r="A172" s="35" t="str">
        <f>IF(OR(E172=$C$1,E172=$D$1,E172=$E$1),"YES","NO")</f>
        <v>NO</v>
      </c>
      <c r="B172" s="35">
        <f>'Expanded Base Data'!D170</f>
        <v>1.5099999999999998</v>
      </c>
      <c r="C172" s="35">
        <f>'Expanded Base Data'!E170</f>
        <v>126.24000000000001</v>
      </c>
      <c r="D172" s="36" t="str">
        <f>'Expanded Base Data'!B170</f>
        <v>4A</v>
      </c>
      <c r="E172" s="35">
        <f>'Expanded Base Data'!C170</f>
        <v>0</v>
      </c>
      <c r="F172" s="35">
        <f>'Expanded Base Data'!M170</f>
        <v>0</v>
      </c>
      <c r="G172" s="170">
        <f>F172</f>
        <v>0</v>
      </c>
      <c r="Y172" s="167" t="str">
        <f>""</f>
        <v/>
      </c>
    </row>
    <row r="173" spans="1:25" x14ac:dyDescent="0.25">
      <c r="A173" t="str">
        <f>IF(AND($A172="YES",E172=$C$1),"YES","NO")</f>
        <v>NO</v>
      </c>
      <c r="C173" t="s">
        <v>6</v>
      </c>
      <c r="D173" s="12" t="str">
        <f>D172</f>
        <v>4A</v>
      </c>
      <c r="E173" t="s">
        <v>6</v>
      </c>
      <c r="F173" t="s">
        <v>198</v>
      </c>
      <c r="G173" s="171">
        <f>F172</f>
        <v>0</v>
      </c>
      <c r="H173">
        <f>IF('Expanded Base Data'!N170="",ROUND(B172+'Slide Measurements'!$D$11,$O$1),B172+'Expanded Base Data'!N170)</f>
        <v>34.51</v>
      </c>
      <c r="I173">
        <f>IF('Expanded Base Data'!O170="",ROUND(B172+'Slide Measurements'!$D$12,$O$1),B172+'Expanded Base Data'!O170)</f>
        <v>43.11</v>
      </c>
      <c r="J173">
        <f>IF('Expanded Base Data'!P170="",C172+'Slide Measurements'!$E$13,C172+'Expanded Base Data'!P170)</f>
        <v>134.94</v>
      </c>
      <c r="K173">
        <f>IF('Expanded Base Data'!Q170="",C172+'Slide Measurements'!$E$14,C172+'Expanded Base Data'!Q170)</f>
        <v>143.54000000000002</v>
      </c>
      <c r="L173" s="5" t="str">
        <f>'Expanded Base Data'!$L170</f>
        <v/>
      </c>
      <c r="M173" s="5" t="str">
        <f>'Expanded Base Data'!$K170</f>
        <v/>
      </c>
      <c r="N173">
        <f>ROUND((I173-H173),$O$1)</f>
        <v>8.6</v>
      </c>
      <c r="O173">
        <f>ROUND((K173-J173),$O$1)</f>
        <v>8.6</v>
      </c>
      <c r="P173" s="5" t="e">
        <f>ROUND((L173-M173),$O$1)</f>
        <v>#VALUE!</v>
      </c>
      <c r="Q173">
        <f>'Code List'!$C$62</f>
        <v>5</v>
      </c>
      <c r="R173">
        <f>F174+'Code List'!$G$63</f>
        <v>2</v>
      </c>
      <c r="S173" t="e">
        <f>IF(P173=0,"1",ROUND((P173/$K$1)+$M$1,0))</f>
        <v>#VALUE!</v>
      </c>
      <c r="T173" t="e">
        <f>Q173*R173*S173</f>
        <v>#VALUE!</v>
      </c>
      <c r="U173" t="str">
        <f>IF(A173="YES",CONCATENATE(G173,"_",'Program Page'!$C$4,'Program Page'!$C$5,"_",D173,"_",E173),"")</f>
        <v/>
      </c>
      <c r="V173" t="str">
        <f>IF(U173="","",CONCATENATE(U173,"_"))</f>
        <v/>
      </c>
      <c r="W173" t="str">
        <f>IF(A173="YES",CONCATENATE("{",'Code List'!$B$4,'Code List'!$D$4,",",'Code List'!$B$5,'Code List'!$D$5,",",'Code List'!$B$6,"""",U173,"""",",",'Code List'!$B$7,'Code List'!$D$7,",",'Code List'!$B$8,'Code List'!$D$8,",",'Code List'!$B$9,'Code List'!$D$9,",",'Code List'!$B$10,'Code List'!$D$10,",",'Code List'!$B$11,"""",V173,"""",",",'Code List'!$B$12,"""",H173,"""",",",'Code List'!$B$13,"""",I173,"""",",",'Code List'!$B$14,"""",J173,"""",",",'Code List'!$B$15,"""",K173,"""",",",'Code List'!$B$16,"""",L173,"""",",",'Code List'!$B$17,"""",M173,"""",",",'Code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73" s="167" t="str">
        <f>IF(A173="YES",CONCATENATE("{",'Code List'!$B$31,"""",U173,"""",",",'Code List'!$B$32,'Code List'!$D$32,",",'Code List'!$B$33,'Code List'!$D$33,",",'Code List'!$B$34,'Code List'!$D$34,",",'Code List'!$B$35,'Code List'!$D$35,",",'Code List'!$B$36,'Code List'!$D$36,",",'Code List'!$B$37,'Code List'!$D$37,",",'Code List'!$B$38,"""",H173,"""",",",'Code List'!$B$39,"""",I173,"""",",",'Code List'!$B$40,"""",J173,"""",",",'Code List'!$B$41,"""",K173,"""",",",'Code List'!$B$42,"""",L173,"""",",",'Code List'!$B$43,"""",M173,"""",",",'Code List'!$B$44,"""",N173,"""",",",'Code List'!$B$45,"""",O173,"""",",",'Code List'!$B$46,"""",P173,"""",",",'Code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List'!$B$59,"""",T173,"""","}"),"")</f>
        <v/>
      </c>
    </row>
    <row r="174" spans="1:25" x14ac:dyDescent="0.25">
      <c r="A174" t="str">
        <f>IF(AND($A172="YES",E172=$D$1,F174&gt;0),"YES","NO")</f>
        <v>NO</v>
      </c>
      <c r="C174" t="s">
        <v>5</v>
      </c>
      <c r="D174" s="12" t="str">
        <f t="shared" ref="D174:D178" si="147">D173</f>
        <v>4A</v>
      </c>
      <c r="E174" t="s">
        <v>188</v>
      </c>
      <c r="F174">
        <f>'Expanded Base Data'!F170</f>
        <v>0</v>
      </c>
      <c r="G174" s="171">
        <f>F172</f>
        <v>0</v>
      </c>
      <c r="H174">
        <f>ROUND(B172+'Slide Measurements'!$D$17,$O$1)</f>
        <v>26.91</v>
      </c>
      <c r="I174">
        <f>ROUND(H174+(F174*'Slide Measurements'!$D$21),$O$1)</f>
        <v>26.91</v>
      </c>
      <c r="J174">
        <f>C172+'Slide Measurements'!$E$17</f>
        <v>130.54000000000002</v>
      </c>
      <c r="K174">
        <f>J174+($I$1*'Slide Measurements'!$E$23-'Slide Measurements'!$E$23)</f>
        <v>132.39000000000001</v>
      </c>
      <c r="L174" s="5" t="str">
        <f>'Expanded Base Data'!$L170</f>
        <v/>
      </c>
      <c r="M174" s="5" t="str">
        <f>'Expanded Base Data'!$K170</f>
        <v/>
      </c>
      <c r="N174">
        <f t="shared" ref="N174:N179" si="148">ROUND((I174-H174),$O$1)</f>
        <v>0</v>
      </c>
      <c r="O174">
        <f t="shared" ref="O174:O179" si="149">ROUND((K174-J174),$O$1)</f>
        <v>1.85</v>
      </c>
      <c r="P174" s="5" t="e">
        <f t="shared" ref="P174:P178" si="150">ROUND((L174-M174),$O$1)</f>
        <v>#VALUE!</v>
      </c>
      <c r="Q174">
        <f>'Code List'!$C$63</f>
        <v>3</v>
      </c>
      <c r="R174">
        <f>F175+'Code List'!$G$63</f>
        <v>2</v>
      </c>
      <c r="S174" t="e">
        <f t="shared" ref="S174:S178" si="151">IF(P174=0,"1",ROUND((P174/$K$1)+$M$1,0))</f>
        <v>#VALUE!</v>
      </c>
      <c r="T174" t="e">
        <f>Q174*R174*S174</f>
        <v>#VALUE!</v>
      </c>
      <c r="U174" t="str">
        <f>IF(A174="YES",CONCATENATE(G174,"_",'Program Page'!$C$4,'Program Page'!$C$5,"_",D174,"_",E174),"")</f>
        <v/>
      </c>
      <c r="V174" t="str">
        <f t="shared" ref="V174:V178" si="152">IF(U174="","",CONCATENATE(U174,"_"))</f>
        <v/>
      </c>
      <c r="W174" t="str">
        <f>IF(A174="YES",CONCATENATE("{",'Code List'!$B$4,'Code List'!$D$4,",",'Code List'!$B$5,'Code List'!$D$5,",",'Code List'!$B$6,"""",U174,"""",",",'Code List'!$B$7,'Code List'!$D$7,",",'Code List'!$B$8,'Code List'!$D$8,",",'Code List'!$B$9,'Code List'!$D$9,",",'Code List'!$B$10,'Code List'!$D$10,",",'Code List'!$B$11,"""",V174,"""",",",'Code List'!$B$12,"""",H174,"""",",",'Code List'!$B$13,"""",I174,"""",",",'Code List'!$B$14,"""",J174,"""",",",'Code List'!$B$15,"""",K174,"""",",",'Code List'!$B$16,"""",L174,"""",",",'Code List'!$B$17,"""",M174,"""",",",'Code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74" s="167" t="str">
        <f>IF(A174="YES",CONCATENATE("{",'Code List'!$B$31,"""",U174,"""",",",'Code List'!$B$32,'Code List'!$D$32,",",'Code List'!$B$33,'Code List'!$D$33,",",'Code List'!$B$34,'Code List'!$D$34,",",'Code List'!$B$35,'Code List'!$D$35,",",'Code List'!$B$36,'Code List'!$D$36,",",'Code List'!$B$37,'Code List'!$D$37,",",'Code List'!$B$38,"""",H174,"""",",",'Code List'!$B$39,"""",I174,"""",",",'Code List'!$B$40,"""",J174,"""",",",'Code List'!$B$41,"""",K174,"""",",",'Code List'!$B$42,"""",L174,"""",",",'Code List'!$B$43,"""",M174,"""",",",'Code List'!$B$44,"""",N174,"""",",",'Code List'!$B$45,"""",O174,"""",",",'Code List'!$B$46,"""",P174,"""",",",'Code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List'!$B$59,"""",T174,"""","}"),"")</f>
        <v/>
      </c>
    </row>
    <row r="175" spans="1:25" x14ac:dyDescent="0.25">
      <c r="A175" t="str">
        <f>IF(AND($A172="YES",E172=$D$1,F175&gt;0),"YES","NO")</f>
        <v>NO</v>
      </c>
      <c r="C175" t="s">
        <v>5</v>
      </c>
      <c r="D175" s="12" t="str">
        <f t="shared" si="147"/>
        <v>4A</v>
      </c>
      <c r="E175" t="s">
        <v>189</v>
      </c>
      <c r="F175">
        <f>'Expanded Base Data'!G170</f>
        <v>0</v>
      </c>
      <c r="G175" s="171">
        <f>F172</f>
        <v>0</v>
      </c>
      <c r="H175">
        <f>ROUND(B172+'Slide Measurements'!$D$17,$O$1)</f>
        <v>26.91</v>
      </c>
      <c r="I175">
        <f>ROUND(H175+(F175*'Slide Measurements'!$D$21),$O$1)</f>
        <v>26.91</v>
      </c>
      <c r="J175">
        <f>K174</f>
        <v>132.39000000000001</v>
      </c>
      <c r="K175">
        <f>J175+($I$1*'Slide Measurements'!$E$23-'Slide Measurements'!$E$23)</f>
        <v>134.24</v>
      </c>
      <c r="L175" s="5" t="str">
        <f>'Expanded Base Data'!$L170</f>
        <v/>
      </c>
      <c r="M175" s="5" t="str">
        <f>'Expanded Base Data'!$K170</f>
        <v/>
      </c>
      <c r="N175">
        <f t="shared" si="148"/>
        <v>0</v>
      </c>
      <c r="O175">
        <f t="shared" si="149"/>
        <v>1.85</v>
      </c>
      <c r="P175" s="5" t="e">
        <f t="shared" si="150"/>
        <v>#VALUE!</v>
      </c>
      <c r="Q175">
        <f>'Code List'!$C$63</f>
        <v>3</v>
      </c>
      <c r="R175">
        <f>F176+'Code List'!$G$63</f>
        <v>2</v>
      </c>
      <c r="S175" t="e">
        <f t="shared" si="151"/>
        <v>#VALUE!</v>
      </c>
      <c r="T175" t="e">
        <f t="shared" ref="T175:T178" si="153">Q175*R175*S175</f>
        <v>#VALUE!</v>
      </c>
      <c r="U175" t="str">
        <f>IF(A175="YES",CONCATENATE(G175,"_",'Program Page'!$C$4,'Program Page'!$C$5,"_",D175,"_",E175),"")</f>
        <v/>
      </c>
      <c r="V175" t="str">
        <f t="shared" si="152"/>
        <v/>
      </c>
      <c r="W175" t="str">
        <f>IF(A175="YES",CONCATENATE("{",'Code List'!$B$4,'Code List'!$D$4,",",'Code List'!$B$5,'Code List'!$D$5,",",'Code List'!$B$6,"""",U175,"""",",",'Code List'!$B$7,'Code List'!$D$7,",",'Code List'!$B$8,'Code List'!$D$8,",",'Code List'!$B$9,'Code List'!$D$9,",",'Code List'!$B$10,'Code List'!$D$10,",",'Code List'!$B$11,"""",V175,"""",",",'Code List'!$B$12,"""",H175,"""",",",'Code List'!$B$13,"""",I175,"""",",",'Code List'!$B$14,"""",J175,"""",",",'Code List'!$B$15,"""",K175,"""",",",'Code List'!$B$16,"""",L175,"""",",",'Code List'!$B$17,"""",M175,"""",",",'Code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75" s="167" t="str">
        <f>IF(A175="YES",CONCATENATE("{",'Code List'!$B$31,"""",U175,"""",",",'Code List'!$B$32,'Code List'!$D$32,",",'Code List'!$B$33,'Code List'!$D$33,",",'Code List'!$B$34,'Code List'!$D$34,",",'Code List'!$B$35,'Code List'!$D$35,",",'Code List'!$B$36,'Code List'!$D$36,",",'Code List'!$B$37,'Code List'!$D$37,",",'Code List'!$B$38,"""",H175,"""",",",'Code List'!$B$39,"""",I175,"""",",",'Code List'!$B$40,"""",J175,"""",",",'Code List'!$B$41,"""",K175,"""",",",'Code List'!$B$42,"""",L175,"""",",",'Code List'!$B$43,"""",M175,"""",",",'Code List'!$B$44,"""",N175,"""",",",'Code List'!$B$45,"""",O175,"""",",",'Code List'!$B$46,"""",P175,"""",",",'Code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List'!$B$59,"""",T175,"""","}"),"")</f>
        <v/>
      </c>
    </row>
    <row r="176" spans="1:25" x14ac:dyDescent="0.25">
      <c r="A176" t="str">
        <f>IF(AND($A172="YES",E172=$D$1,F176&gt;0),"YES","NO")</f>
        <v>NO</v>
      </c>
      <c r="C176" t="s">
        <v>5</v>
      </c>
      <c r="D176" s="12" t="str">
        <f t="shared" si="147"/>
        <v>4A</v>
      </c>
      <c r="E176" t="s">
        <v>190</v>
      </c>
      <c r="F176">
        <f>'Expanded Base Data'!H170</f>
        <v>0</v>
      </c>
      <c r="G176" s="171">
        <f>F172</f>
        <v>0</v>
      </c>
      <c r="H176">
        <f>ROUND(B172+'Slide Measurements'!$D$17,$O$1)</f>
        <v>26.91</v>
      </c>
      <c r="I176">
        <f>ROUND(H176+(F176*'Slide Measurements'!$D$21),$O$1)</f>
        <v>26.91</v>
      </c>
      <c r="J176">
        <f>K175</f>
        <v>134.24</v>
      </c>
      <c r="K176">
        <f>J176+($I$1*'Slide Measurements'!$E$23-'Slide Measurements'!$E$23)</f>
        <v>136.09</v>
      </c>
      <c r="L176" s="5" t="str">
        <f>'Expanded Base Data'!$L170</f>
        <v/>
      </c>
      <c r="M176" s="5" t="str">
        <f>'Expanded Base Data'!$K170</f>
        <v/>
      </c>
      <c r="N176">
        <f t="shared" si="148"/>
        <v>0</v>
      </c>
      <c r="O176">
        <f t="shared" si="149"/>
        <v>1.85</v>
      </c>
      <c r="P176" s="5" t="e">
        <f t="shared" si="150"/>
        <v>#VALUE!</v>
      </c>
      <c r="Q176">
        <f>'Code List'!$C$63</f>
        <v>3</v>
      </c>
      <c r="R176">
        <f>F177+'Code List'!$G$63</f>
        <v>2</v>
      </c>
      <c r="S176" t="e">
        <f t="shared" si="151"/>
        <v>#VALUE!</v>
      </c>
      <c r="T176" t="e">
        <f t="shared" si="153"/>
        <v>#VALUE!</v>
      </c>
      <c r="U176" t="str">
        <f>IF(A176="YES",CONCATENATE(G176,"_",'Program Page'!$C$4,'Program Page'!$C$5,"_",D176,"_",E176),"")</f>
        <v/>
      </c>
      <c r="V176" t="str">
        <f t="shared" si="152"/>
        <v/>
      </c>
      <c r="W176" t="str">
        <f>IF(A176="YES",CONCATENATE("{",'Code List'!$B$4,'Code List'!$D$4,",",'Code List'!$B$5,'Code List'!$D$5,",",'Code List'!$B$6,"""",U176,"""",",",'Code List'!$B$7,'Code List'!$D$7,",",'Code List'!$B$8,'Code List'!$D$8,",",'Code List'!$B$9,'Code List'!$D$9,",",'Code List'!$B$10,'Code List'!$D$10,",",'Code List'!$B$11,"""",V176,"""",",",'Code List'!$B$12,"""",H176,"""",",",'Code List'!$B$13,"""",I176,"""",",",'Code List'!$B$14,"""",J176,"""",",",'Code List'!$B$15,"""",K176,"""",",",'Code List'!$B$16,"""",L176,"""",",",'Code List'!$B$17,"""",M176,"""",",",'Code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76" s="167" t="str">
        <f>IF(A176="YES",CONCATENATE("{",'Code List'!$B$31,"""",U176,"""",",",'Code List'!$B$32,'Code List'!$D$32,",",'Code List'!$B$33,'Code List'!$D$33,",",'Code List'!$B$34,'Code List'!$D$34,",",'Code List'!$B$35,'Code List'!$D$35,",",'Code List'!$B$36,'Code List'!$D$36,",",'Code List'!$B$37,'Code List'!$D$37,",",'Code List'!$B$38,"""",H176,"""",",",'Code List'!$B$39,"""",I176,"""",",",'Code List'!$B$40,"""",J176,"""",",",'Code List'!$B$41,"""",K176,"""",",",'Code List'!$B$42,"""",L176,"""",",",'Code List'!$B$43,"""",M176,"""",",",'Code List'!$B$44,"""",N176,"""",",",'Code List'!$B$45,"""",O176,"""",",",'Code List'!$B$46,"""",P176,"""",",",'Code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List'!$B$59,"""",T176,"""","}"),"")</f>
        <v/>
      </c>
    </row>
    <row r="177" spans="1:25" x14ac:dyDescent="0.25">
      <c r="A177" t="str">
        <f>IF(AND($A172="YES",E172=$D$1,F177&gt;0),"YES","NO")</f>
        <v>NO</v>
      </c>
      <c r="C177" t="s">
        <v>5</v>
      </c>
      <c r="D177" s="12" t="str">
        <f t="shared" si="147"/>
        <v>4A</v>
      </c>
      <c r="E177" t="s">
        <v>191</v>
      </c>
      <c r="F177">
        <f>'Expanded Base Data'!I170</f>
        <v>0</v>
      </c>
      <c r="G177" s="171">
        <f>F172</f>
        <v>0</v>
      </c>
      <c r="H177">
        <f>ROUND(B172+'Slide Measurements'!$D$17,$O$1)</f>
        <v>26.91</v>
      </c>
      <c r="I177">
        <f>ROUND(H177+(F177*'Slide Measurements'!$D$21),$O$1)</f>
        <v>26.91</v>
      </c>
      <c r="J177">
        <f>K176</f>
        <v>136.09</v>
      </c>
      <c r="K177">
        <f>J177+($I$1*'Slide Measurements'!$E$23-'Slide Measurements'!$E$23)</f>
        <v>137.94</v>
      </c>
      <c r="L177" s="5" t="str">
        <f>'Expanded Base Data'!$L170</f>
        <v/>
      </c>
      <c r="M177" s="5" t="str">
        <f>'Expanded Base Data'!$K170</f>
        <v/>
      </c>
      <c r="N177">
        <f t="shared" si="148"/>
        <v>0</v>
      </c>
      <c r="O177">
        <f t="shared" si="149"/>
        <v>1.85</v>
      </c>
      <c r="P177" s="5" t="e">
        <f t="shared" si="150"/>
        <v>#VALUE!</v>
      </c>
      <c r="Q177">
        <f>'Code List'!$C$63</f>
        <v>3</v>
      </c>
      <c r="R177">
        <f>F178+'Code List'!$G$63</f>
        <v>2</v>
      </c>
      <c r="S177" t="e">
        <f t="shared" si="151"/>
        <v>#VALUE!</v>
      </c>
      <c r="T177" t="e">
        <f t="shared" si="153"/>
        <v>#VALUE!</v>
      </c>
      <c r="U177" t="str">
        <f>IF(A177="YES",CONCATENATE(G177,"_",'Program Page'!$C$4,'Program Page'!$C$5,"_",D177,"_",E177),"")</f>
        <v/>
      </c>
      <c r="V177" t="str">
        <f t="shared" si="152"/>
        <v/>
      </c>
      <c r="W177" t="str">
        <f>IF(A177="YES",CONCATENATE("{",'Code List'!$B$4,'Code List'!$D$4,",",'Code List'!$B$5,'Code List'!$D$5,",",'Code List'!$B$6,"""",U177,"""",",",'Code List'!$B$7,'Code List'!$D$7,",",'Code List'!$B$8,'Code List'!$D$8,",",'Code List'!$B$9,'Code List'!$D$9,",",'Code List'!$B$10,'Code List'!$D$10,",",'Code List'!$B$11,"""",V177,"""",",",'Code List'!$B$12,"""",H177,"""",",",'Code List'!$B$13,"""",I177,"""",",",'Code List'!$B$14,"""",J177,"""",",",'Code List'!$B$15,"""",K177,"""",",",'Code List'!$B$16,"""",L177,"""",",",'Code List'!$B$17,"""",M177,"""",",",'Code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77" s="167" t="str">
        <f>IF(A177="YES",CONCATENATE("{",'Code List'!$B$31,"""",U177,"""",",",'Code List'!$B$32,'Code List'!$D$32,",",'Code List'!$B$33,'Code List'!$D$33,",",'Code List'!$B$34,'Code List'!$D$34,",",'Code List'!$B$35,'Code List'!$D$35,",",'Code List'!$B$36,'Code List'!$D$36,",",'Code List'!$B$37,'Code List'!$D$37,",",'Code List'!$B$38,"""",H177,"""",",",'Code List'!$B$39,"""",I177,"""",",",'Code List'!$B$40,"""",J177,"""",",",'Code List'!$B$41,"""",K177,"""",",",'Code List'!$B$42,"""",L177,"""",",",'Code List'!$B$43,"""",M177,"""",",",'Code List'!$B$44,"""",N177,"""",",",'Code List'!$B$45,"""",O177,"""",",",'Code List'!$B$46,"""",P177,"""",",",'Code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List'!$B$59,"""",T177,"""","}"),"")</f>
        <v/>
      </c>
    </row>
    <row r="178" spans="1:25" x14ac:dyDescent="0.25">
      <c r="A178" t="str">
        <f>IF(AND($A172="YES",E172=$D$1,F178&gt;0),"YES","NO")</f>
        <v>NO</v>
      </c>
      <c r="C178" t="s">
        <v>5</v>
      </c>
      <c r="D178" s="12" t="str">
        <f t="shared" si="147"/>
        <v>4A</v>
      </c>
      <c r="E178" t="s">
        <v>196</v>
      </c>
      <c r="F178">
        <f>'Expanded Base Data'!J170</f>
        <v>0</v>
      </c>
      <c r="G178" s="171">
        <f>F172</f>
        <v>0</v>
      </c>
      <c r="H178">
        <f>ROUND(B172+'Slide Measurements'!$D$17,$O$1)</f>
        <v>26.91</v>
      </c>
      <c r="I178">
        <f>ROUND(H178+(F178*'Slide Measurements'!$D$21),$O$1)</f>
        <v>26.91</v>
      </c>
      <c r="J178">
        <f>K177</f>
        <v>137.94</v>
      </c>
      <c r="K178">
        <f>J178+($I$1*'Slide Measurements'!$E$23-'Slide Measurements'!$E$23)</f>
        <v>139.79</v>
      </c>
      <c r="L178" s="5" t="str">
        <f>'Expanded Base Data'!$L170</f>
        <v/>
      </c>
      <c r="M178" s="5" t="str">
        <f>'Expanded Base Data'!$K170</f>
        <v/>
      </c>
      <c r="N178">
        <f t="shared" si="148"/>
        <v>0</v>
      </c>
      <c r="O178">
        <f t="shared" si="149"/>
        <v>1.85</v>
      </c>
      <c r="P178" s="5" t="e">
        <f t="shared" si="150"/>
        <v>#VALUE!</v>
      </c>
      <c r="Q178">
        <f>'Code List'!$C$63</f>
        <v>3</v>
      </c>
      <c r="R178">
        <f>F179+'Code List'!$G$63</f>
        <v>2</v>
      </c>
      <c r="S178" t="e">
        <f t="shared" si="151"/>
        <v>#VALUE!</v>
      </c>
      <c r="T178" t="e">
        <f t="shared" si="153"/>
        <v>#VALUE!</v>
      </c>
      <c r="U178" t="str">
        <f>IF(A178="YES",CONCATENATE(G178,"_",'Program Page'!$C$4,'Program Page'!$C$5,"_",D178,"_",E178),"")</f>
        <v/>
      </c>
      <c r="V178" t="str">
        <f t="shared" si="152"/>
        <v/>
      </c>
      <c r="W178" t="str">
        <f>IF(A178="YES",CONCATENATE("{",'Code List'!$B$4,'Code List'!$D$4,",",'Code List'!$B$5,'Code List'!$D$5,",",'Code List'!$B$6,"""",U178,"""",",",'Code List'!$B$7,'Code List'!$D$7,",",'Code List'!$B$8,'Code List'!$D$8,",",'Code List'!$B$9,'Code List'!$D$9,",",'Code List'!$B$10,'Code List'!$D$10,",",'Code List'!$B$11,"""",V178,"""",",",'Code List'!$B$12,"""",H178,"""",",",'Code List'!$B$13,"""",I178,"""",",",'Code List'!$B$14,"""",J178,"""",",",'Code List'!$B$15,"""",K178,"""",",",'Code List'!$B$16,"""",L178,"""",",",'Code List'!$B$17,"""",M178,"""",",",'Code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78" s="167" t="str">
        <f>IF(A178="YES",CONCATENATE("{",'Code List'!$B$31,"""",U178,"""",",",'Code List'!$B$32,'Code List'!$D$32,",",'Code List'!$B$33,'Code List'!$D$33,",",'Code List'!$B$34,'Code List'!$D$34,",",'Code List'!$B$35,'Code List'!$D$35,",",'Code List'!$B$36,'Code List'!$D$36,",",'Code List'!$B$37,'Code List'!$D$37,",",'Code List'!$B$38,"""",H178,"""",",",'Code List'!$B$39,"""",I178,"""",",",'Code List'!$B$40,"""",J178,"""",",",'Code List'!$B$41,"""",K178,"""",",",'Code List'!$B$42,"""",L178,"""",",",'Code List'!$B$43,"""",M178,"""",",",'Code List'!$B$44,"""",N178,"""",",",'Code List'!$B$45,"""",O178,"""",",",'Code List'!$B$46,"""",P178,"""",",",'Code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List'!$B$59,"""",T178,"""","}"),"")</f>
        <v/>
      </c>
    </row>
    <row r="179" spans="1:25" x14ac:dyDescent="0.25">
      <c r="A179" s="162" t="str">
        <f>IF(AND($A172="YES",E172=$E$1),"YES","NO")</f>
        <v>NO</v>
      </c>
      <c r="C179" t="s">
        <v>259</v>
      </c>
      <c r="D179" s="12" t="str">
        <f>D178</f>
        <v>4A</v>
      </c>
      <c r="E179" t="s">
        <v>259</v>
      </c>
      <c r="G179" s="171">
        <f>F172</f>
        <v>0</v>
      </c>
      <c r="H179">
        <f>ROUND(B172,$O$1)</f>
        <v>1.51</v>
      </c>
      <c r="I179">
        <f>ROUND(B172+'Slide Measurements'!$D$1,$O$1)</f>
        <v>77.959999999999994</v>
      </c>
      <c r="J179">
        <f>C172</f>
        <v>126.24000000000001</v>
      </c>
      <c r="K179">
        <f>C172+'Slide Measurements'!$D$2</f>
        <v>153.64000000000001</v>
      </c>
      <c r="L179" s="5" t="str">
        <f>'Expanded Base Data'!$L170</f>
        <v/>
      </c>
      <c r="M179" s="5" t="str">
        <f>'Expanded Base Data'!$K170</f>
        <v/>
      </c>
      <c r="N179">
        <f t="shared" si="148"/>
        <v>76.45</v>
      </c>
      <c r="O179">
        <f t="shared" si="149"/>
        <v>27.4</v>
      </c>
      <c r="P179" s="5" t="e">
        <f>ROUND((L179-M179),$O$1)</f>
        <v>#VALUE!</v>
      </c>
      <c r="Q179">
        <f>'Code List'!$C$70</f>
        <v>11</v>
      </c>
      <c r="R179">
        <f>'Code List'!$D$70</f>
        <v>19</v>
      </c>
      <c r="S179" t="e">
        <f>IF(P179=0,"1",ROUND((P179/$K$1)+$M$1,0))</f>
        <v>#VALUE!</v>
      </c>
      <c r="T179" t="e">
        <f>Q179*R179*S179</f>
        <v>#VALUE!</v>
      </c>
      <c r="U179" t="str">
        <f>IF(A179="YES",CONCATENATE(G179,"_",'Program Page'!$C$4,'Program Page'!$C$5,"_",D179,"_",E179),"")</f>
        <v/>
      </c>
      <c r="V179" t="str">
        <f>IF(U179="","",CONCATENATE(U179,"_"))</f>
        <v/>
      </c>
      <c r="W179" t="str">
        <f>IF(A179="YES",CONCATENATE("{",'Code List'!$B$4,'Code List'!$D$4,",",'Code List'!$B$5,'Code List'!$D$5,",",'Code List'!$B$6,"""",U179,"""",",",'Code List'!$B$7,'Code List'!$D$7,",",'Code List'!$B$8,'Code List'!$D$8,",",'Code List'!$B$9,'Code List'!$D$9,",",'Code List'!$B$10,'Code List'!$D$10,",",'Code List'!$B$11,"""",V179,"""",",",'Code List'!$B$12,"""",H179,"""",",",'Code List'!$B$13,"""",I179,"""",",",'Code List'!$B$14,"""",J179,"""",",",'Code List'!$B$15,"""",K179,"""",",",'Code List'!$B$16,"""",L179,"""",",",'Code List'!$B$17,"""",M179,"""",",",'Code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179" s="167" t="str">
        <f>IF(A179="YES",CONCATENATE("{",'Code List'!$B$31,"""",U179,"""",",",'Code List'!$B$32,'Code List'!$D$32,",",'Code List'!$B$33,'Code List'!$D$33,",",'Code List'!$B$34,'Code List'!$D$34,",",'Code List'!$B$35,'Code List'!$D$35,",",'Code List'!$B$36,'Code List'!$D$36,",",'Code List'!$B$37,'Code List'!$D$37,",",'Code List'!$B$38,"""",H179,"""",",",'Code List'!$B$39,"""",I179,"""",",",'Code List'!$B$40,"""",J179,"""",",",'Code List'!$B$41,"""",K179,"""",",",'Code List'!$B$42,"""",L179,"""",",",'Code List'!$B$43,"""",M179,"""",",",'Code List'!$B$44,"""",N179,"""",",",'Code List'!$B$45,"""",O179,"""",",",'Code List'!$B$46,"""",P179,"""",",",'Code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List'!$B$59,"""",T179,"""","}"),"")</f>
        <v/>
      </c>
    </row>
    <row r="180" spans="1:25" ht="18.75" x14ac:dyDescent="0.3">
      <c r="A180" s="35" t="str">
        <f>IF(OR(E180=$C$1,E180=$D$1,E180=$E$1),"YES","NO")</f>
        <v>NO</v>
      </c>
      <c r="B180" s="35">
        <f>'Expanded Base Data'!D178</f>
        <v>89.51</v>
      </c>
      <c r="C180" s="35">
        <f>'Expanded Base Data'!E178</f>
        <v>126.24000000000001</v>
      </c>
      <c r="D180" s="36" t="str">
        <f>'Expanded Base Data'!B178</f>
        <v>4B</v>
      </c>
      <c r="E180" s="35">
        <f>'Expanded Base Data'!C178</f>
        <v>0</v>
      </c>
      <c r="F180" s="35">
        <f>'Expanded Base Data'!M178</f>
        <v>0</v>
      </c>
      <c r="G180" s="170">
        <f>F180</f>
        <v>0</v>
      </c>
      <c r="Y180" s="167" t="str">
        <f>""</f>
        <v/>
      </c>
    </row>
    <row r="181" spans="1:25" x14ac:dyDescent="0.25">
      <c r="A181" t="str">
        <f>IF(AND($A180="YES",E180=$C$1),"YES","NO")</f>
        <v>NO</v>
      </c>
      <c r="C181" t="s">
        <v>6</v>
      </c>
      <c r="D181" s="12" t="str">
        <f>D180</f>
        <v>4B</v>
      </c>
      <c r="E181" t="s">
        <v>6</v>
      </c>
      <c r="F181" t="s">
        <v>198</v>
      </c>
      <c r="G181" s="171">
        <f>F180</f>
        <v>0</v>
      </c>
      <c r="H181">
        <f>IF('Expanded Base Data'!N178="",ROUND(B180+'Slide Measurements'!$D$11,$O$1),B180+'Expanded Base Data'!N178)</f>
        <v>122.51</v>
      </c>
      <c r="I181">
        <f>IF('Expanded Base Data'!O178="",ROUND(B180+'Slide Measurements'!$D$12,$O$1),B180+'Expanded Base Data'!O178)</f>
        <v>131.11000000000001</v>
      </c>
      <c r="J181">
        <f>IF('Expanded Base Data'!P178="",C180+'Slide Measurements'!$E$13,C180+'Expanded Base Data'!P178)</f>
        <v>134.94</v>
      </c>
      <c r="K181">
        <f>IF('Expanded Base Data'!Q178="",C180+'Slide Measurements'!$E$14,C180+'Expanded Base Data'!Q178)</f>
        <v>143.54000000000002</v>
      </c>
      <c r="L181" s="5" t="str">
        <f>'Expanded Base Data'!$L178</f>
        <v/>
      </c>
      <c r="M181" s="5" t="str">
        <f>'Expanded Base Data'!$K178</f>
        <v/>
      </c>
      <c r="N181">
        <f>ROUND((I181-H181),$O$1)</f>
        <v>8.6</v>
      </c>
      <c r="O181">
        <f>ROUND((K181-J181),$O$1)</f>
        <v>8.6</v>
      </c>
      <c r="P181" s="5" t="e">
        <f>ROUND((L181-M181),$O$1)</f>
        <v>#VALUE!</v>
      </c>
      <c r="Q181">
        <f>'Code List'!$C$62</f>
        <v>5</v>
      </c>
      <c r="R181">
        <f>F182+'Code List'!$G$63</f>
        <v>2</v>
      </c>
      <c r="S181" t="e">
        <f>IF(P181=0,"1",ROUND((P181/$K$1)+$M$1,0))</f>
        <v>#VALUE!</v>
      </c>
      <c r="T181" t="e">
        <f>Q181*R181*S181</f>
        <v>#VALUE!</v>
      </c>
      <c r="U181" t="str">
        <f>IF(A181="YES",CONCATENATE(G181,"_",'Program Page'!$C$4,'Program Page'!$C$5,"_",D181,"_",E181),"")</f>
        <v/>
      </c>
      <c r="V181" t="str">
        <f>IF(U181="","",CONCATENATE(U181,"_"))</f>
        <v/>
      </c>
      <c r="W181" t="str">
        <f>IF(A181="YES",CONCATENATE("{",'Code List'!$B$4,'Code List'!$D$4,",",'Code List'!$B$5,'Code List'!$D$5,",",'Code List'!$B$6,"""",U181,"""",",",'Code List'!$B$7,'Code List'!$D$7,",",'Code List'!$B$8,'Code List'!$D$8,",",'Code List'!$B$9,'Code List'!$D$9,",",'Code List'!$B$10,'Code List'!$D$10,",",'Code List'!$B$11,"""",V181,"""",",",'Code List'!$B$12,"""",H181,"""",",",'Code List'!$B$13,"""",I181,"""",",",'Code List'!$B$14,"""",J181,"""",",",'Code List'!$B$15,"""",K181,"""",",",'Code List'!$B$16,"""",L181,"""",",",'Code List'!$B$17,"""",M181,"""",",",'Code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81" s="167" t="str">
        <f>IF(A181="YES",CONCATENATE("{",'Code List'!$B$31,"""",U181,"""",",",'Code List'!$B$32,'Code List'!$D$32,",",'Code List'!$B$33,'Code List'!$D$33,",",'Code List'!$B$34,'Code List'!$D$34,",",'Code List'!$B$35,'Code List'!$D$35,",",'Code List'!$B$36,'Code List'!$D$36,",",'Code List'!$B$37,'Code List'!$D$37,",",'Code List'!$B$38,"""",H181,"""",",",'Code List'!$B$39,"""",I181,"""",",",'Code List'!$B$40,"""",J181,"""",",",'Code List'!$B$41,"""",K181,"""",",",'Code List'!$B$42,"""",L181,"""",",",'Code List'!$B$43,"""",M181,"""",",",'Code List'!$B$44,"""",N181,"""",",",'Code List'!$B$45,"""",O181,"""",",",'Code List'!$B$46,"""",P181,"""",",",'Code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List'!$B$59,"""",T181,"""","}"),"")</f>
        <v/>
      </c>
    </row>
    <row r="182" spans="1:25" x14ac:dyDescent="0.25">
      <c r="A182" t="str">
        <f>IF(AND($A180="YES",E180=$D$1,F182&gt;0),"YES","NO")</f>
        <v>NO</v>
      </c>
      <c r="C182" t="s">
        <v>5</v>
      </c>
      <c r="D182" s="12" t="str">
        <f t="shared" ref="D182:D186" si="154">D181</f>
        <v>4B</v>
      </c>
      <c r="E182" t="s">
        <v>188</v>
      </c>
      <c r="F182">
        <f>'Expanded Base Data'!F178</f>
        <v>0</v>
      </c>
      <c r="G182" s="171">
        <f>F180</f>
        <v>0</v>
      </c>
      <c r="H182">
        <f>ROUND(B180+'Slide Measurements'!$D$17,$O$1)</f>
        <v>114.91</v>
      </c>
      <c r="I182">
        <f>ROUND(H182+(F182*'Slide Measurements'!$D$21),$O$1)</f>
        <v>114.91</v>
      </c>
      <c r="J182">
        <f>C180+'Slide Measurements'!$E$17</f>
        <v>130.54000000000002</v>
      </c>
      <c r="K182">
        <f>J182+($I$1*'Slide Measurements'!$E$23-'Slide Measurements'!$E$23)</f>
        <v>132.39000000000001</v>
      </c>
      <c r="L182" s="5" t="str">
        <f>'Expanded Base Data'!$L178</f>
        <v/>
      </c>
      <c r="M182" s="5" t="str">
        <f>'Expanded Base Data'!$K178</f>
        <v/>
      </c>
      <c r="N182">
        <f t="shared" ref="N182:N187" si="155">ROUND((I182-H182),$O$1)</f>
        <v>0</v>
      </c>
      <c r="O182">
        <f t="shared" ref="O182:O187" si="156">ROUND((K182-J182),$O$1)</f>
        <v>1.85</v>
      </c>
      <c r="P182" s="5" t="e">
        <f t="shared" ref="P182:P186" si="157">ROUND((L182-M182),$O$1)</f>
        <v>#VALUE!</v>
      </c>
      <c r="Q182">
        <f>'Code List'!$C$63</f>
        <v>3</v>
      </c>
      <c r="R182">
        <f>F183+'Code List'!$G$63</f>
        <v>2</v>
      </c>
      <c r="S182" t="e">
        <f t="shared" ref="S182:S186" si="158">IF(P182=0,"1",ROUND((P182/$K$1)+$M$1,0))</f>
        <v>#VALUE!</v>
      </c>
      <c r="T182" t="e">
        <f>Q182*R182*S182</f>
        <v>#VALUE!</v>
      </c>
      <c r="U182" t="str">
        <f>IF(A182="YES",CONCATENATE(G182,"_",'Program Page'!$C$4,'Program Page'!$C$5,"_",D182,"_",E182),"")</f>
        <v/>
      </c>
      <c r="V182" t="str">
        <f t="shared" ref="V182:V186" si="159">IF(U182="","",CONCATENATE(U182,"_"))</f>
        <v/>
      </c>
      <c r="W182" t="str">
        <f>IF(A182="YES",CONCATENATE("{",'Code List'!$B$4,'Code List'!$D$4,",",'Code List'!$B$5,'Code List'!$D$5,",",'Code List'!$B$6,"""",U182,"""",",",'Code List'!$B$7,'Code List'!$D$7,",",'Code List'!$B$8,'Code List'!$D$8,",",'Code List'!$B$9,'Code List'!$D$9,",",'Code List'!$B$10,'Code List'!$D$10,",",'Code List'!$B$11,"""",V182,"""",",",'Code List'!$B$12,"""",H182,"""",",",'Code List'!$B$13,"""",I182,"""",",",'Code List'!$B$14,"""",J182,"""",",",'Code List'!$B$15,"""",K182,"""",",",'Code List'!$B$16,"""",L182,"""",",",'Code List'!$B$17,"""",M182,"""",",",'Code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82" s="167" t="str">
        <f>IF(A182="YES",CONCATENATE("{",'Code List'!$B$31,"""",U182,"""",",",'Code List'!$B$32,'Code List'!$D$32,",",'Code List'!$B$33,'Code List'!$D$33,",",'Code List'!$B$34,'Code List'!$D$34,",",'Code List'!$B$35,'Code List'!$D$35,",",'Code List'!$B$36,'Code List'!$D$36,",",'Code List'!$B$37,'Code List'!$D$37,",",'Code List'!$B$38,"""",H182,"""",",",'Code List'!$B$39,"""",I182,"""",",",'Code List'!$B$40,"""",J182,"""",",",'Code List'!$B$41,"""",K182,"""",",",'Code List'!$B$42,"""",L182,"""",",",'Code List'!$B$43,"""",M182,"""",",",'Code List'!$B$44,"""",N182,"""",",",'Code List'!$B$45,"""",O182,"""",",",'Code List'!$B$46,"""",P182,"""",",",'Code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List'!$B$59,"""",T182,"""","}"),"")</f>
        <v/>
      </c>
    </row>
    <row r="183" spans="1:25" x14ac:dyDescent="0.25">
      <c r="A183" t="str">
        <f>IF(AND($A180="YES",E180=$D$1,F183&gt;0),"YES","NO")</f>
        <v>NO</v>
      </c>
      <c r="C183" t="s">
        <v>5</v>
      </c>
      <c r="D183" s="12" t="str">
        <f t="shared" si="154"/>
        <v>4B</v>
      </c>
      <c r="E183" t="s">
        <v>189</v>
      </c>
      <c r="F183">
        <f>'Expanded Base Data'!G178</f>
        <v>0</v>
      </c>
      <c r="G183" s="171">
        <f>F180</f>
        <v>0</v>
      </c>
      <c r="H183">
        <f>ROUND(B180+'Slide Measurements'!$D$17,$O$1)</f>
        <v>114.91</v>
      </c>
      <c r="I183">
        <f>ROUND(H183+(F183*'Slide Measurements'!$D$21),$O$1)</f>
        <v>114.91</v>
      </c>
      <c r="J183">
        <f>K182</f>
        <v>132.39000000000001</v>
      </c>
      <c r="K183">
        <f>J183+($I$1*'Slide Measurements'!$E$23-'Slide Measurements'!$E$23)</f>
        <v>134.24</v>
      </c>
      <c r="L183" s="5" t="str">
        <f>'Expanded Base Data'!$L178</f>
        <v/>
      </c>
      <c r="M183" s="5" t="str">
        <f>'Expanded Base Data'!$K178</f>
        <v/>
      </c>
      <c r="N183">
        <f t="shared" si="155"/>
        <v>0</v>
      </c>
      <c r="O183">
        <f t="shared" si="156"/>
        <v>1.85</v>
      </c>
      <c r="P183" s="5" t="e">
        <f t="shared" si="157"/>
        <v>#VALUE!</v>
      </c>
      <c r="Q183">
        <f>'Code List'!$C$63</f>
        <v>3</v>
      </c>
      <c r="R183">
        <f>F184+'Code List'!$G$63</f>
        <v>2</v>
      </c>
      <c r="S183" t="e">
        <f t="shared" si="158"/>
        <v>#VALUE!</v>
      </c>
      <c r="T183" t="e">
        <f t="shared" ref="T183:T186" si="160">Q183*R183*S183</f>
        <v>#VALUE!</v>
      </c>
      <c r="U183" t="str">
        <f>IF(A183="YES",CONCATENATE(G183,"_",'Program Page'!$C$4,'Program Page'!$C$5,"_",D183,"_",E183),"")</f>
        <v/>
      </c>
      <c r="V183" t="str">
        <f t="shared" si="159"/>
        <v/>
      </c>
      <c r="W183" t="str">
        <f>IF(A183="YES",CONCATENATE("{",'Code List'!$B$4,'Code List'!$D$4,",",'Code List'!$B$5,'Code List'!$D$5,",",'Code List'!$B$6,"""",U183,"""",",",'Code List'!$B$7,'Code List'!$D$7,",",'Code List'!$B$8,'Code List'!$D$8,",",'Code List'!$B$9,'Code List'!$D$9,",",'Code List'!$B$10,'Code List'!$D$10,",",'Code List'!$B$11,"""",V183,"""",",",'Code List'!$B$12,"""",H183,"""",",",'Code List'!$B$13,"""",I183,"""",",",'Code List'!$B$14,"""",J183,"""",",",'Code List'!$B$15,"""",K183,"""",",",'Code List'!$B$16,"""",L183,"""",",",'Code List'!$B$17,"""",M183,"""",",",'Code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83" s="167" t="str">
        <f>IF(A183="YES",CONCATENATE("{",'Code List'!$B$31,"""",U183,"""",",",'Code List'!$B$32,'Code List'!$D$32,",",'Code List'!$B$33,'Code List'!$D$33,",",'Code List'!$B$34,'Code List'!$D$34,",",'Code List'!$B$35,'Code List'!$D$35,",",'Code List'!$B$36,'Code List'!$D$36,",",'Code List'!$B$37,'Code List'!$D$37,",",'Code List'!$B$38,"""",H183,"""",",",'Code List'!$B$39,"""",I183,"""",",",'Code List'!$B$40,"""",J183,"""",",",'Code List'!$B$41,"""",K183,"""",",",'Code List'!$B$42,"""",L183,"""",",",'Code List'!$B$43,"""",M183,"""",",",'Code List'!$B$44,"""",N183,"""",",",'Code List'!$B$45,"""",O183,"""",",",'Code List'!$B$46,"""",P183,"""",",",'Code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List'!$B$59,"""",T183,"""","}"),"")</f>
        <v/>
      </c>
    </row>
    <row r="184" spans="1:25" x14ac:dyDescent="0.25">
      <c r="A184" t="str">
        <f>IF(AND($A180="YES",E180=$D$1,F184&gt;0),"YES","NO")</f>
        <v>NO</v>
      </c>
      <c r="C184" t="s">
        <v>5</v>
      </c>
      <c r="D184" s="12" t="str">
        <f t="shared" si="154"/>
        <v>4B</v>
      </c>
      <c r="E184" t="s">
        <v>190</v>
      </c>
      <c r="F184">
        <f>'Expanded Base Data'!H178</f>
        <v>0</v>
      </c>
      <c r="G184" s="171">
        <f>F180</f>
        <v>0</v>
      </c>
      <c r="H184">
        <f>ROUND(B180+'Slide Measurements'!$D$17,$O$1)</f>
        <v>114.91</v>
      </c>
      <c r="I184">
        <f>ROUND(H184+(F184*'Slide Measurements'!$D$21),$O$1)</f>
        <v>114.91</v>
      </c>
      <c r="J184">
        <f>K183</f>
        <v>134.24</v>
      </c>
      <c r="K184">
        <f>J184+($I$1*'Slide Measurements'!$E$23-'Slide Measurements'!$E$23)</f>
        <v>136.09</v>
      </c>
      <c r="L184" s="5" t="str">
        <f>'Expanded Base Data'!$L178</f>
        <v/>
      </c>
      <c r="M184" s="5" t="str">
        <f>'Expanded Base Data'!$K178</f>
        <v/>
      </c>
      <c r="N184">
        <f t="shared" si="155"/>
        <v>0</v>
      </c>
      <c r="O184">
        <f t="shared" si="156"/>
        <v>1.85</v>
      </c>
      <c r="P184" s="5" t="e">
        <f t="shared" si="157"/>
        <v>#VALUE!</v>
      </c>
      <c r="Q184">
        <f>'Code List'!$C$63</f>
        <v>3</v>
      </c>
      <c r="R184">
        <f>F185+'Code List'!$G$63</f>
        <v>2</v>
      </c>
      <c r="S184" t="e">
        <f t="shared" si="158"/>
        <v>#VALUE!</v>
      </c>
      <c r="T184" t="e">
        <f t="shared" si="160"/>
        <v>#VALUE!</v>
      </c>
      <c r="U184" t="str">
        <f>IF(A184="YES",CONCATENATE(G184,"_",'Program Page'!$C$4,'Program Page'!$C$5,"_",D184,"_",E184),"")</f>
        <v/>
      </c>
      <c r="V184" t="str">
        <f t="shared" si="159"/>
        <v/>
      </c>
      <c r="W184" t="str">
        <f>IF(A184="YES",CONCATENATE("{",'Code List'!$B$4,'Code List'!$D$4,",",'Code List'!$B$5,'Code List'!$D$5,",",'Code List'!$B$6,"""",U184,"""",",",'Code List'!$B$7,'Code List'!$D$7,",",'Code List'!$B$8,'Code List'!$D$8,",",'Code List'!$B$9,'Code List'!$D$9,",",'Code List'!$B$10,'Code List'!$D$10,",",'Code List'!$B$11,"""",V184,"""",",",'Code List'!$B$12,"""",H184,"""",",",'Code List'!$B$13,"""",I184,"""",",",'Code List'!$B$14,"""",J184,"""",",",'Code List'!$B$15,"""",K184,"""",",",'Code List'!$B$16,"""",L184,"""",",",'Code List'!$B$17,"""",M184,"""",",",'Code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84" s="167" t="str">
        <f>IF(A184="YES",CONCATENATE("{",'Code List'!$B$31,"""",U184,"""",",",'Code List'!$B$32,'Code List'!$D$32,",",'Code List'!$B$33,'Code List'!$D$33,",",'Code List'!$B$34,'Code List'!$D$34,",",'Code List'!$B$35,'Code List'!$D$35,",",'Code List'!$B$36,'Code List'!$D$36,",",'Code List'!$B$37,'Code List'!$D$37,",",'Code List'!$B$38,"""",H184,"""",",",'Code List'!$B$39,"""",I184,"""",",",'Code List'!$B$40,"""",J184,"""",",",'Code List'!$B$41,"""",K184,"""",",",'Code List'!$B$42,"""",L184,"""",",",'Code List'!$B$43,"""",M184,"""",",",'Code List'!$B$44,"""",N184,"""",",",'Code List'!$B$45,"""",O184,"""",",",'Code List'!$B$46,"""",P184,"""",",",'Code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List'!$B$59,"""",T184,"""","}"),"")</f>
        <v/>
      </c>
    </row>
    <row r="185" spans="1:25" x14ac:dyDescent="0.25">
      <c r="A185" t="str">
        <f>IF(AND($A180="YES",E180=$D$1,F185&gt;0),"YES","NO")</f>
        <v>NO</v>
      </c>
      <c r="C185" t="s">
        <v>5</v>
      </c>
      <c r="D185" s="12" t="str">
        <f t="shared" si="154"/>
        <v>4B</v>
      </c>
      <c r="E185" t="s">
        <v>191</v>
      </c>
      <c r="F185">
        <f>'Expanded Base Data'!I178</f>
        <v>0</v>
      </c>
      <c r="G185" s="171">
        <f>F180</f>
        <v>0</v>
      </c>
      <c r="H185">
        <f>ROUND(B180+'Slide Measurements'!$D$17,$O$1)</f>
        <v>114.91</v>
      </c>
      <c r="I185">
        <f>ROUND(H185+(F185*'Slide Measurements'!$D$21),$O$1)</f>
        <v>114.91</v>
      </c>
      <c r="J185">
        <f>K184</f>
        <v>136.09</v>
      </c>
      <c r="K185">
        <f>J185+($I$1*'Slide Measurements'!$E$23-'Slide Measurements'!$E$23)</f>
        <v>137.94</v>
      </c>
      <c r="L185" s="5" t="str">
        <f>'Expanded Base Data'!$L178</f>
        <v/>
      </c>
      <c r="M185" s="5" t="str">
        <f>'Expanded Base Data'!$K178</f>
        <v/>
      </c>
      <c r="N185">
        <f t="shared" si="155"/>
        <v>0</v>
      </c>
      <c r="O185">
        <f t="shared" si="156"/>
        <v>1.85</v>
      </c>
      <c r="P185" s="5" t="e">
        <f t="shared" si="157"/>
        <v>#VALUE!</v>
      </c>
      <c r="Q185">
        <f>'Code List'!$C$63</f>
        <v>3</v>
      </c>
      <c r="R185">
        <f>F186+'Code List'!$G$63</f>
        <v>2</v>
      </c>
      <c r="S185" t="e">
        <f t="shared" si="158"/>
        <v>#VALUE!</v>
      </c>
      <c r="T185" t="e">
        <f t="shared" si="160"/>
        <v>#VALUE!</v>
      </c>
      <c r="U185" t="str">
        <f>IF(A185="YES",CONCATENATE(G185,"_",'Program Page'!$C$4,'Program Page'!$C$5,"_",D185,"_",E185),"")</f>
        <v/>
      </c>
      <c r="V185" t="str">
        <f t="shared" si="159"/>
        <v/>
      </c>
      <c r="W185" t="str">
        <f>IF(A185="YES",CONCATENATE("{",'Code List'!$B$4,'Code List'!$D$4,",",'Code List'!$B$5,'Code List'!$D$5,",",'Code List'!$B$6,"""",U185,"""",",",'Code List'!$B$7,'Code List'!$D$7,",",'Code List'!$B$8,'Code List'!$D$8,",",'Code List'!$B$9,'Code List'!$D$9,",",'Code List'!$B$10,'Code List'!$D$10,",",'Code List'!$B$11,"""",V185,"""",",",'Code List'!$B$12,"""",H185,"""",",",'Code List'!$B$13,"""",I185,"""",",",'Code List'!$B$14,"""",J185,"""",",",'Code List'!$B$15,"""",K185,"""",",",'Code List'!$B$16,"""",L185,"""",",",'Code List'!$B$17,"""",M185,"""",",",'Code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85" s="167" t="str">
        <f>IF(A185="YES",CONCATENATE("{",'Code List'!$B$31,"""",U185,"""",",",'Code List'!$B$32,'Code List'!$D$32,",",'Code List'!$B$33,'Code List'!$D$33,",",'Code List'!$B$34,'Code List'!$D$34,",",'Code List'!$B$35,'Code List'!$D$35,",",'Code List'!$B$36,'Code List'!$D$36,",",'Code List'!$B$37,'Code List'!$D$37,",",'Code List'!$B$38,"""",H185,"""",",",'Code List'!$B$39,"""",I185,"""",",",'Code List'!$B$40,"""",J185,"""",",",'Code List'!$B$41,"""",K185,"""",",",'Code List'!$B$42,"""",L185,"""",",",'Code List'!$B$43,"""",M185,"""",",",'Code List'!$B$44,"""",N185,"""",",",'Code List'!$B$45,"""",O185,"""",",",'Code List'!$B$46,"""",P185,"""",",",'Code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List'!$B$59,"""",T185,"""","}"),"")</f>
        <v/>
      </c>
    </row>
    <row r="186" spans="1:25" x14ac:dyDescent="0.25">
      <c r="A186" t="str">
        <f>IF(AND($A180="YES",E180=$D$1,F186&gt;0),"YES","NO")</f>
        <v>NO</v>
      </c>
      <c r="C186" t="s">
        <v>5</v>
      </c>
      <c r="D186" s="12" t="str">
        <f t="shared" si="154"/>
        <v>4B</v>
      </c>
      <c r="E186" t="s">
        <v>196</v>
      </c>
      <c r="F186">
        <f>'Expanded Base Data'!J178</f>
        <v>0</v>
      </c>
      <c r="G186" s="171">
        <f>F180</f>
        <v>0</v>
      </c>
      <c r="H186">
        <f>ROUND(B180+'Slide Measurements'!$D$17,$O$1)</f>
        <v>114.91</v>
      </c>
      <c r="I186">
        <f>ROUND(H186+(F186*'Slide Measurements'!$D$21),$O$1)</f>
        <v>114.91</v>
      </c>
      <c r="J186">
        <f>K185</f>
        <v>137.94</v>
      </c>
      <c r="K186">
        <f>J186+($I$1*'Slide Measurements'!$E$23-'Slide Measurements'!$E$23)</f>
        <v>139.79</v>
      </c>
      <c r="L186" s="5" t="str">
        <f>'Expanded Base Data'!$L178</f>
        <v/>
      </c>
      <c r="M186" s="5" t="str">
        <f>'Expanded Base Data'!$K178</f>
        <v/>
      </c>
      <c r="N186">
        <f t="shared" si="155"/>
        <v>0</v>
      </c>
      <c r="O186">
        <f t="shared" si="156"/>
        <v>1.85</v>
      </c>
      <c r="P186" s="5" t="e">
        <f t="shared" si="157"/>
        <v>#VALUE!</v>
      </c>
      <c r="Q186">
        <f>'Code List'!$C$63</f>
        <v>3</v>
      </c>
      <c r="R186">
        <f>F187+'Code List'!$G$63</f>
        <v>2</v>
      </c>
      <c r="S186" t="e">
        <f t="shared" si="158"/>
        <v>#VALUE!</v>
      </c>
      <c r="T186" t="e">
        <f t="shared" si="160"/>
        <v>#VALUE!</v>
      </c>
      <c r="U186" t="str">
        <f>IF(A186="YES",CONCATENATE(G186,"_",'Program Page'!$C$4,'Program Page'!$C$5,"_",D186,"_",E186),"")</f>
        <v/>
      </c>
      <c r="V186" t="str">
        <f t="shared" si="159"/>
        <v/>
      </c>
      <c r="W186" t="str">
        <f>IF(A186="YES",CONCATENATE("{",'Code List'!$B$4,'Code List'!$D$4,",",'Code List'!$B$5,'Code List'!$D$5,",",'Code List'!$B$6,"""",U186,"""",",",'Code List'!$B$7,'Code List'!$D$7,",",'Code List'!$B$8,'Code List'!$D$8,",",'Code List'!$B$9,'Code List'!$D$9,",",'Code List'!$B$10,'Code List'!$D$10,",",'Code List'!$B$11,"""",V186,"""",",",'Code List'!$B$12,"""",H186,"""",",",'Code List'!$B$13,"""",I186,"""",",",'Code List'!$B$14,"""",J186,"""",",",'Code List'!$B$15,"""",K186,"""",",",'Code List'!$B$16,"""",L186,"""",",",'Code List'!$B$17,"""",M186,"""",",",'Code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86" s="167" t="str">
        <f>IF(A186="YES",CONCATENATE("{",'Code List'!$B$31,"""",U186,"""",",",'Code List'!$B$32,'Code List'!$D$32,",",'Code List'!$B$33,'Code List'!$D$33,",",'Code List'!$B$34,'Code List'!$D$34,",",'Code List'!$B$35,'Code List'!$D$35,",",'Code List'!$B$36,'Code List'!$D$36,",",'Code List'!$B$37,'Code List'!$D$37,",",'Code List'!$B$38,"""",H186,"""",",",'Code List'!$B$39,"""",I186,"""",",",'Code List'!$B$40,"""",J186,"""",",",'Code List'!$B$41,"""",K186,"""",",",'Code List'!$B$42,"""",L186,"""",",",'Code List'!$B$43,"""",M186,"""",",",'Code List'!$B$44,"""",N186,"""",",",'Code List'!$B$45,"""",O186,"""",",",'Code List'!$B$46,"""",P186,"""",",",'Code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List'!$B$59,"""",T186,"""","}"),"")</f>
        <v/>
      </c>
    </row>
    <row r="187" spans="1:25" x14ac:dyDescent="0.25">
      <c r="A187" s="162" t="str">
        <f>IF(AND($A180="YES",E180=$E$1),"YES","NO")</f>
        <v>NO</v>
      </c>
      <c r="C187" t="s">
        <v>259</v>
      </c>
      <c r="D187" s="12" t="str">
        <f>D186</f>
        <v>4B</v>
      </c>
      <c r="E187" t="s">
        <v>259</v>
      </c>
      <c r="G187" s="171">
        <f>F180</f>
        <v>0</v>
      </c>
      <c r="H187">
        <f>ROUND(B180,$O$1)</f>
        <v>89.51</v>
      </c>
      <c r="I187">
        <f>ROUND(B180+'Slide Measurements'!$D$1,$O$1)</f>
        <v>165.96</v>
      </c>
      <c r="J187">
        <f>C180</f>
        <v>126.24000000000001</v>
      </c>
      <c r="K187">
        <f>C180+'Slide Measurements'!$D$2</f>
        <v>153.64000000000001</v>
      </c>
      <c r="L187" s="5" t="str">
        <f>'Expanded Base Data'!$L178</f>
        <v/>
      </c>
      <c r="M187" s="5" t="str">
        <f>'Expanded Base Data'!$K178</f>
        <v/>
      </c>
      <c r="N187">
        <f t="shared" si="155"/>
        <v>76.45</v>
      </c>
      <c r="O187">
        <f t="shared" si="156"/>
        <v>27.4</v>
      </c>
      <c r="P187" s="5" t="e">
        <f>ROUND((L187-M187),$O$1)</f>
        <v>#VALUE!</v>
      </c>
      <c r="Q187">
        <f>'Code List'!$C$70</f>
        <v>11</v>
      </c>
      <c r="R187">
        <f>'Code List'!$D$70</f>
        <v>19</v>
      </c>
      <c r="S187" t="e">
        <f>IF(P187=0,"1",ROUND((P187/$K$1)+$M$1,0))</f>
        <v>#VALUE!</v>
      </c>
      <c r="T187" t="e">
        <f>Q187*R187*S187</f>
        <v>#VALUE!</v>
      </c>
      <c r="U187" t="str">
        <f>IF(A187="YES",CONCATENATE(G187,"_",'Program Page'!$C$4,'Program Page'!$C$5,"_",D187,"_",E187),"")</f>
        <v/>
      </c>
      <c r="V187" t="str">
        <f>IF(U187="","",CONCATENATE(U187,"_"))</f>
        <v/>
      </c>
      <c r="W187" t="str">
        <f>IF(A187="YES",CONCATENATE("{",'Code List'!$B$4,'Code List'!$D$4,",",'Code List'!$B$5,'Code List'!$D$5,",",'Code List'!$B$6,"""",U187,"""",",",'Code List'!$B$7,'Code List'!$D$7,",",'Code List'!$B$8,'Code List'!$D$8,",",'Code List'!$B$9,'Code List'!$D$9,",",'Code List'!$B$10,'Code List'!$D$10,",",'Code List'!$B$11,"""",V187,"""",",",'Code List'!$B$12,"""",H187,"""",",",'Code List'!$B$13,"""",I187,"""",",",'Code List'!$B$14,"""",J187,"""",",",'Code List'!$B$15,"""",K187,"""",",",'Code List'!$B$16,"""",L187,"""",",",'Code List'!$B$17,"""",M187,"""",",",'Code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187" s="167" t="str">
        <f>IF(A187="YES",CONCATENATE("{",'Code List'!$B$31,"""",U187,"""",",",'Code List'!$B$32,'Code List'!$D$32,",",'Code List'!$B$33,'Code List'!$D$33,",",'Code List'!$B$34,'Code List'!$D$34,",",'Code List'!$B$35,'Code List'!$D$35,",",'Code List'!$B$36,'Code List'!$D$36,",",'Code List'!$B$37,'Code List'!$D$37,",",'Code List'!$B$38,"""",H187,"""",",",'Code List'!$B$39,"""",I187,"""",",",'Code List'!$B$40,"""",J187,"""",",",'Code List'!$B$41,"""",K187,"""",",",'Code List'!$B$42,"""",L187,"""",",",'Code List'!$B$43,"""",M187,"""",",",'Code List'!$B$44,"""",N187,"""",",",'Code List'!$B$45,"""",O187,"""",",",'Code List'!$B$46,"""",P187,"""",",",'Code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List'!$B$59,"""",T187,"""","}"),"")</f>
        <v/>
      </c>
    </row>
    <row r="188" spans="1:25" ht="18.75" x14ac:dyDescent="0.3">
      <c r="A188" s="35" t="str">
        <f>IF(OR(E188=$C$1,E188=$D$1,E188=$E$1),"YES","NO")</f>
        <v>NO</v>
      </c>
      <c r="B188" s="35">
        <f>'Expanded Base Data'!D186</f>
        <v>176.11</v>
      </c>
      <c r="C188" s="35">
        <f>'Expanded Base Data'!E186</f>
        <v>126.24000000000001</v>
      </c>
      <c r="D188" s="36" t="str">
        <f>'Expanded Base Data'!B186</f>
        <v>4C</v>
      </c>
      <c r="E188" s="35">
        <f>'Expanded Base Data'!C186</f>
        <v>0</v>
      </c>
      <c r="F188" s="35">
        <f>'Expanded Base Data'!M186</f>
        <v>0</v>
      </c>
      <c r="G188" s="170">
        <f>F188</f>
        <v>0</v>
      </c>
      <c r="Y188" s="167" t="str">
        <f>""</f>
        <v/>
      </c>
    </row>
    <row r="189" spans="1:25" x14ac:dyDescent="0.25">
      <c r="A189" t="str">
        <f>IF(AND($A188="YES",E188=$C$1),"YES","NO")</f>
        <v>NO</v>
      </c>
      <c r="C189" t="s">
        <v>6</v>
      </c>
      <c r="D189" s="12" t="str">
        <f>D188</f>
        <v>4C</v>
      </c>
      <c r="E189" t="s">
        <v>6</v>
      </c>
      <c r="F189" t="s">
        <v>198</v>
      </c>
      <c r="G189" s="171">
        <f>F188</f>
        <v>0</v>
      </c>
      <c r="H189">
        <f>IF('Expanded Base Data'!N186="",ROUND(B188+'Slide Measurements'!$D$11,$O$1),B188+'Expanded Base Data'!N186)</f>
        <v>209.11</v>
      </c>
      <c r="I189">
        <f>IF('Expanded Base Data'!O186="",ROUND(B188+'Slide Measurements'!$D$12,$O$1),B188+'Expanded Base Data'!O186)</f>
        <v>217.71</v>
      </c>
      <c r="J189">
        <f>IF('Expanded Base Data'!P186="",C188+'Slide Measurements'!$E$13,C188+'Expanded Base Data'!P186)</f>
        <v>134.94</v>
      </c>
      <c r="K189">
        <f>IF('Expanded Base Data'!Q186="",C188+'Slide Measurements'!$E$14,C188+'Expanded Base Data'!Q186)</f>
        <v>143.54000000000002</v>
      </c>
      <c r="L189" s="5" t="str">
        <f>'Expanded Base Data'!$L186</f>
        <v/>
      </c>
      <c r="M189" s="5" t="str">
        <f>'Expanded Base Data'!$K186</f>
        <v/>
      </c>
      <c r="N189">
        <f>ROUND((I189-H189),$O$1)</f>
        <v>8.6</v>
      </c>
      <c r="O189">
        <f>ROUND((K189-J189),$O$1)</f>
        <v>8.6</v>
      </c>
      <c r="P189" s="5" t="e">
        <f>ROUND((L189-M189),$O$1)</f>
        <v>#VALUE!</v>
      </c>
      <c r="Q189">
        <f>'Code List'!$C$62</f>
        <v>5</v>
      </c>
      <c r="R189">
        <f>F190+'Code List'!$G$63</f>
        <v>2</v>
      </c>
      <c r="S189" t="e">
        <f>IF(P189=0,"1",ROUND((P189/$K$1)+$M$1,0))</f>
        <v>#VALUE!</v>
      </c>
      <c r="T189" t="e">
        <f>Q189*R189*S189</f>
        <v>#VALUE!</v>
      </c>
      <c r="U189" t="str">
        <f>IF(A189="YES",CONCATENATE(G189,"_",'Program Page'!$C$4,'Program Page'!$C$5,"_",D189,"_",E189),"")</f>
        <v/>
      </c>
      <c r="V189" t="str">
        <f>IF(U189="","",CONCATENATE(U189,"_"))</f>
        <v/>
      </c>
      <c r="W189" t="str">
        <f>IF(A189="YES",CONCATENATE("{",'Code List'!$B$4,'Code List'!$D$4,",",'Code List'!$B$5,'Code List'!$D$5,",",'Code List'!$B$6,"""",U189,"""",",",'Code List'!$B$7,'Code List'!$D$7,",",'Code List'!$B$8,'Code List'!$D$8,",",'Code List'!$B$9,'Code List'!$D$9,",",'Code List'!$B$10,'Code List'!$D$10,",",'Code List'!$B$11,"""",V189,"""",",",'Code List'!$B$12,"""",H189,"""",",",'Code List'!$B$13,"""",I189,"""",",",'Code List'!$B$14,"""",J189,"""",",",'Code List'!$B$15,"""",K189,"""",",",'Code List'!$B$16,"""",L189,"""",",",'Code List'!$B$17,"""",M189,"""",",",'Code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89" s="167" t="str">
        <f>IF(A189="YES",CONCATENATE("{",'Code List'!$B$31,"""",U189,"""",",",'Code List'!$B$32,'Code List'!$D$32,",",'Code List'!$B$33,'Code List'!$D$33,",",'Code List'!$B$34,'Code List'!$D$34,",",'Code List'!$B$35,'Code List'!$D$35,",",'Code List'!$B$36,'Code List'!$D$36,",",'Code List'!$B$37,'Code List'!$D$37,",",'Code List'!$B$38,"""",H189,"""",",",'Code List'!$B$39,"""",I189,"""",",",'Code List'!$B$40,"""",J189,"""",",",'Code List'!$B$41,"""",K189,"""",",",'Code List'!$B$42,"""",L189,"""",",",'Code List'!$B$43,"""",M189,"""",",",'Code List'!$B$44,"""",N189,"""",",",'Code List'!$B$45,"""",O189,"""",",",'Code List'!$B$46,"""",P189,"""",",",'Code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List'!$B$59,"""",T189,"""","}"),"")</f>
        <v/>
      </c>
    </row>
    <row r="190" spans="1:25" x14ac:dyDescent="0.25">
      <c r="A190" t="str">
        <f>IF(AND($A188="YES",E188=$D$1,F190&gt;0),"YES","NO")</f>
        <v>NO</v>
      </c>
      <c r="C190" t="s">
        <v>5</v>
      </c>
      <c r="D190" s="12" t="str">
        <f t="shared" ref="D190:D194" si="161">D189</f>
        <v>4C</v>
      </c>
      <c r="E190" t="s">
        <v>188</v>
      </c>
      <c r="F190">
        <f>'Expanded Base Data'!F186</f>
        <v>0</v>
      </c>
      <c r="G190" s="171">
        <f>F188</f>
        <v>0</v>
      </c>
      <c r="H190">
        <f>ROUND(B188+'Slide Measurements'!$D$17,$O$1)</f>
        <v>201.51</v>
      </c>
      <c r="I190">
        <f>ROUND(H190+(F190*'Slide Measurements'!$D$21),$O$1)</f>
        <v>201.51</v>
      </c>
      <c r="J190">
        <f>C188+'Slide Measurements'!$E$17</f>
        <v>130.54000000000002</v>
      </c>
      <c r="K190">
        <f>J190+($I$1*'Slide Measurements'!$E$23-'Slide Measurements'!$E$23)</f>
        <v>132.39000000000001</v>
      </c>
      <c r="L190" s="5" t="str">
        <f>'Expanded Base Data'!$L186</f>
        <v/>
      </c>
      <c r="M190" s="5" t="str">
        <f>'Expanded Base Data'!$K186</f>
        <v/>
      </c>
      <c r="N190">
        <f t="shared" ref="N190:N195" si="162">ROUND((I190-H190),$O$1)</f>
        <v>0</v>
      </c>
      <c r="O190">
        <f t="shared" ref="O190:O195" si="163">ROUND((K190-J190),$O$1)</f>
        <v>1.85</v>
      </c>
      <c r="P190" s="5" t="e">
        <f t="shared" ref="P190:P194" si="164">ROUND((L190-M190),$O$1)</f>
        <v>#VALUE!</v>
      </c>
      <c r="Q190">
        <f>'Code List'!$C$63</f>
        <v>3</v>
      </c>
      <c r="R190">
        <f>F191+'Code List'!$G$63</f>
        <v>2</v>
      </c>
      <c r="S190" t="e">
        <f t="shared" ref="S190:S194" si="165">IF(P190=0,"1",ROUND((P190/$K$1)+$M$1,0))</f>
        <v>#VALUE!</v>
      </c>
      <c r="T190" t="e">
        <f>Q190*R190*S190</f>
        <v>#VALUE!</v>
      </c>
      <c r="U190" t="str">
        <f>IF(A190="YES",CONCATENATE(G190,"_",'Program Page'!$C$4,'Program Page'!$C$5,"_",D190,"_",E190),"")</f>
        <v/>
      </c>
      <c r="V190" t="str">
        <f t="shared" ref="V190:V194" si="166">IF(U190="","",CONCATENATE(U190,"_"))</f>
        <v/>
      </c>
      <c r="W190" t="str">
        <f>IF(A190="YES",CONCATENATE("{",'Code List'!$B$4,'Code List'!$D$4,",",'Code List'!$B$5,'Code List'!$D$5,",",'Code List'!$B$6,"""",U190,"""",",",'Code List'!$B$7,'Code List'!$D$7,",",'Code List'!$B$8,'Code List'!$D$8,",",'Code List'!$B$9,'Code List'!$D$9,",",'Code List'!$B$10,'Code List'!$D$10,",",'Code List'!$B$11,"""",V190,"""",",",'Code List'!$B$12,"""",H190,"""",",",'Code List'!$B$13,"""",I190,"""",",",'Code List'!$B$14,"""",J190,"""",",",'Code List'!$B$15,"""",K190,"""",",",'Code List'!$B$16,"""",L190,"""",",",'Code List'!$B$17,"""",M190,"""",",",'Code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90" s="167" t="str">
        <f>IF(A190="YES",CONCATENATE("{",'Code List'!$B$31,"""",U190,"""",",",'Code List'!$B$32,'Code List'!$D$32,",",'Code List'!$B$33,'Code List'!$D$33,",",'Code List'!$B$34,'Code List'!$D$34,",",'Code List'!$B$35,'Code List'!$D$35,",",'Code List'!$B$36,'Code List'!$D$36,",",'Code List'!$B$37,'Code List'!$D$37,",",'Code List'!$B$38,"""",H190,"""",",",'Code List'!$B$39,"""",I190,"""",",",'Code List'!$B$40,"""",J190,"""",",",'Code List'!$B$41,"""",K190,"""",",",'Code List'!$B$42,"""",L190,"""",",",'Code List'!$B$43,"""",M190,"""",",",'Code List'!$B$44,"""",N190,"""",",",'Code List'!$B$45,"""",O190,"""",",",'Code List'!$B$46,"""",P190,"""",",",'Code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List'!$B$59,"""",T190,"""","}"),"")</f>
        <v/>
      </c>
    </row>
    <row r="191" spans="1:25" x14ac:dyDescent="0.25">
      <c r="A191" t="str">
        <f>IF(AND($A188="YES",E188=$D$1,F191&gt;0),"YES","NO")</f>
        <v>NO</v>
      </c>
      <c r="C191" t="s">
        <v>5</v>
      </c>
      <c r="D191" s="12" t="str">
        <f t="shared" si="161"/>
        <v>4C</v>
      </c>
      <c r="E191" t="s">
        <v>189</v>
      </c>
      <c r="F191">
        <f>'Expanded Base Data'!G186</f>
        <v>0</v>
      </c>
      <c r="G191" s="171">
        <f>F188</f>
        <v>0</v>
      </c>
      <c r="H191">
        <f>ROUND(B188+'Slide Measurements'!$D$17,$O$1)</f>
        <v>201.51</v>
      </c>
      <c r="I191">
        <f>ROUND(H191+(F191*'Slide Measurements'!$D$21),$O$1)</f>
        <v>201.51</v>
      </c>
      <c r="J191">
        <f>K190</f>
        <v>132.39000000000001</v>
      </c>
      <c r="K191">
        <f>J191+($I$1*'Slide Measurements'!$E$23-'Slide Measurements'!$E$23)</f>
        <v>134.24</v>
      </c>
      <c r="L191" s="5" t="str">
        <f>'Expanded Base Data'!$L186</f>
        <v/>
      </c>
      <c r="M191" s="5" t="str">
        <f>'Expanded Base Data'!$K186</f>
        <v/>
      </c>
      <c r="N191">
        <f t="shared" si="162"/>
        <v>0</v>
      </c>
      <c r="O191">
        <f t="shared" si="163"/>
        <v>1.85</v>
      </c>
      <c r="P191" s="5" t="e">
        <f t="shared" si="164"/>
        <v>#VALUE!</v>
      </c>
      <c r="Q191">
        <f>'Code List'!$C$63</f>
        <v>3</v>
      </c>
      <c r="R191">
        <f>F192+'Code List'!$G$63</f>
        <v>2</v>
      </c>
      <c r="S191" t="e">
        <f t="shared" si="165"/>
        <v>#VALUE!</v>
      </c>
      <c r="T191" t="e">
        <f t="shared" ref="T191:T194" si="167">Q191*R191*S191</f>
        <v>#VALUE!</v>
      </c>
      <c r="U191" t="str">
        <f>IF(A191="YES",CONCATENATE(G191,"_",'Program Page'!$C$4,'Program Page'!$C$5,"_",D191,"_",E191),"")</f>
        <v/>
      </c>
      <c r="V191" t="str">
        <f t="shared" si="166"/>
        <v/>
      </c>
      <c r="W191" t="str">
        <f>IF(A191="YES",CONCATENATE("{",'Code List'!$B$4,'Code List'!$D$4,",",'Code List'!$B$5,'Code List'!$D$5,",",'Code List'!$B$6,"""",U191,"""",",",'Code List'!$B$7,'Code List'!$D$7,",",'Code List'!$B$8,'Code List'!$D$8,",",'Code List'!$B$9,'Code List'!$D$9,",",'Code List'!$B$10,'Code List'!$D$10,",",'Code List'!$B$11,"""",V191,"""",",",'Code List'!$B$12,"""",H191,"""",",",'Code List'!$B$13,"""",I191,"""",",",'Code List'!$B$14,"""",J191,"""",",",'Code List'!$B$15,"""",K191,"""",",",'Code List'!$B$16,"""",L191,"""",",",'Code List'!$B$17,"""",M191,"""",",",'Code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91" s="167" t="str">
        <f>IF(A191="YES",CONCATENATE("{",'Code List'!$B$31,"""",U191,"""",",",'Code List'!$B$32,'Code List'!$D$32,",",'Code List'!$B$33,'Code List'!$D$33,",",'Code List'!$B$34,'Code List'!$D$34,",",'Code List'!$B$35,'Code List'!$D$35,",",'Code List'!$B$36,'Code List'!$D$36,",",'Code List'!$B$37,'Code List'!$D$37,",",'Code List'!$B$38,"""",H191,"""",",",'Code List'!$B$39,"""",I191,"""",",",'Code List'!$B$40,"""",J191,"""",",",'Code List'!$B$41,"""",K191,"""",",",'Code List'!$B$42,"""",L191,"""",",",'Code List'!$B$43,"""",M191,"""",",",'Code List'!$B$44,"""",N191,"""",",",'Code List'!$B$45,"""",O191,"""",",",'Code List'!$B$46,"""",P191,"""",",",'Code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List'!$B$59,"""",T191,"""","}"),"")</f>
        <v/>
      </c>
    </row>
    <row r="192" spans="1:25" x14ac:dyDescent="0.25">
      <c r="A192" t="str">
        <f>IF(AND($A188="YES",E188=$D$1,F192&gt;0),"YES","NO")</f>
        <v>NO</v>
      </c>
      <c r="C192" t="s">
        <v>5</v>
      </c>
      <c r="D192" s="12" t="str">
        <f t="shared" si="161"/>
        <v>4C</v>
      </c>
      <c r="E192" t="s">
        <v>190</v>
      </c>
      <c r="F192">
        <f>'Expanded Base Data'!H186</f>
        <v>0</v>
      </c>
      <c r="G192" s="171">
        <f>F188</f>
        <v>0</v>
      </c>
      <c r="H192">
        <f>ROUND(B188+'Slide Measurements'!$D$17,$O$1)</f>
        <v>201.51</v>
      </c>
      <c r="I192">
        <f>ROUND(H192+(F192*'Slide Measurements'!$D$21),$O$1)</f>
        <v>201.51</v>
      </c>
      <c r="J192">
        <f>K191</f>
        <v>134.24</v>
      </c>
      <c r="K192">
        <f>J192+($I$1*'Slide Measurements'!$E$23-'Slide Measurements'!$E$23)</f>
        <v>136.09</v>
      </c>
      <c r="L192" s="5" t="str">
        <f>'Expanded Base Data'!$L186</f>
        <v/>
      </c>
      <c r="M192" s="5" t="str">
        <f>'Expanded Base Data'!$K186</f>
        <v/>
      </c>
      <c r="N192">
        <f t="shared" si="162"/>
        <v>0</v>
      </c>
      <c r="O192">
        <f t="shared" si="163"/>
        <v>1.85</v>
      </c>
      <c r="P192" s="5" t="e">
        <f t="shared" si="164"/>
        <v>#VALUE!</v>
      </c>
      <c r="Q192">
        <f>'Code List'!$C$63</f>
        <v>3</v>
      </c>
      <c r="R192">
        <f>F193+'Code List'!$G$63</f>
        <v>2</v>
      </c>
      <c r="S192" t="e">
        <f t="shared" si="165"/>
        <v>#VALUE!</v>
      </c>
      <c r="T192" t="e">
        <f t="shared" si="167"/>
        <v>#VALUE!</v>
      </c>
      <c r="U192" t="str">
        <f>IF(A192="YES",CONCATENATE(G192,"_",'Program Page'!$C$4,'Program Page'!$C$5,"_",D192,"_",E192),"")</f>
        <v/>
      </c>
      <c r="V192" t="str">
        <f t="shared" si="166"/>
        <v/>
      </c>
      <c r="W192" t="str">
        <f>IF(A192="YES",CONCATENATE("{",'Code List'!$B$4,'Code List'!$D$4,",",'Code List'!$B$5,'Code List'!$D$5,",",'Code List'!$B$6,"""",U192,"""",",",'Code List'!$B$7,'Code List'!$D$7,",",'Code List'!$B$8,'Code List'!$D$8,",",'Code List'!$B$9,'Code List'!$D$9,",",'Code List'!$B$10,'Code List'!$D$10,",",'Code List'!$B$11,"""",V192,"""",",",'Code List'!$B$12,"""",H192,"""",",",'Code List'!$B$13,"""",I192,"""",",",'Code List'!$B$14,"""",J192,"""",",",'Code List'!$B$15,"""",K192,"""",",",'Code List'!$B$16,"""",L192,"""",",",'Code List'!$B$17,"""",M192,"""",",",'Code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92" s="167" t="str">
        <f>IF(A192="YES",CONCATENATE("{",'Code List'!$B$31,"""",U192,"""",",",'Code List'!$B$32,'Code List'!$D$32,",",'Code List'!$B$33,'Code List'!$D$33,",",'Code List'!$B$34,'Code List'!$D$34,",",'Code List'!$B$35,'Code List'!$D$35,",",'Code List'!$B$36,'Code List'!$D$36,",",'Code List'!$B$37,'Code List'!$D$37,",",'Code List'!$B$38,"""",H192,"""",",",'Code List'!$B$39,"""",I192,"""",",",'Code List'!$B$40,"""",J192,"""",",",'Code List'!$B$41,"""",K192,"""",",",'Code List'!$B$42,"""",L192,"""",",",'Code List'!$B$43,"""",M192,"""",",",'Code List'!$B$44,"""",N192,"""",",",'Code List'!$B$45,"""",O192,"""",",",'Code List'!$B$46,"""",P192,"""",",",'Code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List'!$B$59,"""",T192,"""","}"),"")</f>
        <v/>
      </c>
    </row>
    <row r="193" spans="1:25" x14ac:dyDescent="0.25">
      <c r="A193" t="str">
        <f>IF(AND($A188="YES",E188=$D$1,F193&gt;0),"YES","NO")</f>
        <v>NO</v>
      </c>
      <c r="C193" t="s">
        <v>5</v>
      </c>
      <c r="D193" s="12" t="str">
        <f t="shared" si="161"/>
        <v>4C</v>
      </c>
      <c r="E193" t="s">
        <v>191</v>
      </c>
      <c r="F193">
        <f>'Expanded Base Data'!I186</f>
        <v>0</v>
      </c>
      <c r="G193" s="171">
        <f>F188</f>
        <v>0</v>
      </c>
      <c r="H193">
        <f>ROUND(B188+'Slide Measurements'!$D$17,$O$1)</f>
        <v>201.51</v>
      </c>
      <c r="I193">
        <f>ROUND(H193+(F193*'Slide Measurements'!$D$21),$O$1)</f>
        <v>201.51</v>
      </c>
      <c r="J193">
        <f>K192</f>
        <v>136.09</v>
      </c>
      <c r="K193">
        <f>J193+($I$1*'Slide Measurements'!$E$23-'Slide Measurements'!$E$23)</f>
        <v>137.94</v>
      </c>
      <c r="L193" s="5" t="str">
        <f>'Expanded Base Data'!$L186</f>
        <v/>
      </c>
      <c r="M193" s="5" t="str">
        <f>'Expanded Base Data'!$K186</f>
        <v/>
      </c>
      <c r="N193">
        <f t="shared" si="162"/>
        <v>0</v>
      </c>
      <c r="O193">
        <f t="shared" si="163"/>
        <v>1.85</v>
      </c>
      <c r="P193" s="5" t="e">
        <f t="shared" si="164"/>
        <v>#VALUE!</v>
      </c>
      <c r="Q193">
        <f>'Code List'!$C$63</f>
        <v>3</v>
      </c>
      <c r="R193">
        <f>F194+'Code List'!$G$63</f>
        <v>2</v>
      </c>
      <c r="S193" t="e">
        <f t="shared" si="165"/>
        <v>#VALUE!</v>
      </c>
      <c r="T193" t="e">
        <f t="shared" si="167"/>
        <v>#VALUE!</v>
      </c>
      <c r="U193" t="str">
        <f>IF(A193="YES",CONCATENATE(G193,"_",'Program Page'!$C$4,'Program Page'!$C$5,"_",D193,"_",E193),"")</f>
        <v/>
      </c>
      <c r="V193" t="str">
        <f t="shared" si="166"/>
        <v/>
      </c>
      <c r="W193" t="str">
        <f>IF(A193="YES",CONCATENATE("{",'Code List'!$B$4,'Code List'!$D$4,",",'Code List'!$B$5,'Code List'!$D$5,",",'Code List'!$B$6,"""",U193,"""",",",'Code List'!$B$7,'Code List'!$D$7,",",'Code List'!$B$8,'Code List'!$D$8,",",'Code List'!$B$9,'Code List'!$D$9,",",'Code List'!$B$10,'Code List'!$D$10,",",'Code List'!$B$11,"""",V193,"""",",",'Code List'!$B$12,"""",H193,"""",",",'Code List'!$B$13,"""",I193,"""",",",'Code List'!$B$14,"""",J193,"""",",",'Code List'!$B$15,"""",K193,"""",",",'Code List'!$B$16,"""",L193,"""",",",'Code List'!$B$17,"""",M193,"""",",",'Code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93" s="167" t="str">
        <f>IF(A193="YES",CONCATENATE("{",'Code List'!$B$31,"""",U193,"""",",",'Code List'!$B$32,'Code List'!$D$32,",",'Code List'!$B$33,'Code List'!$D$33,",",'Code List'!$B$34,'Code List'!$D$34,",",'Code List'!$B$35,'Code List'!$D$35,",",'Code List'!$B$36,'Code List'!$D$36,",",'Code List'!$B$37,'Code List'!$D$37,",",'Code List'!$B$38,"""",H193,"""",",",'Code List'!$B$39,"""",I193,"""",",",'Code List'!$B$40,"""",J193,"""",",",'Code List'!$B$41,"""",K193,"""",",",'Code List'!$B$42,"""",L193,"""",",",'Code List'!$B$43,"""",M193,"""",",",'Code List'!$B$44,"""",N193,"""",",",'Code List'!$B$45,"""",O193,"""",",",'Code List'!$B$46,"""",P193,"""",",",'Code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List'!$B$59,"""",T193,"""","}"),"")</f>
        <v/>
      </c>
    </row>
    <row r="194" spans="1:25" x14ac:dyDescent="0.25">
      <c r="A194" t="str">
        <f>IF(AND($A188="YES",E188=$D$1,F194&gt;0),"YES","NO")</f>
        <v>NO</v>
      </c>
      <c r="C194" t="s">
        <v>5</v>
      </c>
      <c r="D194" s="12" t="str">
        <f t="shared" si="161"/>
        <v>4C</v>
      </c>
      <c r="E194" t="s">
        <v>196</v>
      </c>
      <c r="F194">
        <f>'Expanded Base Data'!J186</f>
        <v>0</v>
      </c>
      <c r="G194" s="171">
        <f>F188</f>
        <v>0</v>
      </c>
      <c r="H194">
        <f>ROUND(B188+'Slide Measurements'!$D$17,$O$1)</f>
        <v>201.51</v>
      </c>
      <c r="I194">
        <f>ROUND(H194+(F194*'Slide Measurements'!$D$21),$O$1)</f>
        <v>201.51</v>
      </c>
      <c r="J194">
        <f>K193</f>
        <v>137.94</v>
      </c>
      <c r="K194">
        <f>J194+($I$1*'Slide Measurements'!$E$23-'Slide Measurements'!$E$23)</f>
        <v>139.79</v>
      </c>
      <c r="L194" s="5" t="str">
        <f>'Expanded Base Data'!$L186</f>
        <v/>
      </c>
      <c r="M194" s="5" t="str">
        <f>'Expanded Base Data'!$K186</f>
        <v/>
      </c>
      <c r="N194">
        <f t="shared" si="162"/>
        <v>0</v>
      </c>
      <c r="O194">
        <f t="shared" si="163"/>
        <v>1.85</v>
      </c>
      <c r="P194" s="5" t="e">
        <f t="shared" si="164"/>
        <v>#VALUE!</v>
      </c>
      <c r="Q194">
        <f>'Code List'!$C$63</f>
        <v>3</v>
      </c>
      <c r="R194">
        <f>F195+'Code List'!$G$63</f>
        <v>2</v>
      </c>
      <c r="S194" t="e">
        <f t="shared" si="165"/>
        <v>#VALUE!</v>
      </c>
      <c r="T194" t="e">
        <f t="shared" si="167"/>
        <v>#VALUE!</v>
      </c>
      <c r="U194" t="str">
        <f>IF(A194="YES",CONCATENATE(G194,"_",'Program Page'!$C$4,'Program Page'!$C$5,"_",D194,"_",E194),"")</f>
        <v/>
      </c>
      <c r="V194" t="str">
        <f t="shared" si="166"/>
        <v/>
      </c>
      <c r="W194" t="str">
        <f>IF(A194="YES",CONCATENATE("{",'Code List'!$B$4,'Code List'!$D$4,",",'Code List'!$B$5,'Code List'!$D$5,",",'Code List'!$B$6,"""",U194,"""",",",'Code List'!$B$7,'Code List'!$D$7,",",'Code List'!$B$8,'Code List'!$D$8,",",'Code List'!$B$9,'Code List'!$D$9,",",'Code List'!$B$10,'Code List'!$D$10,",",'Code List'!$B$11,"""",V194,"""",",",'Code List'!$B$12,"""",H194,"""",",",'Code List'!$B$13,"""",I194,"""",",",'Code List'!$B$14,"""",J194,"""",",",'Code List'!$B$15,"""",K194,"""",",",'Code List'!$B$16,"""",L194,"""",",",'Code List'!$B$17,"""",M194,"""",",",'Code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94" s="167" t="str">
        <f>IF(A194="YES",CONCATENATE("{",'Code List'!$B$31,"""",U194,"""",",",'Code List'!$B$32,'Code List'!$D$32,",",'Code List'!$B$33,'Code List'!$D$33,",",'Code List'!$B$34,'Code List'!$D$34,",",'Code List'!$B$35,'Code List'!$D$35,",",'Code List'!$B$36,'Code List'!$D$36,",",'Code List'!$B$37,'Code List'!$D$37,",",'Code List'!$B$38,"""",H194,"""",",",'Code List'!$B$39,"""",I194,"""",",",'Code List'!$B$40,"""",J194,"""",",",'Code List'!$B$41,"""",K194,"""",",",'Code List'!$B$42,"""",L194,"""",",",'Code List'!$B$43,"""",M194,"""",",",'Code List'!$B$44,"""",N194,"""",",",'Code List'!$B$45,"""",O194,"""",",",'Code List'!$B$46,"""",P194,"""",",",'Code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List'!$B$59,"""",T194,"""","}"),"")</f>
        <v/>
      </c>
    </row>
    <row r="195" spans="1:25" x14ac:dyDescent="0.25">
      <c r="A195" s="162" t="str">
        <f>IF(AND($A188="YES",E188=$E$1),"YES","NO")</f>
        <v>NO</v>
      </c>
      <c r="C195" t="s">
        <v>259</v>
      </c>
      <c r="D195" s="12" t="str">
        <f>D194</f>
        <v>4C</v>
      </c>
      <c r="E195" t="s">
        <v>259</v>
      </c>
      <c r="G195" s="171">
        <f>F188</f>
        <v>0</v>
      </c>
      <c r="H195">
        <f>ROUND(B188,$O$1)</f>
        <v>176.11</v>
      </c>
      <c r="I195">
        <f>ROUND(B188+'Slide Measurements'!$D$1,$O$1)</f>
        <v>252.56</v>
      </c>
      <c r="J195">
        <f>C188</f>
        <v>126.24000000000001</v>
      </c>
      <c r="K195">
        <f>C188+'Slide Measurements'!$D$2</f>
        <v>153.64000000000001</v>
      </c>
      <c r="L195" s="5" t="str">
        <f>'Expanded Base Data'!$L186</f>
        <v/>
      </c>
      <c r="M195" s="5" t="str">
        <f>'Expanded Base Data'!$K186</f>
        <v/>
      </c>
      <c r="N195">
        <f t="shared" si="162"/>
        <v>76.45</v>
      </c>
      <c r="O195">
        <f t="shared" si="163"/>
        <v>27.4</v>
      </c>
      <c r="P195" s="5" t="e">
        <f>ROUND((L195-M195),$O$1)</f>
        <v>#VALUE!</v>
      </c>
      <c r="Q195">
        <f>'Code List'!$C$70</f>
        <v>11</v>
      </c>
      <c r="R195">
        <f>'Code List'!$D$70</f>
        <v>19</v>
      </c>
      <c r="S195" t="e">
        <f>IF(P195=0,"1",ROUND((P195/$K$1)+$M$1,0))</f>
        <v>#VALUE!</v>
      </c>
      <c r="T195" t="e">
        <f>Q195*R195*S195</f>
        <v>#VALUE!</v>
      </c>
      <c r="U195" t="str">
        <f>IF(A195="YES",CONCATENATE(G195,"_",'Program Page'!$C$4,'Program Page'!$C$5,"_",D195,"_",E195),"")</f>
        <v/>
      </c>
      <c r="V195" t="str">
        <f>IF(U195="","",CONCATENATE(U195,"_"))</f>
        <v/>
      </c>
      <c r="W195" t="str">
        <f>IF(A195="YES",CONCATENATE("{",'Code List'!$B$4,'Code List'!$D$4,",",'Code List'!$B$5,'Code List'!$D$5,",",'Code List'!$B$6,"""",U195,"""",",",'Code List'!$B$7,'Code List'!$D$7,",",'Code List'!$B$8,'Code List'!$D$8,",",'Code List'!$B$9,'Code List'!$D$9,",",'Code List'!$B$10,'Code List'!$D$10,",",'Code List'!$B$11,"""",V195,"""",",",'Code List'!$B$12,"""",H195,"""",",",'Code List'!$B$13,"""",I195,"""",",",'Code List'!$B$14,"""",J195,"""",",",'Code List'!$B$15,"""",K195,"""",",",'Code List'!$B$16,"""",L195,"""",",",'Code List'!$B$17,"""",M195,"""",",",'Code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195" s="167" t="str">
        <f>IF(A195="YES",CONCATENATE("{",'Code List'!$B$31,"""",U195,"""",",",'Code List'!$B$32,'Code List'!$D$32,",",'Code List'!$B$33,'Code List'!$D$33,",",'Code List'!$B$34,'Code List'!$D$34,",",'Code List'!$B$35,'Code List'!$D$35,",",'Code List'!$B$36,'Code List'!$D$36,",",'Code List'!$B$37,'Code List'!$D$37,",",'Code List'!$B$38,"""",H195,"""",",",'Code List'!$B$39,"""",I195,"""",",",'Code List'!$B$40,"""",J195,"""",",",'Code List'!$B$41,"""",K195,"""",",",'Code List'!$B$42,"""",L195,"""",",",'Code List'!$B$43,"""",M195,"""",",",'Code List'!$B$44,"""",N195,"""",",",'Code List'!$B$45,"""",O195,"""",",",'Code List'!$B$46,"""",P195,"""",",",'Code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List'!$B$59,"""",T195,"""","}"),"")</f>
        <v/>
      </c>
    </row>
    <row r="196" spans="1:25" ht="18.75" x14ac:dyDescent="0.3">
      <c r="A196" s="35" t="str">
        <f>IF(OR(E196=$C$1,E196=$D$1,E196=$E$1),"YES","NO")</f>
        <v>NO</v>
      </c>
      <c r="B196" s="35">
        <f>'Expanded Base Data'!D194</f>
        <v>263.11</v>
      </c>
      <c r="C196" s="35">
        <f>'Expanded Base Data'!E194</f>
        <v>126.24000000000001</v>
      </c>
      <c r="D196" s="36" t="str">
        <f>'Expanded Base Data'!B194</f>
        <v>4D</v>
      </c>
      <c r="E196" s="35">
        <f>'Expanded Base Data'!C194</f>
        <v>0</v>
      </c>
      <c r="F196" s="35">
        <f>'Expanded Base Data'!M194</f>
        <v>0</v>
      </c>
      <c r="G196" s="170">
        <f>F196</f>
        <v>0</v>
      </c>
      <c r="Y196" s="167" t="str">
        <f>""</f>
        <v/>
      </c>
    </row>
    <row r="197" spans="1:25" x14ac:dyDescent="0.25">
      <c r="A197" t="str">
        <f>IF(AND($A196="YES",E196=$C$1),"YES","NO")</f>
        <v>NO</v>
      </c>
      <c r="C197" t="s">
        <v>6</v>
      </c>
      <c r="D197" s="12" t="str">
        <f>D196</f>
        <v>4D</v>
      </c>
      <c r="E197" t="s">
        <v>6</v>
      </c>
      <c r="F197" t="s">
        <v>198</v>
      </c>
      <c r="G197" s="171">
        <f>F196</f>
        <v>0</v>
      </c>
      <c r="H197">
        <f>IF('Expanded Base Data'!N194="",ROUND(B196+'Slide Measurements'!$D$11,$O$1),B196+'Expanded Base Data'!N194)</f>
        <v>296.11</v>
      </c>
      <c r="I197">
        <f>IF('Expanded Base Data'!O194="",ROUND(B196+'Slide Measurements'!$D$12,$O$1),B196+'Expanded Base Data'!O194)</f>
        <v>304.70999999999998</v>
      </c>
      <c r="J197">
        <f>IF('Expanded Base Data'!P194="",C196+'Slide Measurements'!$E$13,C196+'Expanded Base Data'!P194)</f>
        <v>134.94</v>
      </c>
      <c r="K197">
        <f>IF('Expanded Base Data'!Q194="",C196+'Slide Measurements'!$E$14,C196+'Expanded Base Data'!Q194)</f>
        <v>143.54000000000002</v>
      </c>
      <c r="L197" s="5" t="str">
        <f>'Expanded Base Data'!$L194</f>
        <v/>
      </c>
      <c r="M197" s="5" t="str">
        <f>'Expanded Base Data'!$K194</f>
        <v/>
      </c>
      <c r="N197">
        <f>ROUND((I197-H197),$O$1)</f>
        <v>8.6</v>
      </c>
      <c r="O197">
        <f>ROUND((K197-J197),$O$1)</f>
        <v>8.6</v>
      </c>
      <c r="P197" s="5" t="e">
        <f>ROUND((L197-M197),$O$1)</f>
        <v>#VALUE!</v>
      </c>
      <c r="Q197">
        <f>'Code List'!$C$62</f>
        <v>5</v>
      </c>
      <c r="R197">
        <f>F198+'Code List'!$G$63</f>
        <v>2</v>
      </c>
      <c r="S197" t="e">
        <f>IF(P197=0,"1",ROUND((P197/$K$1)+$M$1,0))</f>
        <v>#VALUE!</v>
      </c>
      <c r="T197" t="e">
        <f>Q197*R197*S197</f>
        <v>#VALUE!</v>
      </c>
      <c r="U197" t="str">
        <f>IF(A197="YES",CONCATENATE(G197,"_",'Program Page'!$C$4,'Program Page'!$C$5,"_",D197,"_",E197),"")</f>
        <v/>
      </c>
      <c r="V197" t="str">
        <f>IF(U197="","",CONCATENATE(U197,"_"))</f>
        <v/>
      </c>
      <c r="W197" t="str">
        <f>IF(A197="YES",CONCATENATE("{",'Code List'!$B$4,'Code List'!$D$4,",",'Code List'!$B$5,'Code List'!$D$5,",",'Code List'!$B$6,"""",U197,"""",",",'Code List'!$B$7,'Code List'!$D$7,",",'Code List'!$B$8,'Code List'!$D$8,",",'Code List'!$B$9,'Code List'!$D$9,",",'Code List'!$B$10,'Code List'!$D$10,",",'Code List'!$B$11,"""",V197,"""",",",'Code List'!$B$12,"""",H197,"""",",",'Code List'!$B$13,"""",I197,"""",",",'Code List'!$B$14,"""",J197,"""",",",'Code List'!$B$15,"""",K197,"""",",",'Code List'!$B$16,"""",L197,"""",",",'Code List'!$B$17,"""",M197,"""",",",'Code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97" s="167" t="str">
        <f>IF(A197="YES",CONCATENATE("{",'Code List'!$B$31,"""",U197,"""",",",'Code List'!$B$32,'Code List'!$D$32,",",'Code List'!$B$33,'Code List'!$D$33,",",'Code List'!$B$34,'Code List'!$D$34,",",'Code List'!$B$35,'Code List'!$D$35,",",'Code List'!$B$36,'Code List'!$D$36,",",'Code List'!$B$37,'Code List'!$D$37,",",'Code List'!$B$38,"""",H197,"""",",",'Code List'!$B$39,"""",I197,"""",",",'Code List'!$B$40,"""",J197,"""",",",'Code List'!$B$41,"""",K197,"""",",",'Code List'!$B$42,"""",L197,"""",",",'Code List'!$B$43,"""",M197,"""",",",'Code List'!$B$44,"""",N197,"""",",",'Code List'!$B$45,"""",O197,"""",",",'Code List'!$B$46,"""",P197,"""",",",'Code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List'!$B$59,"""",T197,"""","}"),"")</f>
        <v/>
      </c>
    </row>
    <row r="198" spans="1:25" x14ac:dyDescent="0.25">
      <c r="A198" t="str">
        <f>IF(AND($A196="YES",E196=$D$1,F198&gt;0),"YES","NO")</f>
        <v>NO</v>
      </c>
      <c r="C198" t="s">
        <v>5</v>
      </c>
      <c r="D198" s="12" t="str">
        <f t="shared" ref="D198:D202" si="168">D197</f>
        <v>4D</v>
      </c>
      <c r="E198" t="s">
        <v>188</v>
      </c>
      <c r="F198">
        <f>'Expanded Base Data'!F194</f>
        <v>0</v>
      </c>
      <c r="G198" s="171">
        <f>F196</f>
        <v>0</v>
      </c>
      <c r="H198">
        <f>ROUND(B196+'Slide Measurements'!$D$17,$O$1)</f>
        <v>288.51</v>
      </c>
      <c r="I198">
        <f>ROUND(H198+(F198*'Slide Measurements'!$D$21),$O$1)</f>
        <v>288.51</v>
      </c>
      <c r="J198">
        <f>C196+'Slide Measurements'!$E$17</f>
        <v>130.54000000000002</v>
      </c>
      <c r="K198">
        <f>J198+($I$1*'Slide Measurements'!$E$23-'Slide Measurements'!$E$23)</f>
        <v>132.39000000000001</v>
      </c>
      <c r="L198" s="5" t="str">
        <f>'Expanded Base Data'!$L194</f>
        <v/>
      </c>
      <c r="M198" s="5" t="str">
        <f>'Expanded Base Data'!$K194</f>
        <v/>
      </c>
      <c r="N198">
        <f t="shared" ref="N198:N203" si="169">ROUND((I198-H198),$O$1)</f>
        <v>0</v>
      </c>
      <c r="O198">
        <f t="shared" ref="O198:O203" si="170">ROUND((K198-J198),$O$1)</f>
        <v>1.85</v>
      </c>
      <c r="P198" s="5" t="e">
        <f t="shared" ref="P198:P202" si="171">ROUND((L198-M198),$O$1)</f>
        <v>#VALUE!</v>
      </c>
      <c r="Q198">
        <f>'Code List'!$C$63</f>
        <v>3</v>
      </c>
      <c r="R198">
        <f>F199+'Code List'!$G$63</f>
        <v>2</v>
      </c>
      <c r="S198" t="e">
        <f t="shared" ref="S198:S202" si="172">IF(P198=0,"1",ROUND((P198/$K$1)+$M$1,0))</f>
        <v>#VALUE!</v>
      </c>
      <c r="T198" t="e">
        <f>Q198*R198*S198</f>
        <v>#VALUE!</v>
      </c>
      <c r="U198" t="str">
        <f>IF(A198="YES",CONCATENATE(G198,"_",'Program Page'!$C$4,'Program Page'!$C$5,"_",D198,"_",E198),"")</f>
        <v/>
      </c>
      <c r="V198" t="str">
        <f t="shared" ref="V198:V202" si="173">IF(U198="","",CONCATENATE(U198,"_"))</f>
        <v/>
      </c>
      <c r="W198" t="str">
        <f>IF(A198="YES",CONCATENATE("{",'Code List'!$B$4,'Code List'!$D$4,",",'Code List'!$B$5,'Code List'!$D$5,",",'Code List'!$B$6,"""",U198,"""",",",'Code List'!$B$7,'Code List'!$D$7,",",'Code List'!$B$8,'Code List'!$D$8,",",'Code List'!$B$9,'Code List'!$D$9,",",'Code List'!$B$10,'Code List'!$D$10,",",'Code List'!$B$11,"""",V198,"""",",",'Code List'!$B$12,"""",H198,"""",",",'Code List'!$B$13,"""",I198,"""",",",'Code List'!$B$14,"""",J198,"""",",",'Code List'!$B$15,"""",K198,"""",",",'Code List'!$B$16,"""",L198,"""",",",'Code List'!$B$17,"""",M198,"""",",",'Code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98" s="167" t="str">
        <f>IF(A198="YES",CONCATENATE("{",'Code List'!$B$31,"""",U198,"""",",",'Code List'!$B$32,'Code List'!$D$32,",",'Code List'!$B$33,'Code List'!$D$33,",",'Code List'!$B$34,'Code List'!$D$34,",",'Code List'!$B$35,'Code List'!$D$35,",",'Code List'!$B$36,'Code List'!$D$36,",",'Code List'!$B$37,'Code List'!$D$37,",",'Code List'!$B$38,"""",H198,"""",",",'Code List'!$B$39,"""",I198,"""",",",'Code List'!$B$40,"""",J198,"""",",",'Code List'!$B$41,"""",K198,"""",",",'Code List'!$B$42,"""",L198,"""",",",'Code List'!$B$43,"""",M198,"""",",",'Code List'!$B$44,"""",N198,"""",",",'Code List'!$B$45,"""",O198,"""",",",'Code List'!$B$46,"""",P198,"""",",",'Code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List'!$B$59,"""",T198,"""","}"),"")</f>
        <v/>
      </c>
    </row>
    <row r="199" spans="1:25" x14ac:dyDescent="0.25">
      <c r="A199" t="str">
        <f>IF(AND($A196="YES",E196=$D$1,F199&gt;0),"YES","NO")</f>
        <v>NO</v>
      </c>
      <c r="C199" t="s">
        <v>5</v>
      </c>
      <c r="D199" s="12" t="str">
        <f t="shared" si="168"/>
        <v>4D</v>
      </c>
      <c r="E199" t="s">
        <v>189</v>
      </c>
      <c r="F199">
        <f>'Expanded Base Data'!G194</f>
        <v>0</v>
      </c>
      <c r="G199" s="171">
        <f>F196</f>
        <v>0</v>
      </c>
      <c r="H199">
        <f>ROUND(B196+'Slide Measurements'!$D$17,$O$1)</f>
        <v>288.51</v>
      </c>
      <c r="I199">
        <f>ROUND(H199+(F199*'Slide Measurements'!$D$21),$O$1)</f>
        <v>288.51</v>
      </c>
      <c r="J199">
        <f>K198</f>
        <v>132.39000000000001</v>
      </c>
      <c r="K199">
        <f>J199+($I$1*'Slide Measurements'!$E$23-'Slide Measurements'!$E$23)</f>
        <v>134.24</v>
      </c>
      <c r="L199" s="5" t="str">
        <f>'Expanded Base Data'!$L194</f>
        <v/>
      </c>
      <c r="M199" s="5" t="str">
        <f>'Expanded Base Data'!$K194</f>
        <v/>
      </c>
      <c r="N199">
        <f t="shared" si="169"/>
        <v>0</v>
      </c>
      <c r="O199">
        <f t="shared" si="170"/>
        <v>1.85</v>
      </c>
      <c r="P199" s="5" t="e">
        <f t="shared" si="171"/>
        <v>#VALUE!</v>
      </c>
      <c r="Q199">
        <f>'Code List'!$C$63</f>
        <v>3</v>
      </c>
      <c r="R199">
        <f>F200+'Code List'!$G$63</f>
        <v>2</v>
      </c>
      <c r="S199" t="e">
        <f t="shared" si="172"/>
        <v>#VALUE!</v>
      </c>
      <c r="T199" t="e">
        <f t="shared" ref="T199:T202" si="174">Q199*R199*S199</f>
        <v>#VALUE!</v>
      </c>
      <c r="U199" t="str">
        <f>IF(A199="YES",CONCATENATE(G199,"_",'Program Page'!$C$4,'Program Page'!$C$5,"_",D199,"_",E199),"")</f>
        <v/>
      </c>
      <c r="V199" t="str">
        <f t="shared" si="173"/>
        <v/>
      </c>
      <c r="W199" t="str">
        <f>IF(A199="YES",CONCATENATE("{",'Code List'!$B$4,'Code List'!$D$4,",",'Code List'!$B$5,'Code List'!$D$5,",",'Code List'!$B$6,"""",U199,"""",",",'Code List'!$B$7,'Code List'!$D$7,",",'Code List'!$B$8,'Code List'!$D$8,",",'Code List'!$B$9,'Code List'!$D$9,",",'Code List'!$B$10,'Code List'!$D$10,",",'Code List'!$B$11,"""",V199,"""",",",'Code List'!$B$12,"""",H199,"""",",",'Code List'!$B$13,"""",I199,"""",",",'Code List'!$B$14,"""",J199,"""",",",'Code List'!$B$15,"""",K199,"""",",",'Code List'!$B$16,"""",L199,"""",",",'Code List'!$B$17,"""",M199,"""",",",'Code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199" s="167" t="str">
        <f>IF(A199="YES",CONCATENATE("{",'Code List'!$B$31,"""",U199,"""",",",'Code List'!$B$32,'Code List'!$D$32,",",'Code List'!$B$33,'Code List'!$D$33,",",'Code List'!$B$34,'Code List'!$D$34,",",'Code List'!$B$35,'Code List'!$D$35,",",'Code List'!$B$36,'Code List'!$D$36,",",'Code List'!$B$37,'Code List'!$D$37,",",'Code List'!$B$38,"""",H199,"""",",",'Code List'!$B$39,"""",I199,"""",",",'Code List'!$B$40,"""",J199,"""",",",'Code List'!$B$41,"""",K199,"""",",",'Code List'!$B$42,"""",L199,"""",",",'Code List'!$B$43,"""",M199,"""",",",'Code List'!$B$44,"""",N199,"""",",",'Code List'!$B$45,"""",O199,"""",",",'Code List'!$B$46,"""",P199,"""",",",'Code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List'!$B$59,"""",T199,"""","}"),"")</f>
        <v/>
      </c>
    </row>
    <row r="200" spans="1:25" x14ac:dyDescent="0.25">
      <c r="A200" t="str">
        <f>IF(AND($A196="YES",E196=$D$1,F200&gt;0),"YES","NO")</f>
        <v>NO</v>
      </c>
      <c r="C200" t="s">
        <v>5</v>
      </c>
      <c r="D200" s="12" t="str">
        <f t="shared" si="168"/>
        <v>4D</v>
      </c>
      <c r="E200" t="s">
        <v>190</v>
      </c>
      <c r="F200">
        <f>'Expanded Base Data'!H194</f>
        <v>0</v>
      </c>
      <c r="G200" s="171">
        <f>F196</f>
        <v>0</v>
      </c>
      <c r="H200">
        <f>ROUND(B196+'Slide Measurements'!$D$17,$O$1)</f>
        <v>288.51</v>
      </c>
      <c r="I200">
        <f>ROUND(H200+(F200*'Slide Measurements'!$D$21),$O$1)</f>
        <v>288.51</v>
      </c>
      <c r="J200">
        <f>K199</f>
        <v>134.24</v>
      </c>
      <c r="K200">
        <f>J200+($I$1*'Slide Measurements'!$E$23-'Slide Measurements'!$E$23)</f>
        <v>136.09</v>
      </c>
      <c r="L200" s="5" t="str">
        <f>'Expanded Base Data'!$L194</f>
        <v/>
      </c>
      <c r="M200" s="5" t="str">
        <f>'Expanded Base Data'!$K194</f>
        <v/>
      </c>
      <c r="N200">
        <f t="shared" si="169"/>
        <v>0</v>
      </c>
      <c r="O200">
        <f t="shared" si="170"/>
        <v>1.85</v>
      </c>
      <c r="P200" s="5" t="e">
        <f t="shared" si="171"/>
        <v>#VALUE!</v>
      </c>
      <c r="Q200">
        <f>'Code List'!$C$63</f>
        <v>3</v>
      </c>
      <c r="R200">
        <f>F201+'Code List'!$G$63</f>
        <v>2</v>
      </c>
      <c r="S200" t="e">
        <f t="shared" si="172"/>
        <v>#VALUE!</v>
      </c>
      <c r="T200" t="e">
        <f t="shared" si="174"/>
        <v>#VALUE!</v>
      </c>
      <c r="U200" t="str">
        <f>IF(A200="YES",CONCATENATE(G200,"_",'Program Page'!$C$4,'Program Page'!$C$5,"_",D200,"_",E200),"")</f>
        <v/>
      </c>
      <c r="V200" t="str">
        <f t="shared" si="173"/>
        <v/>
      </c>
      <c r="W200" t="str">
        <f>IF(A200="YES",CONCATENATE("{",'Code List'!$B$4,'Code List'!$D$4,",",'Code List'!$B$5,'Code List'!$D$5,",",'Code List'!$B$6,"""",U200,"""",",",'Code List'!$B$7,'Code List'!$D$7,",",'Code List'!$B$8,'Code List'!$D$8,",",'Code List'!$B$9,'Code List'!$D$9,",",'Code List'!$B$10,'Code List'!$D$10,",",'Code List'!$B$11,"""",V200,"""",",",'Code List'!$B$12,"""",H200,"""",",",'Code List'!$B$13,"""",I200,"""",",",'Code List'!$B$14,"""",J200,"""",",",'Code List'!$B$15,"""",K200,"""",",",'Code List'!$B$16,"""",L200,"""",",",'Code List'!$B$17,"""",M200,"""",",",'Code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00" s="167" t="str">
        <f>IF(A200="YES",CONCATENATE("{",'Code List'!$B$31,"""",U200,"""",",",'Code List'!$B$32,'Code List'!$D$32,",",'Code List'!$B$33,'Code List'!$D$33,",",'Code List'!$B$34,'Code List'!$D$34,",",'Code List'!$B$35,'Code List'!$D$35,",",'Code List'!$B$36,'Code List'!$D$36,",",'Code List'!$B$37,'Code List'!$D$37,",",'Code List'!$B$38,"""",H200,"""",",",'Code List'!$B$39,"""",I200,"""",",",'Code List'!$B$40,"""",J200,"""",",",'Code List'!$B$41,"""",K200,"""",",",'Code List'!$B$42,"""",L200,"""",",",'Code List'!$B$43,"""",M200,"""",",",'Code List'!$B$44,"""",N200,"""",",",'Code List'!$B$45,"""",O200,"""",",",'Code List'!$B$46,"""",P200,"""",",",'Code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List'!$B$59,"""",T200,"""","}"),"")</f>
        <v/>
      </c>
    </row>
    <row r="201" spans="1:25" x14ac:dyDescent="0.25">
      <c r="A201" t="str">
        <f>IF(AND($A196="YES",E196=$D$1,F201&gt;0),"YES","NO")</f>
        <v>NO</v>
      </c>
      <c r="C201" t="s">
        <v>5</v>
      </c>
      <c r="D201" s="12" t="str">
        <f t="shared" si="168"/>
        <v>4D</v>
      </c>
      <c r="E201" t="s">
        <v>191</v>
      </c>
      <c r="F201">
        <f>'Expanded Base Data'!I194</f>
        <v>0</v>
      </c>
      <c r="G201" s="171">
        <f>F196</f>
        <v>0</v>
      </c>
      <c r="H201">
        <f>ROUND(B196+'Slide Measurements'!$D$17,$O$1)</f>
        <v>288.51</v>
      </c>
      <c r="I201">
        <f>ROUND(H201+(F201*'Slide Measurements'!$D$21),$O$1)</f>
        <v>288.51</v>
      </c>
      <c r="J201">
        <f>K200</f>
        <v>136.09</v>
      </c>
      <c r="K201">
        <f>J201+($I$1*'Slide Measurements'!$E$23-'Slide Measurements'!$E$23)</f>
        <v>137.94</v>
      </c>
      <c r="L201" s="5" t="str">
        <f>'Expanded Base Data'!$L194</f>
        <v/>
      </c>
      <c r="M201" s="5" t="str">
        <f>'Expanded Base Data'!$K194</f>
        <v/>
      </c>
      <c r="N201">
        <f t="shared" si="169"/>
        <v>0</v>
      </c>
      <c r="O201">
        <f t="shared" si="170"/>
        <v>1.85</v>
      </c>
      <c r="P201" s="5" t="e">
        <f t="shared" si="171"/>
        <v>#VALUE!</v>
      </c>
      <c r="Q201">
        <f>'Code List'!$C$63</f>
        <v>3</v>
      </c>
      <c r="R201">
        <f>F202+'Code List'!$G$63</f>
        <v>2</v>
      </c>
      <c r="S201" t="e">
        <f t="shared" si="172"/>
        <v>#VALUE!</v>
      </c>
      <c r="T201" t="e">
        <f t="shared" si="174"/>
        <v>#VALUE!</v>
      </c>
      <c r="U201" t="str">
        <f>IF(A201="YES",CONCATENATE(G201,"_",'Program Page'!$C$4,'Program Page'!$C$5,"_",D201,"_",E201),"")</f>
        <v/>
      </c>
      <c r="V201" t="str">
        <f t="shared" si="173"/>
        <v/>
      </c>
      <c r="W201" t="str">
        <f>IF(A201="YES",CONCATENATE("{",'Code List'!$B$4,'Code List'!$D$4,",",'Code List'!$B$5,'Code List'!$D$5,",",'Code List'!$B$6,"""",U201,"""",",",'Code List'!$B$7,'Code List'!$D$7,",",'Code List'!$B$8,'Code List'!$D$8,",",'Code List'!$B$9,'Code List'!$D$9,",",'Code List'!$B$10,'Code List'!$D$10,",",'Code List'!$B$11,"""",V201,"""",",",'Code List'!$B$12,"""",H201,"""",",",'Code List'!$B$13,"""",I201,"""",",",'Code List'!$B$14,"""",J201,"""",",",'Code List'!$B$15,"""",K201,"""",",",'Code List'!$B$16,"""",L201,"""",",",'Code List'!$B$17,"""",M201,"""",",",'Code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01" s="167" t="str">
        <f>IF(A201="YES",CONCATENATE("{",'Code List'!$B$31,"""",U201,"""",",",'Code List'!$B$32,'Code List'!$D$32,",",'Code List'!$B$33,'Code List'!$D$33,",",'Code List'!$B$34,'Code List'!$D$34,",",'Code List'!$B$35,'Code List'!$D$35,",",'Code List'!$B$36,'Code List'!$D$36,",",'Code List'!$B$37,'Code List'!$D$37,",",'Code List'!$B$38,"""",H201,"""",",",'Code List'!$B$39,"""",I201,"""",",",'Code List'!$B$40,"""",J201,"""",",",'Code List'!$B$41,"""",K201,"""",",",'Code List'!$B$42,"""",L201,"""",",",'Code List'!$B$43,"""",M201,"""",",",'Code List'!$B$44,"""",N201,"""",",",'Code List'!$B$45,"""",O201,"""",",",'Code List'!$B$46,"""",P201,"""",",",'Code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List'!$B$59,"""",T201,"""","}"),"")</f>
        <v/>
      </c>
    </row>
    <row r="202" spans="1:25" x14ac:dyDescent="0.25">
      <c r="A202" t="str">
        <f>IF(AND($A196="YES",E196=$D$1,F202&gt;0),"YES","NO")</f>
        <v>NO</v>
      </c>
      <c r="C202" t="s">
        <v>5</v>
      </c>
      <c r="D202" s="12" t="str">
        <f t="shared" si="168"/>
        <v>4D</v>
      </c>
      <c r="E202" t="s">
        <v>196</v>
      </c>
      <c r="F202">
        <f>'Expanded Base Data'!J194</f>
        <v>0</v>
      </c>
      <c r="G202" s="171">
        <f>F196</f>
        <v>0</v>
      </c>
      <c r="H202">
        <f>ROUND(B196+'Slide Measurements'!$D$17,$O$1)</f>
        <v>288.51</v>
      </c>
      <c r="I202">
        <f>ROUND(H202+(F202*'Slide Measurements'!$D$21),$O$1)</f>
        <v>288.51</v>
      </c>
      <c r="J202">
        <f>K201</f>
        <v>137.94</v>
      </c>
      <c r="K202">
        <f>J202+($I$1*'Slide Measurements'!$E$23-'Slide Measurements'!$E$23)</f>
        <v>139.79</v>
      </c>
      <c r="L202" s="5" t="str">
        <f>'Expanded Base Data'!$L194</f>
        <v/>
      </c>
      <c r="M202" s="5" t="str">
        <f>'Expanded Base Data'!$K194</f>
        <v/>
      </c>
      <c r="N202">
        <f t="shared" si="169"/>
        <v>0</v>
      </c>
      <c r="O202">
        <f t="shared" si="170"/>
        <v>1.85</v>
      </c>
      <c r="P202" s="5" t="e">
        <f t="shared" si="171"/>
        <v>#VALUE!</v>
      </c>
      <c r="Q202">
        <f>'Code List'!$C$63</f>
        <v>3</v>
      </c>
      <c r="R202">
        <f>F203+'Code List'!$G$63</f>
        <v>2</v>
      </c>
      <c r="S202" t="e">
        <f t="shared" si="172"/>
        <v>#VALUE!</v>
      </c>
      <c r="T202" t="e">
        <f t="shared" si="174"/>
        <v>#VALUE!</v>
      </c>
      <c r="U202" t="str">
        <f>IF(A202="YES",CONCATENATE(G202,"_",'Program Page'!$C$4,'Program Page'!$C$5,"_",D202,"_",E202),"")</f>
        <v/>
      </c>
      <c r="V202" t="str">
        <f t="shared" si="173"/>
        <v/>
      </c>
      <c r="W202" t="str">
        <f>IF(A202="YES",CONCATENATE("{",'Code List'!$B$4,'Code List'!$D$4,",",'Code List'!$B$5,'Code List'!$D$5,",",'Code List'!$B$6,"""",U202,"""",",",'Code List'!$B$7,'Code List'!$D$7,",",'Code List'!$B$8,'Code List'!$D$8,",",'Code List'!$B$9,'Code List'!$D$9,",",'Code List'!$B$10,'Code List'!$D$10,",",'Code List'!$B$11,"""",V202,"""",",",'Code List'!$B$12,"""",H202,"""",",",'Code List'!$B$13,"""",I202,"""",",",'Code List'!$B$14,"""",J202,"""",",",'Code List'!$B$15,"""",K202,"""",",",'Code List'!$B$16,"""",L202,"""",",",'Code List'!$B$17,"""",M202,"""",",",'Code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02" s="167" t="str">
        <f>IF(A202="YES",CONCATENATE("{",'Code List'!$B$31,"""",U202,"""",",",'Code List'!$B$32,'Code List'!$D$32,",",'Code List'!$B$33,'Code List'!$D$33,",",'Code List'!$B$34,'Code List'!$D$34,",",'Code List'!$B$35,'Code List'!$D$35,",",'Code List'!$B$36,'Code List'!$D$36,",",'Code List'!$B$37,'Code List'!$D$37,",",'Code List'!$B$38,"""",H202,"""",",",'Code List'!$B$39,"""",I202,"""",",",'Code List'!$B$40,"""",J202,"""",",",'Code List'!$B$41,"""",K202,"""",",",'Code List'!$B$42,"""",L202,"""",",",'Code List'!$B$43,"""",M202,"""",",",'Code List'!$B$44,"""",N202,"""",",",'Code List'!$B$45,"""",O202,"""",",",'Code List'!$B$46,"""",P202,"""",",",'Code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List'!$B$59,"""",T202,"""","}"),"")</f>
        <v/>
      </c>
    </row>
    <row r="203" spans="1:25" x14ac:dyDescent="0.25">
      <c r="A203" s="162" t="str">
        <f>IF(AND($A196="YES",E196=$E$1),"YES","NO")</f>
        <v>NO</v>
      </c>
      <c r="C203" t="s">
        <v>259</v>
      </c>
      <c r="D203" s="12" t="str">
        <f>D202</f>
        <v>4D</v>
      </c>
      <c r="E203" t="s">
        <v>259</v>
      </c>
      <c r="G203" s="171">
        <f>F196</f>
        <v>0</v>
      </c>
      <c r="H203">
        <f>ROUND(B196,$O$1)</f>
        <v>263.11</v>
      </c>
      <c r="I203">
        <f>ROUND(B196+'Slide Measurements'!$D$1,$O$1)</f>
        <v>339.56</v>
      </c>
      <c r="J203">
        <f>C196</f>
        <v>126.24000000000001</v>
      </c>
      <c r="K203">
        <f>C196+'Slide Measurements'!$D$2</f>
        <v>153.64000000000001</v>
      </c>
      <c r="L203" s="5" t="str">
        <f>'Expanded Base Data'!$L194</f>
        <v/>
      </c>
      <c r="M203" s="5" t="str">
        <f>'Expanded Base Data'!$K194</f>
        <v/>
      </c>
      <c r="N203">
        <f t="shared" si="169"/>
        <v>76.45</v>
      </c>
      <c r="O203">
        <f t="shared" si="170"/>
        <v>27.4</v>
      </c>
      <c r="P203" s="5" t="e">
        <f>ROUND((L203-M203),$O$1)</f>
        <v>#VALUE!</v>
      </c>
      <c r="Q203">
        <f>'Code List'!$C$70</f>
        <v>11</v>
      </c>
      <c r="R203">
        <f>'Code List'!$D$70</f>
        <v>19</v>
      </c>
      <c r="S203" t="e">
        <f>IF(P203=0,"1",ROUND((P203/$K$1)+$M$1,0))</f>
        <v>#VALUE!</v>
      </c>
      <c r="T203" t="e">
        <f>Q203*R203*S203</f>
        <v>#VALUE!</v>
      </c>
      <c r="U203" t="str">
        <f>IF(A203="YES",CONCATENATE(G203,"_",'Program Page'!$C$4,'Program Page'!$C$5,"_",D203,"_",E203),"")</f>
        <v/>
      </c>
      <c r="V203" t="str">
        <f>IF(U203="","",CONCATENATE(U203,"_"))</f>
        <v/>
      </c>
      <c r="W203" t="str">
        <f>IF(A203="YES",CONCATENATE("{",'Code List'!$B$4,'Code List'!$D$4,",",'Code List'!$B$5,'Code List'!$D$5,",",'Code List'!$B$6,"""",U203,"""",",",'Code List'!$B$7,'Code List'!$D$7,",",'Code List'!$B$8,'Code List'!$D$8,",",'Code List'!$B$9,'Code List'!$D$9,",",'Code List'!$B$10,'Code List'!$D$10,",",'Code List'!$B$11,"""",V203,"""",",",'Code List'!$B$12,"""",H203,"""",",",'Code List'!$B$13,"""",I203,"""",",",'Code List'!$B$14,"""",J203,"""",",",'Code List'!$B$15,"""",K203,"""",",",'Code List'!$B$16,"""",L203,"""",",",'Code List'!$B$17,"""",M203,"""",",",'Code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203" s="167" t="str">
        <f>IF(A203="YES",CONCATENATE("{",'Code List'!$B$31,"""",U203,"""",",",'Code List'!$B$32,'Code List'!$D$32,",",'Code List'!$B$33,'Code List'!$D$33,",",'Code List'!$B$34,'Code List'!$D$34,",",'Code List'!$B$35,'Code List'!$D$35,",",'Code List'!$B$36,'Code List'!$D$36,",",'Code List'!$B$37,'Code List'!$D$37,",",'Code List'!$B$38,"""",H203,"""",",",'Code List'!$B$39,"""",I203,"""",",",'Code List'!$B$40,"""",J203,"""",",",'Code List'!$B$41,"""",K203,"""",",",'Code List'!$B$42,"""",L203,"""",",",'Code List'!$B$43,"""",M203,"""",",",'Code List'!$B$44,"""",N203,"""",",",'Code List'!$B$45,"""",O203,"""",",",'Code List'!$B$46,"""",P203,"""",",",'Code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List'!$B$59,"""",T203,"""","}"),"")</f>
        <v/>
      </c>
    </row>
    <row r="204" spans="1:25" ht="18.75" x14ac:dyDescent="0.3">
      <c r="A204" s="35" t="str">
        <f>IF(OR(E204=$C$1,E204=$D$1,E204=$E$1),"YES","NO")</f>
        <v>NO</v>
      </c>
      <c r="B204" s="35">
        <f>'Expanded Base Data'!D202</f>
        <v>349.51</v>
      </c>
      <c r="C204" s="35">
        <f>'Expanded Base Data'!E202</f>
        <v>126.24000000000001</v>
      </c>
      <c r="D204" s="36" t="str">
        <f>'Expanded Base Data'!B202</f>
        <v>4E</v>
      </c>
      <c r="E204" s="35">
        <f>'Expanded Base Data'!C202</f>
        <v>0</v>
      </c>
      <c r="F204" s="35">
        <f>'Expanded Base Data'!M202</f>
        <v>0</v>
      </c>
      <c r="G204" s="170">
        <f>F204</f>
        <v>0</v>
      </c>
      <c r="Y204" s="167" t="str">
        <f>""</f>
        <v/>
      </c>
    </row>
    <row r="205" spans="1:25" x14ac:dyDescent="0.25">
      <c r="A205" t="str">
        <f>IF(AND($A204="YES",E204=$C$1),"YES","NO")</f>
        <v>NO</v>
      </c>
      <c r="C205" t="s">
        <v>6</v>
      </c>
      <c r="D205" s="12" t="str">
        <f>D204</f>
        <v>4E</v>
      </c>
      <c r="E205" t="s">
        <v>6</v>
      </c>
      <c r="F205" t="s">
        <v>198</v>
      </c>
      <c r="G205" s="171">
        <f>F204</f>
        <v>0</v>
      </c>
      <c r="H205">
        <f>IF('Expanded Base Data'!N202="",ROUND(B204+'Slide Measurements'!$D$11,$O$1),B204+'Expanded Base Data'!N202)</f>
        <v>382.51</v>
      </c>
      <c r="I205">
        <f>IF('Expanded Base Data'!O202="",ROUND(B204+'Slide Measurements'!$D$12,$O$1),B204+'Expanded Base Data'!O202)</f>
        <v>391.11</v>
      </c>
      <c r="J205">
        <f>IF('Expanded Base Data'!P202="",C204+'Slide Measurements'!$E$13,C204+'Expanded Base Data'!P202)</f>
        <v>134.94</v>
      </c>
      <c r="K205">
        <f>IF('Expanded Base Data'!Q202="",C204+'Slide Measurements'!$E$14,C204+'Expanded Base Data'!Q202)</f>
        <v>143.54000000000002</v>
      </c>
      <c r="L205" s="5" t="str">
        <f>'Expanded Base Data'!$L202</f>
        <v/>
      </c>
      <c r="M205" s="5" t="str">
        <f>'Expanded Base Data'!$K202</f>
        <v/>
      </c>
      <c r="N205">
        <f>ROUND((I205-H205),$O$1)</f>
        <v>8.6</v>
      </c>
      <c r="O205">
        <f>ROUND((K205-J205),$O$1)</f>
        <v>8.6</v>
      </c>
      <c r="P205" s="5" t="e">
        <f>ROUND((L205-M205),$O$1)</f>
        <v>#VALUE!</v>
      </c>
      <c r="Q205">
        <f>'Code List'!$C$62</f>
        <v>5</v>
      </c>
      <c r="R205">
        <f>F206+'Code List'!$G$63</f>
        <v>2</v>
      </c>
      <c r="S205" t="e">
        <f>IF(P205=0,"1",ROUND((P205/$K$1)+$M$1,0))</f>
        <v>#VALUE!</v>
      </c>
      <c r="T205" t="e">
        <f>Q205*R205*S205</f>
        <v>#VALUE!</v>
      </c>
      <c r="U205" t="str">
        <f>IF(A205="YES",CONCATENATE(G205,"_",'Program Page'!$C$4,'Program Page'!$C$5,"_",D205,"_",E205),"")</f>
        <v/>
      </c>
      <c r="V205" t="str">
        <f>IF(U205="","",CONCATENATE(U205,"_"))</f>
        <v/>
      </c>
      <c r="W205" t="str">
        <f>IF(A205="YES",CONCATENATE("{",'Code List'!$B$4,'Code List'!$D$4,",",'Code List'!$B$5,'Code List'!$D$5,",",'Code List'!$B$6,"""",U205,"""",",",'Code List'!$B$7,'Code List'!$D$7,",",'Code List'!$B$8,'Code List'!$D$8,",",'Code List'!$B$9,'Code List'!$D$9,",",'Code List'!$B$10,'Code List'!$D$10,",",'Code List'!$B$11,"""",V205,"""",",",'Code List'!$B$12,"""",H205,"""",",",'Code List'!$B$13,"""",I205,"""",",",'Code List'!$B$14,"""",J205,"""",",",'Code List'!$B$15,"""",K205,"""",",",'Code List'!$B$16,"""",L205,"""",",",'Code List'!$B$17,"""",M205,"""",",",'Code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05" s="167" t="str">
        <f>IF(A205="YES",CONCATENATE("{",'Code List'!$B$31,"""",U205,"""",",",'Code List'!$B$32,'Code List'!$D$32,",",'Code List'!$B$33,'Code List'!$D$33,",",'Code List'!$B$34,'Code List'!$D$34,",",'Code List'!$B$35,'Code List'!$D$35,",",'Code List'!$B$36,'Code List'!$D$36,",",'Code List'!$B$37,'Code List'!$D$37,",",'Code List'!$B$38,"""",H205,"""",",",'Code List'!$B$39,"""",I205,"""",",",'Code List'!$B$40,"""",J205,"""",",",'Code List'!$B$41,"""",K205,"""",",",'Code List'!$B$42,"""",L205,"""",",",'Code List'!$B$43,"""",M205,"""",",",'Code List'!$B$44,"""",N205,"""",",",'Code List'!$B$45,"""",O205,"""",",",'Code List'!$B$46,"""",P205,"""",",",'Code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List'!$B$59,"""",T205,"""","}"),"")</f>
        <v/>
      </c>
    </row>
    <row r="206" spans="1:25" x14ac:dyDescent="0.25">
      <c r="A206" t="str">
        <f>IF(AND($A204="YES",E204=$D$1,F206&gt;0),"YES","NO")</f>
        <v>NO</v>
      </c>
      <c r="C206" t="s">
        <v>5</v>
      </c>
      <c r="D206" s="12" t="str">
        <f t="shared" ref="D206:D210" si="175">D205</f>
        <v>4E</v>
      </c>
      <c r="E206" t="s">
        <v>188</v>
      </c>
      <c r="F206">
        <f>'Expanded Base Data'!F202</f>
        <v>0</v>
      </c>
      <c r="G206" s="171">
        <f>F204</f>
        <v>0</v>
      </c>
      <c r="H206">
        <f>ROUND(B204+'Slide Measurements'!$D$17,$O$1)</f>
        <v>374.91</v>
      </c>
      <c r="I206">
        <f>ROUND(H206+(F206*'Slide Measurements'!$D$21),$O$1)</f>
        <v>374.91</v>
      </c>
      <c r="J206">
        <f>C204+'Slide Measurements'!$E$17</f>
        <v>130.54000000000002</v>
      </c>
      <c r="K206">
        <f>J206+($I$1*'Slide Measurements'!$E$23-'Slide Measurements'!$E$23)</f>
        <v>132.39000000000001</v>
      </c>
      <c r="L206" s="5" t="str">
        <f>'Expanded Base Data'!$L202</f>
        <v/>
      </c>
      <c r="M206" s="5" t="str">
        <f>'Expanded Base Data'!$K202</f>
        <v/>
      </c>
      <c r="N206">
        <f t="shared" ref="N206:N211" si="176">ROUND((I206-H206),$O$1)</f>
        <v>0</v>
      </c>
      <c r="O206">
        <f t="shared" ref="O206:O211" si="177">ROUND((K206-J206),$O$1)</f>
        <v>1.85</v>
      </c>
      <c r="P206" s="5" t="e">
        <f t="shared" ref="P206:P210" si="178">ROUND((L206-M206),$O$1)</f>
        <v>#VALUE!</v>
      </c>
      <c r="Q206">
        <f>'Code List'!$C$63</f>
        <v>3</v>
      </c>
      <c r="R206">
        <f>F207+'Code List'!$G$63</f>
        <v>2</v>
      </c>
      <c r="S206" t="e">
        <f t="shared" ref="S206:S210" si="179">IF(P206=0,"1",ROUND((P206/$K$1)+$M$1,0))</f>
        <v>#VALUE!</v>
      </c>
      <c r="T206" t="e">
        <f>Q206*R206*S206</f>
        <v>#VALUE!</v>
      </c>
      <c r="U206" t="str">
        <f>IF(A206="YES",CONCATENATE(G206,"_",'Program Page'!$C$4,'Program Page'!$C$5,"_",D206,"_",E206),"")</f>
        <v/>
      </c>
      <c r="V206" t="str">
        <f t="shared" ref="V206:V210" si="180">IF(U206="","",CONCATENATE(U206,"_"))</f>
        <v/>
      </c>
      <c r="W206" t="str">
        <f>IF(A206="YES",CONCATENATE("{",'Code List'!$B$4,'Code List'!$D$4,",",'Code List'!$B$5,'Code List'!$D$5,",",'Code List'!$B$6,"""",U206,"""",",",'Code List'!$B$7,'Code List'!$D$7,",",'Code List'!$B$8,'Code List'!$D$8,",",'Code List'!$B$9,'Code List'!$D$9,",",'Code List'!$B$10,'Code List'!$D$10,",",'Code List'!$B$11,"""",V206,"""",",",'Code List'!$B$12,"""",H206,"""",",",'Code List'!$B$13,"""",I206,"""",",",'Code List'!$B$14,"""",J206,"""",",",'Code List'!$B$15,"""",K206,"""",",",'Code List'!$B$16,"""",L206,"""",",",'Code List'!$B$17,"""",M206,"""",",",'Code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06" s="167" t="str">
        <f>IF(A206="YES",CONCATENATE("{",'Code List'!$B$31,"""",U206,"""",",",'Code List'!$B$32,'Code List'!$D$32,",",'Code List'!$B$33,'Code List'!$D$33,",",'Code List'!$B$34,'Code List'!$D$34,",",'Code List'!$B$35,'Code List'!$D$35,",",'Code List'!$B$36,'Code List'!$D$36,",",'Code List'!$B$37,'Code List'!$D$37,",",'Code List'!$B$38,"""",H206,"""",",",'Code List'!$B$39,"""",I206,"""",",",'Code List'!$B$40,"""",J206,"""",",",'Code List'!$B$41,"""",K206,"""",",",'Code List'!$B$42,"""",L206,"""",",",'Code List'!$B$43,"""",M206,"""",",",'Code List'!$B$44,"""",N206,"""",",",'Code List'!$B$45,"""",O206,"""",",",'Code List'!$B$46,"""",P206,"""",",",'Code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List'!$B$59,"""",T206,"""","}"),"")</f>
        <v/>
      </c>
    </row>
    <row r="207" spans="1:25" x14ac:dyDescent="0.25">
      <c r="A207" t="str">
        <f>IF(AND($A204="YES",E204=$D$1,F207&gt;0),"YES","NO")</f>
        <v>NO</v>
      </c>
      <c r="C207" t="s">
        <v>5</v>
      </c>
      <c r="D207" s="12" t="str">
        <f t="shared" si="175"/>
        <v>4E</v>
      </c>
      <c r="E207" t="s">
        <v>189</v>
      </c>
      <c r="F207">
        <f>'Expanded Base Data'!G202</f>
        <v>0</v>
      </c>
      <c r="G207" s="171">
        <f>F204</f>
        <v>0</v>
      </c>
      <c r="H207">
        <f>ROUND(B204+'Slide Measurements'!$D$17,$O$1)</f>
        <v>374.91</v>
      </c>
      <c r="I207">
        <f>ROUND(H207+(F207*'Slide Measurements'!$D$21),$O$1)</f>
        <v>374.91</v>
      </c>
      <c r="J207">
        <f>K206</f>
        <v>132.39000000000001</v>
      </c>
      <c r="K207">
        <f>J207+($I$1*'Slide Measurements'!$E$23-'Slide Measurements'!$E$23)</f>
        <v>134.24</v>
      </c>
      <c r="L207" s="5" t="str">
        <f>'Expanded Base Data'!$L202</f>
        <v/>
      </c>
      <c r="M207" s="5" t="str">
        <f>'Expanded Base Data'!$K202</f>
        <v/>
      </c>
      <c r="N207">
        <f t="shared" si="176"/>
        <v>0</v>
      </c>
      <c r="O207">
        <f t="shared" si="177"/>
        <v>1.85</v>
      </c>
      <c r="P207" s="5" t="e">
        <f t="shared" si="178"/>
        <v>#VALUE!</v>
      </c>
      <c r="Q207">
        <f>'Code List'!$C$63</f>
        <v>3</v>
      </c>
      <c r="R207">
        <f>F208+'Code List'!$G$63</f>
        <v>2</v>
      </c>
      <c r="S207" t="e">
        <f t="shared" si="179"/>
        <v>#VALUE!</v>
      </c>
      <c r="T207" t="e">
        <f t="shared" ref="T207:T210" si="181">Q207*R207*S207</f>
        <v>#VALUE!</v>
      </c>
      <c r="U207" t="str">
        <f>IF(A207="YES",CONCATENATE(G207,"_",'Program Page'!$C$4,'Program Page'!$C$5,"_",D207,"_",E207),"")</f>
        <v/>
      </c>
      <c r="V207" t="str">
        <f t="shared" si="180"/>
        <v/>
      </c>
      <c r="W207" t="str">
        <f>IF(A207="YES",CONCATENATE("{",'Code List'!$B$4,'Code List'!$D$4,",",'Code List'!$B$5,'Code List'!$D$5,",",'Code List'!$B$6,"""",U207,"""",",",'Code List'!$B$7,'Code List'!$D$7,",",'Code List'!$B$8,'Code List'!$D$8,",",'Code List'!$B$9,'Code List'!$D$9,",",'Code List'!$B$10,'Code List'!$D$10,",",'Code List'!$B$11,"""",V207,"""",",",'Code List'!$B$12,"""",H207,"""",",",'Code List'!$B$13,"""",I207,"""",",",'Code List'!$B$14,"""",J207,"""",",",'Code List'!$B$15,"""",K207,"""",",",'Code List'!$B$16,"""",L207,"""",",",'Code List'!$B$17,"""",M207,"""",",",'Code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07" s="167" t="str">
        <f>IF(A207="YES",CONCATENATE("{",'Code List'!$B$31,"""",U207,"""",",",'Code List'!$B$32,'Code List'!$D$32,",",'Code List'!$B$33,'Code List'!$D$33,",",'Code List'!$B$34,'Code List'!$D$34,",",'Code List'!$B$35,'Code List'!$D$35,",",'Code List'!$B$36,'Code List'!$D$36,",",'Code List'!$B$37,'Code List'!$D$37,",",'Code List'!$B$38,"""",H207,"""",",",'Code List'!$B$39,"""",I207,"""",",",'Code List'!$B$40,"""",J207,"""",",",'Code List'!$B$41,"""",K207,"""",",",'Code List'!$B$42,"""",L207,"""",",",'Code List'!$B$43,"""",M207,"""",",",'Code List'!$B$44,"""",N207,"""",",",'Code List'!$B$45,"""",O207,"""",",",'Code List'!$B$46,"""",P207,"""",",",'Code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List'!$B$59,"""",T207,"""","}"),"")</f>
        <v/>
      </c>
    </row>
    <row r="208" spans="1:25" x14ac:dyDescent="0.25">
      <c r="A208" t="str">
        <f>IF(AND($A204="YES",E204=$D$1,F208&gt;0),"YES","NO")</f>
        <v>NO</v>
      </c>
      <c r="C208" t="s">
        <v>5</v>
      </c>
      <c r="D208" s="12" t="str">
        <f t="shared" si="175"/>
        <v>4E</v>
      </c>
      <c r="E208" t="s">
        <v>190</v>
      </c>
      <c r="F208">
        <f>'Expanded Base Data'!H202</f>
        <v>0</v>
      </c>
      <c r="G208" s="171">
        <f>F204</f>
        <v>0</v>
      </c>
      <c r="H208">
        <f>ROUND(B204+'Slide Measurements'!$D$17,$O$1)</f>
        <v>374.91</v>
      </c>
      <c r="I208">
        <f>ROUND(H208+(F208*'Slide Measurements'!$D$21),$O$1)</f>
        <v>374.91</v>
      </c>
      <c r="J208">
        <f>K207</f>
        <v>134.24</v>
      </c>
      <c r="K208">
        <f>J208+($I$1*'Slide Measurements'!$E$23-'Slide Measurements'!$E$23)</f>
        <v>136.09</v>
      </c>
      <c r="L208" s="5" t="str">
        <f>'Expanded Base Data'!$L202</f>
        <v/>
      </c>
      <c r="M208" s="5" t="str">
        <f>'Expanded Base Data'!$K202</f>
        <v/>
      </c>
      <c r="N208">
        <f t="shared" si="176"/>
        <v>0</v>
      </c>
      <c r="O208">
        <f t="shared" si="177"/>
        <v>1.85</v>
      </c>
      <c r="P208" s="5" t="e">
        <f t="shared" si="178"/>
        <v>#VALUE!</v>
      </c>
      <c r="Q208">
        <f>'Code List'!$C$63</f>
        <v>3</v>
      </c>
      <c r="R208">
        <f>F209+'Code List'!$G$63</f>
        <v>2</v>
      </c>
      <c r="S208" t="e">
        <f t="shared" si="179"/>
        <v>#VALUE!</v>
      </c>
      <c r="T208" t="e">
        <f t="shared" si="181"/>
        <v>#VALUE!</v>
      </c>
      <c r="U208" t="str">
        <f>IF(A208="YES",CONCATENATE(G208,"_",'Program Page'!$C$4,'Program Page'!$C$5,"_",D208,"_",E208),"")</f>
        <v/>
      </c>
      <c r="V208" t="str">
        <f t="shared" si="180"/>
        <v/>
      </c>
      <c r="W208" t="str">
        <f>IF(A208="YES",CONCATENATE("{",'Code List'!$B$4,'Code List'!$D$4,",",'Code List'!$B$5,'Code List'!$D$5,",",'Code List'!$B$6,"""",U208,"""",",",'Code List'!$B$7,'Code List'!$D$7,",",'Code List'!$B$8,'Code List'!$D$8,",",'Code List'!$B$9,'Code List'!$D$9,",",'Code List'!$B$10,'Code List'!$D$10,",",'Code List'!$B$11,"""",V208,"""",",",'Code List'!$B$12,"""",H208,"""",",",'Code List'!$B$13,"""",I208,"""",",",'Code List'!$B$14,"""",J208,"""",",",'Code List'!$B$15,"""",K208,"""",",",'Code List'!$B$16,"""",L208,"""",",",'Code List'!$B$17,"""",M208,"""",",",'Code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08" s="167" t="str">
        <f>IF(A208="YES",CONCATENATE("{",'Code List'!$B$31,"""",U208,"""",",",'Code List'!$B$32,'Code List'!$D$32,",",'Code List'!$B$33,'Code List'!$D$33,",",'Code List'!$B$34,'Code List'!$D$34,",",'Code List'!$B$35,'Code List'!$D$35,",",'Code List'!$B$36,'Code List'!$D$36,",",'Code List'!$B$37,'Code List'!$D$37,",",'Code List'!$B$38,"""",H208,"""",",",'Code List'!$B$39,"""",I208,"""",",",'Code List'!$B$40,"""",J208,"""",",",'Code List'!$B$41,"""",K208,"""",",",'Code List'!$B$42,"""",L208,"""",",",'Code List'!$B$43,"""",M208,"""",",",'Code List'!$B$44,"""",N208,"""",",",'Code List'!$B$45,"""",O208,"""",",",'Code List'!$B$46,"""",P208,"""",",",'Code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List'!$B$59,"""",T208,"""","}"),"")</f>
        <v/>
      </c>
    </row>
    <row r="209" spans="1:25" x14ac:dyDescent="0.25">
      <c r="A209" t="str">
        <f>IF(AND($A204="YES",E204=$D$1,F209&gt;0),"YES","NO")</f>
        <v>NO</v>
      </c>
      <c r="C209" t="s">
        <v>5</v>
      </c>
      <c r="D209" s="12" t="str">
        <f t="shared" si="175"/>
        <v>4E</v>
      </c>
      <c r="E209" t="s">
        <v>191</v>
      </c>
      <c r="F209">
        <f>'Expanded Base Data'!I202</f>
        <v>0</v>
      </c>
      <c r="G209" s="171">
        <f>F204</f>
        <v>0</v>
      </c>
      <c r="H209">
        <f>ROUND(B204+'Slide Measurements'!$D$17,$O$1)</f>
        <v>374.91</v>
      </c>
      <c r="I209">
        <f>ROUND(H209+(F209*'Slide Measurements'!$D$21),$O$1)</f>
        <v>374.91</v>
      </c>
      <c r="J209">
        <f>K208</f>
        <v>136.09</v>
      </c>
      <c r="K209">
        <f>J209+($I$1*'Slide Measurements'!$E$23-'Slide Measurements'!$E$23)</f>
        <v>137.94</v>
      </c>
      <c r="L209" s="5" t="str">
        <f>'Expanded Base Data'!$L202</f>
        <v/>
      </c>
      <c r="M209" s="5" t="str">
        <f>'Expanded Base Data'!$K202</f>
        <v/>
      </c>
      <c r="N209">
        <f t="shared" si="176"/>
        <v>0</v>
      </c>
      <c r="O209">
        <f t="shared" si="177"/>
        <v>1.85</v>
      </c>
      <c r="P209" s="5" t="e">
        <f t="shared" si="178"/>
        <v>#VALUE!</v>
      </c>
      <c r="Q209">
        <f>'Code List'!$C$63</f>
        <v>3</v>
      </c>
      <c r="R209">
        <f>F210+'Code List'!$G$63</f>
        <v>2</v>
      </c>
      <c r="S209" t="e">
        <f t="shared" si="179"/>
        <v>#VALUE!</v>
      </c>
      <c r="T209" t="e">
        <f t="shared" si="181"/>
        <v>#VALUE!</v>
      </c>
      <c r="U209" t="str">
        <f>IF(A209="YES",CONCATENATE(G209,"_",'Program Page'!$C$4,'Program Page'!$C$5,"_",D209,"_",E209),"")</f>
        <v/>
      </c>
      <c r="V209" t="str">
        <f t="shared" si="180"/>
        <v/>
      </c>
      <c r="W209" t="str">
        <f>IF(A209="YES",CONCATENATE("{",'Code List'!$B$4,'Code List'!$D$4,",",'Code List'!$B$5,'Code List'!$D$5,",",'Code List'!$B$6,"""",U209,"""",",",'Code List'!$B$7,'Code List'!$D$7,",",'Code List'!$B$8,'Code List'!$D$8,",",'Code List'!$B$9,'Code List'!$D$9,",",'Code List'!$B$10,'Code List'!$D$10,",",'Code List'!$B$11,"""",V209,"""",",",'Code List'!$B$12,"""",H209,"""",",",'Code List'!$B$13,"""",I209,"""",",",'Code List'!$B$14,"""",J209,"""",",",'Code List'!$B$15,"""",K209,"""",",",'Code List'!$B$16,"""",L209,"""",",",'Code List'!$B$17,"""",M209,"""",",",'Code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09" s="167" t="str">
        <f>IF(A209="YES",CONCATENATE("{",'Code List'!$B$31,"""",U209,"""",",",'Code List'!$B$32,'Code List'!$D$32,",",'Code List'!$B$33,'Code List'!$D$33,",",'Code List'!$B$34,'Code List'!$D$34,",",'Code List'!$B$35,'Code List'!$D$35,",",'Code List'!$B$36,'Code List'!$D$36,",",'Code List'!$B$37,'Code List'!$D$37,",",'Code List'!$B$38,"""",H209,"""",",",'Code List'!$B$39,"""",I209,"""",",",'Code List'!$B$40,"""",J209,"""",",",'Code List'!$B$41,"""",K209,"""",",",'Code List'!$B$42,"""",L209,"""",",",'Code List'!$B$43,"""",M209,"""",",",'Code List'!$B$44,"""",N209,"""",",",'Code List'!$B$45,"""",O209,"""",",",'Code List'!$B$46,"""",P209,"""",",",'Code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List'!$B$59,"""",T209,"""","}"),"")</f>
        <v/>
      </c>
    </row>
    <row r="210" spans="1:25" x14ac:dyDescent="0.25">
      <c r="A210" t="str">
        <f>IF(AND($A204="YES",E204=$D$1,F210&gt;0),"YES","NO")</f>
        <v>NO</v>
      </c>
      <c r="C210" t="s">
        <v>5</v>
      </c>
      <c r="D210" s="12" t="str">
        <f t="shared" si="175"/>
        <v>4E</v>
      </c>
      <c r="E210" t="s">
        <v>196</v>
      </c>
      <c r="F210">
        <f>'Expanded Base Data'!J202</f>
        <v>0</v>
      </c>
      <c r="G210" s="171">
        <f>F204</f>
        <v>0</v>
      </c>
      <c r="H210">
        <f>ROUND(B204+'Slide Measurements'!$D$17,$O$1)</f>
        <v>374.91</v>
      </c>
      <c r="I210">
        <f>ROUND(H210+(F210*'Slide Measurements'!$D$21),$O$1)</f>
        <v>374.91</v>
      </c>
      <c r="J210">
        <f>K209</f>
        <v>137.94</v>
      </c>
      <c r="K210">
        <f>J210+($I$1*'Slide Measurements'!$E$23-'Slide Measurements'!$E$23)</f>
        <v>139.79</v>
      </c>
      <c r="L210" s="5" t="str">
        <f>'Expanded Base Data'!$L202</f>
        <v/>
      </c>
      <c r="M210" s="5" t="str">
        <f>'Expanded Base Data'!$K202</f>
        <v/>
      </c>
      <c r="N210">
        <f t="shared" si="176"/>
        <v>0</v>
      </c>
      <c r="O210">
        <f t="shared" si="177"/>
        <v>1.85</v>
      </c>
      <c r="P210" s="5" t="e">
        <f t="shared" si="178"/>
        <v>#VALUE!</v>
      </c>
      <c r="Q210">
        <f>'Code List'!$C$63</f>
        <v>3</v>
      </c>
      <c r="R210">
        <f>F211+'Code List'!$G$63</f>
        <v>2</v>
      </c>
      <c r="S210" t="e">
        <f t="shared" si="179"/>
        <v>#VALUE!</v>
      </c>
      <c r="T210" t="e">
        <f t="shared" si="181"/>
        <v>#VALUE!</v>
      </c>
      <c r="U210" t="str">
        <f>IF(A210="YES",CONCATENATE(G210,"_",'Program Page'!$C$4,'Program Page'!$C$5,"_",D210,"_",E210),"")</f>
        <v/>
      </c>
      <c r="V210" t="str">
        <f t="shared" si="180"/>
        <v/>
      </c>
      <c r="W210" t="str">
        <f>IF(A210="YES",CONCATENATE("{",'Code List'!$B$4,'Code List'!$D$4,",",'Code List'!$B$5,'Code List'!$D$5,",",'Code List'!$B$6,"""",U210,"""",",",'Code List'!$B$7,'Code List'!$D$7,",",'Code List'!$B$8,'Code List'!$D$8,",",'Code List'!$B$9,'Code List'!$D$9,",",'Code List'!$B$10,'Code List'!$D$10,",",'Code List'!$B$11,"""",V210,"""",",",'Code List'!$B$12,"""",H210,"""",",",'Code List'!$B$13,"""",I210,"""",",",'Code List'!$B$14,"""",J210,"""",",",'Code List'!$B$15,"""",K210,"""",",",'Code List'!$B$16,"""",L210,"""",",",'Code List'!$B$17,"""",M210,"""",",",'Code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10" s="167" t="str">
        <f>IF(A210="YES",CONCATENATE("{",'Code List'!$B$31,"""",U210,"""",",",'Code List'!$B$32,'Code List'!$D$32,",",'Code List'!$B$33,'Code List'!$D$33,",",'Code List'!$B$34,'Code List'!$D$34,",",'Code List'!$B$35,'Code List'!$D$35,",",'Code List'!$B$36,'Code List'!$D$36,",",'Code List'!$B$37,'Code List'!$D$37,",",'Code List'!$B$38,"""",H210,"""",",",'Code List'!$B$39,"""",I210,"""",",",'Code List'!$B$40,"""",J210,"""",",",'Code List'!$B$41,"""",K210,"""",",",'Code List'!$B$42,"""",L210,"""",",",'Code List'!$B$43,"""",M210,"""",",",'Code List'!$B$44,"""",N210,"""",",",'Code List'!$B$45,"""",O210,"""",",",'Code List'!$B$46,"""",P210,"""",",",'Code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List'!$B$59,"""",T210,"""","}"),"")</f>
        <v/>
      </c>
    </row>
    <row r="211" spans="1:25" x14ac:dyDescent="0.25">
      <c r="A211" s="162" t="str">
        <f>IF(AND($A204="YES",E204=$E$1),"YES","NO")</f>
        <v>NO</v>
      </c>
      <c r="C211" t="s">
        <v>259</v>
      </c>
      <c r="D211" s="12" t="str">
        <f>D210</f>
        <v>4E</v>
      </c>
      <c r="E211" t="s">
        <v>259</v>
      </c>
      <c r="G211" s="171">
        <f>F204</f>
        <v>0</v>
      </c>
      <c r="H211">
        <f>ROUND(B204,$O$1)</f>
        <v>349.51</v>
      </c>
      <c r="I211">
        <f>ROUND(B204+'Slide Measurements'!$D$1,$O$1)</f>
        <v>425.96</v>
      </c>
      <c r="J211">
        <f>C204</f>
        <v>126.24000000000001</v>
      </c>
      <c r="K211">
        <f>C204+'Slide Measurements'!$D$2</f>
        <v>153.64000000000001</v>
      </c>
      <c r="L211" s="5" t="str">
        <f>'Expanded Base Data'!$L202</f>
        <v/>
      </c>
      <c r="M211" s="5" t="str">
        <f>'Expanded Base Data'!$K202</f>
        <v/>
      </c>
      <c r="N211">
        <f t="shared" si="176"/>
        <v>76.45</v>
      </c>
      <c r="O211">
        <f t="shared" si="177"/>
        <v>27.4</v>
      </c>
      <c r="P211" s="5" t="e">
        <f>ROUND((L211-M211),$O$1)</f>
        <v>#VALUE!</v>
      </c>
      <c r="Q211">
        <f>'Code List'!$C$70</f>
        <v>11</v>
      </c>
      <c r="R211">
        <f>'Code List'!$D$70</f>
        <v>19</v>
      </c>
      <c r="S211" t="e">
        <f>IF(P211=0,"1",ROUND((P211/$K$1)+$M$1,0))</f>
        <v>#VALUE!</v>
      </c>
      <c r="T211" t="e">
        <f>Q211*R211*S211</f>
        <v>#VALUE!</v>
      </c>
      <c r="U211" t="str">
        <f>IF(A211="YES",CONCATENATE(G211,"_",'Program Page'!$C$4,'Program Page'!$C$5,"_",D211,"_",E211),"")</f>
        <v/>
      </c>
      <c r="V211" t="str">
        <f>IF(U211="","",CONCATENATE(U211,"_"))</f>
        <v/>
      </c>
      <c r="W211" t="str">
        <f>IF(A211="YES",CONCATENATE("{",'Code List'!$B$4,'Code List'!$D$4,",",'Code List'!$B$5,'Code List'!$D$5,",",'Code List'!$B$6,"""",U211,"""",",",'Code List'!$B$7,'Code List'!$D$7,",",'Code List'!$B$8,'Code List'!$D$8,",",'Code List'!$B$9,'Code List'!$D$9,",",'Code List'!$B$10,'Code List'!$D$10,",",'Code List'!$B$11,"""",V211,"""",",",'Code List'!$B$12,"""",H211,"""",",",'Code List'!$B$13,"""",I211,"""",",",'Code List'!$B$14,"""",J211,"""",",",'Code List'!$B$15,"""",K211,"""",",",'Code List'!$B$16,"""",L211,"""",",",'Code List'!$B$17,"""",M211,"""",",",'Code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211" s="167" t="str">
        <f>IF(A211="YES",CONCATENATE("{",'Code List'!$B$31,"""",U211,"""",",",'Code List'!$B$32,'Code List'!$D$32,",",'Code List'!$B$33,'Code List'!$D$33,",",'Code List'!$B$34,'Code List'!$D$34,",",'Code List'!$B$35,'Code List'!$D$35,",",'Code List'!$B$36,'Code List'!$D$36,",",'Code List'!$B$37,'Code List'!$D$37,",",'Code List'!$B$38,"""",H211,"""",",",'Code List'!$B$39,"""",I211,"""",",",'Code List'!$B$40,"""",J211,"""",",",'Code List'!$B$41,"""",K211,"""",",",'Code List'!$B$42,"""",L211,"""",",",'Code List'!$B$43,"""",M211,"""",",",'Code List'!$B$44,"""",N211,"""",",",'Code List'!$B$45,"""",O211,"""",",",'Code List'!$B$46,"""",P211,"""",",",'Code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List'!$B$59,"""",T211,"""","}"),"")</f>
        <v/>
      </c>
    </row>
    <row r="212" spans="1:25" ht="18.75" x14ac:dyDescent="0.3">
      <c r="A212" s="35" t="str">
        <f>IF(OR(E212=$C$1,E212=$D$1,E212=$E$1),"YES","NO")</f>
        <v>NO</v>
      </c>
      <c r="B212" s="35">
        <f>'Expanded Base Data'!D210</f>
        <v>436.11</v>
      </c>
      <c r="C212" s="35">
        <f>'Expanded Base Data'!E210</f>
        <v>126.24000000000001</v>
      </c>
      <c r="D212" s="36" t="str">
        <f>'Expanded Base Data'!B210</f>
        <v>4F</v>
      </c>
      <c r="E212" s="35">
        <f>'Expanded Base Data'!C210</f>
        <v>0</v>
      </c>
      <c r="F212" s="35">
        <f>'Expanded Base Data'!M210</f>
        <v>0</v>
      </c>
      <c r="G212" s="170">
        <f>F212</f>
        <v>0</v>
      </c>
      <c r="Y212" s="167" t="str">
        <f>""</f>
        <v/>
      </c>
    </row>
    <row r="213" spans="1:25" x14ac:dyDescent="0.25">
      <c r="A213" t="str">
        <f>IF(AND($A212="YES",E212=$C$1),"YES","NO")</f>
        <v>NO</v>
      </c>
      <c r="C213" t="s">
        <v>6</v>
      </c>
      <c r="D213" s="12" t="str">
        <f>D212</f>
        <v>4F</v>
      </c>
      <c r="E213" t="s">
        <v>6</v>
      </c>
      <c r="F213" t="s">
        <v>198</v>
      </c>
      <c r="G213" s="171">
        <f>F212</f>
        <v>0</v>
      </c>
      <c r="H213">
        <f>IF('Expanded Base Data'!N210="",ROUND(B212+'Slide Measurements'!$D$11,$O$1),B212+'Expanded Base Data'!N210)</f>
        <v>469.11</v>
      </c>
      <c r="I213">
        <f>IF('Expanded Base Data'!O210="",ROUND(B212+'Slide Measurements'!$D$12,$O$1),B212+'Expanded Base Data'!O210)</f>
        <v>477.71</v>
      </c>
      <c r="J213">
        <f>IF('Expanded Base Data'!P210="",C212+'Slide Measurements'!$E$13,C212+'Expanded Base Data'!P210)</f>
        <v>134.94</v>
      </c>
      <c r="K213">
        <f>IF('Expanded Base Data'!Q210="",C212+'Slide Measurements'!$E$14,C212+'Expanded Base Data'!Q210)</f>
        <v>143.54000000000002</v>
      </c>
      <c r="L213" s="5" t="str">
        <f>'Expanded Base Data'!$L210</f>
        <v/>
      </c>
      <c r="M213" s="5" t="str">
        <f>'Expanded Base Data'!$K210</f>
        <v/>
      </c>
      <c r="N213">
        <f>ROUND((I213-H213),$O$1)</f>
        <v>8.6</v>
      </c>
      <c r="O213">
        <f>ROUND((K213-J213),$O$1)</f>
        <v>8.6</v>
      </c>
      <c r="P213" s="5" t="e">
        <f>ROUND((L213-M213),$O$1)</f>
        <v>#VALUE!</v>
      </c>
      <c r="Q213">
        <f>'Code List'!$C$62</f>
        <v>5</v>
      </c>
      <c r="R213">
        <f>F214+'Code List'!$G$63</f>
        <v>2</v>
      </c>
      <c r="S213" t="e">
        <f>IF(P213=0,"1",ROUND((P213/$K$1)+$M$1,0))</f>
        <v>#VALUE!</v>
      </c>
      <c r="T213" t="e">
        <f>Q213*R213*S213</f>
        <v>#VALUE!</v>
      </c>
      <c r="U213" t="str">
        <f>IF(A213="YES",CONCATENATE(G213,"_",'Program Page'!$C$4,'Program Page'!$C$5,"_",D213,"_",E213),"")</f>
        <v/>
      </c>
      <c r="V213" t="str">
        <f>IF(U213="","",CONCATENATE(U213,"_"))</f>
        <v/>
      </c>
      <c r="W213" t="str">
        <f>IF(A213="YES",CONCATENATE("{",'Code List'!$B$4,'Code List'!$D$4,",",'Code List'!$B$5,'Code List'!$D$5,",",'Code List'!$B$6,"""",U213,"""",",",'Code List'!$B$7,'Code List'!$D$7,",",'Code List'!$B$8,'Code List'!$D$8,",",'Code List'!$B$9,'Code List'!$D$9,",",'Code List'!$B$10,'Code List'!$D$10,",",'Code List'!$B$11,"""",V213,"""",",",'Code List'!$B$12,"""",H213,"""",",",'Code List'!$B$13,"""",I213,"""",",",'Code List'!$B$14,"""",J213,"""",",",'Code List'!$B$15,"""",K213,"""",",",'Code List'!$B$16,"""",L213,"""",",",'Code List'!$B$17,"""",M213,"""",",",'Code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13" s="167" t="str">
        <f>IF(A213="YES",CONCATENATE("{",'Code List'!$B$31,"""",U213,"""",",",'Code List'!$B$32,'Code List'!$D$32,",",'Code List'!$B$33,'Code List'!$D$33,",",'Code List'!$B$34,'Code List'!$D$34,",",'Code List'!$B$35,'Code List'!$D$35,",",'Code List'!$B$36,'Code List'!$D$36,",",'Code List'!$B$37,'Code List'!$D$37,",",'Code List'!$B$38,"""",H213,"""",",",'Code List'!$B$39,"""",I213,"""",",",'Code List'!$B$40,"""",J213,"""",",",'Code List'!$B$41,"""",K213,"""",",",'Code List'!$B$42,"""",L213,"""",",",'Code List'!$B$43,"""",M213,"""",",",'Code List'!$B$44,"""",N213,"""",",",'Code List'!$B$45,"""",O213,"""",",",'Code List'!$B$46,"""",P213,"""",",",'Code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List'!$B$59,"""",T213,"""","}"),"")</f>
        <v/>
      </c>
    </row>
    <row r="214" spans="1:25" x14ac:dyDescent="0.25">
      <c r="A214" t="str">
        <f>IF(AND($A212="YES",E212=$D$1,F214&gt;0),"YES","NO")</f>
        <v>NO</v>
      </c>
      <c r="C214" t="s">
        <v>5</v>
      </c>
      <c r="D214" s="12" t="str">
        <f t="shared" ref="D214:D218" si="182">D213</f>
        <v>4F</v>
      </c>
      <c r="E214" t="s">
        <v>188</v>
      </c>
      <c r="F214">
        <f>'Expanded Base Data'!F210</f>
        <v>0</v>
      </c>
      <c r="G214" s="171">
        <f>F212</f>
        <v>0</v>
      </c>
      <c r="H214">
        <f>ROUND(B212+'Slide Measurements'!$D$17,$O$1)</f>
        <v>461.51</v>
      </c>
      <c r="I214">
        <f>ROUND(H214+(F214*'Slide Measurements'!$D$21),$O$1)</f>
        <v>461.51</v>
      </c>
      <c r="J214">
        <f>C212+'Slide Measurements'!$E$17</f>
        <v>130.54000000000002</v>
      </c>
      <c r="K214">
        <f>J214+($I$1*'Slide Measurements'!$E$23-'Slide Measurements'!$E$23)</f>
        <v>132.39000000000001</v>
      </c>
      <c r="L214" s="5" t="str">
        <f>'Expanded Base Data'!$L210</f>
        <v/>
      </c>
      <c r="M214" s="5" t="str">
        <f>'Expanded Base Data'!$K210</f>
        <v/>
      </c>
      <c r="N214">
        <f t="shared" ref="N214:N219" si="183">ROUND((I214-H214),$O$1)</f>
        <v>0</v>
      </c>
      <c r="O214">
        <f t="shared" ref="O214:O219" si="184">ROUND((K214-J214),$O$1)</f>
        <v>1.85</v>
      </c>
      <c r="P214" s="5" t="e">
        <f t="shared" ref="P214:P218" si="185">ROUND((L214-M214),$O$1)</f>
        <v>#VALUE!</v>
      </c>
      <c r="Q214">
        <f>'Code List'!$C$63</f>
        <v>3</v>
      </c>
      <c r="R214">
        <f>F215+'Code List'!$G$63</f>
        <v>2</v>
      </c>
      <c r="S214" t="e">
        <f t="shared" ref="S214:S218" si="186">IF(P214=0,"1",ROUND((P214/$K$1)+$M$1,0))</f>
        <v>#VALUE!</v>
      </c>
      <c r="T214" t="e">
        <f>Q214*R214*S214</f>
        <v>#VALUE!</v>
      </c>
      <c r="U214" t="str">
        <f>IF(A214="YES",CONCATENATE(G214,"_",'Program Page'!$C$4,'Program Page'!$C$5,"_",D214,"_",E214),"")</f>
        <v/>
      </c>
      <c r="V214" t="str">
        <f t="shared" ref="V214:V218" si="187">IF(U214="","",CONCATENATE(U214,"_"))</f>
        <v/>
      </c>
      <c r="W214" t="str">
        <f>IF(A214="YES",CONCATENATE("{",'Code List'!$B$4,'Code List'!$D$4,",",'Code List'!$B$5,'Code List'!$D$5,",",'Code List'!$B$6,"""",U214,"""",",",'Code List'!$B$7,'Code List'!$D$7,",",'Code List'!$B$8,'Code List'!$D$8,",",'Code List'!$B$9,'Code List'!$D$9,",",'Code List'!$B$10,'Code List'!$D$10,",",'Code List'!$B$11,"""",V214,"""",",",'Code List'!$B$12,"""",H214,"""",",",'Code List'!$B$13,"""",I214,"""",",",'Code List'!$B$14,"""",J214,"""",",",'Code List'!$B$15,"""",K214,"""",",",'Code List'!$B$16,"""",L214,"""",",",'Code List'!$B$17,"""",M214,"""",",",'Code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14" s="167" t="str">
        <f>IF(A214="YES",CONCATENATE("{",'Code List'!$B$31,"""",U214,"""",",",'Code List'!$B$32,'Code List'!$D$32,",",'Code List'!$B$33,'Code List'!$D$33,",",'Code List'!$B$34,'Code List'!$D$34,",",'Code List'!$B$35,'Code List'!$D$35,",",'Code List'!$B$36,'Code List'!$D$36,",",'Code List'!$B$37,'Code List'!$D$37,",",'Code List'!$B$38,"""",H214,"""",",",'Code List'!$B$39,"""",I214,"""",",",'Code List'!$B$40,"""",J214,"""",",",'Code List'!$B$41,"""",K214,"""",",",'Code List'!$B$42,"""",L214,"""",",",'Code List'!$B$43,"""",M214,"""",",",'Code List'!$B$44,"""",N214,"""",",",'Code List'!$B$45,"""",O214,"""",",",'Code List'!$B$46,"""",P214,"""",",",'Code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List'!$B$59,"""",T214,"""","}"),"")</f>
        <v/>
      </c>
    </row>
    <row r="215" spans="1:25" x14ac:dyDescent="0.25">
      <c r="A215" t="str">
        <f>IF(AND($A212="YES",E212=$D$1,F215&gt;0),"YES","NO")</f>
        <v>NO</v>
      </c>
      <c r="C215" t="s">
        <v>5</v>
      </c>
      <c r="D215" s="12" t="str">
        <f t="shared" si="182"/>
        <v>4F</v>
      </c>
      <c r="E215" t="s">
        <v>189</v>
      </c>
      <c r="F215">
        <f>'Expanded Base Data'!G210</f>
        <v>0</v>
      </c>
      <c r="G215" s="171">
        <f>F212</f>
        <v>0</v>
      </c>
      <c r="H215">
        <f>ROUND(B212+'Slide Measurements'!$D$17,$O$1)</f>
        <v>461.51</v>
      </c>
      <c r="I215">
        <f>ROUND(H215+(F215*'Slide Measurements'!$D$21),$O$1)</f>
        <v>461.51</v>
      </c>
      <c r="J215">
        <f>K214</f>
        <v>132.39000000000001</v>
      </c>
      <c r="K215">
        <f>J215+($I$1*'Slide Measurements'!$E$23-'Slide Measurements'!$E$23)</f>
        <v>134.24</v>
      </c>
      <c r="L215" s="5" t="str">
        <f>'Expanded Base Data'!$L210</f>
        <v/>
      </c>
      <c r="M215" s="5" t="str">
        <f>'Expanded Base Data'!$K210</f>
        <v/>
      </c>
      <c r="N215">
        <f t="shared" si="183"/>
        <v>0</v>
      </c>
      <c r="O215">
        <f t="shared" si="184"/>
        <v>1.85</v>
      </c>
      <c r="P215" s="5" t="e">
        <f t="shared" si="185"/>
        <v>#VALUE!</v>
      </c>
      <c r="Q215">
        <f>'Code List'!$C$63</f>
        <v>3</v>
      </c>
      <c r="R215">
        <f>F216+'Code List'!$G$63</f>
        <v>2</v>
      </c>
      <c r="S215" t="e">
        <f t="shared" si="186"/>
        <v>#VALUE!</v>
      </c>
      <c r="T215" t="e">
        <f t="shared" ref="T215:T218" si="188">Q215*R215*S215</f>
        <v>#VALUE!</v>
      </c>
      <c r="U215" t="str">
        <f>IF(A215="YES",CONCATENATE(G215,"_",'Program Page'!$C$4,'Program Page'!$C$5,"_",D215,"_",E215),"")</f>
        <v/>
      </c>
      <c r="V215" t="str">
        <f t="shared" si="187"/>
        <v/>
      </c>
      <c r="W215" t="str">
        <f>IF(A215="YES",CONCATENATE("{",'Code List'!$B$4,'Code List'!$D$4,",",'Code List'!$B$5,'Code List'!$D$5,",",'Code List'!$B$6,"""",U215,"""",",",'Code List'!$B$7,'Code List'!$D$7,",",'Code List'!$B$8,'Code List'!$D$8,",",'Code List'!$B$9,'Code List'!$D$9,",",'Code List'!$B$10,'Code List'!$D$10,",",'Code List'!$B$11,"""",V215,"""",",",'Code List'!$B$12,"""",H215,"""",",",'Code List'!$B$13,"""",I215,"""",",",'Code List'!$B$14,"""",J215,"""",",",'Code List'!$B$15,"""",K215,"""",",",'Code List'!$B$16,"""",L215,"""",",",'Code List'!$B$17,"""",M215,"""",",",'Code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15" s="167" t="str">
        <f>IF(A215="YES",CONCATENATE("{",'Code List'!$B$31,"""",U215,"""",",",'Code List'!$B$32,'Code List'!$D$32,",",'Code List'!$B$33,'Code List'!$D$33,",",'Code List'!$B$34,'Code List'!$D$34,",",'Code List'!$B$35,'Code List'!$D$35,",",'Code List'!$B$36,'Code List'!$D$36,",",'Code List'!$B$37,'Code List'!$D$37,",",'Code List'!$B$38,"""",H215,"""",",",'Code List'!$B$39,"""",I215,"""",",",'Code List'!$B$40,"""",J215,"""",",",'Code List'!$B$41,"""",K215,"""",",",'Code List'!$B$42,"""",L215,"""",",",'Code List'!$B$43,"""",M215,"""",",",'Code List'!$B$44,"""",N215,"""",",",'Code List'!$B$45,"""",O215,"""",",",'Code List'!$B$46,"""",P215,"""",",",'Code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List'!$B$59,"""",T215,"""","}"),"")</f>
        <v/>
      </c>
    </row>
    <row r="216" spans="1:25" x14ac:dyDescent="0.25">
      <c r="A216" t="str">
        <f>IF(AND($A212="YES",E212=$D$1,F216&gt;0),"YES","NO")</f>
        <v>NO</v>
      </c>
      <c r="C216" t="s">
        <v>5</v>
      </c>
      <c r="D216" s="12" t="str">
        <f t="shared" si="182"/>
        <v>4F</v>
      </c>
      <c r="E216" t="s">
        <v>190</v>
      </c>
      <c r="F216">
        <f>'Expanded Base Data'!H210</f>
        <v>0</v>
      </c>
      <c r="G216" s="171">
        <f>F212</f>
        <v>0</v>
      </c>
      <c r="H216">
        <f>ROUND(B212+'Slide Measurements'!$D$17,$O$1)</f>
        <v>461.51</v>
      </c>
      <c r="I216">
        <f>ROUND(H216+(F216*'Slide Measurements'!$D$21),$O$1)</f>
        <v>461.51</v>
      </c>
      <c r="J216">
        <f>K215</f>
        <v>134.24</v>
      </c>
      <c r="K216">
        <f>J216+($I$1*'Slide Measurements'!$E$23-'Slide Measurements'!$E$23)</f>
        <v>136.09</v>
      </c>
      <c r="L216" s="5" t="str">
        <f>'Expanded Base Data'!$L210</f>
        <v/>
      </c>
      <c r="M216" s="5" t="str">
        <f>'Expanded Base Data'!$K210</f>
        <v/>
      </c>
      <c r="N216">
        <f t="shared" si="183"/>
        <v>0</v>
      </c>
      <c r="O216">
        <f t="shared" si="184"/>
        <v>1.85</v>
      </c>
      <c r="P216" s="5" t="e">
        <f t="shared" si="185"/>
        <v>#VALUE!</v>
      </c>
      <c r="Q216">
        <f>'Code List'!$C$63</f>
        <v>3</v>
      </c>
      <c r="R216">
        <f>F217+'Code List'!$G$63</f>
        <v>2</v>
      </c>
      <c r="S216" t="e">
        <f t="shared" si="186"/>
        <v>#VALUE!</v>
      </c>
      <c r="T216" t="e">
        <f t="shared" si="188"/>
        <v>#VALUE!</v>
      </c>
      <c r="U216" t="str">
        <f>IF(A216="YES",CONCATENATE(G216,"_",'Program Page'!$C$4,'Program Page'!$C$5,"_",D216,"_",E216),"")</f>
        <v/>
      </c>
      <c r="V216" t="str">
        <f t="shared" si="187"/>
        <v/>
      </c>
      <c r="W216" t="str">
        <f>IF(A216="YES",CONCATENATE("{",'Code List'!$B$4,'Code List'!$D$4,",",'Code List'!$B$5,'Code List'!$D$5,",",'Code List'!$B$6,"""",U216,"""",",",'Code List'!$B$7,'Code List'!$D$7,",",'Code List'!$B$8,'Code List'!$D$8,",",'Code List'!$B$9,'Code List'!$D$9,",",'Code List'!$B$10,'Code List'!$D$10,",",'Code List'!$B$11,"""",V216,"""",",",'Code List'!$B$12,"""",H216,"""",",",'Code List'!$B$13,"""",I216,"""",",",'Code List'!$B$14,"""",J216,"""",",",'Code List'!$B$15,"""",K216,"""",",",'Code List'!$B$16,"""",L216,"""",",",'Code List'!$B$17,"""",M216,"""",",",'Code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16" s="167" t="str">
        <f>IF(A216="YES",CONCATENATE("{",'Code List'!$B$31,"""",U216,"""",",",'Code List'!$B$32,'Code List'!$D$32,",",'Code List'!$B$33,'Code List'!$D$33,",",'Code List'!$B$34,'Code List'!$D$34,",",'Code List'!$B$35,'Code List'!$D$35,",",'Code List'!$B$36,'Code List'!$D$36,",",'Code List'!$B$37,'Code List'!$D$37,",",'Code List'!$B$38,"""",H216,"""",",",'Code List'!$B$39,"""",I216,"""",",",'Code List'!$B$40,"""",J216,"""",",",'Code List'!$B$41,"""",K216,"""",",",'Code List'!$B$42,"""",L216,"""",",",'Code List'!$B$43,"""",M216,"""",",",'Code List'!$B$44,"""",N216,"""",",",'Code List'!$B$45,"""",O216,"""",",",'Code List'!$B$46,"""",P216,"""",",",'Code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List'!$B$59,"""",T216,"""","}"),"")</f>
        <v/>
      </c>
    </row>
    <row r="217" spans="1:25" x14ac:dyDescent="0.25">
      <c r="A217" t="str">
        <f>IF(AND($A212="YES",E212=$D$1,F217&gt;0),"YES","NO")</f>
        <v>NO</v>
      </c>
      <c r="C217" t="s">
        <v>5</v>
      </c>
      <c r="D217" s="12" t="str">
        <f t="shared" si="182"/>
        <v>4F</v>
      </c>
      <c r="E217" t="s">
        <v>191</v>
      </c>
      <c r="F217">
        <f>'Expanded Base Data'!I210</f>
        <v>0</v>
      </c>
      <c r="G217" s="171">
        <f>F212</f>
        <v>0</v>
      </c>
      <c r="H217">
        <f>ROUND(B212+'Slide Measurements'!$D$17,$O$1)</f>
        <v>461.51</v>
      </c>
      <c r="I217">
        <f>ROUND(H217+(F217*'Slide Measurements'!$D$21),$O$1)</f>
        <v>461.51</v>
      </c>
      <c r="J217">
        <f>K216</f>
        <v>136.09</v>
      </c>
      <c r="K217">
        <f>J217+($I$1*'Slide Measurements'!$E$23-'Slide Measurements'!$E$23)</f>
        <v>137.94</v>
      </c>
      <c r="L217" s="5" t="str">
        <f>'Expanded Base Data'!$L210</f>
        <v/>
      </c>
      <c r="M217" s="5" t="str">
        <f>'Expanded Base Data'!$K210</f>
        <v/>
      </c>
      <c r="N217">
        <f t="shared" si="183"/>
        <v>0</v>
      </c>
      <c r="O217">
        <f t="shared" si="184"/>
        <v>1.85</v>
      </c>
      <c r="P217" s="5" t="e">
        <f t="shared" si="185"/>
        <v>#VALUE!</v>
      </c>
      <c r="Q217">
        <f>'Code List'!$C$63</f>
        <v>3</v>
      </c>
      <c r="R217">
        <f>F218+'Code List'!$G$63</f>
        <v>2</v>
      </c>
      <c r="S217" t="e">
        <f t="shared" si="186"/>
        <v>#VALUE!</v>
      </c>
      <c r="T217" t="e">
        <f t="shared" si="188"/>
        <v>#VALUE!</v>
      </c>
      <c r="U217" t="str">
        <f>IF(A217="YES",CONCATENATE(G217,"_",'Program Page'!$C$4,'Program Page'!$C$5,"_",D217,"_",E217),"")</f>
        <v/>
      </c>
      <c r="V217" t="str">
        <f t="shared" si="187"/>
        <v/>
      </c>
      <c r="W217" t="str">
        <f>IF(A217="YES",CONCATENATE("{",'Code List'!$B$4,'Code List'!$D$4,",",'Code List'!$B$5,'Code List'!$D$5,",",'Code List'!$B$6,"""",U217,"""",",",'Code List'!$B$7,'Code List'!$D$7,",",'Code List'!$B$8,'Code List'!$D$8,",",'Code List'!$B$9,'Code List'!$D$9,",",'Code List'!$B$10,'Code List'!$D$10,",",'Code List'!$B$11,"""",V217,"""",",",'Code List'!$B$12,"""",H217,"""",",",'Code List'!$B$13,"""",I217,"""",",",'Code List'!$B$14,"""",J217,"""",",",'Code List'!$B$15,"""",K217,"""",",",'Code List'!$B$16,"""",L217,"""",",",'Code List'!$B$17,"""",M217,"""",",",'Code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17" s="167" t="str">
        <f>IF(A217="YES",CONCATENATE("{",'Code List'!$B$31,"""",U217,"""",",",'Code List'!$B$32,'Code List'!$D$32,",",'Code List'!$B$33,'Code List'!$D$33,",",'Code List'!$B$34,'Code List'!$D$34,",",'Code List'!$B$35,'Code List'!$D$35,",",'Code List'!$B$36,'Code List'!$D$36,",",'Code List'!$B$37,'Code List'!$D$37,",",'Code List'!$B$38,"""",H217,"""",",",'Code List'!$B$39,"""",I217,"""",",",'Code List'!$B$40,"""",J217,"""",",",'Code List'!$B$41,"""",K217,"""",",",'Code List'!$B$42,"""",L217,"""",",",'Code List'!$B$43,"""",M217,"""",",",'Code List'!$B$44,"""",N217,"""",",",'Code List'!$B$45,"""",O217,"""",",",'Code List'!$B$46,"""",P217,"""",",",'Code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List'!$B$59,"""",T217,"""","}"),"")</f>
        <v/>
      </c>
    </row>
    <row r="218" spans="1:25" x14ac:dyDescent="0.25">
      <c r="A218" t="str">
        <f>IF(AND($A212="YES",E212=$D$1,F218&gt;0),"YES","NO")</f>
        <v>NO</v>
      </c>
      <c r="C218" t="s">
        <v>5</v>
      </c>
      <c r="D218" s="12" t="str">
        <f t="shared" si="182"/>
        <v>4F</v>
      </c>
      <c r="E218" t="s">
        <v>196</v>
      </c>
      <c r="F218">
        <f>'Expanded Base Data'!J210</f>
        <v>0</v>
      </c>
      <c r="G218" s="171">
        <f>F212</f>
        <v>0</v>
      </c>
      <c r="H218">
        <f>ROUND(B212+'Slide Measurements'!$D$17,$O$1)</f>
        <v>461.51</v>
      </c>
      <c r="I218">
        <f>ROUND(H218+(F218*'Slide Measurements'!$D$21),$O$1)</f>
        <v>461.51</v>
      </c>
      <c r="J218">
        <f>K217</f>
        <v>137.94</v>
      </c>
      <c r="K218">
        <f>J218+($I$1*'Slide Measurements'!$E$23-'Slide Measurements'!$E$23)</f>
        <v>139.79</v>
      </c>
      <c r="L218" s="5" t="str">
        <f>'Expanded Base Data'!$L210</f>
        <v/>
      </c>
      <c r="M218" s="5" t="str">
        <f>'Expanded Base Data'!$K210</f>
        <v/>
      </c>
      <c r="N218">
        <f t="shared" si="183"/>
        <v>0</v>
      </c>
      <c r="O218">
        <f t="shared" si="184"/>
        <v>1.85</v>
      </c>
      <c r="P218" s="5" t="e">
        <f t="shared" si="185"/>
        <v>#VALUE!</v>
      </c>
      <c r="Q218">
        <f>'Code List'!$C$63</f>
        <v>3</v>
      </c>
      <c r="R218">
        <f>F219+'Code List'!$G$63</f>
        <v>2</v>
      </c>
      <c r="S218" t="e">
        <f t="shared" si="186"/>
        <v>#VALUE!</v>
      </c>
      <c r="T218" t="e">
        <f t="shared" si="188"/>
        <v>#VALUE!</v>
      </c>
      <c r="U218" t="str">
        <f>IF(A218="YES",CONCATENATE(G218,"_",'Program Page'!$C$4,'Program Page'!$C$5,"_",D218,"_",E218),"")</f>
        <v/>
      </c>
      <c r="V218" t="str">
        <f t="shared" si="187"/>
        <v/>
      </c>
      <c r="W218" t="str">
        <f>IF(A218="YES",CONCATENATE("{",'Code List'!$B$4,'Code List'!$D$4,",",'Code List'!$B$5,'Code List'!$D$5,",",'Code List'!$B$6,"""",U218,"""",",",'Code List'!$B$7,'Code List'!$D$7,",",'Code List'!$B$8,'Code List'!$D$8,",",'Code List'!$B$9,'Code List'!$D$9,",",'Code List'!$B$10,'Code List'!$D$10,",",'Code List'!$B$11,"""",V218,"""",",",'Code List'!$B$12,"""",H218,"""",",",'Code List'!$B$13,"""",I218,"""",",",'Code List'!$B$14,"""",J218,"""",",",'Code List'!$B$15,"""",K218,"""",",",'Code List'!$B$16,"""",L218,"""",",",'Code List'!$B$17,"""",M218,"""",",",'Code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18" s="167" t="str">
        <f>IF(A218="YES",CONCATENATE("{",'Code List'!$B$31,"""",U218,"""",",",'Code List'!$B$32,'Code List'!$D$32,",",'Code List'!$B$33,'Code List'!$D$33,",",'Code List'!$B$34,'Code List'!$D$34,",",'Code List'!$B$35,'Code List'!$D$35,",",'Code List'!$B$36,'Code List'!$D$36,",",'Code List'!$B$37,'Code List'!$D$37,",",'Code List'!$B$38,"""",H218,"""",",",'Code List'!$B$39,"""",I218,"""",",",'Code List'!$B$40,"""",J218,"""",",",'Code List'!$B$41,"""",K218,"""",",",'Code List'!$B$42,"""",L218,"""",",",'Code List'!$B$43,"""",M218,"""",",",'Code List'!$B$44,"""",N218,"""",",",'Code List'!$B$45,"""",O218,"""",",",'Code List'!$B$46,"""",P218,"""",",",'Code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List'!$B$59,"""",T218,"""","}"),"")</f>
        <v/>
      </c>
    </row>
    <row r="219" spans="1:25" x14ac:dyDescent="0.25">
      <c r="A219" s="162" t="str">
        <f>IF(AND($A212="YES",E212=$E$1),"YES","NO")</f>
        <v>NO</v>
      </c>
      <c r="C219" t="s">
        <v>259</v>
      </c>
      <c r="D219" s="12" t="str">
        <f>D218</f>
        <v>4F</v>
      </c>
      <c r="E219" t="s">
        <v>259</v>
      </c>
      <c r="G219" s="171">
        <f>F212</f>
        <v>0</v>
      </c>
      <c r="H219">
        <f>ROUND(B212,$O$1)</f>
        <v>436.11</v>
      </c>
      <c r="I219">
        <f>ROUND(B212+'Slide Measurements'!$D$1,$O$1)</f>
        <v>512.55999999999995</v>
      </c>
      <c r="J219">
        <f>C212</f>
        <v>126.24000000000001</v>
      </c>
      <c r="K219">
        <f>C212+'Slide Measurements'!$D$2</f>
        <v>153.64000000000001</v>
      </c>
      <c r="L219" s="5" t="str">
        <f>'Expanded Base Data'!$L210</f>
        <v/>
      </c>
      <c r="M219" s="5" t="str">
        <f>'Expanded Base Data'!$K210</f>
        <v/>
      </c>
      <c r="N219">
        <f t="shared" si="183"/>
        <v>76.45</v>
      </c>
      <c r="O219">
        <f t="shared" si="184"/>
        <v>27.4</v>
      </c>
      <c r="P219" s="5" t="e">
        <f>ROUND((L219-M219),$O$1)</f>
        <v>#VALUE!</v>
      </c>
      <c r="Q219">
        <f>'Code List'!$C$70</f>
        <v>11</v>
      </c>
      <c r="R219">
        <f>'Code List'!$D$70</f>
        <v>19</v>
      </c>
      <c r="S219" t="e">
        <f>IF(P219=0,"1",ROUND((P219/$K$1)+$M$1,0))</f>
        <v>#VALUE!</v>
      </c>
      <c r="T219" t="e">
        <f>Q219*R219*S219</f>
        <v>#VALUE!</v>
      </c>
      <c r="U219" t="str">
        <f>IF(A219="YES",CONCATENATE(G219,"_",'Program Page'!$C$4,'Program Page'!$C$5,"_",D219,"_",E219),"")</f>
        <v/>
      </c>
      <c r="V219" t="str">
        <f>IF(U219="","",CONCATENATE(U219,"_"))</f>
        <v/>
      </c>
      <c r="W219" t="str">
        <f>IF(A219="YES",CONCATENATE("{",'Code List'!$B$4,'Code List'!$D$4,",",'Code List'!$B$5,'Code List'!$D$5,",",'Code List'!$B$6,"""",U219,"""",",",'Code List'!$B$7,'Code List'!$D$7,",",'Code List'!$B$8,'Code List'!$D$8,",",'Code List'!$B$9,'Code List'!$D$9,",",'Code List'!$B$10,'Code List'!$D$10,",",'Code List'!$B$11,"""",V219,"""",",",'Code List'!$B$12,"""",H219,"""",",",'Code List'!$B$13,"""",I219,"""",",",'Code List'!$B$14,"""",J219,"""",",",'Code List'!$B$15,"""",K219,"""",",",'Code List'!$B$16,"""",L219,"""",",",'Code List'!$B$17,"""",M219,"""",",",'Code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219" s="167" t="str">
        <f>IF(A219="YES",CONCATENATE("{",'Code List'!$B$31,"""",U219,"""",",",'Code List'!$B$32,'Code List'!$D$32,",",'Code List'!$B$33,'Code List'!$D$33,",",'Code List'!$B$34,'Code List'!$D$34,",",'Code List'!$B$35,'Code List'!$D$35,",",'Code List'!$B$36,'Code List'!$D$36,",",'Code List'!$B$37,'Code List'!$D$37,",",'Code List'!$B$38,"""",H219,"""",",",'Code List'!$B$39,"""",I219,"""",",",'Code List'!$B$40,"""",J219,"""",",",'Code List'!$B$41,"""",K219,"""",",",'Code List'!$B$42,"""",L219,"""",",",'Code List'!$B$43,"""",M219,"""",",",'Code List'!$B$44,"""",N219,"""",",",'Code List'!$B$45,"""",O219,"""",",",'Code List'!$B$46,"""",P219,"""",",",'Code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List'!$B$59,"""",T219,"""","}"),"")</f>
        <v/>
      </c>
    </row>
    <row r="220" spans="1:25" ht="18.75" x14ac:dyDescent="0.3">
      <c r="A220" s="35" t="str">
        <f>IF(OR(E220=$C$1,E220=$D$1,E220=$E$1),"YES","NO")</f>
        <v>NO</v>
      </c>
      <c r="B220" s="35">
        <f>'Expanded Base Data'!D218</f>
        <v>523.01</v>
      </c>
      <c r="C220" s="35">
        <f>'Expanded Base Data'!E218</f>
        <v>126.24000000000001</v>
      </c>
      <c r="D220" s="36" t="str">
        <f>'Expanded Base Data'!B218</f>
        <v>4G</v>
      </c>
      <c r="E220" s="35">
        <f>'Expanded Base Data'!C218</f>
        <v>0</v>
      </c>
      <c r="F220" s="35">
        <f>'Expanded Base Data'!M218</f>
        <v>0</v>
      </c>
      <c r="G220" s="170">
        <f>F220</f>
        <v>0</v>
      </c>
      <c r="Y220" s="167" t="str">
        <f>""</f>
        <v/>
      </c>
    </row>
    <row r="221" spans="1:25" x14ac:dyDescent="0.25">
      <c r="A221" t="str">
        <f>IF(AND($A220="YES",E220=$C$1),"YES","NO")</f>
        <v>NO</v>
      </c>
      <c r="C221" t="s">
        <v>6</v>
      </c>
      <c r="D221" s="12" t="str">
        <f>D220</f>
        <v>4G</v>
      </c>
      <c r="E221" t="s">
        <v>6</v>
      </c>
      <c r="F221" t="s">
        <v>198</v>
      </c>
      <c r="G221" s="171">
        <f>F220</f>
        <v>0</v>
      </c>
      <c r="H221">
        <f>IF('Expanded Base Data'!N218="",ROUND(B220+'Slide Measurements'!$D$11,$O$1),B220+'Expanded Base Data'!N218)</f>
        <v>556.01</v>
      </c>
      <c r="I221">
        <f>IF('Expanded Base Data'!O218="",ROUND(B220+'Slide Measurements'!$D$12,$O$1),B220+'Expanded Base Data'!O218)</f>
        <v>564.61</v>
      </c>
      <c r="J221">
        <f>IF('Expanded Base Data'!P218="",C220+'Slide Measurements'!$E$13,C220+'Expanded Base Data'!P218)</f>
        <v>134.94</v>
      </c>
      <c r="K221">
        <f>IF('Expanded Base Data'!Q218="",C220+'Slide Measurements'!$E$14,C220+'Expanded Base Data'!Q218)</f>
        <v>143.54000000000002</v>
      </c>
      <c r="L221" s="5" t="str">
        <f>'Expanded Base Data'!$L218</f>
        <v/>
      </c>
      <c r="M221" s="5" t="str">
        <f>'Expanded Base Data'!$K218</f>
        <v/>
      </c>
      <c r="N221">
        <f>ROUND((I221-H221),$O$1)</f>
        <v>8.6</v>
      </c>
      <c r="O221">
        <f>ROUND((K221-J221),$O$1)</f>
        <v>8.6</v>
      </c>
      <c r="P221" s="5" t="e">
        <f>ROUND((L221-M221),$O$1)</f>
        <v>#VALUE!</v>
      </c>
      <c r="Q221">
        <f>'Code List'!$C$62</f>
        <v>5</v>
      </c>
      <c r="R221">
        <f>F222+'Code List'!$G$63</f>
        <v>2</v>
      </c>
      <c r="S221" t="e">
        <f>IF(P221=0,"1",ROUND((P221/$K$1)+$M$1,0))</f>
        <v>#VALUE!</v>
      </c>
      <c r="T221" t="e">
        <f>Q221*R221*S221</f>
        <v>#VALUE!</v>
      </c>
      <c r="U221" t="str">
        <f>IF(A221="YES",CONCATENATE(G221,"_",'Program Page'!$C$4,'Program Page'!$C$5,"_",D221,"_",E221),"")</f>
        <v/>
      </c>
      <c r="V221" t="str">
        <f>IF(U221="","",CONCATENATE(U221,"_"))</f>
        <v/>
      </c>
      <c r="W221" t="str">
        <f>IF(A221="YES",CONCATENATE("{",'Code List'!$B$4,'Code List'!$D$4,",",'Code List'!$B$5,'Code List'!$D$5,",",'Code List'!$B$6,"""",U221,"""",",",'Code List'!$B$7,'Code List'!$D$7,",",'Code List'!$B$8,'Code List'!$D$8,",",'Code List'!$B$9,'Code List'!$D$9,",",'Code List'!$B$10,'Code List'!$D$10,",",'Code List'!$B$11,"""",V221,"""",",",'Code List'!$B$12,"""",H221,"""",",",'Code List'!$B$13,"""",I221,"""",",",'Code List'!$B$14,"""",J221,"""",",",'Code List'!$B$15,"""",K221,"""",",",'Code List'!$B$16,"""",L221,"""",",",'Code List'!$B$17,"""",M221,"""",",",'Code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21" s="167" t="str">
        <f>IF(A221="YES",CONCATENATE("{",'Code List'!$B$31,"""",U221,"""",",",'Code List'!$B$32,'Code List'!$D$32,",",'Code List'!$B$33,'Code List'!$D$33,",",'Code List'!$B$34,'Code List'!$D$34,",",'Code List'!$B$35,'Code List'!$D$35,",",'Code List'!$B$36,'Code List'!$D$36,",",'Code List'!$B$37,'Code List'!$D$37,",",'Code List'!$B$38,"""",H221,"""",",",'Code List'!$B$39,"""",I221,"""",",",'Code List'!$B$40,"""",J221,"""",",",'Code List'!$B$41,"""",K221,"""",",",'Code List'!$B$42,"""",L221,"""",",",'Code List'!$B$43,"""",M221,"""",",",'Code List'!$B$44,"""",N221,"""",",",'Code List'!$B$45,"""",O221,"""",",",'Code List'!$B$46,"""",P221,"""",",",'Code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List'!$B$59,"""",T221,"""","}"),"")</f>
        <v/>
      </c>
    </row>
    <row r="222" spans="1:25" x14ac:dyDescent="0.25">
      <c r="A222" t="str">
        <f>IF(AND($A220="YES",E220=$D$1,F222&gt;0),"YES","NO")</f>
        <v>NO</v>
      </c>
      <c r="C222" t="s">
        <v>5</v>
      </c>
      <c r="D222" s="12" t="str">
        <f t="shared" ref="D222:D226" si="189">D221</f>
        <v>4G</v>
      </c>
      <c r="E222" t="s">
        <v>188</v>
      </c>
      <c r="F222">
        <f>'Expanded Base Data'!F218</f>
        <v>0</v>
      </c>
      <c r="G222" s="171">
        <f>F220</f>
        <v>0</v>
      </c>
      <c r="H222">
        <f>ROUND(B220+'Slide Measurements'!$D$17,$O$1)</f>
        <v>548.41</v>
      </c>
      <c r="I222">
        <f>ROUND(H222+(F222*'Slide Measurements'!$D$21),$O$1)</f>
        <v>548.41</v>
      </c>
      <c r="J222">
        <f>C220+'Slide Measurements'!$E$17</f>
        <v>130.54000000000002</v>
      </c>
      <c r="K222">
        <f>J222+($I$1*'Slide Measurements'!$E$23-'Slide Measurements'!$E$23)</f>
        <v>132.39000000000001</v>
      </c>
      <c r="L222" s="5" t="str">
        <f>'Expanded Base Data'!$L218</f>
        <v/>
      </c>
      <c r="M222" s="5" t="str">
        <f>'Expanded Base Data'!$K218</f>
        <v/>
      </c>
      <c r="N222">
        <f t="shared" ref="N222:N227" si="190">ROUND((I222-H222),$O$1)</f>
        <v>0</v>
      </c>
      <c r="O222">
        <f t="shared" ref="O222:O227" si="191">ROUND((K222-J222),$O$1)</f>
        <v>1.85</v>
      </c>
      <c r="P222" s="5" t="e">
        <f t="shared" ref="P222:P226" si="192">ROUND((L222-M222),$O$1)</f>
        <v>#VALUE!</v>
      </c>
      <c r="Q222">
        <f>'Code List'!$C$63</f>
        <v>3</v>
      </c>
      <c r="R222">
        <f>F223+'Code List'!$G$63</f>
        <v>2</v>
      </c>
      <c r="S222" t="e">
        <f t="shared" ref="S222:S226" si="193">IF(P222=0,"1",ROUND((P222/$K$1)+$M$1,0))</f>
        <v>#VALUE!</v>
      </c>
      <c r="T222" t="e">
        <f>Q222*R222*S222</f>
        <v>#VALUE!</v>
      </c>
      <c r="U222" t="str">
        <f>IF(A222="YES",CONCATENATE(G222,"_",'Program Page'!$C$4,'Program Page'!$C$5,"_",D222,"_",E222),"")</f>
        <v/>
      </c>
      <c r="V222" t="str">
        <f t="shared" ref="V222:V226" si="194">IF(U222="","",CONCATENATE(U222,"_"))</f>
        <v/>
      </c>
      <c r="W222" t="str">
        <f>IF(A222="YES",CONCATENATE("{",'Code List'!$B$4,'Code List'!$D$4,",",'Code List'!$B$5,'Code List'!$D$5,",",'Code List'!$B$6,"""",U222,"""",",",'Code List'!$B$7,'Code List'!$D$7,",",'Code List'!$B$8,'Code List'!$D$8,",",'Code List'!$B$9,'Code List'!$D$9,",",'Code List'!$B$10,'Code List'!$D$10,",",'Code List'!$B$11,"""",V222,"""",",",'Code List'!$B$12,"""",H222,"""",",",'Code List'!$B$13,"""",I222,"""",",",'Code List'!$B$14,"""",J222,"""",",",'Code List'!$B$15,"""",K222,"""",",",'Code List'!$B$16,"""",L222,"""",",",'Code List'!$B$17,"""",M222,"""",",",'Code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22" s="167" t="str">
        <f>IF(A222="YES",CONCATENATE("{",'Code List'!$B$31,"""",U222,"""",",",'Code List'!$B$32,'Code List'!$D$32,",",'Code List'!$B$33,'Code List'!$D$33,",",'Code List'!$B$34,'Code List'!$D$34,",",'Code List'!$B$35,'Code List'!$D$35,",",'Code List'!$B$36,'Code List'!$D$36,",",'Code List'!$B$37,'Code List'!$D$37,",",'Code List'!$B$38,"""",H222,"""",",",'Code List'!$B$39,"""",I222,"""",",",'Code List'!$B$40,"""",J222,"""",",",'Code List'!$B$41,"""",K222,"""",",",'Code List'!$B$42,"""",L222,"""",",",'Code List'!$B$43,"""",M222,"""",",",'Code List'!$B$44,"""",N222,"""",",",'Code List'!$B$45,"""",O222,"""",",",'Code List'!$B$46,"""",P222,"""",",",'Code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List'!$B$59,"""",T222,"""","}"),"")</f>
        <v/>
      </c>
    </row>
    <row r="223" spans="1:25" x14ac:dyDescent="0.25">
      <c r="A223" t="str">
        <f>IF(AND($A220="YES",E220=$D$1,F223&gt;0),"YES","NO")</f>
        <v>NO</v>
      </c>
      <c r="C223" t="s">
        <v>5</v>
      </c>
      <c r="D223" s="12" t="str">
        <f t="shared" si="189"/>
        <v>4G</v>
      </c>
      <c r="E223" t="s">
        <v>189</v>
      </c>
      <c r="F223">
        <f>'Expanded Base Data'!G218</f>
        <v>0</v>
      </c>
      <c r="G223" s="171">
        <f>F220</f>
        <v>0</v>
      </c>
      <c r="H223">
        <f>ROUND(B220+'Slide Measurements'!$D$17,$O$1)</f>
        <v>548.41</v>
      </c>
      <c r="I223">
        <f>ROUND(H223+(F223*'Slide Measurements'!$D$21),$O$1)</f>
        <v>548.41</v>
      </c>
      <c r="J223">
        <f>K222</f>
        <v>132.39000000000001</v>
      </c>
      <c r="K223">
        <f>J223+($I$1*'Slide Measurements'!$E$23-'Slide Measurements'!$E$23)</f>
        <v>134.24</v>
      </c>
      <c r="L223" s="5" t="str">
        <f>'Expanded Base Data'!$L218</f>
        <v/>
      </c>
      <c r="M223" s="5" t="str">
        <f>'Expanded Base Data'!$K218</f>
        <v/>
      </c>
      <c r="N223">
        <f t="shared" si="190"/>
        <v>0</v>
      </c>
      <c r="O223">
        <f t="shared" si="191"/>
        <v>1.85</v>
      </c>
      <c r="P223" s="5" t="e">
        <f t="shared" si="192"/>
        <v>#VALUE!</v>
      </c>
      <c r="Q223">
        <f>'Code List'!$C$63</f>
        <v>3</v>
      </c>
      <c r="R223">
        <f>F224+'Code List'!$G$63</f>
        <v>2</v>
      </c>
      <c r="S223" t="e">
        <f t="shared" si="193"/>
        <v>#VALUE!</v>
      </c>
      <c r="T223" t="e">
        <f t="shared" ref="T223:T226" si="195">Q223*R223*S223</f>
        <v>#VALUE!</v>
      </c>
      <c r="U223" t="str">
        <f>IF(A223="YES",CONCATENATE(G223,"_",'Program Page'!$C$4,'Program Page'!$C$5,"_",D223,"_",E223),"")</f>
        <v/>
      </c>
      <c r="V223" t="str">
        <f t="shared" si="194"/>
        <v/>
      </c>
      <c r="W223" t="str">
        <f>IF(A223="YES",CONCATENATE("{",'Code List'!$B$4,'Code List'!$D$4,",",'Code List'!$B$5,'Code List'!$D$5,",",'Code List'!$B$6,"""",U223,"""",",",'Code List'!$B$7,'Code List'!$D$7,",",'Code List'!$B$8,'Code List'!$D$8,",",'Code List'!$B$9,'Code List'!$D$9,",",'Code List'!$B$10,'Code List'!$D$10,",",'Code List'!$B$11,"""",V223,"""",",",'Code List'!$B$12,"""",H223,"""",",",'Code List'!$B$13,"""",I223,"""",",",'Code List'!$B$14,"""",J223,"""",",",'Code List'!$B$15,"""",K223,"""",",",'Code List'!$B$16,"""",L223,"""",",",'Code List'!$B$17,"""",M223,"""",",",'Code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23" s="167" t="str">
        <f>IF(A223="YES",CONCATENATE("{",'Code List'!$B$31,"""",U223,"""",",",'Code List'!$B$32,'Code List'!$D$32,",",'Code List'!$B$33,'Code List'!$D$33,",",'Code List'!$B$34,'Code List'!$D$34,",",'Code List'!$B$35,'Code List'!$D$35,",",'Code List'!$B$36,'Code List'!$D$36,",",'Code List'!$B$37,'Code List'!$D$37,",",'Code List'!$B$38,"""",H223,"""",",",'Code List'!$B$39,"""",I223,"""",",",'Code List'!$B$40,"""",J223,"""",",",'Code List'!$B$41,"""",K223,"""",",",'Code List'!$B$42,"""",L223,"""",",",'Code List'!$B$43,"""",M223,"""",",",'Code List'!$B$44,"""",N223,"""",",",'Code List'!$B$45,"""",O223,"""",",",'Code List'!$B$46,"""",P223,"""",",",'Code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List'!$B$59,"""",T223,"""","}"),"")</f>
        <v/>
      </c>
    </row>
    <row r="224" spans="1:25" x14ac:dyDescent="0.25">
      <c r="A224" t="str">
        <f>IF(AND($A220="YES",E220=$D$1,F224&gt;0),"YES","NO")</f>
        <v>NO</v>
      </c>
      <c r="C224" t="s">
        <v>5</v>
      </c>
      <c r="D224" s="12" t="str">
        <f t="shared" si="189"/>
        <v>4G</v>
      </c>
      <c r="E224" t="s">
        <v>190</v>
      </c>
      <c r="F224">
        <f>'Expanded Base Data'!H218</f>
        <v>0</v>
      </c>
      <c r="G224" s="171">
        <f>F220</f>
        <v>0</v>
      </c>
      <c r="H224">
        <f>ROUND(B220+'Slide Measurements'!$D$17,$O$1)</f>
        <v>548.41</v>
      </c>
      <c r="I224">
        <f>ROUND(H224+(F224*'Slide Measurements'!$D$21),$O$1)</f>
        <v>548.41</v>
      </c>
      <c r="J224">
        <f>K223</f>
        <v>134.24</v>
      </c>
      <c r="K224">
        <f>J224+($I$1*'Slide Measurements'!$E$23-'Slide Measurements'!$E$23)</f>
        <v>136.09</v>
      </c>
      <c r="L224" s="5" t="str">
        <f>'Expanded Base Data'!$L218</f>
        <v/>
      </c>
      <c r="M224" s="5" t="str">
        <f>'Expanded Base Data'!$K218</f>
        <v/>
      </c>
      <c r="N224">
        <f t="shared" si="190"/>
        <v>0</v>
      </c>
      <c r="O224">
        <f t="shared" si="191"/>
        <v>1.85</v>
      </c>
      <c r="P224" s="5" t="e">
        <f t="shared" si="192"/>
        <v>#VALUE!</v>
      </c>
      <c r="Q224">
        <f>'Code List'!$C$63</f>
        <v>3</v>
      </c>
      <c r="R224">
        <f>F225+'Code List'!$G$63</f>
        <v>2</v>
      </c>
      <c r="S224" t="e">
        <f t="shared" si="193"/>
        <v>#VALUE!</v>
      </c>
      <c r="T224" t="e">
        <f t="shared" si="195"/>
        <v>#VALUE!</v>
      </c>
      <c r="U224" t="str">
        <f>IF(A224="YES",CONCATENATE(G224,"_",'Program Page'!$C$4,'Program Page'!$C$5,"_",D224,"_",E224),"")</f>
        <v/>
      </c>
      <c r="V224" t="str">
        <f t="shared" si="194"/>
        <v/>
      </c>
      <c r="W224" t="str">
        <f>IF(A224="YES",CONCATENATE("{",'Code List'!$B$4,'Code List'!$D$4,",",'Code List'!$B$5,'Code List'!$D$5,",",'Code List'!$B$6,"""",U224,"""",",",'Code List'!$B$7,'Code List'!$D$7,",",'Code List'!$B$8,'Code List'!$D$8,",",'Code List'!$B$9,'Code List'!$D$9,",",'Code List'!$B$10,'Code List'!$D$10,",",'Code List'!$B$11,"""",V224,"""",",",'Code List'!$B$12,"""",H224,"""",",",'Code List'!$B$13,"""",I224,"""",",",'Code List'!$B$14,"""",J224,"""",",",'Code List'!$B$15,"""",K224,"""",",",'Code List'!$B$16,"""",L224,"""",",",'Code List'!$B$17,"""",M224,"""",",",'Code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24" s="167" t="str">
        <f>IF(A224="YES",CONCATENATE("{",'Code List'!$B$31,"""",U224,"""",",",'Code List'!$B$32,'Code List'!$D$32,",",'Code List'!$B$33,'Code List'!$D$33,",",'Code List'!$B$34,'Code List'!$D$34,",",'Code List'!$B$35,'Code List'!$D$35,",",'Code List'!$B$36,'Code List'!$D$36,",",'Code List'!$B$37,'Code List'!$D$37,",",'Code List'!$B$38,"""",H224,"""",",",'Code List'!$B$39,"""",I224,"""",",",'Code List'!$B$40,"""",J224,"""",",",'Code List'!$B$41,"""",K224,"""",",",'Code List'!$B$42,"""",L224,"""",",",'Code List'!$B$43,"""",M224,"""",",",'Code List'!$B$44,"""",N224,"""",",",'Code List'!$B$45,"""",O224,"""",",",'Code List'!$B$46,"""",P224,"""",",",'Code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List'!$B$59,"""",T224,"""","}"),"")</f>
        <v/>
      </c>
    </row>
    <row r="225" spans="1:25" x14ac:dyDescent="0.25">
      <c r="A225" t="str">
        <f>IF(AND($A220="YES",E220=$D$1,F225&gt;0),"YES","NO")</f>
        <v>NO</v>
      </c>
      <c r="C225" t="s">
        <v>5</v>
      </c>
      <c r="D225" s="12" t="str">
        <f t="shared" si="189"/>
        <v>4G</v>
      </c>
      <c r="E225" t="s">
        <v>191</v>
      </c>
      <c r="F225">
        <f>'Expanded Base Data'!I218</f>
        <v>0</v>
      </c>
      <c r="G225" s="171">
        <f>F220</f>
        <v>0</v>
      </c>
      <c r="H225">
        <f>ROUND(B220+'Slide Measurements'!$D$17,$O$1)</f>
        <v>548.41</v>
      </c>
      <c r="I225">
        <f>ROUND(H225+(F225*'Slide Measurements'!$D$21),$O$1)</f>
        <v>548.41</v>
      </c>
      <c r="J225">
        <f>K224</f>
        <v>136.09</v>
      </c>
      <c r="K225">
        <f>J225+($I$1*'Slide Measurements'!$E$23-'Slide Measurements'!$E$23)</f>
        <v>137.94</v>
      </c>
      <c r="L225" s="5" t="str">
        <f>'Expanded Base Data'!$L218</f>
        <v/>
      </c>
      <c r="M225" s="5" t="str">
        <f>'Expanded Base Data'!$K218</f>
        <v/>
      </c>
      <c r="N225">
        <f t="shared" si="190"/>
        <v>0</v>
      </c>
      <c r="O225">
        <f t="shared" si="191"/>
        <v>1.85</v>
      </c>
      <c r="P225" s="5" t="e">
        <f t="shared" si="192"/>
        <v>#VALUE!</v>
      </c>
      <c r="Q225">
        <f>'Code List'!$C$63</f>
        <v>3</v>
      </c>
      <c r="R225">
        <f>F226+'Code List'!$G$63</f>
        <v>2</v>
      </c>
      <c r="S225" t="e">
        <f t="shared" si="193"/>
        <v>#VALUE!</v>
      </c>
      <c r="T225" t="e">
        <f t="shared" si="195"/>
        <v>#VALUE!</v>
      </c>
      <c r="U225" t="str">
        <f>IF(A225="YES",CONCATENATE(G225,"_",'Program Page'!$C$4,'Program Page'!$C$5,"_",D225,"_",E225),"")</f>
        <v/>
      </c>
      <c r="V225" t="str">
        <f t="shared" si="194"/>
        <v/>
      </c>
      <c r="W225" t="str">
        <f>IF(A225="YES",CONCATENATE("{",'Code List'!$B$4,'Code List'!$D$4,",",'Code List'!$B$5,'Code List'!$D$5,",",'Code List'!$B$6,"""",U225,"""",",",'Code List'!$B$7,'Code List'!$D$7,",",'Code List'!$B$8,'Code List'!$D$8,",",'Code List'!$B$9,'Code List'!$D$9,",",'Code List'!$B$10,'Code List'!$D$10,",",'Code List'!$B$11,"""",V225,"""",",",'Code List'!$B$12,"""",H225,"""",",",'Code List'!$B$13,"""",I225,"""",",",'Code List'!$B$14,"""",J225,"""",",",'Code List'!$B$15,"""",K225,"""",",",'Code List'!$B$16,"""",L225,"""",",",'Code List'!$B$17,"""",M225,"""",",",'Code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25" s="167" t="str">
        <f>IF(A225="YES",CONCATENATE("{",'Code List'!$B$31,"""",U225,"""",",",'Code List'!$B$32,'Code List'!$D$32,",",'Code List'!$B$33,'Code List'!$D$33,",",'Code List'!$B$34,'Code List'!$D$34,",",'Code List'!$B$35,'Code List'!$D$35,",",'Code List'!$B$36,'Code List'!$D$36,",",'Code List'!$B$37,'Code List'!$D$37,",",'Code List'!$B$38,"""",H225,"""",",",'Code List'!$B$39,"""",I225,"""",",",'Code List'!$B$40,"""",J225,"""",",",'Code List'!$B$41,"""",K225,"""",",",'Code List'!$B$42,"""",L225,"""",",",'Code List'!$B$43,"""",M225,"""",",",'Code List'!$B$44,"""",N225,"""",",",'Code List'!$B$45,"""",O225,"""",",",'Code List'!$B$46,"""",P225,"""",",",'Code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List'!$B$59,"""",T225,"""","}"),"")</f>
        <v/>
      </c>
    </row>
    <row r="226" spans="1:25" x14ac:dyDescent="0.25">
      <c r="A226" t="str">
        <f>IF(AND($A220="YES",E220=$D$1,F226&gt;0),"YES","NO")</f>
        <v>NO</v>
      </c>
      <c r="C226" t="s">
        <v>5</v>
      </c>
      <c r="D226" s="12" t="str">
        <f t="shared" si="189"/>
        <v>4G</v>
      </c>
      <c r="E226" t="s">
        <v>196</v>
      </c>
      <c r="F226">
        <f>'Expanded Base Data'!J218</f>
        <v>0</v>
      </c>
      <c r="G226" s="171">
        <f>F220</f>
        <v>0</v>
      </c>
      <c r="H226">
        <f>ROUND(B220+'Slide Measurements'!$D$17,$O$1)</f>
        <v>548.41</v>
      </c>
      <c r="I226">
        <f>ROUND(H226+(F226*'Slide Measurements'!$D$21),$O$1)</f>
        <v>548.41</v>
      </c>
      <c r="J226">
        <f>K225</f>
        <v>137.94</v>
      </c>
      <c r="K226">
        <f>J226+($I$1*'Slide Measurements'!$E$23-'Slide Measurements'!$E$23)</f>
        <v>139.79</v>
      </c>
      <c r="L226" s="5" t="str">
        <f>'Expanded Base Data'!$L218</f>
        <v/>
      </c>
      <c r="M226" s="5" t="str">
        <f>'Expanded Base Data'!$K218</f>
        <v/>
      </c>
      <c r="N226">
        <f t="shared" si="190"/>
        <v>0</v>
      </c>
      <c r="O226">
        <f t="shared" si="191"/>
        <v>1.85</v>
      </c>
      <c r="P226" s="5" t="e">
        <f t="shared" si="192"/>
        <v>#VALUE!</v>
      </c>
      <c r="Q226">
        <f>'Code List'!$C$63</f>
        <v>3</v>
      </c>
      <c r="R226">
        <f>F227+'Code List'!$G$63</f>
        <v>2</v>
      </c>
      <c r="S226" t="e">
        <f t="shared" si="193"/>
        <v>#VALUE!</v>
      </c>
      <c r="T226" t="e">
        <f t="shared" si="195"/>
        <v>#VALUE!</v>
      </c>
      <c r="U226" t="str">
        <f>IF(A226="YES",CONCATENATE(G226,"_",'Program Page'!$C$4,'Program Page'!$C$5,"_",D226,"_",E226),"")</f>
        <v/>
      </c>
      <c r="V226" t="str">
        <f t="shared" si="194"/>
        <v/>
      </c>
      <c r="W226" t="str">
        <f>IF(A226="YES",CONCATENATE("{",'Code List'!$B$4,'Code List'!$D$4,",",'Code List'!$B$5,'Code List'!$D$5,",",'Code List'!$B$6,"""",U226,"""",",",'Code List'!$B$7,'Code List'!$D$7,",",'Code List'!$B$8,'Code List'!$D$8,",",'Code List'!$B$9,'Code List'!$D$9,",",'Code List'!$B$10,'Code List'!$D$10,",",'Code List'!$B$11,"""",V226,"""",",",'Code List'!$B$12,"""",H226,"""",",",'Code List'!$B$13,"""",I226,"""",",",'Code List'!$B$14,"""",J226,"""",",",'Code List'!$B$15,"""",K226,"""",",",'Code List'!$B$16,"""",L226,"""",",",'Code List'!$B$17,"""",M226,"""",",",'Code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26" s="167" t="str">
        <f>IF(A226="YES",CONCATENATE("{",'Code List'!$B$31,"""",U226,"""",",",'Code List'!$B$32,'Code List'!$D$32,",",'Code List'!$B$33,'Code List'!$D$33,",",'Code List'!$B$34,'Code List'!$D$34,",",'Code List'!$B$35,'Code List'!$D$35,",",'Code List'!$B$36,'Code List'!$D$36,",",'Code List'!$B$37,'Code List'!$D$37,",",'Code List'!$B$38,"""",H226,"""",",",'Code List'!$B$39,"""",I226,"""",",",'Code List'!$B$40,"""",J226,"""",",",'Code List'!$B$41,"""",K226,"""",",",'Code List'!$B$42,"""",L226,"""",",",'Code List'!$B$43,"""",M226,"""",",",'Code List'!$B$44,"""",N226,"""",",",'Code List'!$B$45,"""",O226,"""",",",'Code List'!$B$46,"""",P226,"""",",",'Code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List'!$B$59,"""",T226,"""","}"),"")</f>
        <v/>
      </c>
    </row>
    <row r="227" spans="1:25" x14ac:dyDescent="0.25">
      <c r="A227" s="162" t="str">
        <f>IF(AND($A220="YES",E220=$E$1),"YES","NO")</f>
        <v>NO</v>
      </c>
      <c r="C227" t="s">
        <v>259</v>
      </c>
      <c r="D227" s="12" t="str">
        <f>D226</f>
        <v>4G</v>
      </c>
      <c r="E227" t="s">
        <v>259</v>
      </c>
      <c r="G227" s="171">
        <f>F220</f>
        <v>0</v>
      </c>
      <c r="H227">
        <f>ROUND(B220,$O$1)</f>
        <v>523.01</v>
      </c>
      <c r="I227">
        <f>ROUND(B220+'Slide Measurements'!$D$1,$O$1)</f>
        <v>599.46</v>
      </c>
      <c r="J227">
        <f>C220</f>
        <v>126.24000000000001</v>
      </c>
      <c r="K227">
        <f>C220+'Slide Measurements'!$D$2</f>
        <v>153.64000000000001</v>
      </c>
      <c r="L227" s="5" t="str">
        <f>'Expanded Base Data'!$L218</f>
        <v/>
      </c>
      <c r="M227" s="5" t="str">
        <f>'Expanded Base Data'!$K218</f>
        <v/>
      </c>
      <c r="N227">
        <f t="shared" si="190"/>
        <v>76.45</v>
      </c>
      <c r="O227">
        <f t="shared" si="191"/>
        <v>27.4</v>
      </c>
      <c r="P227" s="5" t="e">
        <f>ROUND((L227-M227),$O$1)</f>
        <v>#VALUE!</v>
      </c>
      <c r="Q227">
        <f>'Code List'!$C$70</f>
        <v>11</v>
      </c>
      <c r="R227">
        <f>'Code List'!$D$70</f>
        <v>19</v>
      </c>
      <c r="S227" t="e">
        <f>IF(P227=0,"1",ROUND((P227/$K$1)+$M$1,0))</f>
        <v>#VALUE!</v>
      </c>
      <c r="T227" t="e">
        <f>Q227*R227*S227</f>
        <v>#VALUE!</v>
      </c>
      <c r="U227" t="str">
        <f>IF(A227="YES",CONCATENATE(G227,"_",'Program Page'!$C$4,'Program Page'!$C$5,"_",D227,"_",E227),"")</f>
        <v/>
      </c>
      <c r="V227" t="str">
        <f>IF(U227="","",CONCATENATE(U227,"_"))</f>
        <v/>
      </c>
      <c r="W227" t="str">
        <f>IF(A227="YES",CONCATENATE("{",'Code List'!$B$4,'Code List'!$D$4,",",'Code List'!$B$5,'Code List'!$D$5,",",'Code List'!$B$6,"""",U227,"""",",",'Code List'!$B$7,'Code List'!$D$7,",",'Code List'!$B$8,'Code List'!$D$8,",",'Code List'!$B$9,'Code List'!$D$9,",",'Code List'!$B$10,'Code List'!$D$10,",",'Code List'!$B$11,"""",V227,"""",",",'Code List'!$B$12,"""",H227,"""",",",'Code List'!$B$13,"""",I227,"""",",",'Code List'!$B$14,"""",J227,"""",",",'Code List'!$B$15,"""",K227,"""",",",'Code List'!$B$16,"""",L227,"""",",",'Code List'!$B$17,"""",M227,"""",",",'Code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227" s="167" t="str">
        <f>IF(A227="YES",CONCATENATE("{",'Code List'!$B$31,"""",U227,"""",",",'Code List'!$B$32,'Code List'!$D$32,",",'Code List'!$B$33,'Code List'!$D$33,",",'Code List'!$B$34,'Code List'!$D$34,",",'Code List'!$B$35,'Code List'!$D$35,",",'Code List'!$B$36,'Code List'!$D$36,",",'Code List'!$B$37,'Code List'!$D$37,",",'Code List'!$B$38,"""",H227,"""",",",'Code List'!$B$39,"""",I227,"""",",",'Code List'!$B$40,"""",J227,"""",",",'Code List'!$B$41,"""",K227,"""",",",'Code List'!$B$42,"""",L227,"""",",",'Code List'!$B$43,"""",M227,"""",",",'Code List'!$B$44,"""",N227,"""",",",'Code List'!$B$45,"""",O227,"""",",",'Code List'!$B$46,"""",P227,"""",",",'Code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List'!$B$59,"""",T227,"""","}"),"")</f>
        <v/>
      </c>
    </row>
    <row r="228" spans="1:25" ht="18.75" x14ac:dyDescent="0.3">
      <c r="A228" s="35" t="str">
        <f>IF(OR(E228=$C$1,E228=$D$1,E228=$E$1),"YES","NO")</f>
        <v>NO</v>
      </c>
      <c r="B228" s="35">
        <f>'Expanded Base Data'!D226</f>
        <v>1.5099999999999998</v>
      </c>
      <c r="C228" s="35">
        <f>'Expanded Base Data'!E226</f>
        <v>162.92999999999998</v>
      </c>
      <c r="D228" s="36" t="str">
        <f>'Expanded Base Data'!B226</f>
        <v>5A</v>
      </c>
      <c r="E228" s="35">
        <f>'Expanded Base Data'!C226</f>
        <v>0</v>
      </c>
      <c r="F228" s="35">
        <f>'Expanded Base Data'!M226</f>
        <v>0</v>
      </c>
      <c r="G228" s="170">
        <f>F228</f>
        <v>0</v>
      </c>
      <c r="Y228" s="167" t="str">
        <f>""</f>
        <v/>
      </c>
    </row>
    <row r="229" spans="1:25" x14ac:dyDescent="0.25">
      <c r="A229" t="str">
        <f>IF(AND($A228="YES",E228=$C$1),"YES","NO")</f>
        <v>NO</v>
      </c>
      <c r="C229" t="s">
        <v>6</v>
      </c>
      <c r="D229" s="12" t="str">
        <f>D228</f>
        <v>5A</v>
      </c>
      <c r="E229" t="s">
        <v>6</v>
      </c>
      <c r="F229" t="s">
        <v>198</v>
      </c>
      <c r="G229" s="171">
        <f>F228</f>
        <v>0</v>
      </c>
      <c r="H229">
        <f>IF('Expanded Base Data'!N226="",ROUND(B228+'Slide Measurements'!$D$11,$O$1),B228+'Expanded Base Data'!N226)</f>
        <v>34.51</v>
      </c>
      <c r="I229">
        <f>IF('Expanded Base Data'!O226="",ROUND(B228+'Slide Measurements'!$D$12,$O$1),B228+'Expanded Base Data'!O226)</f>
        <v>43.11</v>
      </c>
      <c r="J229">
        <f>IF('Expanded Base Data'!P226="",C228+'Slide Measurements'!$E$13,C228+'Expanded Base Data'!P226)</f>
        <v>171.62999999999997</v>
      </c>
      <c r="K229">
        <f>IF('Expanded Base Data'!Q226="",C228+'Slide Measurements'!$E$14,C228+'Expanded Base Data'!Q226)</f>
        <v>180.22999999999996</v>
      </c>
      <c r="L229" s="5" t="str">
        <f>'Expanded Base Data'!$L226</f>
        <v/>
      </c>
      <c r="M229" s="5" t="str">
        <f>'Expanded Base Data'!$K226</f>
        <v/>
      </c>
      <c r="N229">
        <f>ROUND((I229-H229),$O$1)</f>
        <v>8.6</v>
      </c>
      <c r="O229">
        <f>ROUND((K229-J229),$O$1)</f>
        <v>8.6</v>
      </c>
      <c r="P229" s="5" t="e">
        <f>ROUND((L229-M229),$O$1)</f>
        <v>#VALUE!</v>
      </c>
      <c r="Q229">
        <f>'Code List'!$C$62</f>
        <v>5</v>
      </c>
      <c r="R229">
        <f>F230+'Code List'!$G$63</f>
        <v>2</v>
      </c>
      <c r="S229" t="e">
        <f>IF(P229=0,"1",ROUND((P229/$K$1)+$M$1,0))</f>
        <v>#VALUE!</v>
      </c>
      <c r="T229" t="e">
        <f>Q229*R229*S229</f>
        <v>#VALUE!</v>
      </c>
      <c r="U229" t="str">
        <f>IF(A229="YES",CONCATENATE(G229,"_",'Program Page'!$C$4,'Program Page'!$C$5,"_",D229,"_",E229),"")</f>
        <v/>
      </c>
      <c r="V229" t="str">
        <f>IF(U229="","",CONCATENATE(U229,"_"))</f>
        <v/>
      </c>
      <c r="W229" t="str">
        <f>IF(A229="YES",CONCATENATE("{",'Code List'!$B$4,'Code List'!$D$4,",",'Code List'!$B$5,'Code List'!$D$5,",",'Code List'!$B$6,"""",U229,"""",",",'Code List'!$B$7,'Code List'!$D$7,",",'Code List'!$B$8,'Code List'!$D$8,",",'Code List'!$B$9,'Code List'!$D$9,",",'Code List'!$B$10,'Code List'!$D$10,",",'Code List'!$B$11,"""",V229,"""",",",'Code List'!$B$12,"""",H229,"""",",",'Code List'!$B$13,"""",I229,"""",",",'Code List'!$B$14,"""",J229,"""",",",'Code List'!$B$15,"""",K229,"""",",",'Code List'!$B$16,"""",L229,"""",",",'Code List'!$B$17,"""",M229,"""",",",'Code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29" s="167" t="str">
        <f>IF(A229="YES",CONCATENATE("{",'Code List'!$B$31,"""",U229,"""",",",'Code List'!$B$32,'Code List'!$D$32,",",'Code List'!$B$33,'Code List'!$D$33,",",'Code List'!$B$34,'Code List'!$D$34,",",'Code List'!$B$35,'Code List'!$D$35,",",'Code List'!$B$36,'Code List'!$D$36,",",'Code List'!$B$37,'Code List'!$D$37,",",'Code List'!$B$38,"""",H229,"""",",",'Code List'!$B$39,"""",I229,"""",",",'Code List'!$B$40,"""",J229,"""",",",'Code List'!$B$41,"""",K229,"""",",",'Code List'!$B$42,"""",L229,"""",",",'Code List'!$B$43,"""",M229,"""",",",'Code List'!$B$44,"""",N229,"""",",",'Code List'!$B$45,"""",O229,"""",",",'Code List'!$B$46,"""",P229,"""",",",'Code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List'!$B$59,"""",T229,"""","}"),"")</f>
        <v/>
      </c>
    </row>
    <row r="230" spans="1:25" x14ac:dyDescent="0.25">
      <c r="A230" t="str">
        <f>IF(AND($A228="YES",E228=$D$1,F230&gt;0),"YES","NO")</f>
        <v>NO</v>
      </c>
      <c r="C230" t="s">
        <v>5</v>
      </c>
      <c r="D230" s="12" t="str">
        <f t="shared" ref="D230:D234" si="196">D229</f>
        <v>5A</v>
      </c>
      <c r="E230" t="s">
        <v>188</v>
      </c>
      <c r="F230">
        <f>'Expanded Base Data'!F226</f>
        <v>0</v>
      </c>
      <c r="G230" s="171">
        <f>F228</f>
        <v>0</v>
      </c>
      <c r="H230">
        <f>ROUND(B228+'Slide Measurements'!$D$17,$O$1)</f>
        <v>26.91</v>
      </c>
      <c r="I230">
        <f>ROUND(H230+(F230*'Slide Measurements'!$D$21),$O$1)</f>
        <v>26.91</v>
      </c>
      <c r="J230">
        <f>C228+'Slide Measurements'!$E$17</f>
        <v>167.23</v>
      </c>
      <c r="K230">
        <f>J230+($I$1*'Slide Measurements'!$E$23-'Slide Measurements'!$E$23)</f>
        <v>169.07999999999998</v>
      </c>
      <c r="L230" s="5" t="str">
        <f>'Expanded Base Data'!$L226</f>
        <v/>
      </c>
      <c r="M230" s="5" t="str">
        <f>'Expanded Base Data'!$K226</f>
        <v/>
      </c>
      <c r="N230">
        <f t="shared" ref="N230:N235" si="197">ROUND((I230-H230),$O$1)</f>
        <v>0</v>
      </c>
      <c r="O230">
        <f t="shared" ref="O230:O235" si="198">ROUND((K230-J230),$O$1)</f>
        <v>1.85</v>
      </c>
      <c r="P230" s="5" t="e">
        <f t="shared" ref="P230:P234" si="199">ROUND((L230-M230),$O$1)</f>
        <v>#VALUE!</v>
      </c>
      <c r="Q230">
        <f>'Code List'!$C$63</f>
        <v>3</v>
      </c>
      <c r="R230">
        <f>F231+'Code List'!$G$63</f>
        <v>2</v>
      </c>
      <c r="S230" t="e">
        <f t="shared" ref="S230:S234" si="200">IF(P230=0,"1",ROUND((P230/$K$1)+$M$1,0))</f>
        <v>#VALUE!</v>
      </c>
      <c r="T230" t="e">
        <f>Q230*R230*S230</f>
        <v>#VALUE!</v>
      </c>
      <c r="U230" t="str">
        <f>IF(A230="YES",CONCATENATE(G230,"_",'Program Page'!$C$4,'Program Page'!$C$5,"_",D230,"_",E230),"")</f>
        <v/>
      </c>
      <c r="V230" t="str">
        <f t="shared" ref="V230:V234" si="201">IF(U230="","",CONCATENATE(U230,"_"))</f>
        <v/>
      </c>
      <c r="W230" t="str">
        <f>IF(A230="YES",CONCATENATE("{",'Code List'!$B$4,'Code List'!$D$4,",",'Code List'!$B$5,'Code List'!$D$5,",",'Code List'!$B$6,"""",U230,"""",",",'Code List'!$B$7,'Code List'!$D$7,",",'Code List'!$B$8,'Code List'!$D$8,",",'Code List'!$B$9,'Code List'!$D$9,",",'Code List'!$B$10,'Code List'!$D$10,",",'Code List'!$B$11,"""",V230,"""",",",'Code List'!$B$12,"""",H230,"""",",",'Code List'!$B$13,"""",I230,"""",",",'Code List'!$B$14,"""",J230,"""",",",'Code List'!$B$15,"""",K230,"""",",",'Code List'!$B$16,"""",L230,"""",",",'Code List'!$B$17,"""",M230,"""",",",'Code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30" s="167" t="str">
        <f>IF(A230="YES",CONCATENATE("{",'Code List'!$B$31,"""",U230,"""",",",'Code List'!$B$32,'Code List'!$D$32,",",'Code List'!$B$33,'Code List'!$D$33,",",'Code List'!$B$34,'Code List'!$D$34,",",'Code List'!$B$35,'Code List'!$D$35,",",'Code List'!$B$36,'Code List'!$D$36,",",'Code List'!$B$37,'Code List'!$D$37,",",'Code List'!$B$38,"""",H230,"""",",",'Code List'!$B$39,"""",I230,"""",",",'Code List'!$B$40,"""",J230,"""",",",'Code List'!$B$41,"""",K230,"""",",",'Code List'!$B$42,"""",L230,"""",",",'Code List'!$B$43,"""",M230,"""",",",'Code List'!$B$44,"""",N230,"""",",",'Code List'!$B$45,"""",O230,"""",",",'Code List'!$B$46,"""",P230,"""",",",'Code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List'!$B$59,"""",T230,"""","}"),"")</f>
        <v/>
      </c>
    </row>
    <row r="231" spans="1:25" x14ac:dyDescent="0.25">
      <c r="A231" t="str">
        <f>IF(AND($A228="YES",E228=$D$1,F231&gt;0),"YES","NO")</f>
        <v>NO</v>
      </c>
      <c r="C231" t="s">
        <v>5</v>
      </c>
      <c r="D231" s="12" t="str">
        <f t="shared" si="196"/>
        <v>5A</v>
      </c>
      <c r="E231" t="s">
        <v>189</v>
      </c>
      <c r="F231">
        <f>'Expanded Base Data'!G226</f>
        <v>0</v>
      </c>
      <c r="G231" s="171">
        <f>F228</f>
        <v>0</v>
      </c>
      <c r="H231">
        <f>ROUND(B228+'Slide Measurements'!$D$17,$O$1)</f>
        <v>26.91</v>
      </c>
      <c r="I231">
        <f>ROUND(H231+(F231*'Slide Measurements'!$D$21),$O$1)</f>
        <v>26.91</v>
      </c>
      <c r="J231">
        <f>K230</f>
        <v>169.07999999999998</v>
      </c>
      <c r="K231">
        <f>J231+($I$1*'Slide Measurements'!$E$23-'Slide Measurements'!$E$23)</f>
        <v>170.92999999999998</v>
      </c>
      <c r="L231" s="5" t="str">
        <f>'Expanded Base Data'!$L226</f>
        <v/>
      </c>
      <c r="M231" s="5" t="str">
        <f>'Expanded Base Data'!$K226</f>
        <v/>
      </c>
      <c r="N231">
        <f t="shared" si="197"/>
        <v>0</v>
      </c>
      <c r="O231">
        <f t="shared" si="198"/>
        <v>1.85</v>
      </c>
      <c r="P231" s="5" t="e">
        <f t="shared" si="199"/>
        <v>#VALUE!</v>
      </c>
      <c r="Q231">
        <f>'Code List'!$C$63</f>
        <v>3</v>
      </c>
      <c r="R231">
        <f>F232+'Code List'!$G$63</f>
        <v>2</v>
      </c>
      <c r="S231" t="e">
        <f t="shared" si="200"/>
        <v>#VALUE!</v>
      </c>
      <c r="T231" t="e">
        <f t="shared" ref="T231:T234" si="202">Q231*R231*S231</f>
        <v>#VALUE!</v>
      </c>
      <c r="U231" t="str">
        <f>IF(A231="YES",CONCATENATE(G231,"_",'Program Page'!$C$4,'Program Page'!$C$5,"_",D231,"_",E231),"")</f>
        <v/>
      </c>
      <c r="V231" t="str">
        <f t="shared" si="201"/>
        <v/>
      </c>
      <c r="W231" t="str">
        <f>IF(A231="YES",CONCATENATE("{",'Code List'!$B$4,'Code List'!$D$4,",",'Code List'!$B$5,'Code List'!$D$5,",",'Code List'!$B$6,"""",U231,"""",",",'Code List'!$B$7,'Code List'!$D$7,",",'Code List'!$B$8,'Code List'!$D$8,",",'Code List'!$B$9,'Code List'!$D$9,",",'Code List'!$B$10,'Code List'!$D$10,",",'Code List'!$B$11,"""",V231,"""",",",'Code List'!$B$12,"""",H231,"""",",",'Code List'!$B$13,"""",I231,"""",",",'Code List'!$B$14,"""",J231,"""",",",'Code List'!$B$15,"""",K231,"""",",",'Code List'!$B$16,"""",L231,"""",",",'Code List'!$B$17,"""",M231,"""",",",'Code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31" s="167" t="str">
        <f>IF(A231="YES",CONCATENATE("{",'Code List'!$B$31,"""",U231,"""",",",'Code List'!$B$32,'Code List'!$D$32,",",'Code List'!$B$33,'Code List'!$D$33,",",'Code List'!$B$34,'Code List'!$D$34,",",'Code List'!$B$35,'Code List'!$D$35,",",'Code List'!$B$36,'Code List'!$D$36,",",'Code List'!$B$37,'Code List'!$D$37,",",'Code List'!$B$38,"""",H231,"""",",",'Code List'!$B$39,"""",I231,"""",",",'Code List'!$B$40,"""",J231,"""",",",'Code List'!$B$41,"""",K231,"""",",",'Code List'!$B$42,"""",L231,"""",",",'Code List'!$B$43,"""",M231,"""",",",'Code List'!$B$44,"""",N231,"""",",",'Code List'!$B$45,"""",O231,"""",",",'Code List'!$B$46,"""",P231,"""",",",'Code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List'!$B$59,"""",T231,"""","}"),"")</f>
        <v/>
      </c>
    </row>
    <row r="232" spans="1:25" x14ac:dyDescent="0.25">
      <c r="A232" t="str">
        <f>IF(AND($A228="YES",E228=$D$1,F232&gt;0),"YES","NO")</f>
        <v>NO</v>
      </c>
      <c r="C232" t="s">
        <v>5</v>
      </c>
      <c r="D232" s="12" t="str">
        <f t="shared" si="196"/>
        <v>5A</v>
      </c>
      <c r="E232" t="s">
        <v>190</v>
      </c>
      <c r="F232">
        <f>'Expanded Base Data'!H226</f>
        <v>0</v>
      </c>
      <c r="G232" s="171">
        <f>F228</f>
        <v>0</v>
      </c>
      <c r="H232">
        <f>ROUND(B228+'Slide Measurements'!$D$17,$O$1)</f>
        <v>26.91</v>
      </c>
      <c r="I232">
        <f>ROUND(H232+(F232*'Slide Measurements'!$D$21),$O$1)</f>
        <v>26.91</v>
      </c>
      <c r="J232">
        <f>K231</f>
        <v>170.92999999999998</v>
      </c>
      <c r="K232">
        <f>J232+($I$1*'Slide Measurements'!$E$23-'Slide Measurements'!$E$23)</f>
        <v>172.77999999999997</v>
      </c>
      <c r="L232" s="5" t="str">
        <f>'Expanded Base Data'!$L226</f>
        <v/>
      </c>
      <c r="M232" s="5" t="str">
        <f>'Expanded Base Data'!$K226</f>
        <v/>
      </c>
      <c r="N232">
        <f t="shared" si="197"/>
        <v>0</v>
      </c>
      <c r="O232">
        <f t="shared" si="198"/>
        <v>1.85</v>
      </c>
      <c r="P232" s="5" t="e">
        <f t="shared" si="199"/>
        <v>#VALUE!</v>
      </c>
      <c r="Q232">
        <f>'Code List'!$C$63</f>
        <v>3</v>
      </c>
      <c r="R232">
        <f>F233+'Code List'!$G$63</f>
        <v>2</v>
      </c>
      <c r="S232" t="e">
        <f t="shared" si="200"/>
        <v>#VALUE!</v>
      </c>
      <c r="T232" t="e">
        <f t="shared" si="202"/>
        <v>#VALUE!</v>
      </c>
      <c r="U232" t="str">
        <f>IF(A232="YES",CONCATENATE(G232,"_",'Program Page'!$C$4,'Program Page'!$C$5,"_",D232,"_",E232),"")</f>
        <v/>
      </c>
      <c r="V232" t="str">
        <f t="shared" si="201"/>
        <v/>
      </c>
      <c r="W232" t="str">
        <f>IF(A232="YES",CONCATENATE("{",'Code List'!$B$4,'Code List'!$D$4,",",'Code List'!$B$5,'Code List'!$D$5,",",'Code List'!$B$6,"""",U232,"""",",",'Code List'!$B$7,'Code List'!$D$7,",",'Code List'!$B$8,'Code List'!$D$8,",",'Code List'!$B$9,'Code List'!$D$9,",",'Code List'!$B$10,'Code List'!$D$10,",",'Code List'!$B$11,"""",V232,"""",",",'Code List'!$B$12,"""",H232,"""",",",'Code List'!$B$13,"""",I232,"""",",",'Code List'!$B$14,"""",J232,"""",",",'Code List'!$B$15,"""",K232,"""",",",'Code List'!$B$16,"""",L232,"""",",",'Code List'!$B$17,"""",M232,"""",",",'Code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32" s="167" t="str">
        <f>IF(A232="YES",CONCATENATE("{",'Code List'!$B$31,"""",U232,"""",",",'Code List'!$B$32,'Code List'!$D$32,",",'Code List'!$B$33,'Code List'!$D$33,",",'Code List'!$B$34,'Code List'!$D$34,",",'Code List'!$B$35,'Code List'!$D$35,",",'Code List'!$B$36,'Code List'!$D$36,",",'Code List'!$B$37,'Code List'!$D$37,",",'Code List'!$B$38,"""",H232,"""",",",'Code List'!$B$39,"""",I232,"""",",",'Code List'!$B$40,"""",J232,"""",",",'Code List'!$B$41,"""",K232,"""",",",'Code List'!$B$42,"""",L232,"""",",",'Code List'!$B$43,"""",M232,"""",",",'Code List'!$B$44,"""",N232,"""",",",'Code List'!$B$45,"""",O232,"""",",",'Code List'!$B$46,"""",P232,"""",",",'Code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List'!$B$59,"""",T232,"""","}"),"")</f>
        <v/>
      </c>
    </row>
    <row r="233" spans="1:25" x14ac:dyDescent="0.25">
      <c r="A233" t="str">
        <f>IF(AND($A228="YES",E228=$D$1,F233&gt;0),"YES","NO")</f>
        <v>NO</v>
      </c>
      <c r="C233" t="s">
        <v>5</v>
      </c>
      <c r="D233" s="12" t="str">
        <f t="shared" si="196"/>
        <v>5A</v>
      </c>
      <c r="E233" t="s">
        <v>191</v>
      </c>
      <c r="F233">
        <f>'Expanded Base Data'!I226</f>
        <v>0</v>
      </c>
      <c r="G233" s="171">
        <f>F228</f>
        <v>0</v>
      </c>
      <c r="H233">
        <f>ROUND(B228+'Slide Measurements'!$D$17,$O$1)</f>
        <v>26.91</v>
      </c>
      <c r="I233">
        <f>ROUND(H233+(F233*'Slide Measurements'!$D$21),$O$1)</f>
        <v>26.91</v>
      </c>
      <c r="J233">
        <f>K232</f>
        <v>172.77999999999997</v>
      </c>
      <c r="K233">
        <f>J233+($I$1*'Slide Measurements'!$E$23-'Slide Measurements'!$E$23)</f>
        <v>174.62999999999997</v>
      </c>
      <c r="L233" s="5" t="str">
        <f>'Expanded Base Data'!$L226</f>
        <v/>
      </c>
      <c r="M233" s="5" t="str">
        <f>'Expanded Base Data'!$K226</f>
        <v/>
      </c>
      <c r="N233">
        <f t="shared" si="197"/>
        <v>0</v>
      </c>
      <c r="O233">
        <f t="shared" si="198"/>
        <v>1.85</v>
      </c>
      <c r="P233" s="5" t="e">
        <f t="shared" si="199"/>
        <v>#VALUE!</v>
      </c>
      <c r="Q233">
        <f>'Code List'!$C$63</f>
        <v>3</v>
      </c>
      <c r="R233">
        <f>F234+'Code List'!$G$63</f>
        <v>2</v>
      </c>
      <c r="S233" t="e">
        <f t="shared" si="200"/>
        <v>#VALUE!</v>
      </c>
      <c r="T233" t="e">
        <f t="shared" si="202"/>
        <v>#VALUE!</v>
      </c>
      <c r="U233" t="str">
        <f>IF(A233="YES",CONCATENATE(G233,"_",'Program Page'!$C$4,'Program Page'!$C$5,"_",D233,"_",E233),"")</f>
        <v/>
      </c>
      <c r="V233" t="str">
        <f t="shared" si="201"/>
        <v/>
      </c>
      <c r="W233" t="str">
        <f>IF(A233="YES",CONCATENATE("{",'Code List'!$B$4,'Code List'!$D$4,",",'Code List'!$B$5,'Code List'!$D$5,",",'Code List'!$B$6,"""",U233,"""",",",'Code List'!$B$7,'Code List'!$D$7,",",'Code List'!$B$8,'Code List'!$D$8,",",'Code List'!$B$9,'Code List'!$D$9,",",'Code List'!$B$10,'Code List'!$D$10,",",'Code List'!$B$11,"""",V233,"""",",",'Code List'!$B$12,"""",H233,"""",",",'Code List'!$B$13,"""",I233,"""",",",'Code List'!$B$14,"""",J233,"""",",",'Code List'!$B$15,"""",K233,"""",",",'Code List'!$B$16,"""",L233,"""",",",'Code List'!$B$17,"""",M233,"""",",",'Code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33" s="167" t="str">
        <f>IF(A233="YES",CONCATENATE("{",'Code List'!$B$31,"""",U233,"""",",",'Code List'!$B$32,'Code List'!$D$32,",",'Code List'!$B$33,'Code List'!$D$33,",",'Code List'!$B$34,'Code List'!$D$34,",",'Code List'!$B$35,'Code List'!$D$35,",",'Code List'!$B$36,'Code List'!$D$36,",",'Code List'!$B$37,'Code List'!$D$37,",",'Code List'!$B$38,"""",H233,"""",",",'Code List'!$B$39,"""",I233,"""",",",'Code List'!$B$40,"""",J233,"""",",",'Code List'!$B$41,"""",K233,"""",",",'Code List'!$B$42,"""",L233,"""",",",'Code List'!$B$43,"""",M233,"""",",",'Code List'!$B$44,"""",N233,"""",",",'Code List'!$B$45,"""",O233,"""",",",'Code List'!$B$46,"""",P233,"""",",",'Code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List'!$B$59,"""",T233,"""","}"),"")</f>
        <v/>
      </c>
    </row>
    <row r="234" spans="1:25" x14ac:dyDescent="0.25">
      <c r="A234" t="str">
        <f>IF(AND($A228="YES",E228=$D$1,F234&gt;0),"YES","NO")</f>
        <v>NO</v>
      </c>
      <c r="C234" t="s">
        <v>5</v>
      </c>
      <c r="D234" s="12" t="str">
        <f t="shared" si="196"/>
        <v>5A</v>
      </c>
      <c r="E234" t="s">
        <v>196</v>
      </c>
      <c r="F234">
        <f>'Expanded Base Data'!J226</f>
        <v>0</v>
      </c>
      <c r="G234" s="171">
        <f>F228</f>
        <v>0</v>
      </c>
      <c r="H234">
        <f>ROUND(B228+'Slide Measurements'!$D$17,$O$1)</f>
        <v>26.91</v>
      </c>
      <c r="I234">
        <f>ROUND(H234+(F234*'Slide Measurements'!$D$21),$O$1)</f>
        <v>26.91</v>
      </c>
      <c r="J234">
        <f>K233</f>
        <v>174.62999999999997</v>
      </c>
      <c r="K234">
        <f>J234+($I$1*'Slide Measurements'!$E$23-'Slide Measurements'!$E$23)</f>
        <v>176.47999999999996</v>
      </c>
      <c r="L234" s="5" t="str">
        <f>'Expanded Base Data'!$L226</f>
        <v/>
      </c>
      <c r="M234" s="5" t="str">
        <f>'Expanded Base Data'!$K226</f>
        <v/>
      </c>
      <c r="N234">
        <f t="shared" si="197"/>
        <v>0</v>
      </c>
      <c r="O234">
        <f t="shared" si="198"/>
        <v>1.85</v>
      </c>
      <c r="P234" s="5" t="e">
        <f t="shared" si="199"/>
        <v>#VALUE!</v>
      </c>
      <c r="Q234">
        <f>'Code List'!$C$63</f>
        <v>3</v>
      </c>
      <c r="R234">
        <f>F235+'Code List'!$G$63</f>
        <v>2</v>
      </c>
      <c r="S234" t="e">
        <f t="shared" si="200"/>
        <v>#VALUE!</v>
      </c>
      <c r="T234" t="e">
        <f t="shared" si="202"/>
        <v>#VALUE!</v>
      </c>
      <c r="U234" t="str">
        <f>IF(A234="YES",CONCATENATE(G234,"_",'Program Page'!$C$4,'Program Page'!$C$5,"_",D234,"_",E234),"")</f>
        <v/>
      </c>
      <c r="V234" t="str">
        <f t="shared" si="201"/>
        <v/>
      </c>
      <c r="W234" t="str">
        <f>IF(A234="YES",CONCATENATE("{",'Code List'!$B$4,'Code List'!$D$4,",",'Code List'!$B$5,'Code List'!$D$5,",",'Code List'!$B$6,"""",U234,"""",",",'Code List'!$B$7,'Code List'!$D$7,",",'Code List'!$B$8,'Code List'!$D$8,",",'Code List'!$B$9,'Code List'!$D$9,",",'Code List'!$B$10,'Code List'!$D$10,",",'Code List'!$B$11,"""",V234,"""",",",'Code List'!$B$12,"""",H234,"""",",",'Code List'!$B$13,"""",I234,"""",",",'Code List'!$B$14,"""",J234,"""",",",'Code List'!$B$15,"""",K234,"""",",",'Code List'!$B$16,"""",L234,"""",",",'Code List'!$B$17,"""",M234,"""",",",'Code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34" s="167" t="str">
        <f>IF(A234="YES",CONCATENATE("{",'Code List'!$B$31,"""",U234,"""",",",'Code List'!$B$32,'Code List'!$D$32,",",'Code List'!$B$33,'Code List'!$D$33,",",'Code List'!$B$34,'Code List'!$D$34,",",'Code List'!$B$35,'Code List'!$D$35,",",'Code List'!$B$36,'Code List'!$D$36,",",'Code List'!$B$37,'Code List'!$D$37,",",'Code List'!$B$38,"""",H234,"""",",",'Code List'!$B$39,"""",I234,"""",",",'Code List'!$B$40,"""",J234,"""",",",'Code List'!$B$41,"""",K234,"""",",",'Code List'!$B$42,"""",L234,"""",",",'Code List'!$B$43,"""",M234,"""",",",'Code List'!$B$44,"""",N234,"""",",",'Code List'!$B$45,"""",O234,"""",",",'Code List'!$B$46,"""",P234,"""",",",'Code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List'!$B$59,"""",T234,"""","}"),"")</f>
        <v/>
      </c>
    </row>
    <row r="235" spans="1:25" x14ac:dyDescent="0.25">
      <c r="A235" s="162" t="str">
        <f>IF(AND($A228="YES",E228=$E$1),"YES","NO")</f>
        <v>NO</v>
      </c>
      <c r="C235" t="s">
        <v>259</v>
      </c>
      <c r="D235" s="12" t="str">
        <f>D234</f>
        <v>5A</v>
      </c>
      <c r="E235" t="s">
        <v>259</v>
      </c>
      <c r="G235" s="171">
        <f>F228</f>
        <v>0</v>
      </c>
      <c r="H235">
        <f>ROUND(B228,$O$1)</f>
        <v>1.51</v>
      </c>
      <c r="I235">
        <f>ROUND(B228+'Slide Measurements'!$D$1,$O$1)</f>
        <v>77.959999999999994</v>
      </c>
      <c r="J235">
        <f>C228</f>
        <v>162.92999999999998</v>
      </c>
      <c r="K235">
        <f>C228+'Slide Measurements'!$D$2</f>
        <v>190.32999999999998</v>
      </c>
      <c r="L235" s="5" t="str">
        <f>'Expanded Base Data'!$L226</f>
        <v/>
      </c>
      <c r="M235" s="5" t="str">
        <f>'Expanded Base Data'!$K226</f>
        <v/>
      </c>
      <c r="N235">
        <f t="shared" si="197"/>
        <v>76.45</v>
      </c>
      <c r="O235">
        <f t="shared" si="198"/>
        <v>27.4</v>
      </c>
      <c r="P235" s="5" t="e">
        <f>ROUND((L235-M235),$O$1)</f>
        <v>#VALUE!</v>
      </c>
      <c r="Q235">
        <f>'Code List'!$C$70</f>
        <v>11</v>
      </c>
      <c r="R235">
        <f>'Code List'!$D$70</f>
        <v>19</v>
      </c>
      <c r="S235" t="e">
        <f>IF(P235=0,"1",ROUND((P235/$K$1)+$M$1,0))</f>
        <v>#VALUE!</v>
      </c>
      <c r="T235" t="e">
        <f>Q235*R235*S235</f>
        <v>#VALUE!</v>
      </c>
      <c r="U235" t="str">
        <f>IF(A235="YES",CONCATENATE(G235,"_",'Program Page'!$C$4,'Program Page'!$C$5,"_",D235,"_",E235),"")</f>
        <v/>
      </c>
      <c r="V235" t="str">
        <f>IF(U235="","",CONCATENATE(U235,"_"))</f>
        <v/>
      </c>
      <c r="W235" t="str">
        <f>IF(A235="YES",CONCATENATE("{",'Code List'!$B$4,'Code List'!$D$4,",",'Code List'!$B$5,'Code List'!$D$5,",",'Code List'!$B$6,"""",U235,"""",",",'Code List'!$B$7,'Code List'!$D$7,",",'Code List'!$B$8,'Code List'!$D$8,",",'Code List'!$B$9,'Code List'!$D$9,",",'Code List'!$B$10,'Code List'!$D$10,",",'Code List'!$B$11,"""",V235,"""",",",'Code List'!$B$12,"""",H235,"""",",",'Code List'!$B$13,"""",I235,"""",",",'Code List'!$B$14,"""",J235,"""",",",'Code List'!$B$15,"""",K235,"""",",",'Code List'!$B$16,"""",L235,"""",",",'Code List'!$B$17,"""",M235,"""",",",'Code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235" s="167" t="str">
        <f>IF(A235="YES",CONCATENATE("{",'Code List'!$B$31,"""",U235,"""",",",'Code List'!$B$32,'Code List'!$D$32,",",'Code List'!$B$33,'Code List'!$D$33,",",'Code List'!$B$34,'Code List'!$D$34,",",'Code List'!$B$35,'Code List'!$D$35,",",'Code List'!$B$36,'Code List'!$D$36,",",'Code List'!$B$37,'Code List'!$D$37,",",'Code List'!$B$38,"""",H235,"""",",",'Code List'!$B$39,"""",I235,"""",",",'Code List'!$B$40,"""",J235,"""",",",'Code List'!$B$41,"""",K235,"""",",",'Code List'!$B$42,"""",L235,"""",",",'Code List'!$B$43,"""",M235,"""",",",'Code List'!$B$44,"""",N235,"""",",",'Code List'!$B$45,"""",O235,"""",",",'Code List'!$B$46,"""",P235,"""",",",'Code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List'!$B$59,"""",T235,"""","}"),"")</f>
        <v/>
      </c>
    </row>
    <row r="236" spans="1:25" ht="18.75" x14ac:dyDescent="0.3">
      <c r="A236" s="35" t="str">
        <f>IF(OR(E236=$C$1,E236=$D$1,E236=$E$1),"YES","NO")</f>
        <v>NO</v>
      </c>
      <c r="B236" s="35">
        <f>'Expanded Base Data'!D234</f>
        <v>89.51</v>
      </c>
      <c r="C236" s="35">
        <f>'Expanded Base Data'!E234</f>
        <v>162.92999999999998</v>
      </c>
      <c r="D236" s="36" t="str">
        <f>'Expanded Base Data'!B234</f>
        <v>5B</v>
      </c>
      <c r="E236" s="35">
        <f>'Expanded Base Data'!C234</f>
        <v>0</v>
      </c>
      <c r="F236" s="35">
        <f>'Expanded Base Data'!M234</f>
        <v>0</v>
      </c>
      <c r="G236" s="170">
        <f>F236</f>
        <v>0</v>
      </c>
      <c r="Y236" s="167" t="str">
        <f>""</f>
        <v/>
      </c>
    </row>
    <row r="237" spans="1:25" x14ac:dyDescent="0.25">
      <c r="A237" t="str">
        <f>IF(AND($A236="YES",E236=$C$1),"YES","NO")</f>
        <v>NO</v>
      </c>
      <c r="C237" t="s">
        <v>6</v>
      </c>
      <c r="D237" s="12" t="str">
        <f>D236</f>
        <v>5B</v>
      </c>
      <c r="E237" t="s">
        <v>6</v>
      </c>
      <c r="F237" t="s">
        <v>198</v>
      </c>
      <c r="G237" s="171">
        <f>F236</f>
        <v>0</v>
      </c>
      <c r="H237">
        <f>IF('Expanded Base Data'!N234="",ROUND(B236+'Slide Measurements'!$D$11,$O$1),B236+'Expanded Base Data'!N234)</f>
        <v>122.51</v>
      </c>
      <c r="I237">
        <f>IF('Expanded Base Data'!O234="",ROUND(B236+'Slide Measurements'!$D$12,$O$1),B236+'Expanded Base Data'!O234)</f>
        <v>131.11000000000001</v>
      </c>
      <c r="J237">
        <f>IF('Expanded Base Data'!P234="",C236+'Slide Measurements'!$E$13,C236+'Expanded Base Data'!P234)</f>
        <v>171.62999999999997</v>
      </c>
      <c r="K237">
        <f>IF('Expanded Base Data'!Q234="",C236+'Slide Measurements'!$E$14,C236+'Expanded Base Data'!Q234)</f>
        <v>180.22999999999996</v>
      </c>
      <c r="L237" s="5" t="str">
        <f>'Expanded Base Data'!$L234</f>
        <v/>
      </c>
      <c r="M237" s="5" t="str">
        <f>'Expanded Base Data'!$K234</f>
        <v/>
      </c>
      <c r="N237">
        <f>ROUND((I237-H237),$O$1)</f>
        <v>8.6</v>
      </c>
      <c r="O237">
        <f>ROUND((K237-J237),$O$1)</f>
        <v>8.6</v>
      </c>
      <c r="P237" s="5" t="e">
        <f>ROUND((L237-M237),$O$1)</f>
        <v>#VALUE!</v>
      </c>
      <c r="Q237">
        <f>'Code List'!$C$62</f>
        <v>5</v>
      </c>
      <c r="R237">
        <f>F238+'Code List'!$G$63</f>
        <v>2</v>
      </c>
      <c r="S237" t="e">
        <f>IF(P237=0,"1",ROUND((P237/$K$1)+$M$1,0))</f>
        <v>#VALUE!</v>
      </c>
      <c r="T237" t="e">
        <f>Q237*R237*S237</f>
        <v>#VALUE!</v>
      </c>
      <c r="U237" t="str">
        <f>IF(A237="YES",CONCATENATE(G237,"_",'Program Page'!$C$4,'Program Page'!$C$5,"_",D237,"_",E237),"")</f>
        <v/>
      </c>
      <c r="V237" t="str">
        <f>IF(U237="","",CONCATENATE(U237,"_"))</f>
        <v/>
      </c>
      <c r="W237" t="str">
        <f>IF(A237="YES",CONCATENATE("{",'Code List'!$B$4,'Code List'!$D$4,",",'Code List'!$B$5,'Code List'!$D$5,",",'Code List'!$B$6,"""",U237,"""",",",'Code List'!$B$7,'Code List'!$D$7,",",'Code List'!$B$8,'Code List'!$D$8,",",'Code List'!$B$9,'Code List'!$D$9,",",'Code List'!$B$10,'Code List'!$D$10,",",'Code List'!$B$11,"""",V237,"""",",",'Code List'!$B$12,"""",H237,"""",",",'Code List'!$B$13,"""",I237,"""",",",'Code List'!$B$14,"""",J237,"""",",",'Code List'!$B$15,"""",K237,"""",",",'Code List'!$B$16,"""",L237,"""",",",'Code List'!$B$17,"""",M237,"""",",",'Code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37" s="167" t="str">
        <f>IF(A237="YES",CONCATENATE("{",'Code List'!$B$31,"""",U237,"""",",",'Code List'!$B$32,'Code List'!$D$32,",",'Code List'!$B$33,'Code List'!$D$33,",",'Code List'!$B$34,'Code List'!$D$34,",",'Code List'!$B$35,'Code List'!$D$35,",",'Code List'!$B$36,'Code List'!$D$36,",",'Code List'!$B$37,'Code List'!$D$37,",",'Code List'!$B$38,"""",H237,"""",",",'Code List'!$B$39,"""",I237,"""",",",'Code List'!$B$40,"""",J237,"""",",",'Code List'!$B$41,"""",K237,"""",",",'Code List'!$B$42,"""",L237,"""",",",'Code List'!$B$43,"""",M237,"""",",",'Code List'!$B$44,"""",N237,"""",",",'Code List'!$B$45,"""",O237,"""",",",'Code List'!$B$46,"""",P237,"""",",",'Code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List'!$B$59,"""",T237,"""","}"),"")</f>
        <v/>
      </c>
    </row>
    <row r="238" spans="1:25" x14ac:dyDescent="0.25">
      <c r="A238" t="str">
        <f>IF(AND($A236="YES",E236=$D$1,F238&gt;0),"YES","NO")</f>
        <v>NO</v>
      </c>
      <c r="C238" t="s">
        <v>5</v>
      </c>
      <c r="D238" s="12" t="str">
        <f t="shared" ref="D238:D242" si="203">D237</f>
        <v>5B</v>
      </c>
      <c r="E238" t="s">
        <v>188</v>
      </c>
      <c r="F238">
        <f>'Expanded Base Data'!F234</f>
        <v>0</v>
      </c>
      <c r="G238" s="171">
        <f>F236</f>
        <v>0</v>
      </c>
      <c r="H238">
        <f>ROUND(B236+'Slide Measurements'!$D$17,$O$1)</f>
        <v>114.91</v>
      </c>
      <c r="I238">
        <f>ROUND(H238+(F238*'Slide Measurements'!$D$21),$O$1)</f>
        <v>114.91</v>
      </c>
      <c r="J238">
        <f>C236+'Slide Measurements'!$E$17</f>
        <v>167.23</v>
      </c>
      <c r="K238">
        <f>J238+($I$1*'Slide Measurements'!$E$23-'Slide Measurements'!$E$23)</f>
        <v>169.07999999999998</v>
      </c>
      <c r="L238" s="5" t="str">
        <f>'Expanded Base Data'!$L234</f>
        <v/>
      </c>
      <c r="M238" s="5" t="str">
        <f>'Expanded Base Data'!$K234</f>
        <v/>
      </c>
      <c r="N238">
        <f t="shared" ref="N238:N243" si="204">ROUND((I238-H238),$O$1)</f>
        <v>0</v>
      </c>
      <c r="O238">
        <f t="shared" ref="O238:O243" si="205">ROUND((K238-J238),$O$1)</f>
        <v>1.85</v>
      </c>
      <c r="P238" s="5" t="e">
        <f t="shared" ref="P238:P242" si="206">ROUND((L238-M238),$O$1)</f>
        <v>#VALUE!</v>
      </c>
      <c r="Q238">
        <f>'Code List'!$C$63</f>
        <v>3</v>
      </c>
      <c r="R238">
        <f>F239+'Code List'!$G$63</f>
        <v>2</v>
      </c>
      <c r="S238" t="e">
        <f t="shared" ref="S238:S242" si="207">IF(P238=0,"1",ROUND((P238/$K$1)+$M$1,0))</f>
        <v>#VALUE!</v>
      </c>
      <c r="T238" t="e">
        <f>Q238*R238*S238</f>
        <v>#VALUE!</v>
      </c>
      <c r="U238" t="str">
        <f>IF(A238="YES",CONCATENATE(G238,"_",'Program Page'!$C$4,'Program Page'!$C$5,"_",D238,"_",E238),"")</f>
        <v/>
      </c>
      <c r="V238" t="str">
        <f t="shared" ref="V238:V242" si="208">IF(U238="","",CONCATENATE(U238,"_"))</f>
        <v/>
      </c>
      <c r="W238" t="str">
        <f>IF(A238="YES",CONCATENATE("{",'Code List'!$B$4,'Code List'!$D$4,",",'Code List'!$B$5,'Code List'!$D$5,",",'Code List'!$B$6,"""",U238,"""",",",'Code List'!$B$7,'Code List'!$D$7,",",'Code List'!$B$8,'Code List'!$D$8,",",'Code List'!$B$9,'Code List'!$D$9,",",'Code List'!$B$10,'Code List'!$D$10,",",'Code List'!$B$11,"""",V238,"""",",",'Code List'!$B$12,"""",H238,"""",",",'Code List'!$B$13,"""",I238,"""",",",'Code List'!$B$14,"""",J238,"""",",",'Code List'!$B$15,"""",K238,"""",",",'Code List'!$B$16,"""",L238,"""",",",'Code List'!$B$17,"""",M238,"""",",",'Code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38" s="167" t="str">
        <f>IF(A238="YES",CONCATENATE("{",'Code List'!$B$31,"""",U238,"""",",",'Code List'!$B$32,'Code List'!$D$32,",",'Code List'!$B$33,'Code List'!$D$33,",",'Code List'!$B$34,'Code List'!$D$34,",",'Code List'!$B$35,'Code List'!$D$35,",",'Code List'!$B$36,'Code List'!$D$36,",",'Code List'!$B$37,'Code List'!$D$37,",",'Code List'!$B$38,"""",H238,"""",",",'Code List'!$B$39,"""",I238,"""",",",'Code List'!$B$40,"""",J238,"""",",",'Code List'!$B$41,"""",K238,"""",",",'Code List'!$B$42,"""",L238,"""",",",'Code List'!$B$43,"""",M238,"""",",",'Code List'!$B$44,"""",N238,"""",",",'Code List'!$B$45,"""",O238,"""",",",'Code List'!$B$46,"""",P238,"""",",",'Code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List'!$B$59,"""",T238,"""","}"),"")</f>
        <v/>
      </c>
    </row>
    <row r="239" spans="1:25" x14ac:dyDescent="0.25">
      <c r="A239" t="str">
        <f>IF(AND($A236="YES",E236=$D$1,F239&gt;0),"YES","NO")</f>
        <v>NO</v>
      </c>
      <c r="C239" t="s">
        <v>5</v>
      </c>
      <c r="D239" s="12" t="str">
        <f t="shared" si="203"/>
        <v>5B</v>
      </c>
      <c r="E239" t="s">
        <v>189</v>
      </c>
      <c r="F239">
        <f>'Expanded Base Data'!G234</f>
        <v>0</v>
      </c>
      <c r="G239" s="171">
        <f>F236</f>
        <v>0</v>
      </c>
      <c r="H239">
        <f>ROUND(B236+'Slide Measurements'!$D$17,$O$1)</f>
        <v>114.91</v>
      </c>
      <c r="I239">
        <f>ROUND(H239+(F239*'Slide Measurements'!$D$21),$O$1)</f>
        <v>114.91</v>
      </c>
      <c r="J239">
        <f>K238</f>
        <v>169.07999999999998</v>
      </c>
      <c r="K239">
        <f>J239+($I$1*'Slide Measurements'!$E$23-'Slide Measurements'!$E$23)</f>
        <v>170.92999999999998</v>
      </c>
      <c r="L239" s="5" t="str">
        <f>'Expanded Base Data'!$L234</f>
        <v/>
      </c>
      <c r="M239" s="5" t="str">
        <f>'Expanded Base Data'!$K234</f>
        <v/>
      </c>
      <c r="N239">
        <f t="shared" si="204"/>
        <v>0</v>
      </c>
      <c r="O239">
        <f t="shared" si="205"/>
        <v>1.85</v>
      </c>
      <c r="P239" s="5" t="e">
        <f t="shared" si="206"/>
        <v>#VALUE!</v>
      </c>
      <c r="Q239">
        <f>'Code List'!$C$63</f>
        <v>3</v>
      </c>
      <c r="R239">
        <f>F240+'Code List'!$G$63</f>
        <v>2</v>
      </c>
      <c r="S239" t="e">
        <f t="shared" si="207"/>
        <v>#VALUE!</v>
      </c>
      <c r="T239" t="e">
        <f t="shared" ref="T239:T242" si="209">Q239*R239*S239</f>
        <v>#VALUE!</v>
      </c>
      <c r="U239" t="str">
        <f>IF(A239="YES",CONCATENATE(G239,"_",'Program Page'!$C$4,'Program Page'!$C$5,"_",D239,"_",E239),"")</f>
        <v/>
      </c>
      <c r="V239" t="str">
        <f t="shared" si="208"/>
        <v/>
      </c>
      <c r="W239" t="str">
        <f>IF(A239="YES",CONCATENATE("{",'Code List'!$B$4,'Code List'!$D$4,",",'Code List'!$B$5,'Code List'!$D$5,",",'Code List'!$B$6,"""",U239,"""",",",'Code List'!$B$7,'Code List'!$D$7,",",'Code List'!$B$8,'Code List'!$D$8,",",'Code List'!$B$9,'Code List'!$D$9,",",'Code List'!$B$10,'Code List'!$D$10,",",'Code List'!$B$11,"""",V239,"""",",",'Code List'!$B$12,"""",H239,"""",",",'Code List'!$B$13,"""",I239,"""",",",'Code List'!$B$14,"""",J239,"""",",",'Code List'!$B$15,"""",K239,"""",",",'Code List'!$B$16,"""",L239,"""",",",'Code List'!$B$17,"""",M239,"""",",",'Code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39" s="167" t="str">
        <f>IF(A239="YES",CONCATENATE("{",'Code List'!$B$31,"""",U239,"""",",",'Code List'!$B$32,'Code List'!$D$32,",",'Code List'!$B$33,'Code List'!$D$33,",",'Code List'!$B$34,'Code List'!$D$34,",",'Code List'!$B$35,'Code List'!$D$35,",",'Code List'!$B$36,'Code List'!$D$36,",",'Code List'!$B$37,'Code List'!$D$37,",",'Code List'!$B$38,"""",H239,"""",",",'Code List'!$B$39,"""",I239,"""",",",'Code List'!$B$40,"""",J239,"""",",",'Code List'!$B$41,"""",K239,"""",",",'Code List'!$B$42,"""",L239,"""",",",'Code List'!$B$43,"""",M239,"""",",",'Code List'!$B$44,"""",N239,"""",",",'Code List'!$B$45,"""",O239,"""",",",'Code List'!$B$46,"""",P239,"""",",",'Code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List'!$B$59,"""",T239,"""","}"),"")</f>
        <v/>
      </c>
    </row>
    <row r="240" spans="1:25" x14ac:dyDescent="0.25">
      <c r="A240" t="str">
        <f>IF(AND($A236="YES",E236=$D$1,F240&gt;0),"YES","NO")</f>
        <v>NO</v>
      </c>
      <c r="C240" t="s">
        <v>5</v>
      </c>
      <c r="D240" s="12" t="str">
        <f t="shared" si="203"/>
        <v>5B</v>
      </c>
      <c r="E240" t="s">
        <v>190</v>
      </c>
      <c r="F240">
        <f>'Expanded Base Data'!H234</f>
        <v>0</v>
      </c>
      <c r="G240" s="171">
        <f>F236</f>
        <v>0</v>
      </c>
      <c r="H240">
        <f>ROUND(B236+'Slide Measurements'!$D$17,$O$1)</f>
        <v>114.91</v>
      </c>
      <c r="I240">
        <f>ROUND(H240+(F240*'Slide Measurements'!$D$21),$O$1)</f>
        <v>114.91</v>
      </c>
      <c r="J240">
        <f>K239</f>
        <v>170.92999999999998</v>
      </c>
      <c r="K240">
        <f>J240+($I$1*'Slide Measurements'!$E$23-'Slide Measurements'!$E$23)</f>
        <v>172.77999999999997</v>
      </c>
      <c r="L240" s="5" t="str">
        <f>'Expanded Base Data'!$L234</f>
        <v/>
      </c>
      <c r="M240" s="5" t="str">
        <f>'Expanded Base Data'!$K234</f>
        <v/>
      </c>
      <c r="N240">
        <f t="shared" si="204"/>
        <v>0</v>
      </c>
      <c r="O240">
        <f t="shared" si="205"/>
        <v>1.85</v>
      </c>
      <c r="P240" s="5" t="e">
        <f t="shared" si="206"/>
        <v>#VALUE!</v>
      </c>
      <c r="Q240">
        <f>'Code List'!$C$63</f>
        <v>3</v>
      </c>
      <c r="R240">
        <f>F241+'Code List'!$G$63</f>
        <v>2</v>
      </c>
      <c r="S240" t="e">
        <f t="shared" si="207"/>
        <v>#VALUE!</v>
      </c>
      <c r="T240" t="e">
        <f t="shared" si="209"/>
        <v>#VALUE!</v>
      </c>
      <c r="U240" t="str">
        <f>IF(A240="YES",CONCATENATE(G240,"_",'Program Page'!$C$4,'Program Page'!$C$5,"_",D240,"_",E240),"")</f>
        <v/>
      </c>
      <c r="V240" t="str">
        <f t="shared" si="208"/>
        <v/>
      </c>
      <c r="W240" t="str">
        <f>IF(A240="YES",CONCATENATE("{",'Code List'!$B$4,'Code List'!$D$4,",",'Code List'!$B$5,'Code List'!$D$5,",",'Code List'!$B$6,"""",U240,"""",",",'Code List'!$B$7,'Code List'!$D$7,",",'Code List'!$B$8,'Code List'!$D$8,",",'Code List'!$B$9,'Code List'!$D$9,",",'Code List'!$B$10,'Code List'!$D$10,",",'Code List'!$B$11,"""",V240,"""",",",'Code List'!$B$12,"""",H240,"""",",",'Code List'!$B$13,"""",I240,"""",",",'Code List'!$B$14,"""",J240,"""",",",'Code List'!$B$15,"""",K240,"""",",",'Code List'!$B$16,"""",L240,"""",",",'Code List'!$B$17,"""",M240,"""",",",'Code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40" s="167" t="str">
        <f>IF(A240="YES",CONCATENATE("{",'Code List'!$B$31,"""",U240,"""",",",'Code List'!$B$32,'Code List'!$D$32,",",'Code List'!$B$33,'Code List'!$D$33,",",'Code List'!$B$34,'Code List'!$D$34,",",'Code List'!$B$35,'Code List'!$D$35,",",'Code List'!$B$36,'Code List'!$D$36,",",'Code List'!$B$37,'Code List'!$D$37,",",'Code List'!$B$38,"""",H240,"""",",",'Code List'!$B$39,"""",I240,"""",",",'Code List'!$B$40,"""",J240,"""",",",'Code List'!$B$41,"""",K240,"""",",",'Code List'!$B$42,"""",L240,"""",",",'Code List'!$B$43,"""",M240,"""",",",'Code List'!$B$44,"""",N240,"""",",",'Code List'!$B$45,"""",O240,"""",",",'Code List'!$B$46,"""",P240,"""",",",'Code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List'!$B$59,"""",T240,"""","}"),"")</f>
        <v/>
      </c>
    </row>
    <row r="241" spans="1:25" x14ac:dyDescent="0.25">
      <c r="A241" t="str">
        <f>IF(AND($A236="YES",E236=$D$1,F241&gt;0),"YES","NO")</f>
        <v>NO</v>
      </c>
      <c r="C241" t="s">
        <v>5</v>
      </c>
      <c r="D241" s="12" t="str">
        <f t="shared" si="203"/>
        <v>5B</v>
      </c>
      <c r="E241" t="s">
        <v>191</v>
      </c>
      <c r="F241">
        <f>'Expanded Base Data'!I234</f>
        <v>0</v>
      </c>
      <c r="G241" s="171">
        <f>F236</f>
        <v>0</v>
      </c>
      <c r="H241">
        <f>ROUND(B236+'Slide Measurements'!$D$17,$O$1)</f>
        <v>114.91</v>
      </c>
      <c r="I241">
        <f>ROUND(H241+(F241*'Slide Measurements'!$D$21),$O$1)</f>
        <v>114.91</v>
      </c>
      <c r="J241">
        <f>K240</f>
        <v>172.77999999999997</v>
      </c>
      <c r="K241">
        <f>J241+($I$1*'Slide Measurements'!$E$23-'Slide Measurements'!$E$23)</f>
        <v>174.62999999999997</v>
      </c>
      <c r="L241" s="5" t="str">
        <f>'Expanded Base Data'!$L234</f>
        <v/>
      </c>
      <c r="M241" s="5" t="str">
        <f>'Expanded Base Data'!$K234</f>
        <v/>
      </c>
      <c r="N241">
        <f t="shared" si="204"/>
        <v>0</v>
      </c>
      <c r="O241">
        <f t="shared" si="205"/>
        <v>1.85</v>
      </c>
      <c r="P241" s="5" t="e">
        <f t="shared" si="206"/>
        <v>#VALUE!</v>
      </c>
      <c r="Q241">
        <f>'Code List'!$C$63</f>
        <v>3</v>
      </c>
      <c r="R241">
        <f>F242+'Code List'!$G$63</f>
        <v>2</v>
      </c>
      <c r="S241" t="e">
        <f t="shared" si="207"/>
        <v>#VALUE!</v>
      </c>
      <c r="T241" t="e">
        <f t="shared" si="209"/>
        <v>#VALUE!</v>
      </c>
      <c r="U241" t="str">
        <f>IF(A241="YES",CONCATENATE(G241,"_",'Program Page'!$C$4,'Program Page'!$C$5,"_",D241,"_",E241),"")</f>
        <v/>
      </c>
      <c r="V241" t="str">
        <f t="shared" si="208"/>
        <v/>
      </c>
      <c r="W241" t="str">
        <f>IF(A241="YES",CONCATENATE("{",'Code List'!$B$4,'Code List'!$D$4,",",'Code List'!$B$5,'Code List'!$D$5,",",'Code List'!$B$6,"""",U241,"""",",",'Code List'!$B$7,'Code List'!$D$7,",",'Code List'!$B$8,'Code List'!$D$8,",",'Code List'!$B$9,'Code List'!$D$9,",",'Code List'!$B$10,'Code List'!$D$10,",",'Code List'!$B$11,"""",V241,"""",",",'Code List'!$B$12,"""",H241,"""",",",'Code List'!$B$13,"""",I241,"""",",",'Code List'!$B$14,"""",J241,"""",",",'Code List'!$B$15,"""",K241,"""",",",'Code List'!$B$16,"""",L241,"""",",",'Code List'!$B$17,"""",M241,"""",",",'Code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41" s="167" t="str">
        <f>IF(A241="YES",CONCATENATE("{",'Code List'!$B$31,"""",U241,"""",",",'Code List'!$B$32,'Code List'!$D$32,",",'Code List'!$B$33,'Code List'!$D$33,",",'Code List'!$B$34,'Code List'!$D$34,",",'Code List'!$B$35,'Code List'!$D$35,",",'Code List'!$B$36,'Code List'!$D$36,",",'Code List'!$B$37,'Code List'!$D$37,",",'Code List'!$B$38,"""",H241,"""",",",'Code List'!$B$39,"""",I241,"""",",",'Code List'!$B$40,"""",J241,"""",",",'Code List'!$B$41,"""",K241,"""",",",'Code List'!$B$42,"""",L241,"""",",",'Code List'!$B$43,"""",M241,"""",",",'Code List'!$B$44,"""",N241,"""",",",'Code List'!$B$45,"""",O241,"""",",",'Code List'!$B$46,"""",P241,"""",",",'Code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List'!$B$59,"""",T241,"""","}"),"")</f>
        <v/>
      </c>
    </row>
    <row r="242" spans="1:25" x14ac:dyDescent="0.25">
      <c r="A242" t="str">
        <f>IF(AND($A236="YES",E236=$D$1,F242&gt;0),"YES","NO")</f>
        <v>NO</v>
      </c>
      <c r="C242" t="s">
        <v>5</v>
      </c>
      <c r="D242" s="12" t="str">
        <f t="shared" si="203"/>
        <v>5B</v>
      </c>
      <c r="E242" t="s">
        <v>196</v>
      </c>
      <c r="F242">
        <f>'Expanded Base Data'!J234</f>
        <v>0</v>
      </c>
      <c r="G242" s="171">
        <f>F236</f>
        <v>0</v>
      </c>
      <c r="H242">
        <f>ROUND(B236+'Slide Measurements'!$D$17,$O$1)</f>
        <v>114.91</v>
      </c>
      <c r="I242">
        <f>ROUND(H242+(F242*'Slide Measurements'!$D$21),$O$1)</f>
        <v>114.91</v>
      </c>
      <c r="J242">
        <f>K241</f>
        <v>174.62999999999997</v>
      </c>
      <c r="K242">
        <f>J242+($I$1*'Slide Measurements'!$E$23-'Slide Measurements'!$E$23)</f>
        <v>176.47999999999996</v>
      </c>
      <c r="L242" s="5" t="str">
        <f>'Expanded Base Data'!$L234</f>
        <v/>
      </c>
      <c r="M242" s="5" t="str">
        <f>'Expanded Base Data'!$K234</f>
        <v/>
      </c>
      <c r="N242">
        <f t="shared" si="204"/>
        <v>0</v>
      </c>
      <c r="O242">
        <f t="shared" si="205"/>
        <v>1.85</v>
      </c>
      <c r="P242" s="5" t="e">
        <f t="shared" si="206"/>
        <v>#VALUE!</v>
      </c>
      <c r="Q242">
        <f>'Code List'!$C$63</f>
        <v>3</v>
      </c>
      <c r="R242">
        <f>F243+'Code List'!$G$63</f>
        <v>2</v>
      </c>
      <c r="S242" t="e">
        <f t="shared" si="207"/>
        <v>#VALUE!</v>
      </c>
      <c r="T242" t="e">
        <f t="shared" si="209"/>
        <v>#VALUE!</v>
      </c>
      <c r="U242" t="str">
        <f>IF(A242="YES",CONCATENATE(G242,"_",'Program Page'!$C$4,'Program Page'!$C$5,"_",D242,"_",E242),"")</f>
        <v/>
      </c>
      <c r="V242" t="str">
        <f t="shared" si="208"/>
        <v/>
      </c>
      <c r="W242" t="str">
        <f>IF(A242="YES",CONCATENATE("{",'Code List'!$B$4,'Code List'!$D$4,",",'Code List'!$B$5,'Code List'!$D$5,",",'Code List'!$B$6,"""",U242,"""",",",'Code List'!$B$7,'Code List'!$D$7,",",'Code List'!$B$8,'Code List'!$D$8,",",'Code List'!$B$9,'Code List'!$D$9,",",'Code List'!$B$10,'Code List'!$D$10,",",'Code List'!$B$11,"""",V242,"""",",",'Code List'!$B$12,"""",H242,"""",",",'Code List'!$B$13,"""",I242,"""",",",'Code List'!$B$14,"""",J242,"""",",",'Code List'!$B$15,"""",K242,"""",",",'Code List'!$B$16,"""",L242,"""",",",'Code List'!$B$17,"""",M242,"""",",",'Code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42" s="167" t="str">
        <f>IF(A242="YES",CONCATENATE("{",'Code List'!$B$31,"""",U242,"""",",",'Code List'!$B$32,'Code List'!$D$32,",",'Code List'!$B$33,'Code List'!$D$33,",",'Code List'!$B$34,'Code List'!$D$34,",",'Code List'!$B$35,'Code List'!$D$35,",",'Code List'!$B$36,'Code List'!$D$36,",",'Code List'!$B$37,'Code List'!$D$37,",",'Code List'!$B$38,"""",H242,"""",",",'Code List'!$B$39,"""",I242,"""",",",'Code List'!$B$40,"""",J242,"""",",",'Code List'!$B$41,"""",K242,"""",",",'Code List'!$B$42,"""",L242,"""",",",'Code List'!$B$43,"""",M242,"""",",",'Code List'!$B$44,"""",N242,"""",",",'Code List'!$B$45,"""",O242,"""",",",'Code List'!$B$46,"""",P242,"""",",",'Code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List'!$B$59,"""",T242,"""","}"),"")</f>
        <v/>
      </c>
    </row>
    <row r="243" spans="1:25" x14ac:dyDescent="0.25">
      <c r="A243" s="162" t="str">
        <f>IF(AND($A236="YES",E236=$E$1),"YES","NO")</f>
        <v>NO</v>
      </c>
      <c r="C243" t="s">
        <v>259</v>
      </c>
      <c r="D243" s="12" t="str">
        <f>D242</f>
        <v>5B</v>
      </c>
      <c r="E243" t="s">
        <v>259</v>
      </c>
      <c r="G243" s="171">
        <f>F236</f>
        <v>0</v>
      </c>
      <c r="H243">
        <f>ROUND(B236,$O$1)</f>
        <v>89.51</v>
      </c>
      <c r="I243">
        <f>ROUND(B236+'Slide Measurements'!$D$1,$O$1)</f>
        <v>165.96</v>
      </c>
      <c r="J243">
        <f>C236</f>
        <v>162.92999999999998</v>
      </c>
      <c r="K243">
        <f>C236+'Slide Measurements'!$D$2</f>
        <v>190.32999999999998</v>
      </c>
      <c r="L243" s="5" t="str">
        <f>'Expanded Base Data'!$L234</f>
        <v/>
      </c>
      <c r="M243" s="5" t="str">
        <f>'Expanded Base Data'!$K234</f>
        <v/>
      </c>
      <c r="N243">
        <f t="shared" si="204"/>
        <v>76.45</v>
      </c>
      <c r="O243">
        <f t="shared" si="205"/>
        <v>27.4</v>
      </c>
      <c r="P243" s="5" t="e">
        <f>ROUND((L243-M243),$O$1)</f>
        <v>#VALUE!</v>
      </c>
      <c r="Q243">
        <f>'Code List'!$C$70</f>
        <v>11</v>
      </c>
      <c r="R243">
        <f>'Code List'!$D$70</f>
        <v>19</v>
      </c>
      <c r="S243" t="e">
        <f>IF(P243=0,"1",ROUND((P243/$K$1)+$M$1,0))</f>
        <v>#VALUE!</v>
      </c>
      <c r="T243" t="e">
        <f>Q243*R243*S243</f>
        <v>#VALUE!</v>
      </c>
      <c r="U243" t="str">
        <f>IF(A243="YES",CONCATENATE(G243,"_",'Program Page'!$C$4,'Program Page'!$C$5,"_",D243,"_",E243),"")</f>
        <v/>
      </c>
      <c r="V243" t="str">
        <f>IF(U243="","",CONCATENATE(U243,"_"))</f>
        <v/>
      </c>
      <c r="W243" t="str">
        <f>IF(A243="YES",CONCATENATE("{",'Code List'!$B$4,'Code List'!$D$4,",",'Code List'!$B$5,'Code List'!$D$5,",",'Code List'!$B$6,"""",U243,"""",",",'Code List'!$B$7,'Code List'!$D$7,",",'Code List'!$B$8,'Code List'!$D$8,",",'Code List'!$B$9,'Code List'!$D$9,",",'Code List'!$B$10,'Code List'!$D$10,",",'Code List'!$B$11,"""",V243,"""",",",'Code List'!$B$12,"""",H243,"""",",",'Code List'!$B$13,"""",I243,"""",",",'Code List'!$B$14,"""",J243,"""",",",'Code List'!$B$15,"""",K243,"""",",",'Code List'!$B$16,"""",L243,"""",",",'Code List'!$B$17,"""",M243,"""",",",'Code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243" s="167" t="str">
        <f>IF(A243="YES",CONCATENATE("{",'Code List'!$B$31,"""",U243,"""",",",'Code List'!$B$32,'Code List'!$D$32,",",'Code List'!$B$33,'Code List'!$D$33,",",'Code List'!$B$34,'Code List'!$D$34,",",'Code List'!$B$35,'Code List'!$D$35,",",'Code List'!$B$36,'Code List'!$D$36,",",'Code List'!$B$37,'Code List'!$D$37,",",'Code List'!$B$38,"""",H243,"""",",",'Code List'!$B$39,"""",I243,"""",",",'Code List'!$B$40,"""",J243,"""",",",'Code List'!$B$41,"""",K243,"""",",",'Code List'!$B$42,"""",L243,"""",",",'Code List'!$B$43,"""",M243,"""",",",'Code List'!$B$44,"""",N243,"""",",",'Code List'!$B$45,"""",O243,"""",",",'Code List'!$B$46,"""",P243,"""",",",'Code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List'!$B$59,"""",T243,"""","}"),"")</f>
        <v/>
      </c>
    </row>
    <row r="244" spans="1:25" ht="18.75" x14ac:dyDescent="0.3">
      <c r="A244" s="35" t="str">
        <f>IF(OR(E244=$C$1,E244=$D$1,E244=$E$1),"YES","NO")</f>
        <v>NO</v>
      </c>
      <c r="B244" s="35">
        <f>'Expanded Base Data'!D242</f>
        <v>176.11</v>
      </c>
      <c r="C244" s="35">
        <f>'Expanded Base Data'!E242</f>
        <v>162.92999999999998</v>
      </c>
      <c r="D244" s="36" t="str">
        <f>'Expanded Base Data'!B242</f>
        <v>5C</v>
      </c>
      <c r="E244" s="35">
        <f>'Expanded Base Data'!C242</f>
        <v>0</v>
      </c>
      <c r="F244" s="35">
        <f>'Expanded Base Data'!M242</f>
        <v>0</v>
      </c>
      <c r="G244" s="170">
        <f>F244</f>
        <v>0</v>
      </c>
      <c r="Y244" s="167" t="str">
        <f>""</f>
        <v/>
      </c>
    </row>
    <row r="245" spans="1:25" x14ac:dyDescent="0.25">
      <c r="A245" t="str">
        <f>IF(AND($A244="YES",E244=$C$1),"YES","NO")</f>
        <v>NO</v>
      </c>
      <c r="C245" t="s">
        <v>6</v>
      </c>
      <c r="D245" s="12" t="str">
        <f>D244</f>
        <v>5C</v>
      </c>
      <c r="E245" t="s">
        <v>6</v>
      </c>
      <c r="F245" t="s">
        <v>198</v>
      </c>
      <c r="G245" s="171">
        <f>F244</f>
        <v>0</v>
      </c>
      <c r="H245">
        <f>IF('Expanded Base Data'!N242="",ROUND(B244+'Slide Measurements'!$D$11,$O$1),B244+'Expanded Base Data'!N242)</f>
        <v>209.11</v>
      </c>
      <c r="I245">
        <f>IF('Expanded Base Data'!O242="",ROUND(B244+'Slide Measurements'!$D$12,$O$1),B244+'Expanded Base Data'!O242)</f>
        <v>217.71</v>
      </c>
      <c r="J245">
        <f>IF('Expanded Base Data'!P242="",C244+'Slide Measurements'!$E$13,C244+'Expanded Base Data'!P242)</f>
        <v>171.62999999999997</v>
      </c>
      <c r="K245">
        <f>IF('Expanded Base Data'!Q242="",C244+'Slide Measurements'!$E$14,C244+'Expanded Base Data'!Q242)</f>
        <v>180.22999999999996</v>
      </c>
      <c r="L245" s="5" t="str">
        <f>'Expanded Base Data'!$L242</f>
        <v/>
      </c>
      <c r="M245" s="5" t="str">
        <f>'Expanded Base Data'!$K242</f>
        <v/>
      </c>
      <c r="N245">
        <f>ROUND((I245-H245),$O$1)</f>
        <v>8.6</v>
      </c>
      <c r="O245">
        <f>ROUND((K245-J245),$O$1)</f>
        <v>8.6</v>
      </c>
      <c r="P245" s="5" t="e">
        <f>ROUND((L245-M245),$O$1)</f>
        <v>#VALUE!</v>
      </c>
      <c r="Q245">
        <f>'Code List'!$C$62</f>
        <v>5</v>
      </c>
      <c r="R245">
        <f>F246+'Code List'!$G$63</f>
        <v>2</v>
      </c>
      <c r="S245" t="e">
        <f>IF(P245=0,"1",ROUND((P245/$K$1)+$M$1,0))</f>
        <v>#VALUE!</v>
      </c>
      <c r="T245" t="e">
        <f>Q245*R245*S245</f>
        <v>#VALUE!</v>
      </c>
      <c r="U245" t="str">
        <f>IF(A245="YES",CONCATENATE(G245,"_",'Program Page'!$C$4,'Program Page'!$C$5,"_",D245,"_",E245),"")</f>
        <v/>
      </c>
      <c r="V245" t="str">
        <f>IF(U245="","",CONCATENATE(U245,"_"))</f>
        <v/>
      </c>
      <c r="W245" t="str">
        <f>IF(A245="YES",CONCATENATE("{",'Code List'!$B$4,'Code List'!$D$4,",",'Code List'!$B$5,'Code List'!$D$5,",",'Code List'!$B$6,"""",U245,"""",",",'Code List'!$B$7,'Code List'!$D$7,",",'Code List'!$B$8,'Code List'!$D$8,",",'Code List'!$B$9,'Code List'!$D$9,",",'Code List'!$B$10,'Code List'!$D$10,",",'Code List'!$B$11,"""",V245,"""",",",'Code List'!$B$12,"""",H245,"""",",",'Code List'!$B$13,"""",I245,"""",",",'Code List'!$B$14,"""",J245,"""",",",'Code List'!$B$15,"""",K245,"""",",",'Code List'!$B$16,"""",L245,"""",",",'Code List'!$B$17,"""",M245,"""",",",'Code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45" s="167" t="str">
        <f>IF(A245="YES",CONCATENATE("{",'Code List'!$B$31,"""",U245,"""",",",'Code List'!$B$32,'Code List'!$D$32,",",'Code List'!$B$33,'Code List'!$D$33,",",'Code List'!$B$34,'Code List'!$D$34,",",'Code List'!$B$35,'Code List'!$D$35,",",'Code List'!$B$36,'Code List'!$D$36,",",'Code List'!$B$37,'Code List'!$D$37,",",'Code List'!$B$38,"""",H245,"""",",",'Code List'!$B$39,"""",I245,"""",",",'Code List'!$B$40,"""",J245,"""",",",'Code List'!$B$41,"""",K245,"""",",",'Code List'!$B$42,"""",L245,"""",",",'Code List'!$B$43,"""",M245,"""",",",'Code List'!$B$44,"""",N245,"""",",",'Code List'!$B$45,"""",O245,"""",",",'Code List'!$B$46,"""",P245,"""",",",'Code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List'!$B$59,"""",T245,"""","}"),"")</f>
        <v/>
      </c>
    </row>
    <row r="246" spans="1:25" x14ac:dyDescent="0.25">
      <c r="A246" t="str">
        <f>IF(AND($A244="YES",E244=$D$1,F246&gt;0),"YES","NO")</f>
        <v>NO</v>
      </c>
      <c r="C246" t="s">
        <v>5</v>
      </c>
      <c r="D246" s="12" t="str">
        <f t="shared" ref="D246:D250" si="210">D245</f>
        <v>5C</v>
      </c>
      <c r="E246" t="s">
        <v>188</v>
      </c>
      <c r="F246">
        <f>'Expanded Base Data'!F242</f>
        <v>0</v>
      </c>
      <c r="G246" s="171">
        <f>F244</f>
        <v>0</v>
      </c>
      <c r="H246">
        <f>ROUND(B244+'Slide Measurements'!$D$17,$O$1)</f>
        <v>201.51</v>
      </c>
      <c r="I246">
        <f>ROUND(H246+(F246*'Slide Measurements'!$D$21),$O$1)</f>
        <v>201.51</v>
      </c>
      <c r="J246">
        <f>C244+'Slide Measurements'!$E$17</f>
        <v>167.23</v>
      </c>
      <c r="K246">
        <f>J246+($I$1*'Slide Measurements'!$E$23-'Slide Measurements'!$E$23)</f>
        <v>169.07999999999998</v>
      </c>
      <c r="L246" s="5" t="str">
        <f>'Expanded Base Data'!$L242</f>
        <v/>
      </c>
      <c r="M246" s="5" t="str">
        <f>'Expanded Base Data'!$K242</f>
        <v/>
      </c>
      <c r="N246">
        <f t="shared" ref="N246:N251" si="211">ROUND((I246-H246),$O$1)</f>
        <v>0</v>
      </c>
      <c r="O246">
        <f t="shared" ref="O246:O251" si="212">ROUND((K246-J246),$O$1)</f>
        <v>1.85</v>
      </c>
      <c r="P246" s="5" t="e">
        <f t="shared" ref="P246:P250" si="213">ROUND((L246-M246),$O$1)</f>
        <v>#VALUE!</v>
      </c>
      <c r="Q246">
        <f>'Code List'!$C$63</f>
        <v>3</v>
      </c>
      <c r="R246">
        <f>F247+'Code List'!$G$63</f>
        <v>2</v>
      </c>
      <c r="S246" t="e">
        <f t="shared" ref="S246:S250" si="214">IF(P246=0,"1",ROUND((P246/$K$1)+$M$1,0))</f>
        <v>#VALUE!</v>
      </c>
      <c r="T246" t="e">
        <f>Q246*R246*S246</f>
        <v>#VALUE!</v>
      </c>
      <c r="U246" t="str">
        <f>IF(A246="YES",CONCATENATE(G246,"_",'Program Page'!$C$4,'Program Page'!$C$5,"_",D246,"_",E246),"")</f>
        <v/>
      </c>
      <c r="V246" t="str">
        <f t="shared" ref="V246:V250" si="215">IF(U246="","",CONCATENATE(U246,"_"))</f>
        <v/>
      </c>
      <c r="W246" t="str">
        <f>IF(A246="YES",CONCATENATE("{",'Code List'!$B$4,'Code List'!$D$4,",",'Code List'!$B$5,'Code List'!$D$5,",",'Code List'!$B$6,"""",U246,"""",",",'Code List'!$B$7,'Code List'!$D$7,",",'Code List'!$B$8,'Code List'!$D$8,",",'Code List'!$B$9,'Code List'!$D$9,",",'Code List'!$B$10,'Code List'!$D$10,",",'Code List'!$B$11,"""",V246,"""",",",'Code List'!$B$12,"""",H246,"""",",",'Code List'!$B$13,"""",I246,"""",",",'Code List'!$B$14,"""",J246,"""",",",'Code List'!$B$15,"""",K246,"""",",",'Code List'!$B$16,"""",L246,"""",",",'Code List'!$B$17,"""",M246,"""",",",'Code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46" s="167" t="str">
        <f>IF(A246="YES",CONCATENATE("{",'Code List'!$B$31,"""",U246,"""",",",'Code List'!$B$32,'Code List'!$D$32,",",'Code List'!$B$33,'Code List'!$D$33,",",'Code List'!$B$34,'Code List'!$D$34,",",'Code List'!$B$35,'Code List'!$D$35,",",'Code List'!$B$36,'Code List'!$D$36,",",'Code List'!$B$37,'Code List'!$D$37,",",'Code List'!$B$38,"""",H246,"""",",",'Code List'!$B$39,"""",I246,"""",",",'Code List'!$B$40,"""",J246,"""",",",'Code List'!$B$41,"""",K246,"""",",",'Code List'!$B$42,"""",L246,"""",",",'Code List'!$B$43,"""",M246,"""",",",'Code List'!$B$44,"""",N246,"""",",",'Code List'!$B$45,"""",O246,"""",",",'Code List'!$B$46,"""",P246,"""",",",'Code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List'!$B$59,"""",T246,"""","}"),"")</f>
        <v/>
      </c>
    </row>
    <row r="247" spans="1:25" x14ac:dyDescent="0.25">
      <c r="A247" t="str">
        <f>IF(AND($A244="YES",E244=$D$1,F247&gt;0),"YES","NO")</f>
        <v>NO</v>
      </c>
      <c r="C247" t="s">
        <v>5</v>
      </c>
      <c r="D247" s="12" t="str">
        <f t="shared" si="210"/>
        <v>5C</v>
      </c>
      <c r="E247" t="s">
        <v>189</v>
      </c>
      <c r="F247">
        <f>'Expanded Base Data'!G242</f>
        <v>0</v>
      </c>
      <c r="G247" s="171">
        <f>F244</f>
        <v>0</v>
      </c>
      <c r="H247">
        <f>ROUND(B244+'Slide Measurements'!$D$17,$O$1)</f>
        <v>201.51</v>
      </c>
      <c r="I247">
        <f>ROUND(H247+(F247*'Slide Measurements'!$D$21),$O$1)</f>
        <v>201.51</v>
      </c>
      <c r="J247">
        <f>K246</f>
        <v>169.07999999999998</v>
      </c>
      <c r="K247">
        <f>J247+($I$1*'Slide Measurements'!$E$23-'Slide Measurements'!$E$23)</f>
        <v>170.92999999999998</v>
      </c>
      <c r="L247" s="5" t="str">
        <f>'Expanded Base Data'!$L242</f>
        <v/>
      </c>
      <c r="M247" s="5" t="str">
        <f>'Expanded Base Data'!$K242</f>
        <v/>
      </c>
      <c r="N247">
        <f t="shared" si="211"/>
        <v>0</v>
      </c>
      <c r="O247">
        <f t="shared" si="212"/>
        <v>1.85</v>
      </c>
      <c r="P247" s="5" t="e">
        <f t="shared" si="213"/>
        <v>#VALUE!</v>
      </c>
      <c r="Q247">
        <f>'Code List'!$C$63</f>
        <v>3</v>
      </c>
      <c r="R247">
        <f>F248+'Code List'!$G$63</f>
        <v>2</v>
      </c>
      <c r="S247" t="e">
        <f t="shared" si="214"/>
        <v>#VALUE!</v>
      </c>
      <c r="T247" t="e">
        <f t="shared" ref="T247:T250" si="216">Q247*R247*S247</f>
        <v>#VALUE!</v>
      </c>
      <c r="U247" t="str">
        <f>IF(A247="YES",CONCATENATE(G247,"_",'Program Page'!$C$4,'Program Page'!$C$5,"_",D247,"_",E247),"")</f>
        <v/>
      </c>
      <c r="V247" t="str">
        <f t="shared" si="215"/>
        <v/>
      </c>
      <c r="W247" t="str">
        <f>IF(A247="YES",CONCATENATE("{",'Code List'!$B$4,'Code List'!$D$4,",",'Code List'!$B$5,'Code List'!$D$5,",",'Code List'!$B$6,"""",U247,"""",",",'Code List'!$B$7,'Code List'!$D$7,",",'Code List'!$B$8,'Code List'!$D$8,",",'Code List'!$B$9,'Code List'!$D$9,",",'Code List'!$B$10,'Code List'!$D$10,",",'Code List'!$B$11,"""",V247,"""",",",'Code List'!$B$12,"""",H247,"""",",",'Code List'!$B$13,"""",I247,"""",",",'Code List'!$B$14,"""",J247,"""",",",'Code List'!$B$15,"""",K247,"""",",",'Code List'!$B$16,"""",L247,"""",",",'Code List'!$B$17,"""",M247,"""",",",'Code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47" s="167" t="str">
        <f>IF(A247="YES",CONCATENATE("{",'Code List'!$B$31,"""",U247,"""",",",'Code List'!$B$32,'Code List'!$D$32,",",'Code List'!$B$33,'Code List'!$D$33,",",'Code List'!$B$34,'Code List'!$D$34,",",'Code List'!$B$35,'Code List'!$D$35,",",'Code List'!$B$36,'Code List'!$D$36,",",'Code List'!$B$37,'Code List'!$D$37,",",'Code List'!$B$38,"""",H247,"""",",",'Code List'!$B$39,"""",I247,"""",",",'Code List'!$B$40,"""",J247,"""",",",'Code List'!$B$41,"""",K247,"""",",",'Code List'!$B$42,"""",L247,"""",",",'Code List'!$B$43,"""",M247,"""",",",'Code List'!$B$44,"""",N247,"""",",",'Code List'!$B$45,"""",O247,"""",",",'Code List'!$B$46,"""",P247,"""",",",'Code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List'!$B$59,"""",T247,"""","}"),"")</f>
        <v/>
      </c>
    </row>
    <row r="248" spans="1:25" x14ac:dyDescent="0.25">
      <c r="A248" t="str">
        <f>IF(AND($A244="YES",E244=$D$1,F248&gt;0),"YES","NO")</f>
        <v>NO</v>
      </c>
      <c r="C248" t="s">
        <v>5</v>
      </c>
      <c r="D248" s="12" t="str">
        <f t="shared" si="210"/>
        <v>5C</v>
      </c>
      <c r="E248" t="s">
        <v>190</v>
      </c>
      <c r="F248">
        <f>'Expanded Base Data'!H242</f>
        <v>0</v>
      </c>
      <c r="G248" s="171">
        <f>F244</f>
        <v>0</v>
      </c>
      <c r="H248">
        <f>ROUND(B244+'Slide Measurements'!$D$17,$O$1)</f>
        <v>201.51</v>
      </c>
      <c r="I248">
        <f>ROUND(H248+(F248*'Slide Measurements'!$D$21),$O$1)</f>
        <v>201.51</v>
      </c>
      <c r="J248">
        <f>K247</f>
        <v>170.92999999999998</v>
      </c>
      <c r="K248">
        <f>J248+($I$1*'Slide Measurements'!$E$23-'Slide Measurements'!$E$23)</f>
        <v>172.77999999999997</v>
      </c>
      <c r="L248" s="5" t="str">
        <f>'Expanded Base Data'!$L242</f>
        <v/>
      </c>
      <c r="M248" s="5" t="str">
        <f>'Expanded Base Data'!$K242</f>
        <v/>
      </c>
      <c r="N248">
        <f t="shared" si="211"/>
        <v>0</v>
      </c>
      <c r="O248">
        <f t="shared" si="212"/>
        <v>1.85</v>
      </c>
      <c r="P248" s="5" t="e">
        <f t="shared" si="213"/>
        <v>#VALUE!</v>
      </c>
      <c r="Q248">
        <f>'Code List'!$C$63</f>
        <v>3</v>
      </c>
      <c r="R248">
        <f>F249+'Code List'!$G$63</f>
        <v>2</v>
      </c>
      <c r="S248" t="e">
        <f t="shared" si="214"/>
        <v>#VALUE!</v>
      </c>
      <c r="T248" t="e">
        <f t="shared" si="216"/>
        <v>#VALUE!</v>
      </c>
      <c r="U248" t="str">
        <f>IF(A248="YES",CONCATENATE(G248,"_",'Program Page'!$C$4,'Program Page'!$C$5,"_",D248,"_",E248),"")</f>
        <v/>
      </c>
      <c r="V248" t="str">
        <f t="shared" si="215"/>
        <v/>
      </c>
      <c r="W248" t="str">
        <f>IF(A248="YES",CONCATENATE("{",'Code List'!$B$4,'Code List'!$D$4,",",'Code List'!$B$5,'Code List'!$D$5,",",'Code List'!$B$6,"""",U248,"""",",",'Code List'!$B$7,'Code List'!$D$7,",",'Code List'!$B$8,'Code List'!$D$8,",",'Code List'!$B$9,'Code List'!$D$9,",",'Code List'!$B$10,'Code List'!$D$10,",",'Code List'!$B$11,"""",V248,"""",",",'Code List'!$B$12,"""",H248,"""",",",'Code List'!$B$13,"""",I248,"""",",",'Code List'!$B$14,"""",J248,"""",",",'Code List'!$B$15,"""",K248,"""",",",'Code List'!$B$16,"""",L248,"""",",",'Code List'!$B$17,"""",M248,"""",",",'Code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48" s="167" t="str">
        <f>IF(A248="YES",CONCATENATE("{",'Code List'!$B$31,"""",U248,"""",",",'Code List'!$B$32,'Code List'!$D$32,",",'Code List'!$B$33,'Code List'!$D$33,",",'Code List'!$B$34,'Code List'!$D$34,",",'Code List'!$B$35,'Code List'!$D$35,",",'Code List'!$B$36,'Code List'!$D$36,",",'Code List'!$B$37,'Code List'!$D$37,",",'Code List'!$B$38,"""",H248,"""",",",'Code List'!$B$39,"""",I248,"""",",",'Code List'!$B$40,"""",J248,"""",",",'Code List'!$B$41,"""",K248,"""",",",'Code List'!$B$42,"""",L248,"""",",",'Code List'!$B$43,"""",M248,"""",",",'Code List'!$B$44,"""",N248,"""",",",'Code List'!$B$45,"""",O248,"""",",",'Code List'!$B$46,"""",P248,"""",",",'Code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List'!$B$59,"""",T248,"""","}"),"")</f>
        <v/>
      </c>
    </row>
    <row r="249" spans="1:25" x14ac:dyDescent="0.25">
      <c r="A249" t="str">
        <f>IF(AND($A244="YES",E244=$D$1,F249&gt;0),"YES","NO")</f>
        <v>NO</v>
      </c>
      <c r="C249" t="s">
        <v>5</v>
      </c>
      <c r="D249" s="12" t="str">
        <f t="shared" si="210"/>
        <v>5C</v>
      </c>
      <c r="E249" t="s">
        <v>191</v>
      </c>
      <c r="F249">
        <f>'Expanded Base Data'!I242</f>
        <v>0</v>
      </c>
      <c r="G249" s="171">
        <f>F244</f>
        <v>0</v>
      </c>
      <c r="H249">
        <f>ROUND(B244+'Slide Measurements'!$D$17,$O$1)</f>
        <v>201.51</v>
      </c>
      <c r="I249">
        <f>ROUND(H249+(F249*'Slide Measurements'!$D$21),$O$1)</f>
        <v>201.51</v>
      </c>
      <c r="J249">
        <f>K248</f>
        <v>172.77999999999997</v>
      </c>
      <c r="K249">
        <f>J249+($I$1*'Slide Measurements'!$E$23-'Slide Measurements'!$E$23)</f>
        <v>174.62999999999997</v>
      </c>
      <c r="L249" s="5" t="str">
        <f>'Expanded Base Data'!$L242</f>
        <v/>
      </c>
      <c r="M249" s="5" t="str">
        <f>'Expanded Base Data'!$K242</f>
        <v/>
      </c>
      <c r="N249">
        <f t="shared" si="211"/>
        <v>0</v>
      </c>
      <c r="O249">
        <f t="shared" si="212"/>
        <v>1.85</v>
      </c>
      <c r="P249" s="5" t="e">
        <f t="shared" si="213"/>
        <v>#VALUE!</v>
      </c>
      <c r="Q249">
        <f>'Code List'!$C$63</f>
        <v>3</v>
      </c>
      <c r="R249">
        <f>F250+'Code List'!$G$63</f>
        <v>2</v>
      </c>
      <c r="S249" t="e">
        <f t="shared" si="214"/>
        <v>#VALUE!</v>
      </c>
      <c r="T249" t="e">
        <f t="shared" si="216"/>
        <v>#VALUE!</v>
      </c>
      <c r="U249" t="str">
        <f>IF(A249="YES",CONCATENATE(G249,"_",'Program Page'!$C$4,'Program Page'!$C$5,"_",D249,"_",E249),"")</f>
        <v/>
      </c>
      <c r="V249" t="str">
        <f t="shared" si="215"/>
        <v/>
      </c>
      <c r="W249" t="str">
        <f>IF(A249="YES",CONCATENATE("{",'Code List'!$B$4,'Code List'!$D$4,",",'Code List'!$B$5,'Code List'!$D$5,",",'Code List'!$B$6,"""",U249,"""",",",'Code List'!$B$7,'Code List'!$D$7,",",'Code List'!$B$8,'Code List'!$D$8,",",'Code List'!$B$9,'Code List'!$D$9,",",'Code List'!$B$10,'Code List'!$D$10,",",'Code List'!$B$11,"""",V249,"""",",",'Code List'!$B$12,"""",H249,"""",",",'Code List'!$B$13,"""",I249,"""",",",'Code List'!$B$14,"""",J249,"""",",",'Code List'!$B$15,"""",K249,"""",",",'Code List'!$B$16,"""",L249,"""",",",'Code List'!$B$17,"""",M249,"""",",",'Code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49" s="167" t="str">
        <f>IF(A249="YES",CONCATENATE("{",'Code List'!$B$31,"""",U249,"""",",",'Code List'!$B$32,'Code List'!$D$32,",",'Code List'!$B$33,'Code List'!$D$33,",",'Code List'!$B$34,'Code List'!$D$34,",",'Code List'!$B$35,'Code List'!$D$35,",",'Code List'!$B$36,'Code List'!$D$36,",",'Code List'!$B$37,'Code List'!$D$37,",",'Code List'!$B$38,"""",H249,"""",",",'Code List'!$B$39,"""",I249,"""",",",'Code List'!$B$40,"""",J249,"""",",",'Code List'!$B$41,"""",K249,"""",",",'Code List'!$B$42,"""",L249,"""",",",'Code List'!$B$43,"""",M249,"""",",",'Code List'!$B$44,"""",N249,"""",",",'Code List'!$B$45,"""",O249,"""",",",'Code List'!$B$46,"""",P249,"""",",",'Code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List'!$B$59,"""",T249,"""","}"),"")</f>
        <v/>
      </c>
    </row>
    <row r="250" spans="1:25" x14ac:dyDescent="0.25">
      <c r="A250" t="str">
        <f>IF(AND($A244="YES",E244=$D$1,F250&gt;0),"YES","NO")</f>
        <v>NO</v>
      </c>
      <c r="C250" t="s">
        <v>5</v>
      </c>
      <c r="D250" s="12" t="str">
        <f t="shared" si="210"/>
        <v>5C</v>
      </c>
      <c r="E250" t="s">
        <v>196</v>
      </c>
      <c r="F250">
        <f>'Expanded Base Data'!J242</f>
        <v>0</v>
      </c>
      <c r="G250" s="171">
        <f>F244</f>
        <v>0</v>
      </c>
      <c r="H250">
        <f>ROUND(B244+'Slide Measurements'!$D$17,$O$1)</f>
        <v>201.51</v>
      </c>
      <c r="I250">
        <f>ROUND(H250+(F250*'Slide Measurements'!$D$21),$O$1)</f>
        <v>201.51</v>
      </c>
      <c r="J250">
        <f>K249</f>
        <v>174.62999999999997</v>
      </c>
      <c r="K250">
        <f>J250+($I$1*'Slide Measurements'!$E$23-'Slide Measurements'!$E$23)</f>
        <v>176.47999999999996</v>
      </c>
      <c r="L250" s="5" t="str">
        <f>'Expanded Base Data'!$L242</f>
        <v/>
      </c>
      <c r="M250" s="5" t="str">
        <f>'Expanded Base Data'!$K242</f>
        <v/>
      </c>
      <c r="N250">
        <f t="shared" si="211"/>
        <v>0</v>
      </c>
      <c r="O250">
        <f t="shared" si="212"/>
        <v>1.85</v>
      </c>
      <c r="P250" s="5" t="e">
        <f t="shared" si="213"/>
        <v>#VALUE!</v>
      </c>
      <c r="Q250">
        <f>'Code List'!$C$63</f>
        <v>3</v>
      </c>
      <c r="R250">
        <f>F251+'Code List'!$G$63</f>
        <v>2</v>
      </c>
      <c r="S250" t="e">
        <f t="shared" si="214"/>
        <v>#VALUE!</v>
      </c>
      <c r="T250" t="e">
        <f t="shared" si="216"/>
        <v>#VALUE!</v>
      </c>
      <c r="U250" t="str">
        <f>IF(A250="YES",CONCATENATE(G250,"_",'Program Page'!$C$4,'Program Page'!$C$5,"_",D250,"_",E250),"")</f>
        <v/>
      </c>
      <c r="V250" t="str">
        <f t="shared" si="215"/>
        <v/>
      </c>
      <c r="W250" t="str">
        <f>IF(A250="YES",CONCATENATE("{",'Code List'!$B$4,'Code List'!$D$4,",",'Code List'!$B$5,'Code List'!$D$5,",",'Code List'!$B$6,"""",U250,"""",",",'Code List'!$B$7,'Code List'!$D$7,",",'Code List'!$B$8,'Code List'!$D$8,",",'Code List'!$B$9,'Code List'!$D$9,",",'Code List'!$B$10,'Code List'!$D$10,",",'Code List'!$B$11,"""",V250,"""",",",'Code List'!$B$12,"""",H250,"""",",",'Code List'!$B$13,"""",I250,"""",",",'Code List'!$B$14,"""",J250,"""",",",'Code List'!$B$15,"""",K250,"""",",",'Code List'!$B$16,"""",L250,"""",",",'Code List'!$B$17,"""",M250,"""",",",'Code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50" s="167" t="str">
        <f>IF(A250="YES",CONCATENATE("{",'Code List'!$B$31,"""",U250,"""",",",'Code List'!$B$32,'Code List'!$D$32,",",'Code List'!$B$33,'Code List'!$D$33,",",'Code List'!$B$34,'Code List'!$D$34,",",'Code List'!$B$35,'Code List'!$D$35,",",'Code List'!$B$36,'Code List'!$D$36,",",'Code List'!$B$37,'Code List'!$D$37,",",'Code List'!$B$38,"""",H250,"""",",",'Code List'!$B$39,"""",I250,"""",",",'Code List'!$B$40,"""",J250,"""",",",'Code List'!$B$41,"""",K250,"""",",",'Code List'!$B$42,"""",L250,"""",",",'Code List'!$B$43,"""",M250,"""",",",'Code List'!$B$44,"""",N250,"""",",",'Code List'!$B$45,"""",O250,"""",",",'Code List'!$B$46,"""",P250,"""",",",'Code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List'!$B$59,"""",T250,"""","}"),"")</f>
        <v/>
      </c>
    </row>
    <row r="251" spans="1:25" x14ac:dyDescent="0.25">
      <c r="A251" s="162" t="str">
        <f>IF(AND($A244="YES",E244=$E$1),"YES","NO")</f>
        <v>NO</v>
      </c>
      <c r="C251" t="s">
        <v>259</v>
      </c>
      <c r="D251" s="12" t="str">
        <f>D250</f>
        <v>5C</v>
      </c>
      <c r="E251" t="s">
        <v>259</v>
      </c>
      <c r="G251" s="171">
        <f>F244</f>
        <v>0</v>
      </c>
      <c r="H251">
        <f>ROUND(B244,$O$1)</f>
        <v>176.11</v>
      </c>
      <c r="I251">
        <f>ROUND(B244+'Slide Measurements'!$D$1,$O$1)</f>
        <v>252.56</v>
      </c>
      <c r="J251">
        <f>C244</f>
        <v>162.92999999999998</v>
      </c>
      <c r="K251">
        <f>C244+'Slide Measurements'!$D$2</f>
        <v>190.32999999999998</v>
      </c>
      <c r="L251" s="5" t="str">
        <f>'Expanded Base Data'!$L242</f>
        <v/>
      </c>
      <c r="M251" s="5" t="str">
        <f>'Expanded Base Data'!$K242</f>
        <v/>
      </c>
      <c r="N251">
        <f t="shared" si="211"/>
        <v>76.45</v>
      </c>
      <c r="O251">
        <f t="shared" si="212"/>
        <v>27.4</v>
      </c>
      <c r="P251" s="5" t="e">
        <f>ROUND((L251-M251),$O$1)</f>
        <v>#VALUE!</v>
      </c>
      <c r="Q251">
        <f>'Code List'!$C$70</f>
        <v>11</v>
      </c>
      <c r="R251">
        <f>'Code List'!$D$70</f>
        <v>19</v>
      </c>
      <c r="S251" t="e">
        <f>IF(P251=0,"1",ROUND((P251/$K$1)+$M$1,0))</f>
        <v>#VALUE!</v>
      </c>
      <c r="T251" t="e">
        <f>Q251*R251*S251</f>
        <v>#VALUE!</v>
      </c>
      <c r="U251" t="str">
        <f>IF(A251="YES",CONCATENATE(G251,"_",'Program Page'!$C$4,'Program Page'!$C$5,"_",D251,"_",E251),"")</f>
        <v/>
      </c>
      <c r="V251" t="str">
        <f>IF(U251="","",CONCATENATE(U251,"_"))</f>
        <v/>
      </c>
      <c r="W251" t="str">
        <f>IF(A251="YES",CONCATENATE("{",'Code List'!$B$4,'Code List'!$D$4,",",'Code List'!$B$5,'Code List'!$D$5,",",'Code List'!$B$6,"""",U251,"""",",",'Code List'!$B$7,'Code List'!$D$7,",",'Code List'!$B$8,'Code List'!$D$8,",",'Code List'!$B$9,'Code List'!$D$9,",",'Code List'!$B$10,'Code List'!$D$10,",",'Code List'!$B$11,"""",V251,"""",",",'Code List'!$B$12,"""",H251,"""",",",'Code List'!$B$13,"""",I251,"""",",",'Code List'!$B$14,"""",J251,"""",",",'Code List'!$B$15,"""",K251,"""",",",'Code List'!$B$16,"""",L251,"""",",",'Code List'!$B$17,"""",M251,"""",",",'Code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251" s="167" t="str">
        <f>IF(A251="YES",CONCATENATE("{",'Code List'!$B$31,"""",U251,"""",",",'Code List'!$B$32,'Code List'!$D$32,",",'Code List'!$B$33,'Code List'!$D$33,",",'Code List'!$B$34,'Code List'!$D$34,",",'Code List'!$B$35,'Code List'!$D$35,",",'Code List'!$B$36,'Code List'!$D$36,",",'Code List'!$B$37,'Code List'!$D$37,",",'Code List'!$B$38,"""",H251,"""",",",'Code List'!$B$39,"""",I251,"""",",",'Code List'!$B$40,"""",J251,"""",",",'Code List'!$B$41,"""",K251,"""",",",'Code List'!$B$42,"""",L251,"""",",",'Code List'!$B$43,"""",M251,"""",",",'Code List'!$B$44,"""",N251,"""",",",'Code List'!$B$45,"""",O251,"""",",",'Code List'!$B$46,"""",P251,"""",",",'Code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List'!$B$59,"""",T251,"""","}"),"")</f>
        <v/>
      </c>
    </row>
    <row r="252" spans="1:25" ht="18.75" x14ac:dyDescent="0.3">
      <c r="A252" s="35" t="str">
        <f>IF(OR(E252=$C$1,E252=$D$1,E252=$E$1),"YES","NO")</f>
        <v>NO</v>
      </c>
      <c r="B252" s="35">
        <f>'Expanded Base Data'!D250</f>
        <v>263.11</v>
      </c>
      <c r="C252" s="35">
        <f>'Expanded Base Data'!E250</f>
        <v>162.92999999999998</v>
      </c>
      <c r="D252" s="36" t="str">
        <f>'Expanded Base Data'!B250</f>
        <v>5D</v>
      </c>
      <c r="E252" s="35">
        <f>'Expanded Base Data'!C250</f>
        <v>0</v>
      </c>
      <c r="F252" s="35">
        <f>'Expanded Base Data'!M250</f>
        <v>0</v>
      </c>
      <c r="G252" s="170">
        <f>F252</f>
        <v>0</v>
      </c>
      <c r="Y252" s="167" t="str">
        <f>""</f>
        <v/>
      </c>
    </row>
    <row r="253" spans="1:25" x14ac:dyDescent="0.25">
      <c r="A253" t="str">
        <f>IF(AND($A252="YES",E252=$C$1),"YES","NO")</f>
        <v>NO</v>
      </c>
      <c r="C253" t="s">
        <v>6</v>
      </c>
      <c r="D253" s="12" t="str">
        <f>D252</f>
        <v>5D</v>
      </c>
      <c r="E253" t="s">
        <v>6</v>
      </c>
      <c r="F253" t="s">
        <v>198</v>
      </c>
      <c r="G253" s="171">
        <f>F252</f>
        <v>0</v>
      </c>
      <c r="H253">
        <f>IF('Expanded Base Data'!N250="",ROUND(B252+'Slide Measurements'!$D$11,$O$1),B252+'Expanded Base Data'!N250)</f>
        <v>296.11</v>
      </c>
      <c r="I253">
        <f>IF('Expanded Base Data'!O250="",ROUND(B252+'Slide Measurements'!$D$12,$O$1),B252+'Expanded Base Data'!O250)</f>
        <v>304.70999999999998</v>
      </c>
      <c r="J253">
        <f>IF('Expanded Base Data'!P250="",C252+'Slide Measurements'!$E$13,C252+'Expanded Base Data'!P250)</f>
        <v>171.62999999999997</v>
      </c>
      <c r="K253">
        <f>IF('Expanded Base Data'!Q250="",C252+'Slide Measurements'!$E$14,C252+'Expanded Base Data'!Q250)</f>
        <v>180.22999999999996</v>
      </c>
      <c r="L253" s="5" t="str">
        <f>'Expanded Base Data'!$L250</f>
        <v/>
      </c>
      <c r="M253" s="5" t="str">
        <f>'Expanded Base Data'!$K250</f>
        <v/>
      </c>
      <c r="N253">
        <f>ROUND((I253-H253),$O$1)</f>
        <v>8.6</v>
      </c>
      <c r="O253">
        <f>ROUND((K253-J253),$O$1)</f>
        <v>8.6</v>
      </c>
      <c r="P253" s="5" t="e">
        <f>ROUND((L253-M253),$O$1)</f>
        <v>#VALUE!</v>
      </c>
      <c r="Q253">
        <f>'Code List'!$C$62</f>
        <v>5</v>
      </c>
      <c r="R253">
        <f>F254+'Code List'!$G$63</f>
        <v>2</v>
      </c>
      <c r="S253" t="e">
        <f>IF(P253=0,"1",ROUND((P253/$K$1)+$M$1,0))</f>
        <v>#VALUE!</v>
      </c>
      <c r="T253" t="e">
        <f>Q253*R253*S253</f>
        <v>#VALUE!</v>
      </c>
      <c r="U253" t="str">
        <f>IF(A253="YES",CONCATENATE(G253,"_",'Program Page'!$C$4,'Program Page'!$C$5,"_",D253,"_",E253),"")</f>
        <v/>
      </c>
      <c r="V253" t="str">
        <f>IF(U253="","",CONCATENATE(U253,"_"))</f>
        <v/>
      </c>
      <c r="W253" t="str">
        <f>IF(A253="YES",CONCATENATE("{",'Code List'!$B$4,'Code List'!$D$4,",",'Code List'!$B$5,'Code List'!$D$5,",",'Code List'!$B$6,"""",U253,"""",",",'Code List'!$B$7,'Code List'!$D$7,",",'Code List'!$B$8,'Code List'!$D$8,",",'Code List'!$B$9,'Code List'!$D$9,",",'Code List'!$B$10,'Code List'!$D$10,",",'Code List'!$B$11,"""",V253,"""",",",'Code List'!$B$12,"""",H253,"""",",",'Code List'!$B$13,"""",I253,"""",",",'Code List'!$B$14,"""",J253,"""",",",'Code List'!$B$15,"""",K253,"""",",",'Code List'!$B$16,"""",L253,"""",",",'Code List'!$B$17,"""",M253,"""",",",'Code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53" s="167" t="str">
        <f>IF(A253="YES",CONCATENATE("{",'Code List'!$B$31,"""",U253,"""",",",'Code List'!$B$32,'Code List'!$D$32,",",'Code List'!$B$33,'Code List'!$D$33,",",'Code List'!$B$34,'Code List'!$D$34,",",'Code List'!$B$35,'Code List'!$D$35,",",'Code List'!$B$36,'Code List'!$D$36,",",'Code List'!$B$37,'Code List'!$D$37,",",'Code List'!$B$38,"""",H253,"""",",",'Code List'!$B$39,"""",I253,"""",",",'Code List'!$B$40,"""",J253,"""",",",'Code List'!$B$41,"""",K253,"""",",",'Code List'!$B$42,"""",L253,"""",",",'Code List'!$B$43,"""",M253,"""",",",'Code List'!$B$44,"""",N253,"""",",",'Code List'!$B$45,"""",O253,"""",",",'Code List'!$B$46,"""",P253,"""",",",'Code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List'!$B$59,"""",T253,"""","}"),"")</f>
        <v/>
      </c>
    </row>
    <row r="254" spans="1:25" x14ac:dyDescent="0.25">
      <c r="A254" t="str">
        <f>IF(AND($A252="YES",E252=$D$1,F254&gt;0),"YES","NO")</f>
        <v>NO</v>
      </c>
      <c r="C254" t="s">
        <v>5</v>
      </c>
      <c r="D254" s="12" t="str">
        <f t="shared" ref="D254:D258" si="217">D253</f>
        <v>5D</v>
      </c>
      <c r="E254" t="s">
        <v>188</v>
      </c>
      <c r="F254">
        <f>'Expanded Base Data'!F250</f>
        <v>0</v>
      </c>
      <c r="G254" s="171">
        <f>F252</f>
        <v>0</v>
      </c>
      <c r="H254">
        <f>ROUND(B252+'Slide Measurements'!$D$17,$O$1)</f>
        <v>288.51</v>
      </c>
      <c r="I254">
        <f>ROUND(H254+(F254*'Slide Measurements'!$D$21),$O$1)</f>
        <v>288.51</v>
      </c>
      <c r="J254">
        <f>C252+'Slide Measurements'!$E$17</f>
        <v>167.23</v>
      </c>
      <c r="K254">
        <f>J254+($I$1*'Slide Measurements'!$E$23-'Slide Measurements'!$E$23)</f>
        <v>169.07999999999998</v>
      </c>
      <c r="L254" s="5" t="str">
        <f>'Expanded Base Data'!$L250</f>
        <v/>
      </c>
      <c r="M254" s="5" t="str">
        <f>'Expanded Base Data'!$K250</f>
        <v/>
      </c>
      <c r="N254">
        <f t="shared" ref="N254:N259" si="218">ROUND((I254-H254),$O$1)</f>
        <v>0</v>
      </c>
      <c r="O254">
        <f t="shared" ref="O254:O259" si="219">ROUND((K254-J254),$O$1)</f>
        <v>1.85</v>
      </c>
      <c r="P254" s="5" t="e">
        <f t="shared" ref="P254:P258" si="220">ROUND((L254-M254),$O$1)</f>
        <v>#VALUE!</v>
      </c>
      <c r="Q254">
        <f>'Code List'!$C$63</f>
        <v>3</v>
      </c>
      <c r="R254">
        <f>F255+'Code List'!$G$63</f>
        <v>2</v>
      </c>
      <c r="S254" t="e">
        <f t="shared" ref="S254:S258" si="221">IF(P254=0,"1",ROUND((P254/$K$1)+$M$1,0))</f>
        <v>#VALUE!</v>
      </c>
      <c r="T254" t="e">
        <f>Q254*R254*S254</f>
        <v>#VALUE!</v>
      </c>
      <c r="U254" t="str">
        <f>IF(A254="YES",CONCATENATE(G254,"_",'Program Page'!$C$4,'Program Page'!$C$5,"_",D254,"_",E254),"")</f>
        <v/>
      </c>
      <c r="V254" t="str">
        <f t="shared" ref="V254:V258" si="222">IF(U254="","",CONCATENATE(U254,"_"))</f>
        <v/>
      </c>
      <c r="W254" t="str">
        <f>IF(A254="YES",CONCATENATE("{",'Code List'!$B$4,'Code List'!$D$4,",",'Code List'!$B$5,'Code List'!$D$5,",",'Code List'!$B$6,"""",U254,"""",",",'Code List'!$B$7,'Code List'!$D$7,",",'Code List'!$B$8,'Code List'!$D$8,",",'Code List'!$B$9,'Code List'!$D$9,",",'Code List'!$B$10,'Code List'!$D$10,",",'Code List'!$B$11,"""",V254,"""",",",'Code List'!$B$12,"""",H254,"""",",",'Code List'!$B$13,"""",I254,"""",",",'Code List'!$B$14,"""",J254,"""",",",'Code List'!$B$15,"""",K254,"""",",",'Code List'!$B$16,"""",L254,"""",",",'Code List'!$B$17,"""",M254,"""",",",'Code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54" s="167" t="str">
        <f>IF(A254="YES",CONCATENATE("{",'Code List'!$B$31,"""",U254,"""",",",'Code List'!$B$32,'Code List'!$D$32,",",'Code List'!$B$33,'Code List'!$D$33,",",'Code List'!$B$34,'Code List'!$D$34,",",'Code List'!$B$35,'Code List'!$D$35,",",'Code List'!$B$36,'Code List'!$D$36,",",'Code List'!$B$37,'Code List'!$D$37,",",'Code List'!$B$38,"""",H254,"""",",",'Code List'!$B$39,"""",I254,"""",",",'Code List'!$B$40,"""",J254,"""",",",'Code List'!$B$41,"""",K254,"""",",",'Code List'!$B$42,"""",L254,"""",",",'Code List'!$B$43,"""",M254,"""",",",'Code List'!$B$44,"""",N254,"""",",",'Code List'!$B$45,"""",O254,"""",",",'Code List'!$B$46,"""",P254,"""",",",'Code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List'!$B$59,"""",T254,"""","}"),"")</f>
        <v/>
      </c>
    </row>
    <row r="255" spans="1:25" x14ac:dyDescent="0.25">
      <c r="A255" t="str">
        <f>IF(AND($A252="YES",E252=$D$1,F255&gt;0),"YES","NO")</f>
        <v>NO</v>
      </c>
      <c r="C255" t="s">
        <v>5</v>
      </c>
      <c r="D255" s="12" t="str">
        <f t="shared" si="217"/>
        <v>5D</v>
      </c>
      <c r="E255" t="s">
        <v>189</v>
      </c>
      <c r="F255">
        <f>'Expanded Base Data'!G250</f>
        <v>0</v>
      </c>
      <c r="G255" s="171">
        <f>F252</f>
        <v>0</v>
      </c>
      <c r="H255">
        <f>ROUND(B252+'Slide Measurements'!$D$17,$O$1)</f>
        <v>288.51</v>
      </c>
      <c r="I255">
        <f>ROUND(H255+(F255*'Slide Measurements'!$D$21),$O$1)</f>
        <v>288.51</v>
      </c>
      <c r="J255">
        <f>K254</f>
        <v>169.07999999999998</v>
      </c>
      <c r="K255">
        <f>J255+($I$1*'Slide Measurements'!$E$23-'Slide Measurements'!$E$23)</f>
        <v>170.92999999999998</v>
      </c>
      <c r="L255" s="5" t="str">
        <f>'Expanded Base Data'!$L250</f>
        <v/>
      </c>
      <c r="M255" s="5" t="str">
        <f>'Expanded Base Data'!$K250</f>
        <v/>
      </c>
      <c r="N255">
        <f t="shared" si="218"/>
        <v>0</v>
      </c>
      <c r="O255">
        <f t="shared" si="219"/>
        <v>1.85</v>
      </c>
      <c r="P255" s="5" t="e">
        <f t="shared" si="220"/>
        <v>#VALUE!</v>
      </c>
      <c r="Q255">
        <f>'Code List'!$C$63</f>
        <v>3</v>
      </c>
      <c r="R255">
        <f>F256+'Code List'!$G$63</f>
        <v>2</v>
      </c>
      <c r="S255" t="e">
        <f t="shared" si="221"/>
        <v>#VALUE!</v>
      </c>
      <c r="T255" t="e">
        <f t="shared" ref="T255:T258" si="223">Q255*R255*S255</f>
        <v>#VALUE!</v>
      </c>
      <c r="U255" t="str">
        <f>IF(A255="YES",CONCATENATE(G255,"_",'Program Page'!$C$4,'Program Page'!$C$5,"_",D255,"_",E255),"")</f>
        <v/>
      </c>
      <c r="V255" t="str">
        <f t="shared" si="222"/>
        <v/>
      </c>
      <c r="W255" t="str">
        <f>IF(A255="YES",CONCATENATE("{",'Code List'!$B$4,'Code List'!$D$4,",",'Code List'!$B$5,'Code List'!$D$5,",",'Code List'!$B$6,"""",U255,"""",",",'Code List'!$B$7,'Code List'!$D$7,",",'Code List'!$B$8,'Code List'!$D$8,",",'Code List'!$B$9,'Code List'!$D$9,",",'Code List'!$B$10,'Code List'!$D$10,",",'Code List'!$B$11,"""",V255,"""",",",'Code List'!$B$12,"""",H255,"""",",",'Code List'!$B$13,"""",I255,"""",",",'Code List'!$B$14,"""",J255,"""",",",'Code List'!$B$15,"""",K255,"""",",",'Code List'!$B$16,"""",L255,"""",",",'Code List'!$B$17,"""",M255,"""",",",'Code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55" s="167" t="str">
        <f>IF(A255="YES",CONCATENATE("{",'Code List'!$B$31,"""",U255,"""",",",'Code List'!$B$32,'Code List'!$D$32,",",'Code List'!$B$33,'Code List'!$D$33,",",'Code List'!$B$34,'Code List'!$D$34,",",'Code List'!$B$35,'Code List'!$D$35,",",'Code List'!$B$36,'Code List'!$D$36,",",'Code List'!$B$37,'Code List'!$D$37,",",'Code List'!$B$38,"""",H255,"""",",",'Code List'!$B$39,"""",I255,"""",",",'Code List'!$B$40,"""",J255,"""",",",'Code List'!$B$41,"""",K255,"""",",",'Code List'!$B$42,"""",L255,"""",",",'Code List'!$B$43,"""",M255,"""",",",'Code List'!$B$44,"""",N255,"""",",",'Code List'!$B$45,"""",O255,"""",",",'Code List'!$B$46,"""",P255,"""",",",'Code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List'!$B$59,"""",T255,"""","}"),"")</f>
        <v/>
      </c>
    </row>
    <row r="256" spans="1:25" x14ac:dyDescent="0.25">
      <c r="A256" t="str">
        <f>IF(AND($A252="YES",E252=$D$1,F256&gt;0),"YES","NO")</f>
        <v>NO</v>
      </c>
      <c r="C256" t="s">
        <v>5</v>
      </c>
      <c r="D256" s="12" t="str">
        <f t="shared" si="217"/>
        <v>5D</v>
      </c>
      <c r="E256" t="s">
        <v>190</v>
      </c>
      <c r="F256">
        <f>'Expanded Base Data'!H250</f>
        <v>0</v>
      </c>
      <c r="G256" s="171">
        <f>F252</f>
        <v>0</v>
      </c>
      <c r="H256">
        <f>ROUND(B252+'Slide Measurements'!$D$17,$O$1)</f>
        <v>288.51</v>
      </c>
      <c r="I256">
        <f>ROUND(H256+(F256*'Slide Measurements'!$D$21),$O$1)</f>
        <v>288.51</v>
      </c>
      <c r="J256">
        <f>K255</f>
        <v>170.92999999999998</v>
      </c>
      <c r="K256">
        <f>J256+($I$1*'Slide Measurements'!$E$23-'Slide Measurements'!$E$23)</f>
        <v>172.77999999999997</v>
      </c>
      <c r="L256" s="5" t="str">
        <f>'Expanded Base Data'!$L250</f>
        <v/>
      </c>
      <c r="M256" s="5" t="str">
        <f>'Expanded Base Data'!$K250</f>
        <v/>
      </c>
      <c r="N256">
        <f t="shared" si="218"/>
        <v>0</v>
      </c>
      <c r="O256">
        <f t="shared" si="219"/>
        <v>1.85</v>
      </c>
      <c r="P256" s="5" t="e">
        <f t="shared" si="220"/>
        <v>#VALUE!</v>
      </c>
      <c r="Q256">
        <f>'Code List'!$C$63</f>
        <v>3</v>
      </c>
      <c r="R256">
        <f>F257+'Code List'!$G$63</f>
        <v>2</v>
      </c>
      <c r="S256" t="e">
        <f t="shared" si="221"/>
        <v>#VALUE!</v>
      </c>
      <c r="T256" t="e">
        <f t="shared" si="223"/>
        <v>#VALUE!</v>
      </c>
      <c r="U256" t="str">
        <f>IF(A256="YES",CONCATENATE(G256,"_",'Program Page'!$C$4,'Program Page'!$C$5,"_",D256,"_",E256),"")</f>
        <v/>
      </c>
      <c r="V256" t="str">
        <f t="shared" si="222"/>
        <v/>
      </c>
      <c r="W256" t="str">
        <f>IF(A256="YES",CONCATENATE("{",'Code List'!$B$4,'Code List'!$D$4,",",'Code List'!$B$5,'Code List'!$D$5,",",'Code List'!$B$6,"""",U256,"""",",",'Code List'!$B$7,'Code List'!$D$7,",",'Code List'!$B$8,'Code List'!$D$8,",",'Code List'!$B$9,'Code List'!$D$9,",",'Code List'!$B$10,'Code List'!$D$10,",",'Code List'!$B$11,"""",V256,"""",",",'Code List'!$B$12,"""",H256,"""",",",'Code List'!$B$13,"""",I256,"""",",",'Code List'!$B$14,"""",J256,"""",",",'Code List'!$B$15,"""",K256,"""",",",'Code List'!$B$16,"""",L256,"""",",",'Code List'!$B$17,"""",M256,"""",",",'Code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56" s="167" t="str">
        <f>IF(A256="YES",CONCATENATE("{",'Code List'!$B$31,"""",U256,"""",",",'Code List'!$B$32,'Code List'!$D$32,",",'Code List'!$B$33,'Code List'!$D$33,",",'Code List'!$B$34,'Code List'!$D$34,",",'Code List'!$B$35,'Code List'!$D$35,",",'Code List'!$B$36,'Code List'!$D$36,",",'Code List'!$B$37,'Code List'!$D$37,",",'Code List'!$B$38,"""",H256,"""",",",'Code List'!$B$39,"""",I256,"""",",",'Code List'!$B$40,"""",J256,"""",",",'Code List'!$B$41,"""",K256,"""",",",'Code List'!$B$42,"""",L256,"""",",",'Code List'!$B$43,"""",M256,"""",",",'Code List'!$B$44,"""",N256,"""",",",'Code List'!$B$45,"""",O256,"""",",",'Code List'!$B$46,"""",P256,"""",",",'Code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List'!$B$59,"""",T256,"""","}"),"")</f>
        <v/>
      </c>
    </row>
    <row r="257" spans="1:25" x14ac:dyDescent="0.25">
      <c r="A257" t="str">
        <f>IF(AND($A252="YES",E252=$D$1,F257&gt;0),"YES","NO")</f>
        <v>NO</v>
      </c>
      <c r="C257" t="s">
        <v>5</v>
      </c>
      <c r="D257" s="12" t="str">
        <f t="shared" si="217"/>
        <v>5D</v>
      </c>
      <c r="E257" t="s">
        <v>191</v>
      </c>
      <c r="F257">
        <f>'Expanded Base Data'!I250</f>
        <v>0</v>
      </c>
      <c r="G257" s="171">
        <f>F252</f>
        <v>0</v>
      </c>
      <c r="H257">
        <f>ROUND(B252+'Slide Measurements'!$D$17,$O$1)</f>
        <v>288.51</v>
      </c>
      <c r="I257">
        <f>ROUND(H257+(F257*'Slide Measurements'!$D$21),$O$1)</f>
        <v>288.51</v>
      </c>
      <c r="J257">
        <f>K256</f>
        <v>172.77999999999997</v>
      </c>
      <c r="K257">
        <f>J257+($I$1*'Slide Measurements'!$E$23-'Slide Measurements'!$E$23)</f>
        <v>174.62999999999997</v>
      </c>
      <c r="L257" s="5" t="str">
        <f>'Expanded Base Data'!$L250</f>
        <v/>
      </c>
      <c r="M257" s="5" t="str">
        <f>'Expanded Base Data'!$K250</f>
        <v/>
      </c>
      <c r="N257">
        <f t="shared" si="218"/>
        <v>0</v>
      </c>
      <c r="O257">
        <f t="shared" si="219"/>
        <v>1.85</v>
      </c>
      <c r="P257" s="5" t="e">
        <f t="shared" si="220"/>
        <v>#VALUE!</v>
      </c>
      <c r="Q257">
        <f>'Code List'!$C$63</f>
        <v>3</v>
      </c>
      <c r="R257">
        <f>F258+'Code List'!$G$63</f>
        <v>2</v>
      </c>
      <c r="S257" t="e">
        <f t="shared" si="221"/>
        <v>#VALUE!</v>
      </c>
      <c r="T257" t="e">
        <f t="shared" si="223"/>
        <v>#VALUE!</v>
      </c>
      <c r="U257" t="str">
        <f>IF(A257="YES",CONCATENATE(G257,"_",'Program Page'!$C$4,'Program Page'!$C$5,"_",D257,"_",E257),"")</f>
        <v/>
      </c>
      <c r="V257" t="str">
        <f t="shared" si="222"/>
        <v/>
      </c>
      <c r="W257" t="str">
        <f>IF(A257="YES",CONCATENATE("{",'Code List'!$B$4,'Code List'!$D$4,",",'Code List'!$B$5,'Code List'!$D$5,",",'Code List'!$B$6,"""",U257,"""",",",'Code List'!$B$7,'Code List'!$D$7,",",'Code List'!$B$8,'Code List'!$D$8,",",'Code List'!$B$9,'Code List'!$D$9,",",'Code List'!$B$10,'Code List'!$D$10,",",'Code List'!$B$11,"""",V257,"""",",",'Code List'!$B$12,"""",H257,"""",",",'Code List'!$B$13,"""",I257,"""",",",'Code List'!$B$14,"""",J257,"""",",",'Code List'!$B$15,"""",K257,"""",",",'Code List'!$B$16,"""",L257,"""",",",'Code List'!$B$17,"""",M257,"""",",",'Code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57" s="167" t="str">
        <f>IF(A257="YES",CONCATENATE("{",'Code List'!$B$31,"""",U257,"""",",",'Code List'!$B$32,'Code List'!$D$32,",",'Code List'!$B$33,'Code List'!$D$33,",",'Code List'!$B$34,'Code List'!$D$34,",",'Code List'!$B$35,'Code List'!$D$35,",",'Code List'!$B$36,'Code List'!$D$36,",",'Code List'!$B$37,'Code List'!$D$37,",",'Code List'!$B$38,"""",H257,"""",",",'Code List'!$B$39,"""",I257,"""",",",'Code List'!$B$40,"""",J257,"""",",",'Code List'!$B$41,"""",K257,"""",",",'Code List'!$B$42,"""",L257,"""",",",'Code List'!$B$43,"""",M257,"""",",",'Code List'!$B$44,"""",N257,"""",",",'Code List'!$B$45,"""",O257,"""",",",'Code List'!$B$46,"""",P257,"""",",",'Code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List'!$B$59,"""",T257,"""","}"),"")</f>
        <v/>
      </c>
    </row>
    <row r="258" spans="1:25" x14ac:dyDescent="0.25">
      <c r="A258" t="str">
        <f>IF(AND($A252="YES",E252=$D$1,F258&gt;0),"YES","NO")</f>
        <v>NO</v>
      </c>
      <c r="C258" t="s">
        <v>5</v>
      </c>
      <c r="D258" s="12" t="str">
        <f t="shared" si="217"/>
        <v>5D</v>
      </c>
      <c r="E258" t="s">
        <v>196</v>
      </c>
      <c r="F258">
        <f>'Expanded Base Data'!J250</f>
        <v>0</v>
      </c>
      <c r="G258" s="171">
        <f>F252</f>
        <v>0</v>
      </c>
      <c r="H258">
        <f>ROUND(B252+'Slide Measurements'!$D$17,$O$1)</f>
        <v>288.51</v>
      </c>
      <c r="I258">
        <f>ROUND(H258+(F258*'Slide Measurements'!$D$21),$O$1)</f>
        <v>288.51</v>
      </c>
      <c r="J258">
        <f>K257</f>
        <v>174.62999999999997</v>
      </c>
      <c r="K258">
        <f>J258+($I$1*'Slide Measurements'!$E$23-'Slide Measurements'!$E$23)</f>
        <v>176.47999999999996</v>
      </c>
      <c r="L258" s="5" t="str">
        <f>'Expanded Base Data'!$L250</f>
        <v/>
      </c>
      <c r="M258" s="5" t="str">
        <f>'Expanded Base Data'!$K250</f>
        <v/>
      </c>
      <c r="N258">
        <f t="shared" si="218"/>
        <v>0</v>
      </c>
      <c r="O258">
        <f t="shared" si="219"/>
        <v>1.85</v>
      </c>
      <c r="P258" s="5" t="e">
        <f t="shared" si="220"/>
        <v>#VALUE!</v>
      </c>
      <c r="Q258">
        <f>'Code List'!$C$63</f>
        <v>3</v>
      </c>
      <c r="R258">
        <f>F259+'Code List'!$G$63</f>
        <v>2</v>
      </c>
      <c r="S258" t="e">
        <f t="shared" si="221"/>
        <v>#VALUE!</v>
      </c>
      <c r="T258" t="e">
        <f t="shared" si="223"/>
        <v>#VALUE!</v>
      </c>
      <c r="U258" t="str">
        <f>IF(A258="YES",CONCATENATE(G258,"_",'Program Page'!$C$4,'Program Page'!$C$5,"_",D258,"_",E258),"")</f>
        <v/>
      </c>
      <c r="V258" t="str">
        <f t="shared" si="222"/>
        <v/>
      </c>
      <c r="W258" t="str">
        <f>IF(A258="YES",CONCATENATE("{",'Code List'!$B$4,'Code List'!$D$4,",",'Code List'!$B$5,'Code List'!$D$5,",",'Code List'!$B$6,"""",U258,"""",",",'Code List'!$B$7,'Code List'!$D$7,",",'Code List'!$B$8,'Code List'!$D$8,",",'Code List'!$B$9,'Code List'!$D$9,",",'Code List'!$B$10,'Code List'!$D$10,",",'Code List'!$B$11,"""",V258,"""",",",'Code List'!$B$12,"""",H258,"""",",",'Code List'!$B$13,"""",I258,"""",",",'Code List'!$B$14,"""",J258,"""",",",'Code List'!$B$15,"""",K258,"""",",",'Code List'!$B$16,"""",L258,"""",",",'Code List'!$B$17,"""",M258,"""",",",'Code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58" s="167" t="str">
        <f>IF(A258="YES",CONCATENATE("{",'Code List'!$B$31,"""",U258,"""",",",'Code List'!$B$32,'Code List'!$D$32,",",'Code List'!$B$33,'Code List'!$D$33,",",'Code List'!$B$34,'Code List'!$D$34,",",'Code List'!$B$35,'Code List'!$D$35,",",'Code List'!$B$36,'Code List'!$D$36,",",'Code List'!$B$37,'Code List'!$D$37,",",'Code List'!$B$38,"""",H258,"""",",",'Code List'!$B$39,"""",I258,"""",",",'Code List'!$B$40,"""",J258,"""",",",'Code List'!$B$41,"""",K258,"""",",",'Code List'!$B$42,"""",L258,"""",",",'Code List'!$B$43,"""",M258,"""",",",'Code List'!$B$44,"""",N258,"""",",",'Code List'!$B$45,"""",O258,"""",",",'Code List'!$B$46,"""",P258,"""",",",'Code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List'!$B$59,"""",T258,"""","}"),"")</f>
        <v/>
      </c>
    </row>
    <row r="259" spans="1:25" x14ac:dyDescent="0.25">
      <c r="A259" s="162" t="str">
        <f>IF(AND($A252="YES",E252=$E$1),"YES","NO")</f>
        <v>NO</v>
      </c>
      <c r="C259" t="s">
        <v>259</v>
      </c>
      <c r="D259" s="12" t="str">
        <f>D258</f>
        <v>5D</v>
      </c>
      <c r="E259" t="s">
        <v>259</v>
      </c>
      <c r="G259" s="171">
        <f>F252</f>
        <v>0</v>
      </c>
      <c r="H259">
        <f>ROUND(B252,$O$1)</f>
        <v>263.11</v>
      </c>
      <c r="I259">
        <f>ROUND(B252+'Slide Measurements'!$D$1,$O$1)</f>
        <v>339.56</v>
      </c>
      <c r="J259">
        <f>C252</f>
        <v>162.92999999999998</v>
      </c>
      <c r="K259">
        <f>C252+'Slide Measurements'!$D$2</f>
        <v>190.32999999999998</v>
      </c>
      <c r="L259" s="5" t="str">
        <f>'Expanded Base Data'!$L250</f>
        <v/>
      </c>
      <c r="M259" s="5" t="str">
        <f>'Expanded Base Data'!$K250</f>
        <v/>
      </c>
      <c r="N259">
        <f t="shared" si="218"/>
        <v>76.45</v>
      </c>
      <c r="O259">
        <f t="shared" si="219"/>
        <v>27.4</v>
      </c>
      <c r="P259" s="5" t="e">
        <f>ROUND((L259-M259),$O$1)</f>
        <v>#VALUE!</v>
      </c>
      <c r="Q259">
        <f>'Code List'!$C$70</f>
        <v>11</v>
      </c>
      <c r="R259">
        <f>'Code List'!$D$70</f>
        <v>19</v>
      </c>
      <c r="S259" t="e">
        <f>IF(P259=0,"1",ROUND((P259/$K$1)+$M$1,0))</f>
        <v>#VALUE!</v>
      </c>
      <c r="T259" t="e">
        <f>Q259*R259*S259</f>
        <v>#VALUE!</v>
      </c>
      <c r="U259" t="str">
        <f>IF(A259="YES",CONCATENATE(G259,"_",'Program Page'!$C$4,'Program Page'!$C$5,"_",D259,"_",E259),"")</f>
        <v/>
      </c>
      <c r="V259" t="str">
        <f>IF(U259="","",CONCATENATE(U259,"_"))</f>
        <v/>
      </c>
      <c r="W259" t="str">
        <f>IF(A259="YES",CONCATENATE("{",'Code List'!$B$4,'Code List'!$D$4,",",'Code List'!$B$5,'Code List'!$D$5,",",'Code List'!$B$6,"""",U259,"""",",",'Code List'!$B$7,'Code List'!$D$7,",",'Code List'!$B$8,'Code List'!$D$8,",",'Code List'!$B$9,'Code List'!$D$9,",",'Code List'!$B$10,'Code List'!$D$10,",",'Code List'!$B$11,"""",V259,"""",",",'Code List'!$B$12,"""",H259,"""",",",'Code List'!$B$13,"""",I259,"""",",",'Code List'!$B$14,"""",J259,"""",",",'Code List'!$B$15,"""",K259,"""",",",'Code List'!$B$16,"""",L259,"""",",",'Code List'!$B$17,"""",M259,"""",",",'Code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259" s="167" t="str">
        <f>IF(A259="YES",CONCATENATE("{",'Code List'!$B$31,"""",U259,"""",",",'Code List'!$B$32,'Code List'!$D$32,",",'Code List'!$B$33,'Code List'!$D$33,",",'Code List'!$B$34,'Code List'!$D$34,",",'Code List'!$B$35,'Code List'!$D$35,",",'Code List'!$B$36,'Code List'!$D$36,",",'Code List'!$B$37,'Code List'!$D$37,",",'Code List'!$B$38,"""",H259,"""",",",'Code List'!$B$39,"""",I259,"""",",",'Code List'!$B$40,"""",J259,"""",",",'Code List'!$B$41,"""",K259,"""",",",'Code List'!$B$42,"""",L259,"""",",",'Code List'!$B$43,"""",M259,"""",",",'Code List'!$B$44,"""",N259,"""",",",'Code List'!$B$45,"""",O259,"""",",",'Code List'!$B$46,"""",P259,"""",",",'Code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List'!$B$59,"""",T259,"""","}"),"")</f>
        <v/>
      </c>
    </row>
    <row r="260" spans="1:25" ht="18.75" x14ac:dyDescent="0.3">
      <c r="A260" s="35" t="str">
        <f>IF(OR(E260=$C$1,E260=$D$1,E260=$E$1),"YES","NO")</f>
        <v>NO</v>
      </c>
      <c r="B260" s="35">
        <f>'Expanded Base Data'!D258</f>
        <v>349.51</v>
      </c>
      <c r="C260" s="35">
        <f>'Expanded Base Data'!E258</f>
        <v>162.92999999999998</v>
      </c>
      <c r="D260" s="36" t="str">
        <f>'Expanded Base Data'!B258</f>
        <v>5E</v>
      </c>
      <c r="E260" s="35">
        <f>'Expanded Base Data'!C258</f>
        <v>0</v>
      </c>
      <c r="F260" s="35">
        <f>'Expanded Base Data'!M258</f>
        <v>0</v>
      </c>
      <c r="G260" s="170">
        <f>F260</f>
        <v>0</v>
      </c>
      <c r="Y260" s="167" t="str">
        <f>""</f>
        <v/>
      </c>
    </row>
    <row r="261" spans="1:25" x14ac:dyDescent="0.25">
      <c r="A261" t="str">
        <f>IF(AND($A260="YES",E260=$C$1),"YES","NO")</f>
        <v>NO</v>
      </c>
      <c r="C261" t="s">
        <v>6</v>
      </c>
      <c r="D261" s="12" t="str">
        <f>D260</f>
        <v>5E</v>
      </c>
      <c r="E261" t="s">
        <v>6</v>
      </c>
      <c r="F261" t="s">
        <v>198</v>
      </c>
      <c r="G261" s="171">
        <f>F260</f>
        <v>0</v>
      </c>
      <c r="H261">
        <f>IF('Expanded Base Data'!N258="",ROUND(B260+'Slide Measurements'!$D$11,$O$1),B260+'Expanded Base Data'!N258)</f>
        <v>382.51</v>
      </c>
      <c r="I261">
        <f>IF('Expanded Base Data'!O258="",ROUND(B260+'Slide Measurements'!$D$12,$O$1),B260+'Expanded Base Data'!O258)</f>
        <v>391.11</v>
      </c>
      <c r="J261">
        <f>IF('Expanded Base Data'!P258="",C260+'Slide Measurements'!$E$13,C260+'Expanded Base Data'!P258)</f>
        <v>171.62999999999997</v>
      </c>
      <c r="K261">
        <f>IF('Expanded Base Data'!Q258="",C260+'Slide Measurements'!$E$14,C260+'Expanded Base Data'!Q258)</f>
        <v>180.22999999999996</v>
      </c>
      <c r="L261" s="5" t="str">
        <f>'Expanded Base Data'!$L258</f>
        <v/>
      </c>
      <c r="M261" s="5" t="str">
        <f>'Expanded Base Data'!$K258</f>
        <v/>
      </c>
      <c r="N261">
        <f>ROUND((I261-H261),$O$1)</f>
        <v>8.6</v>
      </c>
      <c r="O261">
        <f>ROUND((K261-J261),$O$1)</f>
        <v>8.6</v>
      </c>
      <c r="P261" s="5" t="e">
        <f>ROUND((L261-M261),$O$1)</f>
        <v>#VALUE!</v>
      </c>
      <c r="Q261">
        <f>'Code List'!$C$62</f>
        <v>5</v>
      </c>
      <c r="R261">
        <f>F262+'Code List'!$G$63</f>
        <v>2</v>
      </c>
      <c r="S261" t="e">
        <f>IF(P261=0,"1",ROUND((P261/$K$1)+$M$1,0))</f>
        <v>#VALUE!</v>
      </c>
      <c r="T261" t="e">
        <f>Q261*R261*S261</f>
        <v>#VALUE!</v>
      </c>
      <c r="U261" t="str">
        <f>IF(A261="YES",CONCATENATE(G261,"_",'Program Page'!$C$4,'Program Page'!$C$5,"_",D261,"_",E261),"")</f>
        <v/>
      </c>
      <c r="V261" t="str">
        <f>IF(U261="","",CONCATENATE(U261,"_"))</f>
        <v/>
      </c>
      <c r="W261" t="str">
        <f>IF(A261="YES",CONCATENATE("{",'Code List'!$B$4,'Code List'!$D$4,",",'Code List'!$B$5,'Code List'!$D$5,",",'Code List'!$B$6,"""",U261,"""",",",'Code List'!$B$7,'Code List'!$D$7,",",'Code List'!$B$8,'Code List'!$D$8,",",'Code List'!$B$9,'Code List'!$D$9,",",'Code List'!$B$10,'Code List'!$D$10,",",'Code List'!$B$11,"""",V261,"""",",",'Code List'!$B$12,"""",H261,"""",",",'Code List'!$B$13,"""",I261,"""",",",'Code List'!$B$14,"""",J261,"""",",",'Code List'!$B$15,"""",K261,"""",",",'Code List'!$B$16,"""",L261,"""",",",'Code List'!$B$17,"""",M261,"""",",",'Code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61" s="167" t="str">
        <f>IF(A261="YES",CONCATENATE("{",'Code List'!$B$31,"""",U261,"""",",",'Code List'!$B$32,'Code List'!$D$32,",",'Code List'!$B$33,'Code List'!$D$33,",",'Code List'!$B$34,'Code List'!$D$34,",",'Code List'!$B$35,'Code List'!$D$35,",",'Code List'!$B$36,'Code List'!$D$36,",",'Code List'!$B$37,'Code List'!$D$37,",",'Code List'!$B$38,"""",H261,"""",",",'Code List'!$B$39,"""",I261,"""",",",'Code List'!$B$40,"""",J261,"""",",",'Code List'!$B$41,"""",K261,"""",",",'Code List'!$B$42,"""",L261,"""",",",'Code List'!$B$43,"""",M261,"""",",",'Code List'!$B$44,"""",N261,"""",",",'Code List'!$B$45,"""",O261,"""",",",'Code List'!$B$46,"""",P261,"""",",",'Code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List'!$B$59,"""",T261,"""","}"),"")</f>
        <v/>
      </c>
    </row>
    <row r="262" spans="1:25" x14ac:dyDescent="0.25">
      <c r="A262" t="str">
        <f>IF(AND($A260="YES",E260=$D$1,F262&gt;0),"YES","NO")</f>
        <v>NO</v>
      </c>
      <c r="C262" t="s">
        <v>5</v>
      </c>
      <c r="D262" s="12" t="str">
        <f t="shared" ref="D262:D266" si="224">D261</f>
        <v>5E</v>
      </c>
      <c r="E262" t="s">
        <v>188</v>
      </c>
      <c r="F262">
        <f>'Expanded Base Data'!F258</f>
        <v>0</v>
      </c>
      <c r="G262" s="171">
        <f>F260</f>
        <v>0</v>
      </c>
      <c r="H262">
        <f>ROUND(B260+'Slide Measurements'!$D$17,$O$1)</f>
        <v>374.91</v>
      </c>
      <c r="I262">
        <f>ROUND(H262+(F262*'Slide Measurements'!$D$21),$O$1)</f>
        <v>374.91</v>
      </c>
      <c r="J262">
        <f>C260+'Slide Measurements'!$E$17</f>
        <v>167.23</v>
      </c>
      <c r="K262">
        <f>J262+($I$1*'Slide Measurements'!$E$23-'Slide Measurements'!$E$23)</f>
        <v>169.07999999999998</v>
      </c>
      <c r="L262" s="5" t="str">
        <f>'Expanded Base Data'!$L258</f>
        <v/>
      </c>
      <c r="M262" s="5" t="str">
        <f>'Expanded Base Data'!$K258</f>
        <v/>
      </c>
      <c r="N262">
        <f t="shared" ref="N262:N267" si="225">ROUND((I262-H262),$O$1)</f>
        <v>0</v>
      </c>
      <c r="O262">
        <f t="shared" ref="O262:O267" si="226">ROUND((K262-J262),$O$1)</f>
        <v>1.85</v>
      </c>
      <c r="P262" s="5" t="e">
        <f t="shared" ref="P262:P266" si="227">ROUND((L262-M262),$O$1)</f>
        <v>#VALUE!</v>
      </c>
      <c r="Q262">
        <f>'Code List'!$C$63</f>
        <v>3</v>
      </c>
      <c r="R262">
        <f>F263+'Code List'!$G$63</f>
        <v>2</v>
      </c>
      <c r="S262" t="e">
        <f t="shared" ref="S262:S266" si="228">IF(P262=0,"1",ROUND((P262/$K$1)+$M$1,0))</f>
        <v>#VALUE!</v>
      </c>
      <c r="T262" t="e">
        <f>Q262*R262*S262</f>
        <v>#VALUE!</v>
      </c>
      <c r="U262" t="str">
        <f>IF(A262="YES",CONCATENATE(G262,"_",'Program Page'!$C$4,'Program Page'!$C$5,"_",D262,"_",E262),"")</f>
        <v/>
      </c>
      <c r="V262" t="str">
        <f t="shared" ref="V262:V266" si="229">IF(U262="","",CONCATENATE(U262,"_"))</f>
        <v/>
      </c>
      <c r="W262" t="str">
        <f>IF(A262="YES",CONCATENATE("{",'Code List'!$B$4,'Code List'!$D$4,",",'Code List'!$B$5,'Code List'!$D$5,",",'Code List'!$B$6,"""",U262,"""",",",'Code List'!$B$7,'Code List'!$D$7,",",'Code List'!$B$8,'Code List'!$D$8,",",'Code List'!$B$9,'Code List'!$D$9,",",'Code List'!$B$10,'Code List'!$D$10,",",'Code List'!$B$11,"""",V262,"""",",",'Code List'!$B$12,"""",H262,"""",",",'Code List'!$B$13,"""",I262,"""",",",'Code List'!$B$14,"""",J262,"""",",",'Code List'!$B$15,"""",K262,"""",",",'Code List'!$B$16,"""",L262,"""",",",'Code List'!$B$17,"""",M262,"""",",",'Code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62" s="167" t="str">
        <f>IF(A262="YES",CONCATENATE("{",'Code List'!$B$31,"""",U262,"""",",",'Code List'!$B$32,'Code List'!$D$32,",",'Code List'!$B$33,'Code List'!$D$33,",",'Code List'!$B$34,'Code List'!$D$34,",",'Code List'!$B$35,'Code List'!$D$35,",",'Code List'!$B$36,'Code List'!$D$36,",",'Code List'!$B$37,'Code List'!$D$37,",",'Code List'!$B$38,"""",H262,"""",",",'Code List'!$B$39,"""",I262,"""",",",'Code List'!$B$40,"""",J262,"""",",",'Code List'!$B$41,"""",K262,"""",",",'Code List'!$B$42,"""",L262,"""",",",'Code List'!$B$43,"""",M262,"""",",",'Code List'!$B$44,"""",N262,"""",",",'Code List'!$B$45,"""",O262,"""",",",'Code List'!$B$46,"""",P262,"""",",",'Code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List'!$B$59,"""",T262,"""","}"),"")</f>
        <v/>
      </c>
    </row>
    <row r="263" spans="1:25" x14ac:dyDescent="0.25">
      <c r="A263" t="str">
        <f>IF(AND($A260="YES",E260=$D$1,F263&gt;0),"YES","NO")</f>
        <v>NO</v>
      </c>
      <c r="C263" t="s">
        <v>5</v>
      </c>
      <c r="D263" s="12" t="str">
        <f t="shared" si="224"/>
        <v>5E</v>
      </c>
      <c r="E263" t="s">
        <v>189</v>
      </c>
      <c r="F263">
        <f>'Expanded Base Data'!G258</f>
        <v>0</v>
      </c>
      <c r="G263" s="171">
        <f>F260</f>
        <v>0</v>
      </c>
      <c r="H263">
        <f>ROUND(B260+'Slide Measurements'!$D$17,$O$1)</f>
        <v>374.91</v>
      </c>
      <c r="I263">
        <f>ROUND(H263+(F263*'Slide Measurements'!$D$21),$O$1)</f>
        <v>374.91</v>
      </c>
      <c r="J263">
        <f>K262</f>
        <v>169.07999999999998</v>
      </c>
      <c r="K263">
        <f>J263+($I$1*'Slide Measurements'!$E$23-'Slide Measurements'!$E$23)</f>
        <v>170.92999999999998</v>
      </c>
      <c r="L263" s="5" t="str">
        <f>'Expanded Base Data'!$L258</f>
        <v/>
      </c>
      <c r="M263" s="5" t="str">
        <f>'Expanded Base Data'!$K258</f>
        <v/>
      </c>
      <c r="N263">
        <f t="shared" si="225"/>
        <v>0</v>
      </c>
      <c r="O263">
        <f t="shared" si="226"/>
        <v>1.85</v>
      </c>
      <c r="P263" s="5" t="e">
        <f t="shared" si="227"/>
        <v>#VALUE!</v>
      </c>
      <c r="Q263">
        <f>'Code List'!$C$63</f>
        <v>3</v>
      </c>
      <c r="R263">
        <f>F264+'Code List'!$G$63</f>
        <v>2</v>
      </c>
      <c r="S263" t="e">
        <f t="shared" si="228"/>
        <v>#VALUE!</v>
      </c>
      <c r="T263" t="e">
        <f t="shared" ref="T263:T266" si="230">Q263*R263*S263</f>
        <v>#VALUE!</v>
      </c>
      <c r="U263" t="str">
        <f>IF(A263="YES",CONCATENATE(G263,"_",'Program Page'!$C$4,'Program Page'!$C$5,"_",D263,"_",E263),"")</f>
        <v/>
      </c>
      <c r="V263" t="str">
        <f t="shared" si="229"/>
        <v/>
      </c>
      <c r="W263" t="str">
        <f>IF(A263="YES",CONCATENATE("{",'Code List'!$B$4,'Code List'!$D$4,",",'Code List'!$B$5,'Code List'!$D$5,",",'Code List'!$B$6,"""",U263,"""",",",'Code List'!$B$7,'Code List'!$D$7,",",'Code List'!$B$8,'Code List'!$D$8,",",'Code List'!$B$9,'Code List'!$D$9,",",'Code List'!$B$10,'Code List'!$D$10,",",'Code List'!$B$11,"""",V263,"""",",",'Code List'!$B$12,"""",H263,"""",",",'Code List'!$B$13,"""",I263,"""",",",'Code List'!$B$14,"""",J263,"""",",",'Code List'!$B$15,"""",K263,"""",",",'Code List'!$B$16,"""",L263,"""",",",'Code List'!$B$17,"""",M263,"""",",",'Code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63" s="167" t="str">
        <f>IF(A263="YES",CONCATENATE("{",'Code List'!$B$31,"""",U263,"""",",",'Code List'!$B$32,'Code List'!$D$32,",",'Code List'!$B$33,'Code List'!$D$33,",",'Code List'!$B$34,'Code List'!$D$34,",",'Code List'!$B$35,'Code List'!$D$35,",",'Code List'!$B$36,'Code List'!$D$36,",",'Code List'!$B$37,'Code List'!$D$37,",",'Code List'!$B$38,"""",H263,"""",",",'Code List'!$B$39,"""",I263,"""",",",'Code List'!$B$40,"""",J263,"""",",",'Code List'!$B$41,"""",K263,"""",",",'Code List'!$B$42,"""",L263,"""",",",'Code List'!$B$43,"""",M263,"""",",",'Code List'!$B$44,"""",N263,"""",",",'Code List'!$B$45,"""",O263,"""",",",'Code List'!$B$46,"""",P263,"""",",",'Code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List'!$B$59,"""",T263,"""","}"),"")</f>
        <v/>
      </c>
    </row>
    <row r="264" spans="1:25" x14ac:dyDescent="0.25">
      <c r="A264" t="str">
        <f>IF(AND($A260="YES",E260=$D$1,F264&gt;0),"YES","NO")</f>
        <v>NO</v>
      </c>
      <c r="C264" t="s">
        <v>5</v>
      </c>
      <c r="D264" s="12" t="str">
        <f t="shared" si="224"/>
        <v>5E</v>
      </c>
      <c r="E264" t="s">
        <v>190</v>
      </c>
      <c r="F264">
        <f>'Expanded Base Data'!H258</f>
        <v>0</v>
      </c>
      <c r="G264" s="171">
        <f>F260</f>
        <v>0</v>
      </c>
      <c r="H264">
        <f>ROUND(B260+'Slide Measurements'!$D$17,$O$1)</f>
        <v>374.91</v>
      </c>
      <c r="I264">
        <f>ROUND(H264+(F264*'Slide Measurements'!$D$21),$O$1)</f>
        <v>374.91</v>
      </c>
      <c r="J264">
        <f>K263</f>
        <v>170.92999999999998</v>
      </c>
      <c r="K264">
        <f>J264+($I$1*'Slide Measurements'!$E$23-'Slide Measurements'!$E$23)</f>
        <v>172.77999999999997</v>
      </c>
      <c r="L264" s="5" t="str">
        <f>'Expanded Base Data'!$L258</f>
        <v/>
      </c>
      <c r="M264" s="5" t="str">
        <f>'Expanded Base Data'!$K258</f>
        <v/>
      </c>
      <c r="N264">
        <f t="shared" si="225"/>
        <v>0</v>
      </c>
      <c r="O264">
        <f t="shared" si="226"/>
        <v>1.85</v>
      </c>
      <c r="P264" s="5" t="e">
        <f t="shared" si="227"/>
        <v>#VALUE!</v>
      </c>
      <c r="Q264">
        <f>'Code List'!$C$63</f>
        <v>3</v>
      </c>
      <c r="R264">
        <f>F265+'Code List'!$G$63</f>
        <v>2</v>
      </c>
      <c r="S264" t="e">
        <f t="shared" si="228"/>
        <v>#VALUE!</v>
      </c>
      <c r="T264" t="e">
        <f t="shared" si="230"/>
        <v>#VALUE!</v>
      </c>
      <c r="U264" t="str">
        <f>IF(A264="YES",CONCATENATE(G264,"_",'Program Page'!$C$4,'Program Page'!$C$5,"_",D264,"_",E264),"")</f>
        <v/>
      </c>
      <c r="V264" t="str">
        <f t="shared" si="229"/>
        <v/>
      </c>
      <c r="W264" t="str">
        <f>IF(A264="YES",CONCATENATE("{",'Code List'!$B$4,'Code List'!$D$4,",",'Code List'!$B$5,'Code List'!$D$5,",",'Code List'!$B$6,"""",U264,"""",",",'Code List'!$B$7,'Code List'!$D$7,",",'Code List'!$B$8,'Code List'!$D$8,",",'Code List'!$B$9,'Code List'!$D$9,",",'Code List'!$B$10,'Code List'!$D$10,",",'Code List'!$B$11,"""",V264,"""",",",'Code List'!$B$12,"""",H264,"""",",",'Code List'!$B$13,"""",I264,"""",",",'Code List'!$B$14,"""",J264,"""",",",'Code List'!$B$15,"""",K264,"""",",",'Code List'!$B$16,"""",L264,"""",",",'Code List'!$B$17,"""",M264,"""",",",'Code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64" s="167" t="str">
        <f>IF(A264="YES",CONCATENATE("{",'Code List'!$B$31,"""",U264,"""",",",'Code List'!$B$32,'Code List'!$D$32,",",'Code List'!$B$33,'Code List'!$D$33,",",'Code List'!$B$34,'Code List'!$D$34,",",'Code List'!$B$35,'Code List'!$D$35,",",'Code List'!$B$36,'Code List'!$D$36,",",'Code List'!$B$37,'Code List'!$D$37,",",'Code List'!$B$38,"""",H264,"""",",",'Code List'!$B$39,"""",I264,"""",",",'Code List'!$B$40,"""",J264,"""",",",'Code List'!$B$41,"""",K264,"""",",",'Code List'!$B$42,"""",L264,"""",",",'Code List'!$B$43,"""",M264,"""",",",'Code List'!$B$44,"""",N264,"""",",",'Code List'!$B$45,"""",O264,"""",",",'Code List'!$B$46,"""",P264,"""",",",'Code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List'!$B$59,"""",T264,"""","}"),"")</f>
        <v/>
      </c>
    </row>
    <row r="265" spans="1:25" x14ac:dyDescent="0.25">
      <c r="A265" t="str">
        <f>IF(AND($A260="YES",E260=$D$1,F265&gt;0),"YES","NO")</f>
        <v>NO</v>
      </c>
      <c r="C265" t="s">
        <v>5</v>
      </c>
      <c r="D265" s="12" t="str">
        <f t="shared" si="224"/>
        <v>5E</v>
      </c>
      <c r="E265" t="s">
        <v>191</v>
      </c>
      <c r="F265">
        <f>'Expanded Base Data'!I258</f>
        <v>0</v>
      </c>
      <c r="G265" s="171">
        <f>F260</f>
        <v>0</v>
      </c>
      <c r="H265">
        <f>ROUND(B260+'Slide Measurements'!$D$17,$O$1)</f>
        <v>374.91</v>
      </c>
      <c r="I265">
        <f>ROUND(H265+(F265*'Slide Measurements'!$D$21),$O$1)</f>
        <v>374.91</v>
      </c>
      <c r="J265">
        <f>K264</f>
        <v>172.77999999999997</v>
      </c>
      <c r="K265">
        <f>J265+($I$1*'Slide Measurements'!$E$23-'Slide Measurements'!$E$23)</f>
        <v>174.62999999999997</v>
      </c>
      <c r="L265" s="5" t="str">
        <f>'Expanded Base Data'!$L258</f>
        <v/>
      </c>
      <c r="M265" s="5" t="str">
        <f>'Expanded Base Data'!$K258</f>
        <v/>
      </c>
      <c r="N265">
        <f t="shared" si="225"/>
        <v>0</v>
      </c>
      <c r="O265">
        <f t="shared" si="226"/>
        <v>1.85</v>
      </c>
      <c r="P265" s="5" t="e">
        <f t="shared" si="227"/>
        <v>#VALUE!</v>
      </c>
      <c r="Q265">
        <f>'Code List'!$C$63</f>
        <v>3</v>
      </c>
      <c r="R265">
        <f>F266+'Code List'!$G$63</f>
        <v>2</v>
      </c>
      <c r="S265" t="e">
        <f t="shared" si="228"/>
        <v>#VALUE!</v>
      </c>
      <c r="T265" t="e">
        <f t="shared" si="230"/>
        <v>#VALUE!</v>
      </c>
      <c r="U265" t="str">
        <f>IF(A265="YES",CONCATENATE(G265,"_",'Program Page'!$C$4,'Program Page'!$C$5,"_",D265,"_",E265),"")</f>
        <v/>
      </c>
      <c r="V265" t="str">
        <f t="shared" si="229"/>
        <v/>
      </c>
      <c r="W265" t="str">
        <f>IF(A265="YES",CONCATENATE("{",'Code List'!$B$4,'Code List'!$D$4,",",'Code List'!$B$5,'Code List'!$D$5,",",'Code List'!$B$6,"""",U265,"""",",",'Code List'!$B$7,'Code List'!$D$7,",",'Code List'!$B$8,'Code List'!$D$8,",",'Code List'!$B$9,'Code List'!$D$9,",",'Code List'!$B$10,'Code List'!$D$10,",",'Code List'!$B$11,"""",V265,"""",",",'Code List'!$B$12,"""",H265,"""",",",'Code List'!$B$13,"""",I265,"""",",",'Code List'!$B$14,"""",J265,"""",",",'Code List'!$B$15,"""",K265,"""",",",'Code List'!$B$16,"""",L265,"""",",",'Code List'!$B$17,"""",M265,"""",",",'Code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65" s="167" t="str">
        <f>IF(A265="YES",CONCATENATE("{",'Code List'!$B$31,"""",U265,"""",",",'Code List'!$B$32,'Code List'!$D$32,",",'Code List'!$B$33,'Code List'!$D$33,",",'Code List'!$B$34,'Code List'!$D$34,",",'Code List'!$B$35,'Code List'!$D$35,",",'Code List'!$B$36,'Code List'!$D$36,",",'Code List'!$B$37,'Code List'!$D$37,",",'Code List'!$B$38,"""",H265,"""",",",'Code List'!$B$39,"""",I265,"""",",",'Code List'!$B$40,"""",J265,"""",",",'Code List'!$B$41,"""",K265,"""",",",'Code List'!$B$42,"""",L265,"""",",",'Code List'!$B$43,"""",M265,"""",",",'Code List'!$B$44,"""",N265,"""",",",'Code List'!$B$45,"""",O265,"""",",",'Code List'!$B$46,"""",P265,"""",",",'Code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List'!$B$59,"""",T265,"""","}"),"")</f>
        <v/>
      </c>
    </row>
    <row r="266" spans="1:25" x14ac:dyDescent="0.25">
      <c r="A266" t="str">
        <f>IF(AND($A260="YES",E260=$D$1,F266&gt;0),"YES","NO")</f>
        <v>NO</v>
      </c>
      <c r="C266" t="s">
        <v>5</v>
      </c>
      <c r="D266" s="12" t="str">
        <f t="shared" si="224"/>
        <v>5E</v>
      </c>
      <c r="E266" t="s">
        <v>196</v>
      </c>
      <c r="F266">
        <f>'Expanded Base Data'!J258</f>
        <v>0</v>
      </c>
      <c r="G266" s="171">
        <f>F260</f>
        <v>0</v>
      </c>
      <c r="H266">
        <f>ROUND(B260+'Slide Measurements'!$D$17,$O$1)</f>
        <v>374.91</v>
      </c>
      <c r="I266">
        <f>ROUND(H266+(F266*'Slide Measurements'!$D$21),$O$1)</f>
        <v>374.91</v>
      </c>
      <c r="J266">
        <f>K265</f>
        <v>174.62999999999997</v>
      </c>
      <c r="K266">
        <f>J266+($I$1*'Slide Measurements'!$E$23-'Slide Measurements'!$E$23)</f>
        <v>176.47999999999996</v>
      </c>
      <c r="L266" s="5" t="str">
        <f>'Expanded Base Data'!$L258</f>
        <v/>
      </c>
      <c r="M266" s="5" t="str">
        <f>'Expanded Base Data'!$K258</f>
        <v/>
      </c>
      <c r="N266">
        <f t="shared" si="225"/>
        <v>0</v>
      </c>
      <c r="O266">
        <f t="shared" si="226"/>
        <v>1.85</v>
      </c>
      <c r="P266" s="5" t="e">
        <f t="shared" si="227"/>
        <v>#VALUE!</v>
      </c>
      <c r="Q266">
        <f>'Code List'!$C$63</f>
        <v>3</v>
      </c>
      <c r="R266">
        <f>F267+'Code List'!$G$63</f>
        <v>2</v>
      </c>
      <c r="S266" t="e">
        <f t="shared" si="228"/>
        <v>#VALUE!</v>
      </c>
      <c r="T266" t="e">
        <f t="shared" si="230"/>
        <v>#VALUE!</v>
      </c>
      <c r="U266" t="str">
        <f>IF(A266="YES",CONCATENATE(G266,"_",'Program Page'!$C$4,'Program Page'!$C$5,"_",D266,"_",E266),"")</f>
        <v/>
      </c>
      <c r="V266" t="str">
        <f t="shared" si="229"/>
        <v/>
      </c>
      <c r="W266" t="str">
        <f>IF(A266="YES",CONCATENATE("{",'Code List'!$B$4,'Code List'!$D$4,",",'Code List'!$B$5,'Code List'!$D$5,",",'Code List'!$B$6,"""",U266,"""",",",'Code List'!$B$7,'Code List'!$D$7,",",'Code List'!$B$8,'Code List'!$D$8,",",'Code List'!$B$9,'Code List'!$D$9,",",'Code List'!$B$10,'Code List'!$D$10,",",'Code List'!$B$11,"""",V266,"""",",",'Code List'!$B$12,"""",H266,"""",",",'Code List'!$B$13,"""",I266,"""",",",'Code List'!$B$14,"""",J266,"""",",",'Code List'!$B$15,"""",K266,"""",",",'Code List'!$B$16,"""",L266,"""",",",'Code List'!$B$17,"""",M266,"""",",",'Code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66" s="167" t="str">
        <f>IF(A266="YES",CONCATENATE("{",'Code List'!$B$31,"""",U266,"""",",",'Code List'!$B$32,'Code List'!$D$32,",",'Code List'!$B$33,'Code List'!$D$33,",",'Code List'!$B$34,'Code List'!$D$34,",",'Code List'!$B$35,'Code List'!$D$35,",",'Code List'!$B$36,'Code List'!$D$36,",",'Code List'!$B$37,'Code List'!$D$37,",",'Code List'!$B$38,"""",H266,"""",",",'Code List'!$B$39,"""",I266,"""",",",'Code List'!$B$40,"""",J266,"""",",",'Code List'!$B$41,"""",K266,"""",",",'Code List'!$B$42,"""",L266,"""",",",'Code List'!$B$43,"""",M266,"""",",",'Code List'!$B$44,"""",N266,"""",",",'Code List'!$B$45,"""",O266,"""",",",'Code List'!$B$46,"""",P266,"""",",",'Code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List'!$B$59,"""",T266,"""","}"),"")</f>
        <v/>
      </c>
    </row>
    <row r="267" spans="1:25" x14ac:dyDescent="0.25">
      <c r="A267" s="162" t="str">
        <f>IF(AND($A260="YES",E260=$E$1),"YES","NO")</f>
        <v>NO</v>
      </c>
      <c r="C267" t="s">
        <v>259</v>
      </c>
      <c r="D267" s="12" t="str">
        <f>D266</f>
        <v>5E</v>
      </c>
      <c r="E267" t="s">
        <v>259</v>
      </c>
      <c r="G267" s="171">
        <f>F260</f>
        <v>0</v>
      </c>
      <c r="H267">
        <f>ROUND(B260,$O$1)</f>
        <v>349.51</v>
      </c>
      <c r="I267">
        <f>ROUND(B260+'Slide Measurements'!$D$1,$O$1)</f>
        <v>425.96</v>
      </c>
      <c r="J267">
        <f>C260</f>
        <v>162.92999999999998</v>
      </c>
      <c r="K267">
        <f>C260+'Slide Measurements'!$D$2</f>
        <v>190.32999999999998</v>
      </c>
      <c r="L267" s="5" t="str">
        <f>'Expanded Base Data'!$L258</f>
        <v/>
      </c>
      <c r="M267" s="5" t="str">
        <f>'Expanded Base Data'!$K258</f>
        <v/>
      </c>
      <c r="N267">
        <f t="shared" si="225"/>
        <v>76.45</v>
      </c>
      <c r="O267">
        <f t="shared" si="226"/>
        <v>27.4</v>
      </c>
      <c r="P267" s="5" t="e">
        <f>ROUND((L267-M267),$O$1)</f>
        <v>#VALUE!</v>
      </c>
      <c r="Q267">
        <f>'Code List'!$C$70</f>
        <v>11</v>
      </c>
      <c r="R267">
        <f>'Code List'!$D$70</f>
        <v>19</v>
      </c>
      <c r="S267" t="e">
        <f>IF(P267=0,"1",ROUND((P267/$K$1)+$M$1,0))</f>
        <v>#VALUE!</v>
      </c>
      <c r="T267" t="e">
        <f>Q267*R267*S267</f>
        <v>#VALUE!</v>
      </c>
      <c r="U267" t="str">
        <f>IF(A267="YES",CONCATENATE(G267,"_",'Program Page'!$C$4,'Program Page'!$C$5,"_",D267,"_",E267),"")</f>
        <v/>
      </c>
      <c r="V267" t="str">
        <f>IF(U267="","",CONCATENATE(U267,"_"))</f>
        <v/>
      </c>
      <c r="W267" t="str">
        <f>IF(A267="YES",CONCATENATE("{",'Code List'!$B$4,'Code List'!$D$4,",",'Code List'!$B$5,'Code List'!$D$5,",",'Code List'!$B$6,"""",U267,"""",",",'Code List'!$B$7,'Code List'!$D$7,",",'Code List'!$B$8,'Code List'!$D$8,",",'Code List'!$B$9,'Code List'!$D$9,",",'Code List'!$B$10,'Code List'!$D$10,",",'Code List'!$B$11,"""",V267,"""",",",'Code List'!$B$12,"""",H267,"""",",",'Code List'!$B$13,"""",I267,"""",",",'Code List'!$B$14,"""",J267,"""",",",'Code List'!$B$15,"""",K267,"""",",",'Code List'!$B$16,"""",L267,"""",",",'Code List'!$B$17,"""",M267,"""",",",'Code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267" s="167" t="str">
        <f>IF(A267="YES",CONCATENATE("{",'Code List'!$B$31,"""",U267,"""",",",'Code List'!$B$32,'Code List'!$D$32,",",'Code List'!$B$33,'Code List'!$D$33,",",'Code List'!$B$34,'Code List'!$D$34,",",'Code List'!$B$35,'Code List'!$D$35,",",'Code List'!$B$36,'Code List'!$D$36,",",'Code List'!$B$37,'Code List'!$D$37,",",'Code List'!$B$38,"""",H267,"""",",",'Code List'!$B$39,"""",I267,"""",",",'Code List'!$B$40,"""",J267,"""",",",'Code List'!$B$41,"""",K267,"""",",",'Code List'!$B$42,"""",L267,"""",",",'Code List'!$B$43,"""",M267,"""",",",'Code List'!$B$44,"""",N267,"""",",",'Code List'!$B$45,"""",O267,"""",",",'Code List'!$B$46,"""",P267,"""",",",'Code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List'!$B$59,"""",T267,"""","}"),"")</f>
        <v/>
      </c>
    </row>
    <row r="268" spans="1:25" ht="18.75" x14ac:dyDescent="0.3">
      <c r="A268" s="35" t="str">
        <f>IF(OR(E268=$C$1,E268=$D$1,E268=$E$1),"YES","NO")</f>
        <v>NO</v>
      </c>
      <c r="B268" s="35">
        <f>'Expanded Base Data'!D266</f>
        <v>436.11</v>
      </c>
      <c r="C268" s="35">
        <f>'Expanded Base Data'!E266</f>
        <v>162.92999999999998</v>
      </c>
      <c r="D268" s="36" t="str">
        <f>'Expanded Base Data'!B266</f>
        <v>5F</v>
      </c>
      <c r="E268" s="35">
        <f>'Expanded Base Data'!C266</f>
        <v>0</v>
      </c>
      <c r="F268" s="35">
        <f>'Expanded Base Data'!M266</f>
        <v>0</v>
      </c>
      <c r="G268" s="170">
        <f>F268</f>
        <v>0</v>
      </c>
      <c r="Y268" s="167" t="str">
        <f>""</f>
        <v/>
      </c>
    </row>
    <row r="269" spans="1:25" x14ac:dyDescent="0.25">
      <c r="A269" t="str">
        <f>IF(AND($A268="YES",E268=$C$1),"YES","NO")</f>
        <v>NO</v>
      </c>
      <c r="C269" t="s">
        <v>6</v>
      </c>
      <c r="D269" s="12" t="str">
        <f>D268</f>
        <v>5F</v>
      </c>
      <c r="E269" t="s">
        <v>6</v>
      </c>
      <c r="F269" t="s">
        <v>198</v>
      </c>
      <c r="G269" s="171">
        <f>F268</f>
        <v>0</v>
      </c>
      <c r="H269">
        <f>IF('Expanded Base Data'!N266="",ROUND(B268+'Slide Measurements'!$D$11,$O$1),B268+'Expanded Base Data'!N266)</f>
        <v>469.11</v>
      </c>
      <c r="I269">
        <f>IF('Expanded Base Data'!O266="",ROUND(B268+'Slide Measurements'!$D$12,$O$1),B268+'Expanded Base Data'!O266)</f>
        <v>477.71</v>
      </c>
      <c r="J269">
        <f>IF('Expanded Base Data'!P266="",C268+'Slide Measurements'!$E$13,C268+'Expanded Base Data'!P266)</f>
        <v>171.62999999999997</v>
      </c>
      <c r="K269">
        <f>IF('Expanded Base Data'!Q266="",C268+'Slide Measurements'!$E$14,C268+'Expanded Base Data'!Q266)</f>
        <v>180.22999999999996</v>
      </c>
      <c r="L269" s="5" t="str">
        <f>'Expanded Base Data'!$L266</f>
        <v/>
      </c>
      <c r="M269" s="5" t="str">
        <f>'Expanded Base Data'!$K266</f>
        <v/>
      </c>
      <c r="N269">
        <f>ROUND((I269-H269),$O$1)</f>
        <v>8.6</v>
      </c>
      <c r="O269">
        <f>ROUND((K269-J269),$O$1)</f>
        <v>8.6</v>
      </c>
      <c r="P269" s="5" t="e">
        <f>ROUND((L269-M269),$O$1)</f>
        <v>#VALUE!</v>
      </c>
      <c r="Q269">
        <f>'Code List'!$C$62</f>
        <v>5</v>
      </c>
      <c r="R269">
        <f>F270+'Code List'!$G$63</f>
        <v>2</v>
      </c>
      <c r="S269" t="e">
        <f>IF(P269=0,"1",ROUND((P269/$K$1)+$M$1,0))</f>
        <v>#VALUE!</v>
      </c>
      <c r="T269" t="e">
        <f>Q269*R269*S269</f>
        <v>#VALUE!</v>
      </c>
      <c r="U269" t="str">
        <f>IF(A269="YES",CONCATENATE(G269,"_",'Program Page'!$C$4,'Program Page'!$C$5,"_",D269,"_",E269),"")</f>
        <v/>
      </c>
      <c r="V269" t="str">
        <f>IF(U269="","",CONCATENATE(U269,"_"))</f>
        <v/>
      </c>
      <c r="W269" t="str">
        <f>IF(A269="YES",CONCATENATE("{",'Code List'!$B$4,'Code List'!$D$4,",",'Code List'!$B$5,'Code List'!$D$5,",",'Code List'!$B$6,"""",U269,"""",",",'Code List'!$B$7,'Code List'!$D$7,",",'Code List'!$B$8,'Code List'!$D$8,",",'Code List'!$B$9,'Code List'!$D$9,",",'Code List'!$B$10,'Code List'!$D$10,",",'Code List'!$B$11,"""",V269,"""",",",'Code List'!$B$12,"""",H269,"""",",",'Code List'!$B$13,"""",I269,"""",",",'Code List'!$B$14,"""",J269,"""",",",'Code List'!$B$15,"""",K269,"""",",",'Code List'!$B$16,"""",L269,"""",",",'Code List'!$B$17,"""",M269,"""",",",'Code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69" s="167" t="str">
        <f>IF(A269="YES",CONCATENATE("{",'Code List'!$B$31,"""",U269,"""",",",'Code List'!$B$32,'Code List'!$D$32,",",'Code List'!$B$33,'Code List'!$D$33,",",'Code List'!$B$34,'Code List'!$D$34,",",'Code List'!$B$35,'Code List'!$D$35,",",'Code List'!$B$36,'Code List'!$D$36,",",'Code List'!$B$37,'Code List'!$D$37,",",'Code List'!$B$38,"""",H269,"""",",",'Code List'!$B$39,"""",I269,"""",",",'Code List'!$B$40,"""",J269,"""",",",'Code List'!$B$41,"""",K269,"""",",",'Code List'!$B$42,"""",L269,"""",",",'Code List'!$B$43,"""",M269,"""",",",'Code List'!$B$44,"""",N269,"""",",",'Code List'!$B$45,"""",O269,"""",",",'Code List'!$B$46,"""",P269,"""",",",'Code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List'!$B$59,"""",T269,"""","}"),"")</f>
        <v/>
      </c>
    </row>
    <row r="270" spans="1:25" x14ac:dyDescent="0.25">
      <c r="A270" t="str">
        <f>IF(AND($A268="YES",E268=$D$1,F270&gt;0),"YES","NO")</f>
        <v>NO</v>
      </c>
      <c r="C270" t="s">
        <v>5</v>
      </c>
      <c r="D270" s="12" t="str">
        <f t="shared" ref="D270:D274" si="231">D269</f>
        <v>5F</v>
      </c>
      <c r="E270" t="s">
        <v>188</v>
      </c>
      <c r="F270">
        <f>'Expanded Base Data'!F266</f>
        <v>0</v>
      </c>
      <c r="G270" s="171">
        <f>F268</f>
        <v>0</v>
      </c>
      <c r="H270">
        <f>ROUND(B268+'Slide Measurements'!$D$17,$O$1)</f>
        <v>461.51</v>
      </c>
      <c r="I270">
        <f>ROUND(H270+(F270*'Slide Measurements'!$D$21),$O$1)</f>
        <v>461.51</v>
      </c>
      <c r="J270">
        <f>C268+'Slide Measurements'!$E$17</f>
        <v>167.23</v>
      </c>
      <c r="K270">
        <f>J270+($I$1*'Slide Measurements'!$E$23-'Slide Measurements'!$E$23)</f>
        <v>169.07999999999998</v>
      </c>
      <c r="L270" s="5" t="str">
        <f>'Expanded Base Data'!$L266</f>
        <v/>
      </c>
      <c r="M270" s="5" t="str">
        <f>'Expanded Base Data'!$K266</f>
        <v/>
      </c>
      <c r="N270">
        <f t="shared" ref="N270:N275" si="232">ROUND((I270-H270),$O$1)</f>
        <v>0</v>
      </c>
      <c r="O270">
        <f t="shared" ref="O270:O275" si="233">ROUND((K270-J270),$O$1)</f>
        <v>1.85</v>
      </c>
      <c r="P270" s="5" t="e">
        <f t="shared" ref="P270:P274" si="234">ROUND((L270-M270),$O$1)</f>
        <v>#VALUE!</v>
      </c>
      <c r="Q270">
        <f>'Code List'!$C$63</f>
        <v>3</v>
      </c>
      <c r="R270">
        <f>F271+'Code List'!$G$63</f>
        <v>2</v>
      </c>
      <c r="S270" t="e">
        <f t="shared" ref="S270:S274" si="235">IF(P270=0,"1",ROUND((P270/$K$1)+$M$1,0))</f>
        <v>#VALUE!</v>
      </c>
      <c r="T270" t="e">
        <f>Q270*R270*S270</f>
        <v>#VALUE!</v>
      </c>
      <c r="U270" t="str">
        <f>IF(A270="YES",CONCATENATE(G270,"_",'Program Page'!$C$4,'Program Page'!$C$5,"_",D270,"_",E270),"")</f>
        <v/>
      </c>
      <c r="V270" t="str">
        <f t="shared" ref="V270:V274" si="236">IF(U270="","",CONCATENATE(U270,"_"))</f>
        <v/>
      </c>
      <c r="W270" t="str">
        <f>IF(A270="YES",CONCATENATE("{",'Code List'!$B$4,'Code List'!$D$4,",",'Code List'!$B$5,'Code List'!$D$5,",",'Code List'!$B$6,"""",U270,"""",",",'Code List'!$B$7,'Code List'!$D$7,",",'Code List'!$B$8,'Code List'!$D$8,",",'Code List'!$B$9,'Code List'!$D$9,",",'Code List'!$B$10,'Code List'!$D$10,",",'Code List'!$B$11,"""",V270,"""",",",'Code List'!$B$12,"""",H270,"""",",",'Code List'!$B$13,"""",I270,"""",",",'Code List'!$B$14,"""",J270,"""",",",'Code List'!$B$15,"""",K270,"""",",",'Code List'!$B$16,"""",L270,"""",",",'Code List'!$B$17,"""",M270,"""",",",'Code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70" s="167" t="str">
        <f>IF(A270="YES",CONCATENATE("{",'Code List'!$B$31,"""",U270,"""",",",'Code List'!$B$32,'Code List'!$D$32,",",'Code List'!$B$33,'Code List'!$D$33,",",'Code List'!$B$34,'Code List'!$D$34,",",'Code List'!$B$35,'Code List'!$D$35,",",'Code List'!$B$36,'Code List'!$D$36,",",'Code List'!$B$37,'Code List'!$D$37,",",'Code List'!$B$38,"""",H270,"""",",",'Code List'!$B$39,"""",I270,"""",",",'Code List'!$B$40,"""",J270,"""",",",'Code List'!$B$41,"""",K270,"""",",",'Code List'!$B$42,"""",L270,"""",",",'Code List'!$B$43,"""",M270,"""",",",'Code List'!$B$44,"""",N270,"""",",",'Code List'!$B$45,"""",O270,"""",",",'Code List'!$B$46,"""",P270,"""",",",'Code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List'!$B$59,"""",T270,"""","}"),"")</f>
        <v/>
      </c>
    </row>
    <row r="271" spans="1:25" x14ac:dyDescent="0.25">
      <c r="A271" t="str">
        <f>IF(AND($A268="YES",E268=$D$1,F271&gt;0),"YES","NO")</f>
        <v>NO</v>
      </c>
      <c r="C271" t="s">
        <v>5</v>
      </c>
      <c r="D271" s="12" t="str">
        <f t="shared" si="231"/>
        <v>5F</v>
      </c>
      <c r="E271" t="s">
        <v>189</v>
      </c>
      <c r="F271">
        <f>'Expanded Base Data'!G266</f>
        <v>0</v>
      </c>
      <c r="G271" s="171">
        <f>F268</f>
        <v>0</v>
      </c>
      <c r="H271">
        <f>ROUND(B268+'Slide Measurements'!$D$17,$O$1)</f>
        <v>461.51</v>
      </c>
      <c r="I271">
        <f>ROUND(H271+(F271*'Slide Measurements'!$D$21),$O$1)</f>
        <v>461.51</v>
      </c>
      <c r="J271">
        <f>K270</f>
        <v>169.07999999999998</v>
      </c>
      <c r="K271">
        <f>J271+($I$1*'Slide Measurements'!$E$23-'Slide Measurements'!$E$23)</f>
        <v>170.92999999999998</v>
      </c>
      <c r="L271" s="5" t="str">
        <f>'Expanded Base Data'!$L266</f>
        <v/>
      </c>
      <c r="M271" s="5" t="str">
        <f>'Expanded Base Data'!$K266</f>
        <v/>
      </c>
      <c r="N271">
        <f t="shared" si="232"/>
        <v>0</v>
      </c>
      <c r="O271">
        <f t="shared" si="233"/>
        <v>1.85</v>
      </c>
      <c r="P271" s="5" t="e">
        <f t="shared" si="234"/>
        <v>#VALUE!</v>
      </c>
      <c r="Q271">
        <f>'Code List'!$C$63</f>
        <v>3</v>
      </c>
      <c r="R271">
        <f>F272+'Code List'!$G$63</f>
        <v>2</v>
      </c>
      <c r="S271" t="e">
        <f t="shared" si="235"/>
        <v>#VALUE!</v>
      </c>
      <c r="T271" t="e">
        <f t="shared" ref="T271:T274" si="237">Q271*R271*S271</f>
        <v>#VALUE!</v>
      </c>
      <c r="U271" t="str">
        <f>IF(A271="YES",CONCATENATE(G271,"_",'Program Page'!$C$4,'Program Page'!$C$5,"_",D271,"_",E271),"")</f>
        <v/>
      </c>
      <c r="V271" t="str">
        <f t="shared" si="236"/>
        <v/>
      </c>
      <c r="W271" t="str">
        <f>IF(A271="YES",CONCATENATE("{",'Code List'!$B$4,'Code List'!$D$4,",",'Code List'!$B$5,'Code List'!$D$5,",",'Code List'!$B$6,"""",U271,"""",",",'Code List'!$B$7,'Code List'!$D$7,",",'Code List'!$B$8,'Code List'!$D$8,",",'Code List'!$B$9,'Code List'!$D$9,",",'Code List'!$B$10,'Code List'!$D$10,",",'Code List'!$B$11,"""",V271,"""",",",'Code List'!$B$12,"""",H271,"""",",",'Code List'!$B$13,"""",I271,"""",",",'Code List'!$B$14,"""",J271,"""",",",'Code List'!$B$15,"""",K271,"""",",",'Code List'!$B$16,"""",L271,"""",",",'Code List'!$B$17,"""",M271,"""",",",'Code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71" s="167" t="str">
        <f>IF(A271="YES",CONCATENATE("{",'Code List'!$B$31,"""",U271,"""",",",'Code List'!$B$32,'Code List'!$D$32,",",'Code List'!$B$33,'Code List'!$D$33,",",'Code List'!$B$34,'Code List'!$D$34,",",'Code List'!$B$35,'Code List'!$D$35,",",'Code List'!$B$36,'Code List'!$D$36,",",'Code List'!$B$37,'Code List'!$D$37,",",'Code List'!$B$38,"""",H271,"""",",",'Code List'!$B$39,"""",I271,"""",",",'Code List'!$B$40,"""",J271,"""",",",'Code List'!$B$41,"""",K271,"""",",",'Code List'!$B$42,"""",L271,"""",",",'Code List'!$B$43,"""",M271,"""",",",'Code List'!$B$44,"""",N271,"""",",",'Code List'!$B$45,"""",O271,"""",",",'Code List'!$B$46,"""",P271,"""",",",'Code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List'!$B$59,"""",T271,"""","}"),"")</f>
        <v/>
      </c>
    </row>
    <row r="272" spans="1:25" x14ac:dyDescent="0.25">
      <c r="A272" t="str">
        <f>IF(AND($A268="YES",E268=$D$1,F272&gt;0),"YES","NO")</f>
        <v>NO</v>
      </c>
      <c r="C272" t="s">
        <v>5</v>
      </c>
      <c r="D272" s="12" t="str">
        <f t="shared" si="231"/>
        <v>5F</v>
      </c>
      <c r="E272" t="s">
        <v>190</v>
      </c>
      <c r="F272">
        <f>'Expanded Base Data'!H266</f>
        <v>0</v>
      </c>
      <c r="G272" s="171">
        <f>F268</f>
        <v>0</v>
      </c>
      <c r="H272">
        <f>ROUND(B268+'Slide Measurements'!$D$17,$O$1)</f>
        <v>461.51</v>
      </c>
      <c r="I272">
        <f>ROUND(H272+(F272*'Slide Measurements'!$D$21),$O$1)</f>
        <v>461.51</v>
      </c>
      <c r="J272">
        <f>K271</f>
        <v>170.92999999999998</v>
      </c>
      <c r="K272">
        <f>J272+($I$1*'Slide Measurements'!$E$23-'Slide Measurements'!$E$23)</f>
        <v>172.77999999999997</v>
      </c>
      <c r="L272" s="5" t="str">
        <f>'Expanded Base Data'!$L266</f>
        <v/>
      </c>
      <c r="M272" s="5" t="str">
        <f>'Expanded Base Data'!$K266</f>
        <v/>
      </c>
      <c r="N272">
        <f t="shared" si="232"/>
        <v>0</v>
      </c>
      <c r="O272">
        <f t="shared" si="233"/>
        <v>1.85</v>
      </c>
      <c r="P272" s="5" t="e">
        <f t="shared" si="234"/>
        <v>#VALUE!</v>
      </c>
      <c r="Q272">
        <f>'Code List'!$C$63</f>
        <v>3</v>
      </c>
      <c r="R272">
        <f>F273+'Code List'!$G$63</f>
        <v>2</v>
      </c>
      <c r="S272" t="e">
        <f t="shared" si="235"/>
        <v>#VALUE!</v>
      </c>
      <c r="T272" t="e">
        <f t="shared" si="237"/>
        <v>#VALUE!</v>
      </c>
      <c r="U272" t="str">
        <f>IF(A272="YES",CONCATENATE(G272,"_",'Program Page'!$C$4,'Program Page'!$C$5,"_",D272,"_",E272),"")</f>
        <v/>
      </c>
      <c r="V272" t="str">
        <f t="shared" si="236"/>
        <v/>
      </c>
      <c r="W272" t="str">
        <f>IF(A272="YES",CONCATENATE("{",'Code List'!$B$4,'Code List'!$D$4,",",'Code List'!$B$5,'Code List'!$D$5,",",'Code List'!$B$6,"""",U272,"""",",",'Code List'!$B$7,'Code List'!$D$7,",",'Code List'!$B$8,'Code List'!$D$8,",",'Code List'!$B$9,'Code List'!$D$9,",",'Code List'!$B$10,'Code List'!$D$10,",",'Code List'!$B$11,"""",V272,"""",",",'Code List'!$B$12,"""",H272,"""",",",'Code List'!$B$13,"""",I272,"""",",",'Code List'!$B$14,"""",J272,"""",",",'Code List'!$B$15,"""",K272,"""",",",'Code List'!$B$16,"""",L272,"""",",",'Code List'!$B$17,"""",M272,"""",",",'Code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72" s="167" t="str">
        <f>IF(A272="YES",CONCATENATE("{",'Code List'!$B$31,"""",U272,"""",",",'Code List'!$B$32,'Code List'!$D$32,",",'Code List'!$B$33,'Code List'!$D$33,",",'Code List'!$B$34,'Code List'!$D$34,",",'Code List'!$B$35,'Code List'!$D$35,",",'Code List'!$B$36,'Code List'!$D$36,",",'Code List'!$B$37,'Code List'!$D$37,",",'Code List'!$B$38,"""",H272,"""",",",'Code List'!$B$39,"""",I272,"""",",",'Code List'!$B$40,"""",J272,"""",",",'Code List'!$B$41,"""",K272,"""",",",'Code List'!$B$42,"""",L272,"""",",",'Code List'!$B$43,"""",M272,"""",",",'Code List'!$B$44,"""",N272,"""",",",'Code List'!$B$45,"""",O272,"""",",",'Code List'!$B$46,"""",P272,"""",",",'Code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List'!$B$59,"""",T272,"""","}"),"")</f>
        <v/>
      </c>
    </row>
    <row r="273" spans="1:25" x14ac:dyDescent="0.25">
      <c r="A273" t="str">
        <f>IF(AND($A268="YES",E268=$D$1,F273&gt;0),"YES","NO")</f>
        <v>NO</v>
      </c>
      <c r="C273" t="s">
        <v>5</v>
      </c>
      <c r="D273" s="12" t="str">
        <f t="shared" si="231"/>
        <v>5F</v>
      </c>
      <c r="E273" t="s">
        <v>191</v>
      </c>
      <c r="F273">
        <f>'Expanded Base Data'!I266</f>
        <v>0</v>
      </c>
      <c r="G273" s="171">
        <f>F268</f>
        <v>0</v>
      </c>
      <c r="H273">
        <f>ROUND(B268+'Slide Measurements'!$D$17,$O$1)</f>
        <v>461.51</v>
      </c>
      <c r="I273">
        <f>ROUND(H273+(F273*'Slide Measurements'!$D$21),$O$1)</f>
        <v>461.51</v>
      </c>
      <c r="J273">
        <f>K272</f>
        <v>172.77999999999997</v>
      </c>
      <c r="K273">
        <f>J273+($I$1*'Slide Measurements'!$E$23-'Slide Measurements'!$E$23)</f>
        <v>174.62999999999997</v>
      </c>
      <c r="L273" s="5" t="str">
        <f>'Expanded Base Data'!$L266</f>
        <v/>
      </c>
      <c r="M273" s="5" t="str">
        <f>'Expanded Base Data'!$K266</f>
        <v/>
      </c>
      <c r="N273">
        <f t="shared" si="232"/>
        <v>0</v>
      </c>
      <c r="O273">
        <f t="shared" si="233"/>
        <v>1.85</v>
      </c>
      <c r="P273" s="5" t="e">
        <f t="shared" si="234"/>
        <v>#VALUE!</v>
      </c>
      <c r="Q273">
        <f>'Code List'!$C$63</f>
        <v>3</v>
      </c>
      <c r="R273">
        <f>F274+'Code List'!$G$63</f>
        <v>2</v>
      </c>
      <c r="S273" t="e">
        <f t="shared" si="235"/>
        <v>#VALUE!</v>
      </c>
      <c r="T273" t="e">
        <f t="shared" si="237"/>
        <v>#VALUE!</v>
      </c>
      <c r="U273" t="str">
        <f>IF(A273="YES",CONCATENATE(G273,"_",'Program Page'!$C$4,'Program Page'!$C$5,"_",D273,"_",E273),"")</f>
        <v/>
      </c>
      <c r="V273" t="str">
        <f t="shared" si="236"/>
        <v/>
      </c>
      <c r="W273" t="str">
        <f>IF(A273="YES",CONCATENATE("{",'Code List'!$B$4,'Code List'!$D$4,",",'Code List'!$B$5,'Code List'!$D$5,",",'Code List'!$B$6,"""",U273,"""",",",'Code List'!$B$7,'Code List'!$D$7,",",'Code List'!$B$8,'Code List'!$D$8,",",'Code List'!$B$9,'Code List'!$D$9,",",'Code List'!$B$10,'Code List'!$D$10,",",'Code List'!$B$11,"""",V273,"""",",",'Code List'!$B$12,"""",H273,"""",",",'Code List'!$B$13,"""",I273,"""",",",'Code List'!$B$14,"""",J273,"""",",",'Code List'!$B$15,"""",K273,"""",",",'Code List'!$B$16,"""",L273,"""",",",'Code List'!$B$17,"""",M273,"""",",",'Code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73" s="167" t="str">
        <f>IF(A273="YES",CONCATENATE("{",'Code List'!$B$31,"""",U273,"""",",",'Code List'!$B$32,'Code List'!$D$32,",",'Code List'!$B$33,'Code List'!$D$33,",",'Code List'!$B$34,'Code List'!$D$34,",",'Code List'!$B$35,'Code List'!$D$35,",",'Code List'!$B$36,'Code List'!$D$36,",",'Code List'!$B$37,'Code List'!$D$37,",",'Code List'!$B$38,"""",H273,"""",",",'Code List'!$B$39,"""",I273,"""",",",'Code List'!$B$40,"""",J273,"""",",",'Code List'!$B$41,"""",K273,"""",",",'Code List'!$B$42,"""",L273,"""",",",'Code List'!$B$43,"""",M273,"""",",",'Code List'!$B$44,"""",N273,"""",",",'Code List'!$B$45,"""",O273,"""",",",'Code List'!$B$46,"""",P273,"""",",",'Code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List'!$B$59,"""",T273,"""","}"),"")</f>
        <v/>
      </c>
    </row>
    <row r="274" spans="1:25" x14ac:dyDescent="0.25">
      <c r="A274" t="str">
        <f>IF(AND($A268="YES",E268=$D$1,F274&gt;0),"YES","NO")</f>
        <v>NO</v>
      </c>
      <c r="C274" t="s">
        <v>5</v>
      </c>
      <c r="D274" s="12" t="str">
        <f t="shared" si="231"/>
        <v>5F</v>
      </c>
      <c r="E274" t="s">
        <v>196</v>
      </c>
      <c r="F274">
        <f>'Expanded Base Data'!J266</f>
        <v>0</v>
      </c>
      <c r="G274" s="171">
        <f>F268</f>
        <v>0</v>
      </c>
      <c r="H274">
        <f>ROUND(B268+'Slide Measurements'!$D$17,$O$1)</f>
        <v>461.51</v>
      </c>
      <c r="I274">
        <f>ROUND(H274+(F274*'Slide Measurements'!$D$21),$O$1)</f>
        <v>461.51</v>
      </c>
      <c r="J274">
        <f>K273</f>
        <v>174.62999999999997</v>
      </c>
      <c r="K274">
        <f>J274+($I$1*'Slide Measurements'!$E$23-'Slide Measurements'!$E$23)</f>
        <v>176.47999999999996</v>
      </c>
      <c r="L274" s="5" t="str">
        <f>'Expanded Base Data'!$L266</f>
        <v/>
      </c>
      <c r="M274" s="5" t="str">
        <f>'Expanded Base Data'!$K266</f>
        <v/>
      </c>
      <c r="N274">
        <f t="shared" si="232"/>
        <v>0</v>
      </c>
      <c r="O274">
        <f t="shared" si="233"/>
        <v>1.85</v>
      </c>
      <c r="P274" s="5" t="e">
        <f t="shared" si="234"/>
        <v>#VALUE!</v>
      </c>
      <c r="Q274">
        <f>'Code List'!$C$63</f>
        <v>3</v>
      </c>
      <c r="R274">
        <f>F275+'Code List'!$G$63</f>
        <v>2</v>
      </c>
      <c r="S274" t="e">
        <f t="shared" si="235"/>
        <v>#VALUE!</v>
      </c>
      <c r="T274" t="e">
        <f t="shared" si="237"/>
        <v>#VALUE!</v>
      </c>
      <c r="U274" t="str">
        <f>IF(A274="YES",CONCATENATE(G274,"_",'Program Page'!$C$4,'Program Page'!$C$5,"_",D274,"_",E274),"")</f>
        <v/>
      </c>
      <c r="V274" t="str">
        <f t="shared" si="236"/>
        <v/>
      </c>
      <c r="W274" t="str">
        <f>IF(A274="YES",CONCATENATE("{",'Code List'!$B$4,'Code List'!$D$4,",",'Code List'!$B$5,'Code List'!$D$5,",",'Code List'!$B$6,"""",U274,"""",",",'Code List'!$B$7,'Code List'!$D$7,",",'Code List'!$B$8,'Code List'!$D$8,",",'Code List'!$B$9,'Code List'!$D$9,",",'Code List'!$B$10,'Code List'!$D$10,",",'Code List'!$B$11,"""",V274,"""",",",'Code List'!$B$12,"""",H274,"""",",",'Code List'!$B$13,"""",I274,"""",",",'Code List'!$B$14,"""",J274,"""",",",'Code List'!$B$15,"""",K274,"""",",",'Code List'!$B$16,"""",L274,"""",",",'Code List'!$B$17,"""",M274,"""",",",'Code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74" s="167" t="str">
        <f>IF(A274="YES",CONCATENATE("{",'Code List'!$B$31,"""",U274,"""",",",'Code List'!$B$32,'Code List'!$D$32,",",'Code List'!$B$33,'Code List'!$D$33,",",'Code List'!$B$34,'Code List'!$D$34,",",'Code List'!$B$35,'Code List'!$D$35,",",'Code List'!$B$36,'Code List'!$D$36,",",'Code List'!$B$37,'Code List'!$D$37,",",'Code List'!$B$38,"""",H274,"""",",",'Code List'!$B$39,"""",I274,"""",",",'Code List'!$B$40,"""",J274,"""",",",'Code List'!$B$41,"""",K274,"""",",",'Code List'!$B$42,"""",L274,"""",",",'Code List'!$B$43,"""",M274,"""",",",'Code List'!$B$44,"""",N274,"""",",",'Code List'!$B$45,"""",O274,"""",",",'Code List'!$B$46,"""",P274,"""",",",'Code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List'!$B$59,"""",T274,"""","}"),"")</f>
        <v/>
      </c>
    </row>
    <row r="275" spans="1:25" x14ac:dyDescent="0.25">
      <c r="A275" s="162" t="str">
        <f>IF(AND($A268="YES",E268=$E$1),"YES","NO")</f>
        <v>NO</v>
      </c>
      <c r="C275" t="s">
        <v>259</v>
      </c>
      <c r="D275" s="12" t="str">
        <f>D274</f>
        <v>5F</v>
      </c>
      <c r="E275" t="s">
        <v>259</v>
      </c>
      <c r="G275" s="171">
        <f>F268</f>
        <v>0</v>
      </c>
      <c r="H275">
        <f>ROUND(B268,$O$1)</f>
        <v>436.11</v>
      </c>
      <c r="I275">
        <f>ROUND(B268+'Slide Measurements'!$D$1,$O$1)</f>
        <v>512.55999999999995</v>
      </c>
      <c r="J275">
        <f>C268</f>
        <v>162.92999999999998</v>
      </c>
      <c r="K275">
        <f>C268+'Slide Measurements'!$D$2</f>
        <v>190.32999999999998</v>
      </c>
      <c r="L275" s="5" t="str">
        <f>'Expanded Base Data'!$L266</f>
        <v/>
      </c>
      <c r="M275" s="5" t="str">
        <f>'Expanded Base Data'!$K266</f>
        <v/>
      </c>
      <c r="N275">
        <f t="shared" si="232"/>
        <v>76.45</v>
      </c>
      <c r="O275">
        <f t="shared" si="233"/>
        <v>27.4</v>
      </c>
      <c r="P275" s="5" t="e">
        <f>ROUND((L275-M275),$O$1)</f>
        <v>#VALUE!</v>
      </c>
      <c r="Q275">
        <f>'Code List'!$C$70</f>
        <v>11</v>
      </c>
      <c r="R275">
        <f>'Code List'!$D$70</f>
        <v>19</v>
      </c>
      <c r="S275" t="e">
        <f>IF(P275=0,"1",ROUND((P275/$K$1)+$M$1,0))</f>
        <v>#VALUE!</v>
      </c>
      <c r="T275" t="e">
        <f>Q275*R275*S275</f>
        <v>#VALUE!</v>
      </c>
      <c r="U275" t="str">
        <f>IF(A275="YES",CONCATENATE(G275,"_",'Program Page'!$C$4,'Program Page'!$C$5,"_",D275,"_",E275),"")</f>
        <v/>
      </c>
      <c r="V275" t="str">
        <f>IF(U275="","",CONCATENATE(U275,"_"))</f>
        <v/>
      </c>
      <c r="W275" t="str">
        <f>IF(A275="YES",CONCATENATE("{",'Code List'!$B$4,'Code List'!$D$4,",",'Code List'!$B$5,'Code List'!$D$5,",",'Code List'!$B$6,"""",U275,"""",",",'Code List'!$B$7,'Code List'!$D$7,",",'Code List'!$B$8,'Code List'!$D$8,",",'Code List'!$B$9,'Code List'!$D$9,",",'Code List'!$B$10,'Code List'!$D$10,",",'Code List'!$B$11,"""",V275,"""",",",'Code List'!$B$12,"""",H275,"""",",",'Code List'!$B$13,"""",I275,"""",",",'Code List'!$B$14,"""",J275,"""",",",'Code List'!$B$15,"""",K275,"""",",",'Code List'!$B$16,"""",L275,"""",",",'Code List'!$B$17,"""",M275,"""",",",'Code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275" s="167" t="str">
        <f>IF(A275="YES",CONCATENATE("{",'Code List'!$B$31,"""",U275,"""",",",'Code List'!$B$32,'Code List'!$D$32,",",'Code List'!$B$33,'Code List'!$D$33,",",'Code List'!$B$34,'Code List'!$D$34,",",'Code List'!$B$35,'Code List'!$D$35,",",'Code List'!$B$36,'Code List'!$D$36,",",'Code List'!$B$37,'Code List'!$D$37,",",'Code List'!$B$38,"""",H275,"""",",",'Code List'!$B$39,"""",I275,"""",",",'Code List'!$B$40,"""",J275,"""",",",'Code List'!$B$41,"""",K275,"""",",",'Code List'!$B$42,"""",L275,"""",",",'Code List'!$B$43,"""",M275,"""",",",'Code List'!$B$44,"""",N275,"""",",",'Code List'!$B$45,"""",O275,"""",",",'Code List'!$B$46,"""",P275,"""",",",'Code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List'!$B$59,"""",T275,"""","}"),"")</f>
        <v/>
      </c>
    </row>
    <row r="276" spans="1:25" ht="18.75" x14ac:dyDescent="0.3">
      <c r="A276" s="35" t="str">
        <f>IF(OR(E276=$C$1,E276=$D$1,E276=$E$1),"YES","NO")</f>
        <v>NO</v>
      </c>
      <c r="B276" s="35">
        <f>'Expanded Base Data'!D274</f>
        <v>523.01</v>
      </c>
      <c r="C276" s="35">
        <f>'Expanded Base Data'!E274</f>
        <v>162.92999999999998</v>
      </c>
      <c r="D276" s="36" t="str">
        <f>'Expanded Base Data'!B274</f>
        <v>5G</v>
      </c>
      <c r="E276" s="35">
        <f>'Expanded Base Data'!C274</f>
        <v>0</v>
      </c>
      <c r="F276" s="35">
        <f>'Expanded Base Data'!M274</f>
        <v>0</v>
      </c>
      <c r="G276" s="170">
        <f>F276</f>
        <v>0</v>
      </c>
      <c r="Y276" s="167" t="str">
        <f>""</f>
        <v/>
      </c>
    </row>
    <row r="277" spans="1:25" x14ac:dyDescent="0.25">
      <c r="A277" t="str">
        <f>IF(AND($A276="YES",E276=$C$1),"YES","NO")</f>
        <v>NO</v>
      </c>
      <c r="C277" t="s">
        <v>6</v>
      </c>
      <c r="D277" s="12" t="str">
        <f>D276</f>
        <v>5G</v>
      </c>
      <c r="E277" t="s">
        <v>6</v>
      </c>
      <c r="F277" t="s">
        <v>198</v>
      </c>
      <c r="G277" s="171">
        <f>F276</f>
        <v>0</v>
      </c>
      <c r="H277">
        <f>IF('Expanded Base Data'!N274="",ROUND(B276+'Slide Measurements'!$D$11,$O$1),B276+'Expanded Base Data'!N274)</f>
        <v>556.01</v>
      </c>
      <c r="I277">
        <f>IF('Expanded Base Data'!O274="",ROUND(B276+'Slide Measurements'!$D$12,$O$1),B276+'Expanded Base Data'!O274)</f>
        <v>564.61</v>
      </c>
      <c r="J277">
        <f>IF('Expanded Base Data'!P274="",C276+'Slide Measurements'!$E$13,C276+'Expanded Base Data'!P274)</f>
        <v>171.62999999999997</v>
      </c>
      <c r="K277">
        <f>IF('Expanded Base Data'!Q274="",C276+'Slide Measurements'!$E$14,C276+'Expanded Base Data'!Q274)</f>
        <v>180.22999999999996</v>
      </c>
      <c r="L277" s="5" t="str">
        <f>'Expanded Base Data'!$L274</f>
        <v/>
      </c>
      <c r="M277" s="5" t="str">
        <f>'Expanded Base Data'!$K274</f>
        <v/>
      </c>
      <c r="N277">
        <f>ROUND((I277-H277),$O$1)</f>
        <v>8.6</v>
      </c>
      <c r="O277">
        <f>ROUND((K277-J277),$O$1)</f>
        <v>8.6</v>
      </c>
      <c r="P277" s="5" t="e">
        <f>ROUND((L277-M277),$O$1)</f>
        <v>#VALUE!</v>
      </c>
      <c r="Q277">
        <f>'Code List'!$C$62</f>
        <v>5</v>
      </c>
      <c r="R277">
        <f>F278+'Code List'!$G$63</f>
        <v>2</v>
      </c>
      <c r="S277" t="e">
        <f>IF(P277=0,"1",ROUND((P277/$K$1)+$M$1,0))</f>
        <v>#VALUE!</v>
      </c>
      <c r="T277" t="e">
        <f>Q277*R277*S277</f>
        <v>#VALUE!</v>
      </c>
      <c r="U277" t="str">
        <f>IF(A277="YES",CONCATENATE(G277,"_",'Program Page'!$C$4,'Program Page'!$C$5,"_",D277,"_",E277),"")</f>
        <v/>
      </c>
      <c r="V277" t="str">
        <f>IF(U277="","",CONCATENATE(U277,"_"))</f>
        <v/>
      </c>
      <c r="W277" t="str">
        <f>IF(A277="YES",CONCATENATE("{",'Code List'!$B$4,'Code List'!$D$4,",",'Code List'!$B$5,'Code List'!$D$5,",",'Code List'!$B$6,"""",U277,"""",",",'Code List'!$B$7,'Code List'!$D$7,",",'Code List'!$B$8,'Code List'!$D$8,",",'Code List'!$B$9,'Code List'!$D$9,",",'Code List'!$B$10,'Code List'!$D$10,",",'Code List'!$B$11,"""",V277,"""",",",'Code List'!$B$12,"""",H277,"""",",",'Code List'!$B$13,"""",I277,"""",",",'Code List'!$B$14,"""",J277,"""",",",'Code List'!$B$15,"""",K277,"""",",",'Code List'!$B$16,"""",L277,"""",",",'Code List'!$B$17,"""",M277,"""",",",'Code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77" s="167" t="str">
        <f>IF(A277="YES",CONCATENATE("{",'Code List'!$B$31,"""",U277,"""",",",'Code List'!$B$32,'Code List'!$D$32,",",'Code List'!$B$33,'Code List'!$D$33,",",'Code List'!$B$34,'Code List'!$D$34,",",'Code List'!$B$35,'Code List'!$D$35,",",'Code List'!$B$36,'Code List'!$D$36,",",'Code List'!$B$37,'Code List'!$D$37,",",'Code List'!$B$38,"""",H277,"""",",",'Code List'!$B$39,"""",I277,"""",",",'Code List'!$B$40,"""",J277,"""",",",'Code List'!$B$41,"""",K277,"""",",",'Code List'!$B$42,"""",L277,"""",",",'Code List'!$B$43,"""",M277,"""",",",'Code List'!$B$44,"""",N277,"""",",",'Code List'!$B$45,"""",O277,"""",",",'Code List'!$B$46,"""",P277,"""",",",'Code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List'!$B$59,"""",T277,"""","}"),"")</f>
        <v/>
      </c>
    </row>
    <row r="278" spans="1:25" x14ac:dyDescent="0.25">
      <c r="A278" t="str">
        <f>IF(AND($A276="YES",E276=$D$1,F278&gt;0),"YES","NO")</f>
        <v>NO</v>
      </c>
      <c r="C278" t="s">
        <v>5</v>
      </c>
      <c r="D278" s="12" t="str">
        <f t="shared" ref="D278:D282" si="238">D277</f>
        <v>5G</v>
      </c>
      <c r="E278" t="s">
        <v>188</v>
      </c>
      <c r="F278">
        <f>'Expanded Base Data'!F274</f>
        <v>0</v>
      </c>
      <c r="G278" s="171">
        <f>F276</f>
        <v>0</v>
      </c>
      <c r="H278">
        <f>ROUND(B276+'Slide Measurements'!$D$17,$O$1)</f>
        <v>548.41</v>
      </c>
      <c r="I278">
        <f>ROUND(H278+(F278*'Slide Measurements'!$D$21),$O$1)</f>
        <v>548.41</v>
      </c>
      <c r="J278">
        <f>C276+'Slide Measurements'!$E$17</f>
        <v>167.23</v>
      </c>
      <c r="K278">
        <f>J278+($I$1*'Slide Measurements'!$E$23-'Slide Measurements'!$E$23)</f>
        <v>169.07999999999998</v>
      </c>
      <c r="L278" s="5" t="str">
        <f>'Expanded Base Data'!$L274</f>
        <v/>
      </c>
      <c r="M278" s="5" t="str">
        <f>'Expanded Base Data'!$K274</f>
        <v/>
      </c>
      <c r="N278">
        <f t="shared" ref="N278:N283" si="239">ROUND((I278-H278),$O$1)</f>
        <v>0</v>
      </c>
      <c r="O278">
        <f t="shared" ref="O278:O283" si="240">ROUND((K278-J278),$O$1)</f>
        <v>1.85</v>
      </c>
      <c r="P278" s="5" t="e">
        <f t="shared" ref="P278:P282" si="241">ROUND((L278-M278),$O$1)</f>
        <v>#VALUE!</v>
      </c>
      <c r="Q278">
        <f>'Code List'!$C$63</f>
        <v>3</v>
      </c>
      <c r="R278">
        <f>F279+'Code List'!$G$63</f>
        <v>2</v>
      </c>
      <c r="S278" t="e">
        <f t="shared" ref="S278:S282" si="242">IF(P278=0,"1",ROUND((P278/$K$1)+$M$1,0))</f>
        <v>#VALUE!</v>
      </c>
      <c r="T278" t="e">
        <f>Q278*R278*S278</f>
        <v>#VALUE!</v>
      </c>
      <c r="U278" t="str">
        <f>IF(A278="YES",CONCATENATE(G278,"_",'Program Page'!$C$4,'Program Page'!$C$5,"_",D278,"_",E278),"")</f>
        <v/>
      </c>
      <c r="V278" t="str">
        <f t="shared" ref="V278:V282" si="243">IF(U278="","",CONCATENATE(U278,"_"))</f>
        <v/>
      </c>
      <c r="W278" t="str">
        <f>IF(A278="YES",CONCATENATE("{",'Code List'!$B$4,'Code List'!$D$4,",",'Code List'!$B$5,'Code List'!$D$5,",",'Code List'!$B$6,"""",U278,"""",",",'Code List'!$B$7,'Code List'!$D$7,",",'Code List'!$B$8,'Code List'!$D$8,",",'Code List'!$B$9,'Code List'!$D$9,",",'Code List'!$B$10,'Code List'!$D$10,",",'Code List'!$B$11,"""",V278,"""",",",'Code List'!$B$12,"""",H278,"""",",",'Code List'!$B$13,"""",I278,"""",",",'Code List'!$B$14,"""",J278,"""",",",'Code List'!$B$15,"""",K278,"""",",",'Code List'!$B$16,"""",L278,"""",",",'Code List'!$B$17,"""",M278,"""",",",'Code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78" s="167" t="str">
        <f>IF(A278="YES",CONCATENATE("{",'Code List'!$B$31,"""",U278,"""",",",'Code List'!$B$32,'Code List'!$D$32,",",'Code List'!$B$33,'Code List'!$D$33,",",'Code List'!$B$34,'Code List'!$D$34,",",'Code List'!$B$35,'Code List'!$D$35,",",'Code List'!$B$36,'Code List'!$D$36,",",'Code List'!$B$37,'Code List'!$D$37,",",'Code List'!$B$38,"""",H278,"""",",",'Code List'!$B$39,"""",I278,"""",",",'Code List'!$B$40,"""",J278,"""",",",'Code List'!$B$41,"""",K278,"""",",",'Code List'!$B$42,"""",L278,"""",",",'Code List'!$B$43,"""",M278,"""",",",'Code List'!$B$44,"""",N278,"""",",",'Code List'!$B$45,"""",O278,"""",",",'Code List'!$B$46,"""",P278,"""",",",'Code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List'!$B$59,"""",T278,"""","}"),"")</f>
        <v/>
      </c>
    </row>
    <row r="279" spans="1:25" x14ac:dyDescent="0.25">
      <c r="A279" t="str">
        <f>IF(AND($A276="YES",E276=$D$1,F279&gt;0),"YES","NO")</f>
        <v>NO</v>
      </c>
      <c r="C279" t="s">
        <v>5</v>
      </c>
      <c r="D279" s="12" t="str">
        <f t="shared" si="238"/>
        <v>5G</v>
      </c>
      <c r="E279" t="s">
        <v>189</v>
      </c>
      <c r="F279">
        <f>'Expanded Base Data'!G274</f>
        <v>0</v>
      </c>
      <c r="G279" s="171">
        <f>F276</f>
        <v>0</v>
      </c>
      <c r="H279">
        <f>ROUND(B276+'Slide Measurements'!$D$17,$O$1)</f>
        <v>548.41</v>
      </c>
      <c r="I279">
        <f>ROUND(H279+(F279*'Slide Measurements'!$D$21),$O$1)</f>
        <v>548.41</v>
      </c>
      <c r="J279">
        <f>K278</f>
        <v>169.07999999999998</v>
      </c>
      <c r="K279">
        <f>J279+($I$1*'Slide Measurements'!$E$23-'Slide Measurements'!$E$23)</f>
        <v>170.92999999999998</v>
      </c>
      <c r="L279" s="5" t="str">
        <f>'Expanded Base Data'!$L274</f>
        <v/>
      </c>
      <c r="M279" s="5" t="str">
        <f>'Expanded Base Data'!$K274</f>
        <v/>
      </c>
      <c r="N279">
        <f t="shared" si="239"/>
        <v>0</v>
      </c>
      <c r="O279">
        <f t="shared" si="240"/>
        <v>1.85</v>
      </c>
      <c r="P279" s="5" t="e">
        <f t="shared" si="241"/>
        <v>#VALUE!</v>
      </c>
      <c r="Q279">
        <f>'Code List'!$C$63</f>
        <v>3</v>
      </c>
      <c r="R279">
        <f>F280+'Code List'!$G$63</f>
        <v>2</v>
      </c>
      <c r="S279" t="e">
        <f t="shared" si="242"/>
        <v>#VALUE!</v>
      </c>
      <c r="T279" t="e">
        <f t="shared" ref="T279:T282" si="244">Q279*R279*S279</f>
        <v>#VALUE!</v>
      </c>
      <c r="U279" t="str">
        <f>IF(A279="YES",CONCATENATE(G279,"_",'Program Page'!$C$4,'Program Page'!$C$5,"_",D279,"_",E279),"")</f>
        <v/>
      </c>
      <c r="V279" t="str">
        <f t="shared" si="243"/>
        <v/>
      </c>
      <c r="W279" t="str">
        <f>IF(A279="YES",CONCATENATE("{",'Code List'!$B$4,'Code List'!$D$4,",",'Code List'!$B$5,'Code List'!$D$5,",",'Code List'!$B$6,"""",U279,"""",",",'Code List'!$B$7,'Code List'!$D$7,",",'Code List'!$B$8,'Code List'!$D$8,",",'Code List'!$B$9,'Code List'!$D$9,",",'Code List'!$B$10,'Code List'!$D$10,",",'Code List'!$B$11,"""",V279,"""",",",'Code List'!$B$12,"""",H279,"""",",",'Code List'!$B$13,"""",I279,"""",",",'Code List'!$B$14,"""",J279,"""",",",'Code List'!$B$15,"""",K279,"""",",",'Code List'!$B$16,"""",L279,"""",",",'Code List'!$B$17,"""",M279,"""",",",'Code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79" s="167" t="str">
        <f>IF(A279="YES",CONCATENATE("{",'Code List'!$B$31,"""",U279,"""",",",'Code List'!$B$32,'Code List'!$D$32,",",'Code List'!$B$33,'Code List'!$D$33,",",'Code List'!$B$34,'Code List'!$D$34,",",'Code List'!$B$35,'Code List'!$D$35,",",'Code List'!$B$36,'Code List'!$D$36,",",'Code List'!$B$37,'Code List'!$D$37,",",'Code List'!$B$38,"""",H279,"""",",",'Code List'!$B$39,"""",I279,"""",",",'Code List'!$B$40,"""",J279,"""",",",'Code List'!$B$41,"""",K279,"""",",",'Code List'!$B$42,"""",L279,"""",",",'Code List'!$B$43,"""",M279,"""",",",'Code List'!$B$44,"""",N279,"""",",",'Code List'!$B$45,"""",O279,"""",",",'Code List'!$B$46,"""",P279,"""",",",'Code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List'!$B$59,"""",T279,"""","}"),"")</f>
        <v/>
      </c>
    </row>
    <row r="280" spans="1:25" x14ac:dyDescent="0.25">
      <c r="A280" t="str">
        <f>IF(AND($A276="YES",E276=$D$1,F280&gt;0),"YES","NO")</f>
        <v>NO</v>
      </c>
      <c r="C280" t="s">
        <v>5</v>
      </c>
      <c r="D280" s="12" t="str">
        <f t="shared" si="238"/>
        <v>5G</v>
      </c>
      <c r="E280" t="s">
        <v>190</v>
      </c>
      <c r="F280">
        <f>'Expanded Base Data'!H274</f>
        <v>0</v>
      </c>
      <c r="G280" s="171">
        <f>F276</f>
        <v>0</v>
      </c>
      <c r="H280">
        <f>ROUND(B276+'Slide Measurements'!$D$17,$O$1)</f>
        <v>548.41</v>
      </c>
      <c r="I280">
        <f>ROUND(H280+(F280*'Slide Measurements'!$D$21),$O$1)</f>
        <v>548.41</v>
      </c>
      <c r="J280">
        <f>K279</f>
        <v>170.92999999999998</v>
      </c>
      <c r="K280">
        <f>J280+($I$1*'Slide Measurements'!$E$23-'Slide Measurements'!$E$23)</f>
        <v>172.77999999999997</v>
      </c>
      <c r="L280" s="5" t="str">
        <f>'Expanded Base Data'!$L274</f>
        <v/>
      </c>
      <c r="M280" s="5" t="str">
        <f>'Expanded Base Data'!$K274</f>
        <v/>
      </c>
      <c r="N280">
        <f t="shared" si="239"/>
        <v>0</v>
      </c>
      <c r="O280">
        <f t="shared" si="240"/>
        <v>1.85</v>
      </c>
      <c r="P280" s="5" t="e">
        <f t="shared" si="241"/>
        <v>#VALUE!</v>
      </c>
      <c r="Q280">
        <f>'Code List'!$C$63</f>
        <v>3</v>
      </c>
      <c r="R280">
        <f>F281+'Code List'!$G$63</f>
        <v>2</v>
      </c>
      <c r="S280" t="e">
        <f t="shared" si="242"/>
        <v>#VALUE!</v>
      </c>
      <c r="T280" t="e">
        <f t="shared" si="244"/>
        <v>#VALUE!</v>
      </c>
      <c r="U280" t="str">
        <f>IF(A280="YES",CONCATENATE(G280,"_",'Program Page'!$C$4,'Program Page'!$C$5,"_",D280,"_",E280),"")</f>
        <v/>
      </c>
      <c r="V280" t="str">
        <f t="shared" si="243"/>
        <v/>
      </c>
      <c r="W280" t="str">
        <f>IF(A280="YES",CONCATENATE("{",'Code List'!$B$4,'Code List'!$D$4,",",'Code List'!$B$5,'Code List'!$D$5,",",'Code List'!$B$6,"""",U280,"""",",",'Code List'!$B$7,'Code List'!$D$7,",",'Code List'!$B$8,'Code List'!$D$8,",",'Code List'!$B$9,'Code List'!$D$9,",",'Code List'!$B$10,'Code List'!$D$10,",",'Code List'!$B$11,"""",V280,"""",",",'Code List'!$B$12,"""",H280,"""",",",'Code List'!$B$13,"""",I280,"""",",",'Code List'!$B$14,"""",J280,"""",",",'Code List'!$B$15,"""",K280,"""",",",'Code List'!$B$16,"""",L280,"""",",",'Code List'!$B$17,"""",M280,"""",",",'Code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80" s="167" t="str">
        <f>IF(A280="YES",CONCATENATE("{",'Code List'!$B$31,"""",U280,"""",",",'Code List'!$B$32,'Code List'!$D$32,",",'Code List'!$B$33,'Code List'!$D$33,",",'Code List'!$B$34,'Code List'!$D$34,",",'Code List'!$B$35,'Code List'!$D$35,",",'Code List'!$B$36,'Code List'!$D$36,",",'Code List'!$B$37,'Code List'!$D$37,",",'Code List'!$B$38,"""",H280,"""",",",'Code List'!$B$39,"""",I280,"""",",",'Code List'!$B$40,"""",J280,"""",",",'Code List'!$B$41,"""",K280,"""",",",'Code List'!$B$42,"""",L280,"""",",",'Code List'!$B$43,"""",M280,"""",",",'Code List'!$B$44,"""",N280,"""",",",'Code List'!$B$45,"""",O280,"""",",",'Code List'!$B$46,"""",P280,"""",",",'Code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List'!$B$59,"""",T280,"""","}"),"")</f>
        <v/>
      </c>
    </row>
    <row r="281" spans="1:25" x14ac:dyDescent="0.25">
      <c r="A281" t="str">
        <f>IF(AND($A276="YES",E276=$D$1,F281&gt;0),"YES","NO")</f>
        <v>NO</v>
      </c>
      <c r="C281" t="s">
        <v>5</v>
      </c>
      <c r="D281" s="12" t="str">
        <f t="shared" si="238"/>
        <v>5G</v>
      </c>
      <c r="E281" t="s">
        <v>191</v>
      </c>
      <c r="F281">
        <f>'Expanded Base Data'!I274</f>
        <v>0</v>
      </c>
      <c r="G281" s="171">
        <f>F276</f>
        <v>0</v>
      </c>
      <c r="H281">
        <f>ROUND(B276+'Slide Measurements'!$D$17,$O$1)</f>
        <v>548.41</v>
      </c>
      <c r="I281">
        <f>ROUND(H281+(F281*'Slide Measurements'!$D$21),$O$1)</f>
        <v>548.41</v>
      </c>
      <c r="J281">
        <f>K280</f>
        <v>172.77999999999997</v>
      </c>
      <c r="K281">
        <f>J281+($I$1*'Slide Measurements'!$E$23-'Slide Measurements'!$E$23)</f>
        <v>174.62999999999997</v>
      </c>
      <c r="L281" s="5" t="str">
        <f>'Expanded Base Data'!$L274</f>
        <v/>
      </c>
      <c r="M281" s="5" t="str">
        <f>'Expanded Base Data'!$K274</f>
        <v/>
      </c>
      <c r="N281">
        <f t="shared" si="239"/>
        <v>0</v>
      </c>
      <c r="O281">
        <f t="shared" si="240"/>
        <v>1.85</v>
      </c>
      <c r="P281" s="5" t="e">
        <f t="shared" si="241"/>
        <v>#VALUE!</v>
      </c>
      <c r="Q281">
        <f>'Code List'!$C$63</f>
        <v>3</v>
      </c>
      <c r="R281">
        <f>F282+'Code List'!$G$63</f>
        <v>2</v>
      </c>
      <c r="S281" t="e">
        <f t="shared" si="242"/>
        <v>#VALUE!</v>
      </c>
      <c r="T281" t="e">
        <f t="shared" si="244"/>
        <v>#VALUE!</v>
      </c>
      <c r="U281" t="str">
        <f>IF(A281="YES",CONCATENATE(G281,"_",'Program Page'!$C$4,'Program Page'!$C$5,"_",D281,"_",E281),"")</f>
        <v/>
      </c>
      <c r="V281" t="str">
        <f t="shared" si="243"/>
        <v/>
      </c>
      <c r="W281" t="str">
        <f>IF(A281="YES",CONCATENATE("{",'Code List'!$B$4,'Code List'!$D$4,",",'Code List'!$B$5,'Code List'!$D$5,",",'Code List'!$B$6,"""",U281,"""",",",'Code List'!$B$7,'Code List'!$D$7,",",'Code List'!$B$8,'Code List'!$D$8,",",'Code List'!$B$9,'Code List'!$D$9,",",'Code List'!$B$10,'Code List'!$D$10,",",'Code List'!$B$11,"""",V281,"""",",",'Code List'!$B$12,"""",H281,"""",",",'Code List'!$B$13,"""",I281,"""",",",'Code List'!$B$14,"""",J281,"""",",",'Code List'!$B$15,"""",K281,"""",",",'Code List'!$B$16,"""",L281,"""",",",'Code List'!$B$17,"""",M281,"""",",",'Code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81" s="167" t="str">
        <f>IF(A281="YES",CONCATENATE("{",'Code List'!$B$31,"""",U281,"""",",",'Code List'!$B$32,'Code List'!$D$32,",",'Code List'!$B$33,'Code List'!$D$33,",",'Code List'!$B$34,'Code List'!$D$34,",",'Code List'!$B$35,'Code List'!$D$35,",",'Code List'!$B$36,'Code List'!$D$36,",",'Code List'!$B$37,'Code List'!$D$37,",",'Code List'!$B$38,"""",H281,"""",",",'Code List'!$B$39,"""",I281,"""",",",'Code List'!$B$40,"""",J281,"""",",",'Code List'!$B$41,"""",K281,"""",",",'Code List'!$B$42,"""",L281,"""",",",'Code List'!$B$43,"""",M281,"""",",",'Code List'!$B$44,"""",N281,"""",",",'Code List'!$B$45,"""",O281,"""",",",'Code List'!$B$46,"""",P281,"""",",",'Code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List'!$B$59,"""",T281,"""","}"),"")</f>
        <v/>
      </c>
    </row>
    <row r="282" spans="1:25" x14ac:dyDescent="0.25">
      <c r="A282" t="str">
        <f>IF(AND($A276="YES",E276=$D$1,F282&gt;0),"YES","NO")</f>
        <v>NO</v>
      </c>
      <c r="C282" t="s">
        <v>5</v>
      </c>
      <c r="D282" s="12" t="str">
        <f t="shared" si="238"/>
        <v>5G</v>
      </c>
      <c r="E282" t="s">
        <v>196</v>
      </c>
      <c r="F282">
        <f>'Expanded Base Data'!J274</f>
        <v>0</v>
      </c>
      <c r="G282" s="171">
        <f>F276</f>
        <v>0</v>
      </c>
      <c r="H282">
        <f>ROUND(B276+'Slide Measurements'!$D$17,$O$1)</f>
        <v>548.41</v>
      </c>
      <c r="I282">
        <f>ROUND(H282+(F282*'Slide Measurements'!$D$21),$O$1)</f>
        <v>548.41</v>
      </c>
      <c r="J282">
        <f>K281</f>
        <v>174.62999999999997</v>
      </c>
      <c r="K282">
        <f>J282+($I$1*'Slide Measurements'!$E$23-'Slide Measurements'!$E$23)</f>
        <v>176.47999999999996</v>
      </c>
      <c r="L282" s="5" t="str">
        <f>'Expanded Base Data'!$L274</f>
        <v/>
      </c>
      <c r="M282" s="5" t="str">
        <f>'Expanded Base Data'!$K274</f>
        <v/>
      </c>
      <c r="N282">
        <f t="shared" si="239"/>
        <v>0</v>
      </c>
      <c r="O282">
        <f t="shared" si="240"/>
        <v>1.85</v>
      </c>
      <c r="P282" s="5" t="e">
        <f t="shared" si="241"/>
        <v>#VALUE!</v>
      </c>
      <c r="Q282">
        <f>'Code List'!$C$63</f>
        <v>3</v>
      </c>
      <c r="R282">
        <f>F283+'Code List'!$G$63</f>
        <v>2</v>
      </c>
      <c r="S282" t="e">
        <f t="shared" si="242"/>
        <v>#VALUE!</v>
      </c>
      <c r="T282" t="e">
        <f t="shared" si="244"/>
        <v>#VALUE!</v>
      </c>
      <c r="U282" t="str">
        <f>IF(A282="YES",CONCATENATE(G282,"_",'Program Page'!$C$4,'Program Page'!$C$5,"_",D282,"_",E282),"")</f>
        <v/>
      </c>
      <c r="V282" t="str">
        <f t="shared" si="243"/>
        <v/>
      </c>
      <c r="W282" t="str">
        <f>IF(A282="YES",CONCATENATE("{",'Code List'!$B$4,'Code List'!$D$4,",",'Code List'!$B$5,'Code List'!$D$5,",",'Code List'!$B$6,"""",U282,"""",",",'Code List'!$B$7,'Code List'!$D$7,",",'Code List'!$B$8,'Code List'!$D$8,",",'Code List'!$B$9,'Code List'!$D$9,",",'Code List'!$B$10,'Code List'!$D$10,",",'Code List'!$B$11,"""",V282,"""",",",'Code List'!$B$12,"""",H282,"""",",",'Code List'!$B$13,"""",I282,"""",",",'Code List'!$B$14,"""",J282,"""",",",'Code List'!$B$15,"""",K282,"""",",",'Code List'!$B$16,"""",L282,"""",",",'Code List'!$B$17,"""",M282,"""",",",'Code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82" s="167" t="str">
        <f>IF(A282="YES",CONCATENATE("{",'Code List'!$B$31,"""",U282,"""",",",'Code List'!$B$32,'Code List'!$D$32,",",'Code List'!$B$33,'Code List'!$D$33,",",'Code List'!$B$34,'Code List'!$D$34,",",'Code List'!$B$35,'Code List'!$D$35,",",'Code List'!$B$36,'Code List'!$D$36,",",'Code List'!$B$37,'Code List'!$D$37,",",'Code List'!$B$38,"""",H282,"""",",",'Code List'!$B$39,"""",I282,"""",",",'Code List'!$B$40,"""",J282,"""",",",'Code List'!$B$41,"""",K282,"""",",",'Code List'!$B$42,"""",L282,"""",",",'Code List'!$B$43,"""",M282,"""",",",'Code List'!$B$44,"""",N282,"""",",",'Code List'!$B$45,"""",O282,"""",",",'Code List'!$B$46,"""",P282,"""",",",'Code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List'!$B$59,"""",T282,"""","}"),"")</f>
        <v/>
      </c>
    </row>
    <row r="283" spans="1:25" x14ac:dyDescent="0.25">
      <c r="A283" s="162" t="str">
        <f>IF(AND($A276="YES",E276=$E$1),"YES","NO")</f>
        <v>NO</v>
      </c>
      <c r="C283" t="s">
        <v>259</v>
      </c>
      <c r="D283" s="12" t="str">
        <f>D282</f>
        <v>5G</v>
      </c>
      <c r="E283" t="s">
        <v>259</v>
      </c>
      <c r="G283" s="171">
        <f>F276</f>
        <v>0</v>
      </c>
      <c r="H283">
        <f>ROUND(B276,$O$1)</f>
        <v>523.01</v>
      </c>
      <c r="I283">
        <f>ROUND(B276+'Slide Measurements'!$D$1,$O$1)</f>
        <v>599.46</v>
      </c>
      <c r="J283">
        <f>C276</f>
        <v>162.92999999999998</v>
      </c>
      <c r="K283">
        <f>C276+'Slide Measurements'!$D$2</f>
        <v>190.32999999999998</v>
      </c>
      <c r="L283" s="5" t="str">
        <f>'Expanded Base Data'!$L274</f>
        <v/>
      </c>
      <c r="M283" s="5" t="str">
        <f>'Expanded Base Data'!$K274</f>
        <v/>
      </c>
      <c r="N283">
        <f t="shared" si="239"/>
        <v>76.45</v>
      </c>
      <c r="O283">
        <f t="shared" si="240"/>
        <v>27.4</v>
      </c>
      <c r="P283" s="5" t="e">
        <f>ROUND((L283-M283),$O$1)</f>
        <v>#VALUE!</v>
      </c>
      <c r="Q283">
        <f>'Code List'!$C$70</f>
        <v>11</v>
      </c>
      <c r="R283">
        <f>'Code List'!$D$70</f>
        <v>19</v>
      </c>
      <c r="S283" t="e">
        <f>IF(P283=0,"1",ROUND((P283/$K$1)+$M$1,0))</f>
        <v>#VALUE!</v>
      </c>
      <c r="T283" t="e">
        <f>Q283*R283*S283</f>
        <v>#VALUE!</v>
      </c>
      <c r="U283" t="str">
        <f>IF(A283="YES",CONCATENATE(G283,"_",'Program Page'!$C$4,'Program Page'!$C$5,"_",D283,"_",E283),"")</f>
        <v/>
      </c>
      <c r="V283" t="str">
        <f>IF(U283="","",CONCATENATE(U283,"_"))</f>
        <v/>
      </c>
      <c r="W283" t="str">
        <f>IF(A283="YES",CONCATENATE("{",'Code List'!$B$4,'Code List'!$D$4,",",'Code List'!$B$5,'Code List'!$D$5,",",'Code List'!$B$6,"""",U283,"""",",",'Code List'!$B$7,'Code List'!$D$7,",",'Code List'!$B$8,'Code List'!$D$8,",",'Code List'!$B$9,'Code List'!$D$9,",",'Code List'!$B$10,'Code List'!$D$10,",",'Code List'!$B$11,"""",V283,"""",",",'Code List'!$B$12,"""",H283,"""",",",'Code List'!$B$13,"""",I283,"""",",",'Code List'!$B$14,"""",J283,"""",",",'Code List'!$B$15,"""",K283,"""",",",'Code List'!$B$16,"""",L283,"""",",",'Code List'!$B$17,"""",M283,"""",",",'Code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283" s="167" t="str">
        <f>IF(A283="YES",CONCATENATE("{",'Code List'!$B$31,"""",U283,"""",",",'Code List'!$B$32,'Code List'!$D$32,",",'Code List'!$B$33,'Code List'!$D$33,",",'Code List'!$B$34,'Code List'!$D$34,",",'Code List'!$B$35,'Code List'!$D$35,",",'Code List'!$B$36,'Code List'!$D$36,",",'Code List'!$B$37,'Code List'!$D$37,",",'Code List'!$B$38,"""",H283,"""",",",'Code List'!$B$39,"""",I283,"""",",",'Code List'!$B$40,"""",J283,"""",",",'Code List'!$B$41,"""",K283,"""",",",'Code List'!$B$42,"""",L283,"""",",",'Code List'!$B$43,"""",M283,"""",",",'Code List'!$B$44,"""",N283,"""",",",'Code List'!$B$45,"""",O283,"""",",",'Code List'!$B$46,"""",P283,"""",",",'Code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List'!$B$59,"""",T283,"""","}"),"")</f>
        <v/>
      </c>
    </row>
    <row r="284" spans="1:25" ht="18.75" x14ac:dyDescent="0.3">
      <c r="A284" s="35" t="str">
        <f>IF(OR(E284=$C$1,E284=$D$1,E284=$E$1),"YES","NO")</f>
        <v>NO</v>
      </c>
      <c r="B284" s="35">
        <f>'Expanded Base Data'!D282</f>
        <v>1.5099999999999998</v>
      </c>
      <c r="C284" s="35">
        <f>'Expanded Base Data'!E282</f>
        <v>199.47</v>
      </c>
      <c r="D284" s="36" t="str">
        <f>'Expanded Base Data'!B282</f>
        <v>6A</v>
      </c>
      <c r="E284" s="35">
        <f>'Expanded Base Data'!C282</f>
        <v>0</v>
      </c>
      <c r="F284" s="35">
        <f>'Expanded Base Data'!M282</f>
        <v>0</v>
      </c>
      <c r="G284" s="170">
        <f>F284</f>
        <v>0</v>
      </c>
      <c r="Y284" s="167" t="str">
        <f>""</f>
        <v/>
      </c>
    </row>
    <row r="285" spans="1:25" x14ac:dyDescent="0.25">
      <c r="A285" t="str">
        <f>IF(AND($A284="YES",E284=$C$1),"YES","NO")</f>
        <v>NO</v>
      </c>
      <c r="C285" t="s">
        <v>6</v>
      </c>
      <c r="D285" s="12" t="str">
        <f>D284</f>
        <v>6A</v>
      </c>
      <c r="E285" t="s">
        <v>6</v>
      </c>
      <c r="F285" t="s">
        <v>198</v>
      </c>
      <c r="G285" s="171">
        <f>F284</f>
        <v>0</v>
      </c>
      <c r="H285">
        <f>IF('Expanded Base Data'!N282="",ROUND(B284+'Slide Measurements'!$D$11,$O$1),B284+'Expanded Base Data'!N282)</f>
        <v>34.51</v>
      </c>
      <c r="I285">
        <f>IF('Expanded Base Data'!O282="",ROUND(B284+'Slide Measurements'!$D$12,$O$1),B284+'Expanded Base Data'!O282)</f>
        <v>43.11</v>
      </c>
      <c r="J285">
        <f>IF('Expanded Base Data'!P282="",C284+'Slide Measurements'!$E$13,C284+'Expanded Base Data'!P282)</f>
        <v>208.17</v>
      </c>
      <c r="K285">
        <f>IF('Expanded Base Data'!Q282="",C284+'Slide Measurements'!$E$14,C284+'Expanded Base Data'!Q282)</f>
        <v>216.76999999999998</v>
      </c>
      <c r="L285" s="5" t="str">
        <f>'Expanded Base Data'!$L282</f>
        <v/>
      </c>
      <c r="M285" s="5" t="str">
        <f>'Expanded Base Data'!$K282</f>
        <v/>
      </c>
      <c r="N285">
        <f>ROUND((I285-H285),$O$1)</f>
        <v>8.6</v>
      </c>
      <c r="O285">
        <f>ROUND((K285-J285),$O$1)</f>
        <v>8.6</v>
      </c>
      <c r="P285" s="5" t="e">
        <f>ROUND((L285-M285),$O$1)</f>
        <v>#VALUE!</v>
      </c>
      <c r="Q285">
        <f>'Code List'!$C$62</f>
        <v>5</v>
      </c>
      <c r="R285">
        <f>F286+'Code List'!$G$63</f>
        <v>2</v>
      </c>
      <c r="S285" t="e">
        <f>IF(P285=0,"1",ROUND((P285/$K$1)+$M$1,0))</f>
        <v>#VALUE!</v>
      </c>
      <c r="T285" t="e">
        <f>Q285*R285*S285</f>
        <v>#VALUE!</v>
      </c>
      <c r="U285" t="str">
        <f>IF(A285="YES",CONCATENATE(G285,"_",'Program Page'!$C$4,'Program Page'!$C$5,"_",D285,"_",E285),"")</f>
        <v/>
      </c>
      <c r="V285" t="str">
        <f>IF(U285="","",CONCATENATE(U285,"_"))</f>
        <v/>
      </c>
      <c r="W285" t="str">
        <f>IF(A285="YES",CONCATENATE("{",'Code List'!$B$4,'Code List'!$D$4,",",'Code List'!$B$5,'Code List'!$D$5,",",'Code List'!$B$6,"""",U285,"""",",",'Code List'!$B$7,'Code List'!$D$7,",",'Code List'!$B$8,'Code List'!$D$8,",",'Code List'!$B$9,'Code List'!$D$9,",",'Code List'!$B$10,'Code List'!$D$10,",",'Code List'!$B$11,"""",V285,"""",",",'Code List'!$B$12,"""",H285,"""",",",'Code List'!$B$13,"""",I285,"""",",",'Code List'!$B$14,"""",J285,"""",",",'Code List'!$B$15,"""",K285,"""",",",'Code List'!$B$16,"""",L285,"""",",",'Code List'!$B$17,"""",M285,"""",",",'Code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85" s="167" t="str">
        <f>IF(A285="YES",CONCATENATE("{",'Code List'!$B$31,"""",U285,"""",",",'Code List'!$B$32,'Code List'!$D$32,",",'Code List'!$B$33,'Code List'!$D$33,",",'Code List'!$B$34,'Code List'!$D$34,",",'Code List'!$B$35,'Code List'!$D$35,",",'Code List'!$B$36,'Code List'!$D$36,",",'Code List'!$B$37,'Code List'!$D$37,",",'Code List'!$B$38,"""",H285,"""",",",'Code List'!$B$39,"""",I285,"""",",",'Code List'!$B$40,"""",J285,"""",",",'Code List'!$B$41,"""",K285,"""",",",'Code List'!$B$42,"""",L285,"""",",",'Code List'!$B$43,"""",M285,"""",",",'Code List'!$B$44,"""",N285,"""",",",'Code List'!$B$45,"""",O285,"""",",",'Code List'!$B$46,"""",P285,"""",",",'Code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List'!$B$59,"""",T285,"""","}"),"")</f>
        <v/>
      </c>
    </row>
    <row r="286" spans="1:25" x14ac:dyDescent="0.25">
      <c r="A286" t="str">
        <f>IF(AND($A284="YES",E284=$D$1,F286&gt;0),"YES","NO")</f>
        <v>NO</v>
      </c>
      <c r="C286" t="s">
        <v>5</v>
      </c>
      <c r="D286" s="12" t="str">
        <f t="shared" ref="D286:D290" si="245">D285</f>
        <v>6A</v>
      </c>
      <c r="E286" t="s">
        <v>188</v>
      </c>
      <c r="F286">
        <f>'Expanded Base Data'!F282</f>
        <v>0</v>
      </c>
      <c r="G286" s="171">
        <f>F284</f>
        <v>0</v>
      </c>
      <c r="H286">
        <f>ROUND(B284+'Slide Measurements'!$D$17,$O$1)</f>
        <v>26.91</v>
      </c>
      <c r="I286">
        <f>ROUND(H286+(F286*'Slide Measurements'!$D$21),$O$1)</f>
        <v>26.91</v>
      </c>
      <c r="J286">
        <f>C284+'Slide Measurements'!$E$17</f>
        <v>203.77</v>
      </c>
      <c r="K286">
        <f>J286+($I$1*'Slide Measurements'!$E$23-'Slide Measurements'!$E$23)</f>
        <v>205.62</v>
      </c>
      <c r="L286" s="5" t="str">
        <f>'Expanded Base Data'!$L282</f>
        <v/>
      </c>
      <c r="M286" s="5" t="str">
        <f>'Expanded Base Data'!$K282</f>
        <v/>
      </c>
      <c r="N286">
        <f t="shared" ref="N286:N291" si="246">ROUND((I286-H286),$O$1)</f>
        <v>0</v>
      </c>
      <c r="O286">
        <f t="shared" ref="O286:O291" si="247">ROUND((K286-J286),$O$1)</f>
        <v>1.85</v>
      </c>
      <c r="P286" s="5" t="e">
        <f t="shared" ref="P286:P290" si="248">ROUND((L286-M286),$O$1)</f>
        <v>#VALUE!</v>
      </c>
      <c r="Q286">
        <f>'Code List'!$C$63</f>
        <v>3</v>
      </c>
      <c r="R286">
        <f>F287+'Code List'!$G$63</f>
        <v>2</v>
      </c>
      <c r="S286" t="e">
        <f t="shared" ref="S286:S290" si="249">IF(P286=0,"1",ROUND((P286/$K$1)+$M$1,0))</f>
        <v>#VALUE!</v>
      </c>
      <c r="T286" t="e">
        <f>Q286*R286*S286</f>
        <v>#VALUE!</v>
      </c>
      <c r="U286" t="str">
        <f>IF(A286="YES",CONCATENATE(G286,"_",'Program Page'!$C$4,'Program Page'!$C$5,"_",D286,"_",E286),"")</f>
        <v/>
      </c>
      <c r="V286" t="str">
        <f t="shared" ref="V286:V290" si="250">IF(U286="","",CONCATENATE(U286,"_"))</f>
        <v/>
      </c>
      <c r="W286" t="str">
        <f>IF(A286="YES",CONCATENATE("{",'Code List'!$B$4,'Code List'!$D$4,",",'Code List'!$B$5,'Code List'!$D$5,",",'Code List'!$B$6,"""",U286,"""",",",'Code List'!$B$7,'Code List'!$D$7,",",'Code List'!$B$8,'Code List'!$D$8,",",'Code List'!$B$9,'Code List'!$D$9,",",'Code List'!$B$10,'Code List'!$D$10,",",'Code List'!$B$11,"""",V286,"""",",",'Code List'!$B$12,"""",H286,"""",",",'Code List'!$B$13,"""",I286,"""",",",'Code List'!$B$14,"""",J286,"""",",",'Code List'!$B$15,"""",K286,"""",",",'Code List'!$B$16,"""",L286,"""",",",'Code List'!$B$17,"""",M286,"""",",",'Code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86" s="167" t="str">
        <f>IF(A286="YES",CONCATENATE("{",'Code List'!$B$31,"""",U286,"""",",",'Code List'!$B$32,'Code List'!$D$32,",",'Code List'!$B$33,'Code List'!$D$33,",",'Code List'!$B$34,'Code List'!$D$34,",",'Code List'!$B$35,'Code List'!$D$35,",",'Code List'!$B$36,'Code List'!$D$36,",",'Code List'!$B$37,'Code List'!$D$37,",",'Code List'!$B$38,"""",H286,"""",",",'Code List'!$B$39,"""",I286,"""",",",'Code List'!$B$40,"""",J286,"""",",",'Code List'!$B$41,"""",K286,"""",",",'Code List'!$B$42,"""",L286,"""",",",'Code List'!$B$43,"""",M286,"""",",",'Code List'!$B$44,"""",N286,"""",",",'Code List'!$B$45,"""",O286,"""",",",'Code List'!$B$46,"""",P286,"""",",",'Code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List'!$B$59,"""",T286,"""","}"),"")</f>
        <v/>
      </c>
    </row>
    <row r="287" spans="1:25" x14ac:dyDescent="0.25">
      <c r="A287" t="str">
        <f>IF(AND($A284="YES",E284=$D$1,F287&gt;0),"YES","NO")</f>
        <v>NO</v>
      </c>
      <c r="C287" t="s">
        <v>5</v>
      </c>
      <c r="D287" s="12" t="str">
        <f t="shared" si="245"/>
        <v>6A</v>
      </c>
      <c r="E287" t="s">
        <v>189</v>
      </c>
      <c r="F287">
        <f>'Expanded Base Data'!G282</f>
        <v>0</v>
      </c>
      <c r="G287" s="171">
        <f>F284</f>
        <v>0</v>
      </c>
      <c r="H287">
        <f>ROUND(B284+'Slide Measurements'!$D$17,$O$1)</f>
        <v>26.91</v>
      </c>
      <c r="I287">
        <f>ROUND(H287+(F287*'Slide Measurements'!$D$21),$O$1)</f>
        <v>26.91</v>
      </c>
      <c r="J287">
        <f>K286</f>
        <v>205.62</v>
      </c>
      <c r="K287">
        <f>J287+($I$1*'Slide Measurements'!$E$23-'Slide Measurements'!$E$23)</f>
        <v>207.47</v>
      </c>
      <c r="L287" s="5" t="str">
        <f>'Expanded Base Data'!$L282</f>
        <v/>
      </c>
      <c r="M287" s="5" t="str">
        <f>'Expanded Base Data'!$K282</f>
        <v/>
      </c>
      <c r="N287">
        <f t="shared" si="246"/>
        <v>0</v>
      </c>
      <c r="O287">
        <f t="shared" si="247"/>
        <v>1.85</v>
      </c>
      <c r="P287" s="5" t="e">
        <f t="shared" si="248"/>
        <v>#VALUE!</v>
      </c>
      <c r="Q287">
        <f>'Code List'!$C$63</f>
        <v>3</v>
      </c>
      <c r="R287">
        <f>F288+'Code List'!$G$63</f>
        <v>2</v>
      </c>
      <c r="S287" t="e">
        <f t="shared" si="249"/>
        <v>#VALUE!</v>
      </c>
      <c r="T287" t="e">
        <f t="shared" ref="T287:T290" si="251">Q287*R287*S287</f>
        <v>#VALUE!</v>
      </c>
      <c r="U287" t="str">
        <f>IF(A287="YES",CONCATENATE(G287,"_",'Program Page'!$C$4,'Program Page'!$C$5,"_",D287,"_",E287),"")</f>
        <v/>
      </c>
      <c r="V287" t="str">
        <f t="shared" si="250"/>
        <v/>
      </c>
      <c r="W287" t="str">
        <f>IF(A287="YES",CONCATENATE("{",'Code List'!$B$4,'Code List'!$D$4,",",'Code List'!$B$5,'Code List'!$D$5,",",'Code List'!$B$6,"""",U287,"""",",",'Code List'!$B$7,'Code List'!$D$7,",",'Code List'!$B$8,'Code List'!$D$8,",",'Code List'!$B$9,'Code List'!$D$9,",",'Code List'!$B$10,'Code List'!$D$10,",",'Code List'!$B$11,"""",V287,"""",",",'Code List'!$B$12,"""",H287,"""",",",'Code List'!$B$13,"""",I287,"""",",",'Code List'!$B$14,"""",J287,"""",",",'Code List'!$B$15,"""",K287,"""",",",'Code List'!$B$16,"""",L287,"""",",",'Code List'!$B$17,"""",M287,"""",",",'Code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87" s="167" t="str">
        <f>IF(A287="YES",CONCATENATE("{",'Code List'!$B$31,"""",U287,"""",",",'Code List'!$B$32,'Code List'!$D$32,",",'Code List'!$B$33,'Code List'!$D$33,",",'Code List'!$B$34,'Code List'!$D$34,",",'Code List'!$B$35,'Code List'!$D$35,",",'Code List'!$B$36,'Code List'!$D$36,",",'Code List'!$B$37,'Code List'!$D$37,",",'Code List'!$B$38,"""",H287,"""",",",'Code List'!$B$39,"""",I287,"""",",",'Code List'!$B$40,"""",J287,"""",",",'Code List'!$B$41,"""",K287,"""",",",'Code List'!$B$42,"""",L287,"""",",",'Code List'!$B$43,"""",M287,"""",",",'Code List'!$B$44,"""",N287,"""",",",'Code List'!$B$45,"""",O287,"""",",",'Code List'!$B$46,"""",P287,"""",",",'Code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List'!$B$59,"""",T287,"""","}"),"")</f>
        <v/>
      </c>
    </row>
    <row r="288" spans="1:25" x14ac:dyDescent="0.25">
      <c r="A288" t="str">
        <f>IF(AND($A284="YES",E284=$D$1,F288&gt;0),"YES","NO")</f>
        <v>NO</v>
      </c>
      <c r="C288" t="s">
        <v>5</v>
      </c>
      <c r="D288" s="12" t="str">
        <f t="shared" si="245"/>
        <v>6A</v>
      </c>
      <c r="E288" t="s">
        <v>190</v>
      </c>
      <c r="F288">
        <f>'Expanded Base Data'!H282</f>
        <v>0</v>
      </c>
      <c r="G288" s="171">
        <f>F284</f>
        <v>0</v>
      </c>
      <c r="H288">
        <f>ROUND(B284+'Slide Measurements'!$D$17,$O$1)</f>
        <v>26.91</v>
      </c>
      <c r="I288">
        <f>ROUND(H288+(F288*'Slide Measurements'!$D$21),$O$1)</f>
        <v>26.91</v>
      </c>
      <c r="J288">
        <f>K287</f>
        <v>207.47</v>
      </c>
      <c r="K288">
        <f>J288+($I$1*'Slide Measurements'!$E$23-'Slide Measurements'!$E$23)</f>
        <v>209.32</v>
      </c>
      <c r="L288" s="5" t="str">
        <f>'Expanded Base Data'!$L282</f>
        <v/>
      </c>
      <c r="M288" s="5" t="str">
        <f>'Expanded Base Data'!$K282</f>
        <v/>
      </c>
      <c r="N288">
        <f t="shared" si="246"/>
        <v>0</v>
      </c>
      <c r="O288">
        <f t="shared" si="247"/>
        <v>1.85</v>
      </c>
      <c r="P288" s="5" t="e">
        <f t="shared" si="248"/>
        <v>#VALUE!</v>
      </c>
      <c r="Q288">
        <f>'Code List'!$C$63</f>
        <v>3</v>
      </c>
      <c r="R288">
        <f>F289+'Code List'!$G$63</f>
        <v>2</v>
      </c>
      <c r="S288" t="e">
        <f t="shared" si="249"/>
        <v>#VALUE!</v>
      </c>
      <c r="T288" t="e">
        <f t="shared" si="251"/>
        <v>#VALUE!</v>
      </c>
      <c r="U288" t="str">
        <f>IF(A288="YES",CONCATENATE(G288,"_",'Program Page'!$C$4,'Program Page'!$C$5,"_",D288,"_",E288),"")</f>
        <v/>
      </c>
      <c r="V288" t="str">
        <f t="shared" si="250"/>
        <v/>
      </c>
      <c r="W288" t="str">
        <f>IF(A288="YES",CONCATENATE("{",'Code List'!$B$4,'Code List'!$D$4,",",'Code List'!$B$5,'Code List'!$D$5,",",'Code List'!$B$6,"""",U288,"""",",",'Code List'!$B$7,'Code List'!$D$7,",",'Code List'!$B$8,'Code List'!$D$8,",",'Code List'!$B$9,'Code List'!$D$9,",",'Code List'!$B$10,'Code List'!$D$10,",",'Code List'!$B$11,"""",V288,"""",",",'Code List'!$B$12,"""",H288,"""",",",'Code List'!$B$13,"""",I288,"""",",",'Code List'!$B$14,"""",J288,"""",",",'Code List'!$B$15,"""",K288,"""",",",'Code List'!$B$16,"""",L288,"""",",",'Code List'!$B$17,"""",M288,"""",",",'Code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88" s="167" t="str">
        <f>IF(A288="YES",CONCATENATE("{",'Code List'!$B$31,"""",U288,"""",",",'Code List'!$B$32,'Code List'!$D$32,",",'Code List'!$B$33,'Code List'!$D$33,",",'Code List'!$B$34,'Code List'!$D$34,",",'Code List'!$B$35,'Code List'!$D$35,",",'Code List'!$B$36,'Code List'!$D$36,",",'Code List'!$B$37,'Code List'!$D$37,",",'Code List'!$B$38,"""",H288,"""",",",'Code List'!$B$39,"""",I288,"""",",",'Code List'!$B$40,"""",J288,"""",",",'Code List'!$B$41,"""",K288,"""",",",'Code List'!$B$42,"""",L288,"""",",",'Code List'!$B$43,"""",M288,"""",",",'Code List'!$B$44,"""",N288,"""",",",'Code List'!$B$45,"""",O288,"""",",",'Code List'!$B$46,"""",P288,"""",",",'Code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List'!$B$59,"""",T288,"""","}"),"")</f>
        <v/>
      </c>
    </row>
    <row r="289" spans="1:25" x14ac:dyDescent="0.25">
      <c r="A289" t="str">
        <f>IF(AND($A284="YES",E284=$D$1,F289&gt;0),"YES","NO")</f>
        <v>NO</v>
      </c>
      <c r="C289" t="s">
        <v>5</v>
      </c>
      <c r="D289" s="12" t="str">
        <f t="shared" si="245"/>
        <v>6A</v>
      </c>
      <c r="E289" t="s">
        <v>191</v>
      </c>
      <c r="F289">
        <f>'Expanded Base Data'!I282</f>
        <v>0</v>
      </c>
      <c r="G289" s="171">
        <f>F284</f>
        <v>0</v>
      </c>
      <c r="H289">
        <f>ROUND(B284+'Slide Measurements'!$D$17,$O$1)</f>
        <v>26.91</v>
      </c>
      <c r="I289">
        <f>ROUND(H289+(F289*'Slide Measurements'!$D$21),$O$1)</f>
        <v>26.91</v>
      </c>
      <c r="J289">
        <f>K288</f>
        <v>209.32</v>
      </c>
      <c r="K289">
        <f>J289+($I$1*'Slide Measurements'!$E$23-'Slide Measurements'!$E$23)</f>
        <v>211.17</v>
      </c>
      <c r="L289" s="5" t="str">
        <f>'Expanded Base Data'!$L282</f>
        <v/>
      </c>
      <c r="M289" s="5" t="str">
        <f>'Expanded Base Data'!$K282</f>
        <v/>
      </c>
      <c r="N289">
        <f t="shared" si="246"/>
        <v>0</v>
      </c>
      <c r="O289">
        <f t="shared" si="247"/>
        <v>1.85</v>
      </c>
      <c r="P289" s="5" t="e">
        <f t="shared" si="248"/>
        <v>#VALUE!</v>
      </c>
      <c r="Q289">
        <f>'Code List'!$C$63</f>
        <v>3</v>
      </c>
      <c r="R289">
        <f>F290+'Code List'!$G$63</f>
        <v>2</v>
      </c>
      <c r="S289" t="e">
        <f t="shared" si="249"/>
        <v>#VALUE!</v>
      </c>
      <c r="T289" t="e">
        <f t="shared" si="251"/>
        <v>#VALUE!</v>
      </c>
      <c r="U289" t="str">
        <f>IF(A289="YES",CONCATENATE(G289,"_",'Program Page'!$C$4,'Program Page'!$C$5,"_",D289,"_",E289),"")</f>
        <v/>
      </c>
      <c r="V289" t="str">
        <f t="shared" si="250"/>
        <v/>
      </c>
      <c r="W289" t="str">
        <f>IF(A289="YES",CONCATENATE("{",'Code List'!$B$4,'Code List'!$D$4,",",'Code List'!$B$5,'Code List'!$D$5,",",'Code List'!$B$6,"""",U289,"""",",",'Code List'!$B$7,'Code List'!$D$7,",",'Code List'!$B$8,'Code List'!$D$8,",",'Code List'!$B$9,'Code List'!$D$9,",",'Code List'!$B$10,'Code List'!$D$10,",",'Code List'!$B$11,"""",V289,"""",",",'Code List'!$B$12,"""",H289,"""",",",'Code List'!$B$13,"""",I289,"""",",",'Code List'!$B$14,"""",J289,"""",",",'Code List'!$B$15,"""",K289,"""",",",'Code List'!$B$16,"""",L289,"""",",",'Code List'!$B$17,"""",M289,"""",",",'Code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89" s="167" t="str">
        <f>IF(A289="YES",CONCATENATE("{",'Code List'!$B$31,"""",U289,"""",",",'Code List'!$B$32,'Code List'!$D$32,",",'Code List'!$B$33,'Code List'!$D$33,",",'Code List'!$B$34,'Code List'!$D$34,",",'Code List'!$B$35,'Code List'!$D$35,",",'Code List'!$B$36,'Code List'!$D$36,",",'Code List'!$B$37,'Code List'!$D$37,",",'Code List'!$B$38,"""",H289,"""",",",'Code List'!$B$39,"""",I289,"""",",",'Code List'!$B$40,"""",J289,"""",",",'Code List'!$B$41,"""",K289,"""",",",'Code List'!$B$42,"""",L289,"""",",",'Code List'!$B$43,"""",M289,"""",",",'Code List'!$B$44,"""",N289,"""",",",'Code List'!$B$45,"""",O289,"""",",",'Code List'!$B$46,"""",P289,"""",",",'Code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List'!$B$59,"""",T289,"""","}"),"")</f>
        <v/>
      </c>
    </row>
    <row r="290" spans="1:25" x14ac:dyDescent="0.25">
      <c r="A290" t="str">
        <f>IF(AND($A284="YES",E284=$D$1,F290&gt;0),"YES","NO")</f>
        <v>NO</v>
      </c>
      <c r="C290" t="s">
        <v>5</v>
      </c>
      <c r="D290" s="12" t="str">
        <f t="shared" si="245"/>
        <v>6A</v>
      </c>
      <c r="E290" t="s">
        <v>196</v>
      </c>
      <c r="F290">
        <f>'Expanded Base Data'!J282</f>
        <v>0</v>
      </c>
      <c r="G290" s="171">
        <f>F284</f>
        <v>0</v>
      </c>
      <c r="H290">
        <f>ROUND(B284+'Slide Measurements'!$D$17,$O$1)</f>
        <v>26.91</v>
      </c>
      <c r="I290">
        <f>ROUND(H290+(F290*'Slide Measurements'!$D$21),$O$1)</f>
        <v>26.91</v>
      </c>
      <c r="J290">
        <f>K289</f>
        <v>211.17</v>
      </c>
      <c r="K290">
        <f>J290+($I$1*'Slide Measurements'!$E$23-'Slide Measurements'!$E$23)</f>
        <v>213.01999999999998</v>
      </c>
      <c r="L290" s="5" t="str">
        <f>'Expanded Base Data'!$L282</f>
        <v/>
      </c>
      <c r="M290" s="5" t="str">
        <f>'Expanded Base Data'!$K282</f>
        <v/>
      </c>
      <c r="N290">
        <f t="shared" si="246"/>
        <v>0</v>
      </c>
      <c r="O290">
        <f t="shared" si="247"/>
        <v>1.85</v>
      </c>
      <c r="P290" s="5" t="e">
        <f t="shared" si="248"/>
        <v>#VALUE!</v>
      </c>
      <c r="Q290">
        <f>'Code List'!$C$63</f>
        <v>3</v>
      </c>
      <c r="R290">
        <f>F291+'Code List'!$G$63</f>
        <v>2</v>
      </c>
      <c r="S290" t="e">
        <f t="shared" si="249"/>
        <v>#VALUE!</v>
      </c>
      <c r="T290" t="e">
        <f t="shared" si="251"/>
        <v>#VALUE!</v>
      </c>
      <c r="U290" t="str">
        <f>IF(A290="YES",CONCATENATE(G290,"_",'Program Page'!$C$4,'Program Page'!$C$5,"_",D290,"_",E290),"")</f>
        <v/>
      </c>
      <c r="V290" t="str">
        <f t="shared" si="250"/>
        <v/>
      </c>
      <c r="W290" t="str">
        <f>IF(A290="YES",CONCATENATE("{",'Code List'!$B$4,'Code List'!$D$4,",",'Code List'!$B$5,'Code List'!$D$5,",",'Code List'!$B$6,"""",U290,"""",",",'Code List'!$B$7,'Code List'!$D$7,",",'Code List'!$B$8,'Code List'!$D$8,",",'Code List'!$B$9,'Code List'!$D$9,",",'Code List'!$B$10,'Code List'!$D$10,",",'Code List'!$B$11,"""",V290,"""",",",'Code List'!$B$12,"""",H290,"""",",",'Code List'!$B$13,"""",I290,"""",",",'Code List'!$B$14,"""",J290,"""",",",'Code List'!$B$15,"""",K290,"""",",",'Code List'!$B$16,"""",L290,"""",",",'Code List'!$B$17,"""",M290,"""",",",'Code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90" s="167" t="str">
        <f>IF(A290="YES",CONCATENATE("{",'Code List'!$B$31,"""",U290,"""",",",'Code List'!$B$32,'Code List'!$D$32,",",'Code List'!$B$33,'Code List'!$D$33,",",'Code List'!$B$34,'Code List'!$D$34,",",'Code List'!$B$35,'Code List'!$D$35,",",'Code List'!$B$36,'Code List'!$D$36,",",'Code List'!$B$37,'Code List'!$D$37,",",'Code List'!$B$38,"""",H290,"""",",",'Code List'!$B$39,"""",I290,"""",",",'Code List'!$B$40,"""",J290,"""",",",'Code List'!$B$41,"""",K290,"""",",",'Code List'!$B$42,"""",L290,"""",",",'Code List'!$B$43,"""",M290,"""",",",'Code List'!$B$44,"""",N290,"""",",",'Code List'!$B$45,"""",O290,"""",",",'Code List'!$B$46,"""",P290,"""",",",'Code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List'!$B$59,"""",T290,"""","}"),"")</f>
        <v/>
      </c>
    </row>
    <row r="291" spans="1:25" x14ac:dyDescent="0.25">
      <c r="A291" s="162" t="str">
        <f>IF(AND($A284="YES",E284=$E$1),"YES","NO")</f>
        <v>NO</v>
      </c>
      <c r="C291" t="s">
        <v>259</v>
      </c>
      <c r="D291" s="12" t="str">
        <f>D290</f>
        <v>6A</v>
      </c>
      <c r="E291" t="s">
        <v>259</v>
      </c>
      <c r="G291" s="171">
        <f>F284</f>
        <v>0</v>
      </c>
      <c r="H291">
        <f>ROUND(B284,$O$1)</f>
        <v>1.51</v>
      </c>
      <c r="I291">
        <f>ROUND(B284+'Slide Measurements'!$D$1,$O$1)</f>
        <v>77.959999999999994</v>
      </c>
      <c r="J291">
        <f>C284</f>
        <v>199.47</v>
      </c>
      <c r="K291">
        <f>C284+'Slide Measurements'!$D$2</f>
        <v>226.87</v>
      </c>
      <c r="L291" s="5" t="str">
        <f>'Expanded Base Data'!$L282</f>
        <v/>
      </c>
      <c r="M291" s="5" t="str">
        <f>'Expanded Base Data'!$K282</f>
        <v/>
      </c>
      <c r="N291">
        <f t="shared" si="246"/>
        <v>76.45</v>
      </c>
      <c r="O291">
        <f t="shared" si="247"/>
        <v>27.4</v>
      </c>
      <c r="P291" s="5" t="e">
        <f>ROUND((L291-M291),$O$1)</f>
        <v>#VALUE!</v>
      </c>
      <c r="Q291">
        <f>'Code List'!$C$70</f>
        <v>11</v>
      </c>
      <c r="R291">
        <f>'Code List'!$D$70</f>
        <v>19</v>
      </c>
      <c r="S291" t="e">
        <f>IF(P291=0,"1",ROUND((P291/$K$1)+$M$1,0))</f>
        <v>#VALUE!</v>
      </c>
      <c r="T291" t="e">
        <f>Q291*R291*S291</f>
        <v>#VALUE!</v>
      </c>
      <c r="U291" t="str">
        <f>IF(A291="YES",CONCATENATE(G291,"_",'Program Page'!$C$4,'Program Page'!$C$5,"_",D291,"_",E291),"")</f>
        <v/>
      </c>
      <c r="V291" t="str">
        <f>IF(U291="","",CONCATENATE(U291,"_"))</f>
        <v/>
      </c>
      <c r="W291" t="str">
        <f>IF(A291="YES",CONCATENATE("{",'Code List'!$B$4,'Code List'!$D$4,",",'Code List'!$B$5,'Code List'!$D$5,",",'Code List'!$B$6,"""",U291,"""",",",'Code List'!$B$7,'Code List'!$D$7,",",'Code List'!$B$8,'Code List'!$D$8,",",'Code List'!$B$9,'Code List'!$D$9,",",'Code List'!$B$10,'Code List'!$D$10,",",'Code List'!$B$11,"""",V291,"""",",",'Code List'!$B$12,"""",H291,"""",",",'Code List'!$B$13,"""",I291,"""",",",'Code List'!$B$14,"""",J291,"""",",",'Code List'!$B$15,"""",K291,"""",",",'Code List'!$B$16,"""",L291,"""",",",'Code List'!$B$17,"""",M291,"""",",",'Code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291" s="167" t="str">
        <f>IF(A291="YES",CONCATENATE("{",'Code List'!$B$31,"""",U291,"""",",",'Code List'!$B$32,'Code List'!$D$32,",",'Code List'!$B$33,'Code List'!$D$33,",",'Code List'!$B$34,'Code List'!$D$34,",",'Code List'!$B$35,'Code List'!$D$35,",",'Code List'!$B$36,'Code List'!$D$36,",",'Code List'!$B$37,'Code List'!$D$37,",",'Code List'!$B$38,"""",H291,"""",",",'Code List'!$B$39,"""",I291,"""",",",'Code List'!$B$40,"""",J291,"""",",",'Code List'!$B$41,"""",K291,"""",",",'Code List'!$B$42,"""",L291,"""",",",'Code List'!$B$43,"""",M291,"""",",",'Code List'!$B$44,"""",N291,"""",",",'Code List'!$B$45,"""",O291,"""",",",'Code List'!$B$46,"""",P291,"""",",",'Code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List'!$B$59,"""",T291,"""","}"),"")</f>
        <v/>
      </c>
    </row>
    <row r="292" spans="1:25" ht="18.75" x14ac:dyDescent="0.3">
      <c r="A292" s="35" t="str">
        <f>IF(OR(E292=$C$1,E292=$D$1,E292=$E$1),"YES","NO")</f>
        <v>NO</v>
      </c>
      <c r="B292" s="35">
        <f>'Expanded Base Data'!D290</f>
        <v>89.51</v>
      </c>
      <c r="C292" s="35">
        <f>'Expanded Base Data'!E290</f>
        <v>199.47</v>
      </c>
      <c r="D292" s="36" t="str">
        <f>'Expanded Base Data'!B290</f>
        <v>6B</v>
      </c>
      <c r="E292" s="35">
        <f>'Expanded Base Data'!C290</f>
        <v>0</v>
      </c>
      <c r="F292" s="35">
        <f>'Expanded Base Data'!M290</f>
        <v>0</v>
      </c>
      <c r="G292" s="170">
        <f>F292</f>
        <v>0</v>
      </c>
      <c r="Y292" s="167" t="str">
        <f>""</f>
        <v/>
      </c>
    </row>
    <row r="293" spans="1:25" x14ac:dyDescent="0.25">
      <c r="A293" t="str">
        <f>IF(AND($A292="YES",E292=$C$1),"YES","NO")</f>
        <v>NO</v>
      </c>
      <c r="C293" t="s">
        <v>6</v>
      </c>
      <c r="D293" s="12" t="str">
        <f>D292</f>
        <v>6B</v>
      </c>
      <c r="E293" t="s">
        <v>6</v>
      </c>
      <c r="F293" t="s">
        <v>198</v>
      </c>
      <c r="G293" s="171">
        <f>F292</f>
        <v>0</v>
      </c>
      <c r="H293">
        <f>IF('Expanded Base Data'!N290="",ROUND(B292+'Slide Measurements'!$D$11,$O$1),B292+'Expanded Base Data'!N290)</f>
        <v>122.51</v>
      </c>
      <c r="I293">
        <f>IF('Expanded Base Data'!O290="",ROUND(B292+'Slide Measurements'!$D$12,$O$1),B292+'Expanded Base Data'!O290)</f>
        <v>131.11000000000001</v>
      </c>
      <c r="J293">
        <f>IF('Expanded Base Data'!P290="",C292+'Slide Measurements'!$E$13,C292+'Expanded Base Data'!P290)</f>
        <v>208.17</v>
      </c>
      <c r="K293">
        <f>IF('Expanded Base Data'!Q290="",C292+'Slide Measurements'!$E$14,C292+'Expanded Base Data'!Q290)</f>
        <v>216.76999999999998</v>
      </c>
      <c r="L293" s="5" t="str">
        <f>'Expanded Base Data'!$L290</f>
        <v/>
      </c>
      <c r="M293" s="5" t="str">
        <f>'Expanded Base Data'!$K290</f>
        <v/>
      </c>
      <c r="N293">
        <f>ROUND((I293-H293),$O$1)</f>
        <v>8.6</v>
      </c>
      <c r="O293">
        <f>ROUND((K293-J293),$O$1)</f>
        <v>8.6</v>
      </c>
      <c r="P293" s="5" t="e">
        <f>ROUND((L293-M293),$O$1)</f>
        <v>#VALUE!</v>
      </c>
      <c r="Q293">
        <f>'Code List'!$C$62</f>
        <v>5</v>
      </c>
      <c r="R293">
        <f>F294+'Code List'!$G$63</f>
        <v>2</v>
      </c>
      <c r="S293" t="e">
        <f>IF(P293=0,"1",ROUND((P293/$K$1)+$M$1,0))</f>
        <v>#VALUE!</v>
      </c>
      <c r="T293" t="e">
        <f>Q293*R293*S293</f>
        <v>#VALUE!</v>
      </c>
      <c r="U293" t="str">
        <f>IF(A293="YES",CONCATENATE(G293,"_",'Program Page'!$C$4,'Program Page'!$C$5,"_",D293,"_",E293),"")</f>
        <v/>
      </c>
      <c r="V293" t="str">
        <f>IF(U293="","",CONCATENATE(U293,"_"))</f>
        <v/>
      </c>
      <c r="W293" t="str">
        <f>IF(A293="YES",CONCATENATE("{",'Code List'!$B$4,'Code List'!$D$4,",",'Code List'!$B$5,'Code List'!$D$5,",",'Code List'!$B$6,"""",U293,"""",",",'Code List'!$B$7,'Code List'!$D$7,",",'Code List'!$B$8,'Code List'!$D$8,",",'Code List'!$B$9,'Code List'!$D$9,",",'Code List'!$B$10,'Code List'!$D$10,",",'Code List'!$B$11,"""",V293,"""",",",'Code List'!$B$12,"""",H293,"""",",",'Code List'!$B$13,"""",I293,"""",",",'Code List'!$B$14,"""",J293,"""",",",'Code List'!$B$15,"""",K293,"""",",",'Code List'!$B$16,"""",L293,"""",",",'Code List'!$B$17,"""",M293,"""",",",'Code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93" s="167" t="str">
        <f>IF(A293="YES",CONCATENATE("{",'Code List'!$B$31,"""",U293,"""",",",'Code List'!$B$32,'Code List'!$D$32,",",'Code List'!$B$33,'Code List'!$D$33,",",'Code List'!$B$34,'Code List'!$D$34,",",'Code List'!$B$35,'Code List'!$D$35,",",'Code List'!$B$36,'Code List'!$D$36,",",'Code List'!$B$37,'Code List'!$D$37,",",'Code List'!$B$38,"""",H293,"""",",",'Code List'!$B$39,"""",I293,"""",",",'Code List'!$B$40,"""",J293,"""",",",'Code List'!$B$41,"""",K293,"""",",",'Code List'!$B$42,"""",L293,"""",",",'Code List'!$B$43,"""",M293,"""",",",'Code List'!$B$44,"""",N293,"""",",",'Code List'!$B$45,"""",O293,"""",",",'Code List'!$B$46,"""",P293,"""",",",'Code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List'!$B$59,"""",T293,"""","}"),"")</f>
        <v/>
      </c>
    </row>
    <row r="294" spans="1:25" x14ac:dyDescent="0.25">
      <c r="A294" t="str">
        <f>IF(AND($A292="YES",E292=$D$1,F294&gt;0),"YES","NO")</f>
        <v>NO</v>
      </c>
      <c r="C294" t="s">
        <v>5</v>
      </c>
      <c r="D294" s="12" t="str">
        <f t="shared" ref="D294:D298" si="252">D293</f>
        <v>6B</v>
      </c>
      <c r="E294" t="s">
        <v>188</v>
      </c>
      <c r="F294">
        <f>'Expanded Base Data'!F290</f>
        <v>0</v>
      </c>
      <c r="G294" s="171">
        <f>F292</f>
        <v>0</v>
      </c>
      <c r="H294">
        <f>ROUND(B292+'Slide Measurements'!$D$17,$O$1)</f>
        <v>114.91</v>
      </c>
      <c r="I294">
        <f>ROUND(H294+(F294*'Slide Measurements'!$D$21),$O$1)</f>
        <v>114.91</v>
      </c>
      <c r="J294">
        <f>C292+'Slide Measurements'!$E$17</f>
        <v>203.77</v>
      </c>
      <c r="K294">
        <f>J294+($I$1*'Slide Measurements'!$E$23-'Slide Measurements'!$E$23)</f>
        <v>205.62</v>
      </c>
      <c r="L294" s="5" t="str">
        <f>'Expanded Base Data'!$L290</f>
        <v/>
      </c>
      <c r="M294" s="5" t="str">
        <f>'Expanded Base Data'!$K290</f>
        <v/>
      </c>
      <c r="N294">
        <f t="shared" ref="N294:N299" si="253">ROUND((I294-H294),$O$1)</f>
        <v>0</v>
      </c>
      <c r="O294">
        <f t="shared" ref="O294:O299" si="254">ROUND((K294-J294),$O$1)</f>
        <v>1.85</v>
      </c>
      <c r="P294" s="5" t="e">
        <f t="shared" ref="P294:P298" si="255">ROUND((L294-M294),$O$1)</f>
        <v>#VALUE!</v>
      </c>
      <c r="Q294">
        <f>'Code List'!$C$63</f>
        <v>3</v>
      </c>
      <c r="R294">
        <f>F295+'Code List'!$G$63</f>
        <v>2</v>
      </c>
      <c r="S294" t="e">
        <f t="shared" ref="S294:S298" si="256">IF(P294=0,"1",ROUND((P294/$K$1)+$M$1,0))</f>
        <v>#VALUE!</v>
      </c>
      <c r="T294" t="e">
        <f>Q294*R294*S294</f>
        <v>#VALUE!</v>
      </c>
      <c r="U294" t="str">
        <f>IF(A294="YES",CONCATENATE(G294,"_",'Program Page'!$C$4,'Program Page'!$C$5,"_",D294,"_",E294),"")</f>
        <v/>
      </c>
      <c r="V294" t="str">
        <f t="shared" ref="V294:V298" si="257">IF(U294="","",CONCATENATE(U294,"_"))</f>
        <v/>
      </c>
      <c r="W294" t="str">
        <f>IF(A294="YES",CONCATENATE("{",'Code List'!$B$4,'Code List'!$D$4,",",'Code List'!$B$5,'Code List'!$D$5,",",'Code List'!$B$6,"""",U294,"""",",",'Code List'!$B$7,'Code List'!$D$7,",",'Code List'!$B$8,'Code List'!$D$8,",",'Code List'!$B$9,'Code List'!$D$9,",",'Code List'!$B$10,'Code List'!$D$10,",",'Code List'!$B$11,"""",V294,"""",",",'Code List'!$B$12,"""",H294,"""",",",'Code List'!$B$13,"""",I294,"""",",",'Code List'!$B$14,"""",J294,"""",",",'Code List'!$B$15,"""",K294,"""",",",'Code List'!$B$16,"""",L294,"""",",",'Code List'!$B$17,"""",M294,"""",",",'Code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94" s="167" t="str">
        <f>IF(A294="YES",CONCATENATE("{",'Code List'!$B$31,"""",U294,"""",",",'Code List'!$B$32,'Code List'!$D$32,",",'Code List'!$B$33,'Code List'!$D$33,",",'Code List'!$B$34,'Code List'!$D$34,",",'Code List'!$B$35,'Code List'!$D$35,",",'Code List'!$B$36,'Code List'!$D$36,",",'Code List'!$B$37,'Code List'!$D$37,",",'Code List'!$B$38,"""",H294,"""",",",'Code List'!$B$39,"""",I294,"""",",",'Code List'!$B$40,"""",J294,"""",",",'Code List'!$B$41,"""",K294,"""",",",'Code List'!$B$42,"""",L294,"""",",",'Code List'!$B$43,"""",M294,"""",",",'Code List'!$B$44,"""",N294,"""",",",'Code List'!$B$45,"""",O294,"""",",",'Code List'!$B$46,"""",P294,"""",",",'Code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List'!$B$59,"""",T294,"""","}"),"")</f>
        <v/>
      </c>
    </row>
    <row r="295" spans="1:25" x14ac:dyDescent="0.25">
      <c r="A295" t="str">
        <f>IF(AND($A292="YES",E292=$D$1,F295&gt;0),"YES","NO")</f>
        <v>NO</v>
      </c>
      <c r="C295" t="s">
        <v>5</v>
      </c>
      <c r="D295" s="12" t="str">
        <f t="shared" si="252"/>
        <v>6B</v>
      </c>
      <c r="E295" t="s">
        <v>189</v>
      </c>
      <c r="F295">
        <f>'Expanded Base Data'!G290</f>
        <v>0</v>
      </c>
      <c r="G295" s="171">
        <f>F292</f>
        <v>0</v>
      </c>
      <c r="H295">
        <f>ROUND(B292+'Slide Measurements'!$D$17,$O$1)</f>
        <v>114.91</v>
      </c>
      <c r="I295">
        <f>ROUND(H295+(F295*'Slide Measurements'!$D$21),$O$1)</f>
        <v>114.91</v>
      </c>
      <c r="J295">
        <f>K294</f>
        <v>205.62</v>
      </c>
      <c r="K295">
        <f>J295+($I$1*'Slide Measurements'!$E$23-'Slide Measurements'!$E$23)</f>
        <v>207.47</v>
      </c>
      <c r="L295" s="5" t="str">
        <f>'Expanded Base Data'!$L290</f>
        <v/>
      </c>
      <c r="M295" s="5" t="str">
        <f>'Expanded Base Data'!$K290</f>
        <v/>
      </c>
      <c r="N295">
        <f t="shared" si="253"/>
        <v>0</v>
      </c>
      <c r="O295">
        <f t="shared" si="254"/>
        <v>1.85</v>
      </c>
      <c r="P295" s="5" t="e">
        <f t="shared" si="255"/>
        <v>#VALUE!</v>
      </c>
      <c r="Q295">
        <f>'Code List'!$C$63</f>
        <v>3</v>
      </c>
      <c r="R295">
        <f>F296+'Code List'!$G$63</f>
        <v>2</v>
      </c>
      <c r="S295" t="e">
        <f t="shared" si="256"/>
        <v>#VALUE!</v>
      </c>
      <c r="T295" t="e">
        <f t="shared" ref="T295:T298" si="258">Q295*R295*S295</f>
        <v>#VALUE!</v>
      </c>
      <c r="U295" t="str">
        <f>IF(A295="YES",CONCATENATE(G295,"_",'Program Page'!$C$4,'Program Page'!$C$5,"_",D295,"_",E295),"")</f>
        <v/>
      </c>
      <c r="V295" t="str">
        <f t="shared" si="257"/>
        <v/>
      </c>
      <c r="W295" t="str">
        <f>IF(A295="YES",CONCATENATE("{",'Code List'!$B$4,'Code List'!$D$4,",",'Code List'!$B$5,'Code List'!$D$5,",",'Code List'!$B$6,"""",U295,"""",",",'Code List'!$B$7,'Code List'!$D$7,",",'Code List'!$B$8,'Code List'!$D$8,",",'Code List'!$B$9,'Code List'!$D$9,",",'Code List'!$B$10,'Code List'!$D$10,",",'Code List'!$B$11,"""",V295,"""",",",'Code List'!$B$12,"""",H295,"""",",",'Code List'!$B$13,"""",I295,"""",",",'Code List'!$B$14,"""",J295,"""",",",'Code List'!$B$15,"""",K295,"""",",",'Code List'!$B$16,"""",L295,"""",",",'Code List'!$B$17,"""",M295,"""",",",'Code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95" s="167" t="str">
        <f>IF(A295="YES",CONCATENATE("{",'Code List'!$B$31,"""",U295,"""",",",'Code List'!$B$32,'Code List'!$D$32,",",'Code List'!$B$33,'Code List'!$D$33,",",'Code List'!$B$34,'Code List'!$D$34,",",'Code List'!$B$35,'Code List'!$D$35,",",'Code List'!$B$36,'Code List'!$D$36,",",'Code List'!$B$37,'Code List'!$D$37,",",'Code List'!$B$38,"""",H295,"""",",",'Code List'!$B$39,"""",I295,"""",",",'Code List'!$B$40,"""",J295,"""",",",'Code List'!$B$41,"""",K295,"""",",",'Code List'!$B$42,"""",L295,"""",",",'Code List'!$B$43,"""",M295,"""",",",'Code List'!$B$44,"""",N295,"""",",",'Code List'!$B$45,"""",O295,"""",",",'Code List'!$B$46,"""",P295,"""",",",'Code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List'!$B$59,"""",T295,"""","}"),"")</f>
        <v/>
      </c>
    </row>
    <row r="296" spans="1:25" x14ac:dyDescent="0.25">
      <c r="A296" t="str">
        <f>IF(AND($A292="YES",E292=$D$1,F296&gt;0),"YES","NO")</f>
        <v>NO</v>
      </c>
      <c r="C296" t="s">
        <v>5</v>
      </c>
      <c r="D296" s="12" t="str">
        <f t="shared" si="252"/>
        <v>6B</v>
      </c>
      <c r="E296" t="s">
        <v>190</v>
      </c>
      <c r="F296">
        <f>'Expanded Base Data'!H290</f>
        <v>0</v>
      </c>
      <c r="G296" s="171">
        <f>F292</f>
        <v>0</v>
      </c>
      <c r="H296">
        <f>ROUND(B292+'Slide Measurements'!$D$17,$O$1)</f>
        <v>114.91</v>
      </c>
      <c r="I296">
        <f>ROUND(H296+(F296*'Slide Measurements'!$D$21),$O$1)</f>
        <v>114.91</v>
      </c>
      <c r="J296">
        <f>K295</f>
        <v>207.47</v>
      </c>
      <c r="K296">
        <f>J296+($I$1*'Slide Measurements'!$E$23-'Slide Measurements'!$E$23)</f>
        <v>209.32</v>
      </c>
      <c r="L296" s="5" t="str">
        <f>'Expanded Base Data'!$L290</f>
        <v/>
      </c>
      <c r="M296" s="5" t="str">
        <f>'Expanded Base Data'!$K290</f>
        <v/>
      </c>
      <c r="N296">
        <f t="shared" si="253"/>
        <v>0</v>
      </c>
      <c r="O296">
        <f t="shared" si="254"/>
        <v>1.85</v>
      </c>
      <c r="P296" s="5" t="e">
        <f t="shared" si="255"/>
        <v>#VALUE!</v>
      </c>
      <c r="Q296">
        <f>'Code List'!$C$63</f>
        <v>3</v>
      </c>
      <c r="R296">
        <f>F297+'Code List'!$G$63</f>
        <v>2</v>
      </c>
      <c r="S296" t="e">
        <f t="shared" si="256"/>
        <v>#VALUE!</v>
      </c>
      <c r="T296" t="e">
        <f t="shared" si="258"/>
        <v>#VALUE!</v>
      </c>
      <c r="U296" t="str">
        <f>IF(A296="YES",CONCATENATE(G296,"_",'Program Page'!$C$4,'Program Page'!$C$5,"_",D296,"_",E296),"")</f>
        <v/>
      </c>
      <c r="V296" t="str">
        <f t="shared" si="257"/>
        <v/>
      </c>
      <c r="W296" t="str">
        <f>IF(A296="YES",CONCATENATE("{",'Code List'!$B$4,'Code List'!$D$4,",",'Code List'!$B$5,'Code List'!$D$5,",",'Code List'!$B$6,"""",U296,"""",",",'Code List'!$B$7,'Code List'!$D$7,",",'Code List'!$B$8,'Code List'!$D$8,",",'Code List'!$B$9,'Code List'!$D$9,",",'Code List'!$B$10,'Code List'!$D$10,",",'Code List'!$B$11,"""",V296,"""",",",'Code List'!$B$12,"""",H296,"""",",",'Code List'!$B$13,"""",I296,"""",",",'Code List'!$B$14,"""",J296,"""",",",'Code List'!$B$15,"""",K296,"""",",",'Code List'!$B$16,"""",L296,"""",",",'Code List'!$B$17,"""",M296,"""",",",'Code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96" s="167" t="str">
        <f>IF(A296="YES",CONCATENATE("{",'Code List'!$B$31,"""",U296,"""",",",'Code List'!$B$32,'Code List'!$D$32,",",'Code List'!$B$33,'Code List'!$D$33,",",'Code List'!$B$34,'Code List'!$D$34,",",'Code List'!$B$35,'Code List'!$D$35,",",'Code List'!$B$36,'Code List'!$D$36,",",'Code List'!$B$37,'Code List'!$D$37,",",'Code List'!$B$38,"""",H296,"""",",",'Code List'!$B$39,"""",I296,"""",",",'Code List'!$B$40,"""",J296,"""",",",'Code List'!$B$41,"""",K296,"""",",",'Code List'!$B$42,"""",L296,"""",",",'Code List'!$B$43,"""",M296,"""",",",'Code List'!$B$44,"""",N296,"""",",",'Code List'!$B$45,"""",O296,"""",",",'Code List'!$B$46,"""",P296,"""",",",'Code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List'!$B$59,"""",T296,"""","}"),"")</f>
        <v/>
      </c>
    </row>
    <row r="297" spans="1:25" x14ac:dyDescent="0.25">
      <c r="A297" t="str">
        <f>IF(AND($A292="YES",E292=$D$1,F297&gt;0),"YES","NO")</f>
        <v>NO</v>
      </c>
      <c r="C297" t="s">
        <v>5</v>
      </c>
      <c r="D297" s="12" t="str">
        <f t="shared" si="252"/>
        <v>6B</v>
      </c>
      <c r="E297" t="s">
        <v>191</v>
      </c>
      <c r="F297">
        <f>'Expanded Base Data'!I290</f>
        <v>0</v>
      </c>
      <c r="G297" s="171">
        <f>F292</f>
        <v>0</v>
      </c>
      <c r="H297">
        <f>ROUND(B292+'Slide Measurements'!$D$17,$O$1)</f>
        <v>114.91</v>
      </c>
      <c r="I297">
        <f>ROUND(H297+(F297*'Slide Measurements'!$D$21),$O$1)</f>
        <v>114.91</v>
      </c>
      <c r="J297">
        <f>K296</f>
        <v>209.32</v>
      </c>
      <c r="K297">
        <f>J297+($I$1*'Slide Measurements'!$E$23-'Slide Measurements'!$E$23)</f>
        <v>211.17</v>
      </c>
      <c r="L297" s="5" t="str">
        <f>'Expanded Base Data'!$L290</f>
        <v/>
      </c>
      <c r="M297" s="5" t="str">
        <f>'Expanded Base Data'!$K290</f>
        <v/>
      </c>
      <c r="N297">
        <f t="shared" si="253"/>
        <v>0</v>
      </c>
      <c r="O297">
        <f t="shared" si="254"/>
        <v>1.85</v>
      </c>
      <c r="P297" s="5" t="e">
        <f t="shared" si="255"/>
        <v>#VALUE!</v>
      </c>
      <c r="Q297">
        <f>'Code List'!$C$63</f>
        <v>3</v>
      </c>
      <c r="R297">
        <f>F298+'Code List'!$G$63</f>
        <v>2</v>
      </c>
      <c r="S297" t="e">
        <f t="shared" si="256"/>
        <v>#VALUE!</v>
      </c>
      <c r="T297" t="e">
        <f t="shared" si="258"/>
        <v>#VALUE!</v>
      </c>
      <c r="U297" t="str">
        <f>IF(A297="YES",CONCATENATE(G297,"_",'Program Page'!$C$4,'Program Page'!$C$5,"_",D297,"_",E297),"")</f>
        <v/>
      </c>
      <c r="V297" t="str">
        <f t="shared" si="257"/>
        <v/>
      </c>
      <c r="W297" t="str">
        <f>IF(A297="YES",CONCATENATE("{",'Code List'!$B$4,'Code List'!$D$4,",",'Code List'!$B$5,'Code List'!$D$5,",",'Code List'!$B$6,"""",U297,"""",",",'Code List'!$B$7,'Code List'!$D$7,",",'Code List'!$B$8,'Code List'!$D$8,",",'Code List'!$B$9,'Code List'!$D$9,",",'Code List'!$B$10,'Code List'!$D$10,",",'Code List'!$B$11,"""",V297,"""",",",'Code List'!$B$12,"""",H297,"""",",",'Code List'!$B$13,"""",I297,"""",",",'Code List'!$B$14,"""",J297,"""",",",'Code List'!$B$15,"""",K297,"""",",",'Code List'!$B$16,"""",L297,"""",",",'Code List'!$B$17,"""",M297,"""",",",'Code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97" s="167" t="str">
        <f>IF(A297="YES",CONCATENATE("{",'Code List'!$B$31,"""",U297,"""",",",'Code List'!$B$32,'Code List'!$D$32,",",'Code List'!$B$33,'Code List'!$D$33,",",'Code List'!$B$34,'Code List'!$D$34,",",'Code List'!$B$35,'Code List'!$D$35,",",'Code List'!$B$36,'Code List'!$D$36,",",'Code List'!$B$37,'Code List'!$D$37,",",'Code List'!$B$38,"""",H297,"""",",",'Code List'!$B$39,"""",I297,"""",",",'Code List'!$B$40,"""",J297,"""",",",'Code List'!$B$41,"""",K297,"""",",",'Code List'!$B$42,"""",L297,"""",",",'Code List'!$B$43,"""",M297,"""",",",'Code List'!$B$44,"""",N297,"""",",",'Code List'!$B$45,"""",O297,"""",",",'Code List'!$B$46,"""",P297,"""",",",'Code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List'!$B$59,"""",T297,"""","}"),"")</f>
        <v/>
      </c>
    </row>
    <row r="298" spans="1:25" x14ac:dyDescent="0.25">
      <c r="A298" t="str">
        <f>IF(AND($A292="YES",E292=$D$1,F298&gt;0),"YES","NO")</f>
        <v>NO</v>
      </c>
      <c r="C298" t="s">
        <v>5</v>
      </c>
      <c r="D298" s="12" t="str">
        <f t="shared" si="252"/>
        <v>6B</v>
      </c>
      <c r="E298" t="s">
        <v>196</v>
      </c>
      <c r="F298">
        <f>'Expanded Base Data'!J290</f>
        <v>0</v>
      </c>
      <c r="G298" s="171">
        <f>F292</f>
        <v>0</v>
      </c>
      <c r="H298">
        <f>ROUND(B292+'Slide Measurements'!$D$17,$O$1)</f>
        <v>114.91</v>
      </c>
      <c r="I298">
        <f>ROUND(H298+(F298*'Slide Measurements'!$D$21),$O$1)</f>
        <v>114.91</v>
      </c>
      <c r="J298">
        <f>K297</f>
        <v>211.17</v>
      </c>
      <c r="K298">
        <f>J298+($I$1*'Slide Measurements'!$E$23-'Slide Measurements'!$E$23)</f>
        <v>213.01999999999998</v>
      </c>
      <c r="L298" s="5" t="str">
        <f>'Expanded Base Data'!$L290</f>
        <v/>
      </c>
      <c r="M298" s="5" t="str">
        <f>'Expanded Base Data'!$K290</f>
        <v/>
      </c>
      <c r="N298">
        <f t="shared" si="253"/>
        <v>0</v>
      </c>
      <c r="O298">
        <f t="shared" si="254"/>
        <v>1.85</v>
      </c>
      <c r="P298" s="5" t="e">
        <f t="shared" si="255"/>
        <v>#VALUE!</v>
      </c>
      <c r="Q298">
        <f>'Code List'!$C$63</f>
        <v>3</v>
      </c>
      <c r="R298">
        <f>F299+'Code List'!$G$63</f>
        <v>2</v>
      </c>
      <c r="S298" t="e">
        <f t="shared" si="256"/>
        <v>#VALUE!</v>
      </c>
      <c r="T298" t="e">
        <f t="shared" si="258"/>
        <v>#VALUE!</v>
      </c>
      <c r="U298" t="str">
        <f>IF(A298="YES",CONCATENATE(G298,"_",'Program Page'!$C$4,'Program Page'!$C$5,"_",D298,"_",E298),"")</f>
        <v/>
      </c>
      <c r="V298" t="str">
        <f t="shared" si="257"/>
        <v/>
      </c>
      <c r="W298" t="str">
        <f>IF(A298="YES",CONCATENATE("{",'Code List'!$B$4,'Code List'!$D$4,",",'Code List'!$B$5,'Code List'!$D$5,",",'Code List'!$B$6,"""",U298,"""",",",'Code List'!$B$7,'Code List'!$D$7,",",'Code List'!$B$8,'Code List'!$D$8,",",'Code List'!$B$9,'Code List'!$D$9,",",'Code List'!$B$10,'Code List'!$D$10,",",'Code List'!$B$11,"""",V298,"""",",",'Code List'!$B$12,"""",H298,"""",",",'Code List'!$B$13,"""",I298,"""",",",'Code List'!$B$14,"""",J298,"""",",",'Code List'!$B$15,"""",K298,"""",",",'Code List'!$B$16,"""",L298,"""",",",'Code List'!$B$17,"""",M298,"""",",",'Code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298" s="167" t="str">
        <f>IF(A298="YES",CONCATENATE("{",'Code List'!$B$31,"""",U298,"""",",",'Code List'!$B$32,'Code List'!$D$32,",",'Code List'!$B$33,'Code List'!$D$33,",",'Code List'!$B$34,'Code List'!$D$34,",",'Code List'!$B$35,'Code List'!$D$35,",",'Code List'!$B$36,'Code List'!$D$36,",",'Code List'!$B$37,'Code List'!$D$37,",",'Code List'!$B$38,"""",H298,"""",",",'Code List'!$B$39,"""",I298,"""",",",'Code List'!$B$40,"""",J298,"""",",",'Code List'!$B$41,"""",K298,"""",",",'Code List'!$B$42,"""",L298,"""",",",'Code List'!$B$43,"""",M298,"""",",",'Code List'!$B$44,"""",N298,"""",",",'Code List'!$B$45,"""",O298,"""",",",'Code List'!$B$46,"""",P298,"""",",",'Code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List'!$B$59,"""",T298,"""","}"),"")</f>
        <v/>
      </c>
    </row>
    <row r="299" spans="1:25" x14ac:dyDescent="0.25">
      <c r="A299" s="162" t="str">
        <f>IF(AND($A292="YES",E292=$E$1),"YES","NO")</f>
        <v>NO</v>
      </c>
      <c r="C299" t="s">
        <v>259</v>
      </c>
      <c r="D299" s="12" t="str">
        <f>D298</f>
        <v>6B</v>
      </c>
      <c r="E299" t="s">
        <v>259</v>
      </c>
      <c r="G299" s="171">
        <f>F292</f>
        <v>0</v>
      </c>
      <c r="H299">
        <f>ROUND(B292,$O$1)</f>
        <v>89.51</v>
      </c>
      <c r="I299">
        <f>ROUND(B292+'Slide Measurements'!$D$1,$O$1)</f>
        <v>165.96</v>
      </c>
      <c r="J299">
        <f>C292</f>
        <v>199.47</v>
      </c>
      <c r="K299">
        <f>C292+'Slide Measurements'!$D$2</f>
        <v>226.87</v>
      </c>
      <c r="L299" s="5" t="str">
        <f>'Expanded Base Data'!$L290</f>
        <v/>
      </c>
      <c r="M299" s="5" t="str">
        <f>'Expanded Base Data'!$K290</f>
        <v/>
      </c>
      <c r="N299">
        <f t="shared" si="253"/>
        <v>76.45</v>
      </c>
      <c r="O299">
        <f t="shared" si="254"/>
        <v>27.4</v>
      </c>
      <c r="P299" s="5" t="e">
        <f>ROUND((L299-M299),$O$1)</f>
        <v>#VALUE!</v>
      </c>
      <c r="Q299">
        <f>'Code List'!$C$70</f>
        <v>11</v>
      </c>
      <c r="R299">
        <f>'Code List'!$D$70</f>
        <v>19</v>
      </c>
      <c r="S299" t="e">
        <f>IF(P299=0,"1",ROUND((P299/$K$1)+$M$1,0))</f>
        <v>#VALUE!</v>
      </c>
      <c r="T299" t="e">
        <f>Q299*R299*S299</f>
        <v>#VALUE!</v>
      </c>
      <c r="U299" t="str">
        <f>IF(A299="YES",CONCATENATE(G299,"_",'Program Page'!$C$4,'Program Page'!$C$5,"_",D299,"_",E299),"")</f>
        <v/>
      </c>
      <c r="V299" t="str">
        <f>IF(U299="","",CONCATENATE(U299,"_"))</f>
        <v/>
      </c>
      <c r="W299" t="str">
        <f>IF(A299="YES",CONCATENATE("{",'Code List'!$B$4,'Code List'!$D$4,",",'Code List'!$B$5,'Code List'!$D$5,",",'Code List'!$B$6,"""",U299,"""",",",'Code List'!$B$7,'Code List'!$D$7,",",'Code List'!$B$8,'Code List'!$D$8,",",'Code List'!$B$9,'Code List'!$D$9,",",'Code List'!$B$10,'Code List'!$D$10,",",'Code List'!$B$11,"""",V299,"""",",",'Code List'!$B$12,"""",H299,"""",",",'Code List'!$B$13,"""",I299,"""",",",'Code List'!$B$14,"""",J299,"""",",",'Code List'!$B$15,"""",K299,"""",",",'Code List'!$B$16,"""",L299,"""",",",'Code List'!$B$17,"""",M299,"""",",",'Code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299" s="167" t="str">
        <f>IF(A299="YES",CONCATENATE("{",'Code List'!$B$31,"""",U299,"""",",",'Code List'!$B$32,'Code List'!$D$32,",",'Code List'!$B$33,'Code List'!$D$33,",",'Code List'!$B$34,'Code List'!$D$34,",",'Code List'!$B$35,'Code List'!$D$35,",",'Code List'!$B$36,'Code List'!$D$36,",",'Code List'!$B$37,'Code List'!$D$37,",",'Code List'!$B$38,"""",H299,"""",",",'Code List'!$B$39,"""",I299,"""",",",'Code List'!$B$40,"""",J299,"""",",",'Code List'!$B$41,"""",K299,"""",",",'Code List'!$B$42,"""",L299,"""",",",'Code List'!$B$43,"""",M299,"""",",",'Code List'!$B$44,"""",N299,"""",",",'Code List'!$B$45,"""",O299,"""",",",'Code List'!$B$46,"""",P299,"""",",",'Code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List'!$B$59,"""",T299,"""","}"),"")</f>
        <v/>
      </c>
    </row>
    <row r="300" spans="1:25" ht="18.75" x14ac:dyDescent="0.3">
      <c r="A300" s="35" t="str">
        <f>IF(OR(E300=$C$1,E300=$D$1,E300=$E$1),"YES","NO")</f>
        <v>NO</v>
      </c>
      <c r="B300" s="35">
        <f>'Expanded Base Data'!D298</f>
        <v>176.11</v>
      </c>
      <c r="C300" s="35">
        <f>'Expanded Base Data'!E298</f>
        <v>199.47</v>
      </c>
      <c r="D300" s="36" t="str">
        <f>'Expanded Base Data'!B298</f>
        <v>6C</v>
      </c>
      <c r="E300" s="35">
        <f>'Expanded Base Data'!C298</f>
        <v>0</v>
      </c>
      <c r="F300" s="35">
        <f>'Expanded Base Data'!M298</f>
        <v>0</v>
      </c>
      <c r="G300" s="170">
        <f>F300</f>
        <v>0</v>
      </c>
      <c r="Y300" s="167" t="str">
        <f>""</f>
        <v/>
      </c>
    </row>
    <row r="301" spans="1:25" x14ac:dyDescent="0.25">
      <c r="A301" t="str">
        <f>IF(AND($A300="YES",E300=$C$1),"YES","NO")</f>
        <v>NO</v>
      </c>
      <c r="C301" t="s">
        <v>6</v>
      </c>
      <c r="D301" s="12" t="str">
        <f>D300</f>
        <v>6C</v>
      </c>
      <c r="E301" t="s">
        <v>6</v>
      </c>
      <c r="F301" t="s">
        <v>198</v>
      </c>
      <c r="G301" s="171">
        <f>F300</f>
        <v>0</v>
      </c>
      <c r="H301">
        <f>IF('Expanded Base Data'!N298="",ROUND(B300+'Slide Measurements'!$D$11,$O$1),B300+'Expanded Base Data'!N298)</f>
        <v>209.11</v>
      </c>
      <c r="I301">
        <f>IF('Expanded Base Data'!O298="",ROUND(B300+'Slide Measurements'!$D$12,$O$1),B300+'Expanded Base Data'!O298)</f>
        <v>217.71</v>
      </c>
      <c r="J301">
        <f>IF('Expanded Base Data'!P298="",C300+'Slide Measurements'!$E$13,C300+'Expanded Base Data'!P298)</f>
        <v>208.17</v>
      </c>
      <c r="K301">
        <f>IF('Expanded Base Data'!Q298="",C300+'Slide Measurements'!$E$14,C300+'Expanded Base Data'!Q298)</f>
        <v>216.76999999999998</v>
      </c>
      <c r="L301" s="5" t="str">
        <f>'Expanded Base Data'!$L298</f>
        <v/>
      </c>
      <c r="M301" s="5" t="str">
        <f>'Expanded Base Data'!$K298</f>
        <v/>
      </c>
      <c r="N301">
        <f>ROUND((I301-H301),$O$1)</f>
        <v>8.6</v>
      </c>
      <c r="O301">
        <f>ROUND((K301-J301),$O$1)</f>
        <v>8.6</v>
      </c>
      <c r="P301" s="5" t="e">
        <f>ROUND((L301-M301),$O$1)</f>
        <v>#VALUE!</v>
      </c>
      <c r="Q301">
        <f>'Code List'!$C$62</f>
        <v>5</v>
      </c>
      <c r="R301">
        <f>F302+'Code List'!$G$63</f>
        <v>2</v>
      </c>
      <c r="S301" t="e">
        <f>IF(P301=0,"1",ROUND((P301/$K$1)+$M$1,0))</f>
        <v>#VALUE!</v>
      </c>
      <c r="T301" t="e">
        <f>Q301*R301*S301</f>
        <v>#VALUE!</v>
      </c>
      <c r="U301" t="str">
        <f>IF(A301="YES",CONCATENATE(G301,"_",'Program Page'!$C$4,'Program Page'!$C$5,"_",D301,"_",E301),"")</f>
        <v/>
      </c>
      <c r="V301" t="str">
        <f>IF(U301="","",CONCATENATE(U301,"_"))</f>
        <v/>
      </c>
      <c r="W301" t="str">
        <f>IF(A301="YES",CONCATENATE("{",'Code List'!$B$4,'Code List'!$D$4,",",'Code List'!$B$5,'Code List'!$D$5,",",'Code List'!$B$6,"""",U301,"""",",",'Code List'!$B$7,'Code List'!$D$7,",",'Code List'!$B$8,'Code List'!$D$8,",",'Code List'!$B$9,'Code List'!$D$9,",",'Code List'!$B$10,'Code List'!$D$10,",",'Code List'!$B$11,"""",V301,"""",",",'Code List'!$B$12,"""",H301,"""",",",'Code List'!$B$13,"""",I301,"""",",",'Code List'!$B$14,"""",J301,"""",",",'Code List'!$B$15,"""",K301,"""",",",'Code List'!$B$16,"""",L301,"""",",",'Code List'!$B$17,"""",M301,"""",",",'Code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01" s="167" t="str">
        <f>IF(A301="YES",CONCATENATE("{",'Code List'!$B$31,"""",U301,"""",",",'Code List'!$B$32,'Code List'!$D$32,",",'Code List'!$B$33,'Code List'!$D$33,",",'Code List'!$B$34,'Code List'!$D$34,",",'Code List'!$B$35,'Code List'!$D$35,",",'Code List'!$B$36,'Code List'!$D$36,",",'Code List'!$B$37,'Code List'!$D$37,",",'Code List'!$B$38,"""",H301,"""",",",'Code List'!$B$39,"""",I301,"""",",",'Code List'!$B$40,"""",J301,"""",",",'Code List'!$B$41,"""",K301,"""",",",'Code List'!$B$42,"""",L301,"""",",",'Code List'!$B$43,"""",M301,"""",",",'Code List'!$B$44,"""",N301,"""",",",'Code List'!$B$45,"""",O301,"""",",",'Code List'!$B$46,"""",P301,"""",",",'Code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List'!$B$59,"""",T301,"""","}"),"")</f>
        <v/>
      </c>
    </row>
    <row r="302" spans="1:25" x14ac:dyDescent="0.25">
      <c r="A302" t="str">
        <f>IF(AND($A300="YES",E300=$D$1,F302&gt;0),"YES","NO")</f>
        <v>NO</v>
      </c>
      <c r="C302" t="s">
        <v>5</v>
      </c>
      <c r="D302" s="12" t="str">
        <f t="shared" ref="D302:D306" si="259">D301</f>
        <v>6C</v>
      </c>
      <c r="E302" t="s">
        <v>188</v>
      </c>
      <c r="F302">
        <f>'Expanded Base Data'!F298</f>
        <v>0</v>
      </c>
      <c r="G302" s="171">
        <f>F300</f>
        <v>0</v>
      </c>
      <c r="H302">
        <f>ROUND(B300+'Slide Measurements'!$D$17,$O$1)</f>
        <v>201.51</v>
      </c>
      <c r="I302">
        <f>ROUND(H302+(F302*'Slide Measurements'!$D$21),$O$1)</f>
        <v>201.51</v>
      </c>
      <c r="J302">
        <f>C300+'Slide Measurements'!$E$17</f>
        <v>203.77</v>
      </c>
      <c r="K302">
        <f>J302+($I$1*'Slide Measurements'!$E$23-'Slide Measurements'!$E$23)</f>
        <v>205.62</v>
      </c>
      <c r="L302" s="5" t="str">
        <f>'Expanded Base Data'!$L298</f>
        <v/>
      </c>
      <c r="M302" s="5" t="str">
        <f>'Expanded Base Data'!$K298</f>
        <v/>
      </c>
      <c r="N302">
        <f t="shared" ref="N302:N307" si="260">ROUND((I302-H302),$O$1)</f>
        <v>0</v>
      </c>
      <c r="O302">
        <f t="shared" ref="O302:O307" si="261">ROUND((K302-J302),$O$1)</f>
        <v>1.85</v>
      </c>
      <c r="P302" s="5" t="e">
        <f t="shared" ref="P302:P306" si="262">ROUND((L302-M302),$O$1)</f>
        <v>#VALUE!</v>
      </c>
      <c r="Q302">
        <f>'Code List'!$C$63</f>
        <v>3</v>
      </c>
      <c r="R302">
        <f>F303+'Code List'!$G$63</f>
        <v>2</v>
      </c>
      <c r="S302" t="e">
        <f t="shared" ref="S302:S306" si="263">IF(P302=0,"1",ROUND((P302/$K$1)+$M$1,0))</f>
        <v>#VALUE!</v>
      </c>
      <c r="T302" t="e">
        <f>Q302*R302*S302</f>
        <v>#VALUE!</v>
      </c>
      <c r="U302" t="str">
        <f>IF(A302="YES",CONCATENATE(G302,"_",'Program Page'!$C$4,'Program Page'!$C$5,"_",D302,"_",E302),"")</f>
        <v/>
      </c>
      <c r="V302" t="str">
        <f t="shared" ref="V302:V306" si="264">IF(U302="","",CONCATENATE(U302,"_"))</f>
        <v/>
      </c>
      <c r="W302" t="str">
        <f>IF(A302="YES",CONCATENATE("{",'Code List'!$B$4,'Code List'!$D$4,",",'Code List'!$B$5,'Code List'!$D$5,",",'Code List'!$B$6,"""",U302,"""",",",'Code List'!$B$7,'Code List'!$D$7,",",'Code List'!$B$8,'Code List'!$D$8,",",'Code List'!$B$9,'Code List'!$D$9,",",'Code List'!$B$10,'Code List'!$D$10,",",'Code List'!$B$11,"""",V302,"""",",",'Code List'!$B$12,"""",H302,"""",",",'Code List'!$B$13,"""",I302,"""",",",'Code List'!$B$14,"""",J302,"""",",",'Code List'!$B$15,"""",K302,"""",",",'Code List'!$B$16,"""",L302,"""",",",'Code List'!$B$17,"""",M302,"""",",",'Code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02" s="167" t="str">
        <f>IF(A302="YES",CONCATENATE("{",'Code List'!$B$31,"""",U302,"""",",",'Code List'!$B$32,'Code List'!$D$32,",",'Code List'!$B$33,'Code List'!$D$33,",",'Code List'!$B$34,'Code List'!$D$34,",",'Code List'!$B$35,'Code List'!$D$35,",",'Code List'!$B$36,'Code List'!$D$36,",",'Code List'!$B$37,'Code List'!$D$37,",",'Code List'!$B$38,"""",H302,"""",",",'Code List'!$B$39,"""",I302,"""",",",'Code List'!$B$40,"""",J302,"""",",",'Code List'!$B$41,"""",K302,"""",",",'Code List'!$B$42,"""",L302,"""",",",'Code List'!$B$43,"""",M302,"""",",",'Code List'!$B$44,"""",N302,"""",",",'Code List'!$B$45,"""",O302,"""",",",'Code List'!$B$46,"""",P302,"""",",",'Code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List'!$B$59,"""",T302,"""","}"),"")</f>
        <v/>
      </c>
    </row>
    <row r="303" spans="1:25" x14ac:dyDescent="0.25">
      <c r="A303" t="str">
        <f>IF(AND($A300="YES",E300=$D$1,F303&gt;0),"YES","NO")</f>
        <v>NO</v>
      </c>
      <c r="C303" t="s">
        <v>5</v>
      </c>
      <c r="D303" s="12" t="str">
        <f t="shared" si="259"/>
        <v>6C</v>
      </c>
      <c r="E303" t="s">
        <v>189</v>
      </c>
      <c r="F303">
        <f>'Expanded Base Data'!G298</f>
        <v>0</v>
      </c>
      <c r="G303" s="171">
        <f>F300</f>
        <v>0</v>
      </c>
      <c r="H303">
        <f>ROUND(B300+'Slide Measurements'!$D$17,$O$1)</f>
        <v>201.51</v>
      </c>
      <c r="I303">
        <f>ROUND(H303+(F303*'Slide Measurements'!$D$21),$O$1)</f>
        <v>201.51</v>
      </c>
      <c r="J303">
        <f>K302</f>
        <v>205.62</v>
      </c>
      <c r="K303">
        <f>J303+($I$1*'Slide Measurements'!$E$23-'Slide Measurements'!$E$23)</f>
        <v>207.47</v>
      </c>
      <c r="L303" s="5" t="str">
        <f>'Expanded Base Data'!$L298</f>
        <v/>
      </c>
      <c r="M303" s="5" t="str">
        <f>'Expanded Base Data'!$K298</f>
        <v/>
      </c>
      <c r="N303">
        <f t="shared" si="260"/>
        <v>0</v>
      </c>
      <c r="O303">
        <f t="shared" si="261"/>
        <v>1.85</v>
      </c>
      <c r="P303" s="5" t="e">
        <f t="shared" si="262"/>
        <v>#VALUE!</v>
      </c>
      <c r="Q303">
        <f>'Code List'!$C$63</f>
        <v>3</v>
      </c>
      <c r="R303">
        <f>F304+'Code List'!$G$63</f>
        <v>2</v>
      </c>
      <c r="S303" t="e">
        <f t="shared" si="263"/>
        <v>#VALUE!</v>
      </c>
      <c r="T303" t="e">
        <f t="shared" ref="T303:T306" si="265">Q303*R303*S303</f>
        <v>#VALUE!</v>
      </c>
      <c r="U303" t="str">
        <f>IF(A303="YES",CONCATENATE(G303,"_",'Program Page'!$C$4,'Program Page'!$C$5,"_",D303,"_",E303),"")</f>
        <v/>
      </c>
      <c r="V303" t="str">
        <f t="shared" si="264"/>
        <v/>
      </c>
      <c r="W303" t="str">
        <f>IF(A303="YES",CONCATENATE("{",'Code List'!$B$4,'Code List'!$D$4,",",'Code List'!$B$5,'Code List'!$D$5,",",'Code List'!$B$6,"""",U303,"""",",",'Code List'!$B$7,'Code List'!$D$7,",",'Code List'!$B$8,'Code List'!$D$8,",",'Code List'!$B$9,'Code List'!$D$9,",",'Code List'!$B$10,'Code List'!$D$10,",",'Code List'!$B$11,"""",V303,"""",",",'Code List'!$B$12,"""",H303,"""",",",'Code List'!$B$13,"""",I303,"""",",",'Code List'!$B$14,"""",J303,"""",",",'Code List'!$B$15,"""",K303,"""",",",'Code List'!$B$16,"""",L303,"""",",",'Code List'!$B$17,"""",M303,"""",",",'Code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03" s="167" t="str">
        <f>IF(A303="YES",CONCATENATE("{",'Code List'!$B$31,"""",U303,"""",",",'Code List'!$B$32,'Code List'!$D$32,",",'Code List'!$B$33,'Code List'!$D$33,",",'Code List'!$B$34,'Code List'!$D$34,",",'Code List'!$B$35,'Code List'!$D$35,",",'Code List'!$B$36,'Code List'!$D$36,",",'Code List'!$B$37,'Code List'!$D$37,",",'Code List'!$B$38,"""",H303,"""",",",'Code List'!$B$39,"""",I303,"""",",",'Code List'!$B$40,"""",J303,"""",",",'Code List'!$B$41,"""",K303,"""",",",'Code List'!$B$42,"""",L303,"""",",",'Code List'!$B$43,"""",M303,"""",",",'Code List'!$B$44,"""",N303,"""",",",'Code List'!$B$45,"""",O303,"""",",",'Code List'!$B$46,"""",P303,"""",",",'Code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List'!$B$59,"""",T303,"""","}"),"")</f>
        <v/>
      </c>
    </row>
    <row r="304" spans="1:25" x14ac:dyDescent="0.25">
      <c r="A304" t="str">
        <f>IF(AND($A300="YES",E300=$D$1,F304&gt;0),"YES","NO")</f>
        <v>NO</v>
      </c>
      <c r="C304" t="s">
        <v>5</v>
      </c>
      <c r="D304" s="12" t="str">
        <f t="shared" si="259"/>
        <v>6C</v>
      </c>
      <c r="E304" t="s">
        <v>190</v>
      </c>
      <c r="F304">
        <f>'Expanded Base Data'!H298</f>
        <v>0</v>
      </c>
      <c r="G304" s="171">
        <f>F300</f>
        <v>0</v>
      </c>
      <c r="H304">
        <f>ROUND(B300+'Slide Measurements'!$D$17,$O$1)</f>
        <v>201.51</v>
      </c>
      <c r="I304">
        <f>ROUND(H304+(F304*'Slide Measurements'!$D$21),$O$1)</f>
        <v>201.51</v>
      </c>
      <c r="J304">
        <f>K303</f>
        <v>207.47</v>
      </c>
      <c r="K304">
        <f>J304+($I$1*'Slide Measurements'!$E$23-'Slide Measurements'!$E$23)</f>
        <v>209.32</v>
      </c>
      <c r="L304" s="5" t="str">
        <f>'Expanded Base Data'!$L298</f>
        <v/>
      </c>
      <c r="M304" s="5" t="str">
        <f>'Expanded Base Data'!$K298</f>
        <v/>
      </c>
      <c r="N304">
        <f t="shared" si="260"/>
        <v>0</v>
      </c>
      <c r="O304">
        <f t="shared" si="261"/>
        <v>1.85</v>
      </c>
      <c r="P304" s="5" t="e">
        <f t="shared" si="262"/>
        <v>#VALUE!</v>
      </c>
      <c r="Q304">
        <f>'Code List'!$C$63</f>
        <v>3</v>
      </c>
      <c r="R304">
        <f>F305+'Code List'!$G$63</f>
        <v>2</v>
      </c>
      <c r="S304" t="e">
        <f t="shared" si="263"/>
        <v>#VALUE!</v>
      </c>
      <c r="T304" t="e">
        <f t="shared" si="265"/>
        <v>#VALUE!</v>
      </c>
      <c r="U304" t="str">
        <f>IF(A304="YES",CONCATENATE(G304,"_",'Program Page'!$C$4,'Program Page'!$C$5,"_",D304,"_",E304),"")</f>
        <v/>
      </c>
      <c r="V304" t="str">
        <f t="shared" si="264"/>
        <v/>
      </c>
      <c r="W304" t="str">
        <f>IF(A304="YES",CONCATENATE("{",'Code List'!$B$4,'Code List'!$D$4,",",'Code List'!$B$5,'Code List'!$D$5,",",'Code List'!$B$6,"""",U304,"""",",",'Code List'!$B$7,'Code List'!$D$7,",",'Code List'!$B$8,'Code List'!$D$8,",",'Code List'!$B$9,'Code List'!$D$9,",",'Code List'!$B$10,'Code List'!$D$10,",",'Code List'!$B$11,"""",V304,"""",",",'Code List'!$B$12,"""",H304,"""",",",'Code List'!$B$13,"""",I304,"""",",",'Code List'!$B$14,"""",J304,"""",",",'Code List'!$B$15,"""",K304,"""",",",'Code List'!$B$16,"""",L304,"""",",",'Code List'!$B$17,"""",M304,"""",",",'Code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04" s="167" t="str">
        <f>IF(A304="YES",CONCATENATE("{",'Code List'!$B$31,"""",U304,"""",",",'Code List'!$B$32,'Code List'!$D$32,",",'Code List'!$B$33,'Code List'!$D$33,",",'Code List'!$B$34,'Code List'!$D$34,",",'Code List'!$B$35,'Code List'!$D$35,",",'Code List'!$B$36,'Code List'!$D$36,",",'Code List'!$B$37,'Code List'!$D$37,",",'Code List'!$B$38,"""",H304,"""",",",'Code List'!$B$39,"""",I304,"""",",",'Code List'!$B$40,"""",J304,"""",",",'Code List'!$B$41,"""",K304,"""",",",'Code List'!$B$42,"""",L304,"""",",",'Code List'!$B$43,"""",M304,"""",",",'Code List'!$B$44,"""",N304,"""",",",'Code List'!$B$45,"""",O304,"""",",",'Code List'!$B$46,"""",P304,"""",",",'Code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List'!$B$59,"""",T304,"""","}"),"")</f>
        <v/>
      </c>
    </row>
    <row r="305" spans="1:25" x14ac:dyDescent="0.25">
      <c r="A305" t="str">
        <f>IF(AND($A300="YES",E300=$D$1,F305&gt;0),"YES","NO")</f>
        <v>NO</v>
      </c>
      <c r="C305" t="s">
        <v>5</v>
      </c>
      <c r="D305" s="12" t="str">
        <f t="shared" si="259"/>
        <v>6C</v>
      </c>
      <c r="E305" t="s">
        <v>191</v>
      </c>
      <c r="F305">
        <f>'Expanded Base Data'!I298</f>
        <v>0</v>
      </c>
      <c r="G305" s="171">
        <f>F300</f>
        <v>0</v>
      </c>
      <c r="H305">
        <f>ROUND(B300+'Slide Measurements'!$D$17,$O$1)</f>
        <v>201.51</v>
      </c>
      <c r="I305">
        <f>ROUND(H305+(F305*'Slide Measurements'!$D$21),$O$1)</f>
        <v>201.51</v>
      </c>
      <c r="J305">
        <f>K304</f>
        <v>209.32</v>
      </c>
      <c r="K305">
        <f>J305+($I$1*'Slide Measurements'!$E$23-'Slide Measurements'!$E$23)</f>
        <v>211.17</v>
      </c>
      <c r="L305" s="5" t="str">
        <f>'Expanded Base Data'!$L298</f>
        <v/>
      </c>
      <c r="M305" s="5" t="str">
        <f>'Expanded Base Data'!$K298</f>
        <v/>
      </c>
      <c r="N305">
        <f t="shared" si="260"/>
        <v>0</v>
      </c>
      <c r="O305">
        <f t="shared" si="261"/>
        <v>1.85</v>
      </c>
      <c r="P305" s="5" t="e">
        <f t="shared" si="262"/>
        <v>#VALUE!</v>
      </c>
      <c r="Q305">
        <f>'Code List'!$C$63</f>
        <v>3</v>
      </c>
      <c r="R305">
        <f>F306+'Code List'!$G$63</f>
        <v>2</v>
      </c>
      <c r="S305" t="e">
        <f t="shared" si="263"/>
        <v>#VALUE!</v>
      </c>
      <c r="T305" t="e">
        <f t="shared" si="265"/>
        <v>#VALUE!</v>
      </c>
      <c r="U305" t="str">
        <f>IF(A305="YES",CONCATENATE(G305,"_",'Program Page'!$C$4,'Program Page'!$C$5,"_",D305,"_",E305),"")</f>
        <v/>
      </c>
      <c r="V305" t="str">
        <f t="shared" si="264"/>
        <v/>
      </c>
      <c r="W305" t="str">
        <f>IF(A305="YES",CONCATENATE("{",'Code List'!$B$4,'Code List'!$D$4,",",'Code List'!$B$5,'Code List'!$D$5,",",'Code List'!$B$6,"""",U305,"""",",",'Code List'!$B$7,'Code List'!$D$7,",",'Code List'!$B$8,'Code List'!$D$8,",",'Code List'!$B$9,'Code List'!$D$9,",",'Code List'!$B$10,'Code List'!$D$10,",",'Code List'!$B$11,"""",V305,"""",",",'Code List'!$B$12,"""",H305,"""",",",'Code List'!$B$13,"""",I305,"""",",",'Code List'!$B$14,"""",J305,"""",",",'Code List'!$B$15,"""",K305,"""",",",'Code List'!$B$16,"""",L305,"""",",",'Code List'!$B$17,"""",M305,"""",",",'Code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05" s="167" t="str">
        <f>IF(A305="YES",CONCATENATE("{",'Code List'!$B$31,"""",U305,"""",",",'Code List'!$B$32,'Code List'!$D$32,",",'Code List'!$B$33,'Code List'!$D$33,",",'Code List'!$B$34,'Code List'!$D$34,",",'Code List'!$B$35,'Code List'!$D$35,",",'Code List'!$B$36,'Code List'!$D$36,",",'Code List'!$B$37,'Code List'!$D$37,",",'Code List'!$B$38,"""",H305,"""",",",'Code List'!$B$39,"""",I305,"""",",",'Code List'!$B$40,"""",J305,"""",",",'Code List'!$B$41,"""",K305,"""",",",'Code List'!$B$42,"""",L305,"""",",",'Code List'!$B$43,"""",M305,"""",",",'Code List'!$B$44,"""",N305,"""",",",'Code List'!$B$45,"""",O305,"""",",",'Code List'!$B$46,"""",P305,"""",",",'Code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List'!$B$59,"""",T305,"""","}"),"")</f>
        <v/>
      </c>
    </row>
    <row r="306" spans="1:25" x14ac:dyDescent="0.25">
      <c r="A306" t="str">
        <f>IF(AND($A300="YES",E300=$D$1,F306&gt;0),"YES","NO")</f>
        <v>NO</v>
      </c>
      <c r="C306" t="s">
        <v>5</v>
      </c>
      <c r="D306" s="12" t="str">
        <f t="shared" si="259"/>
        <v>6C</v>
      </c>
      <c r="E306" t="s">
        <v>196</v>
      </c>
      <c r="F306">
        <f>'Expanded Base Data'!J298</f>
        <v>0</v>
      </c>
      <c r="G306" s="171">
        <f>F300</f>
        <v>0</v>
      </c>
      <c r="H306">
        <f>ROUND(B300+'Slide Measurements'!$D$17,$O$1)</f>
        <v>201.51</v>
      </c>
      <c r="I306">
        <f>ROUND(H306+(F306*'Slide Measurements'!$D$21),$O$1)</f>
        <v>201.51</v>
      </c>
      <c r="J306">
        <f>K305</f>
        <v>211.17</v>
      </c>
      <c r="K306">
        <f>J306+($I$1*'Slide Measurements'!$E$23-'Slide Measurements'!$E$23)</f>
        <v>213.01999999999998</v>
      </c>
      <c r="L306" s="5" t="str">
        <f>'Expanded Base Data'!$L298</f>
        <v/>
      </c>
      <c r="M306" s="5" t="str">
        <f>'Expanded Base Data'!$K298</f>
        <v/>
      </c>
      <c r="N306">
        <f t="shared" si="260"/>
        <v>0</v>
      </c>
      <c r="O306">
        <f t="shared" si="261"/>
        <v>1.85</v>
      </c>
      <c r="P306" s="5" t="e">
        <f t="shared" si="262"/>
        <v>#VALUE!</v>
      </c>
      <c r="Q306">
        <f>'Code List'!$C$63</f>
        <v>3</v>
      </c>
      <c r="R306">
        <f>F307+'Code List'!$G$63</f>
        <v>2</v>
      </c>
      <c r="S306" t="e">
        <f t="shared" si="263"/>
        <v>#VALUE!</v>
      </c>
      <c r="T306" t="e">
        <f t="shared" si="265"/>
        <v>#VALUE!</v>
      </c>
      <c r="U306" t="str">
        <f>IF(A306="YES",CONCATENATE(G306,"_",'Program Page'!$C$4,'Program Page'!$C$5,"_",D306,"_",E306),"")</f>
        <v/>
      </c>
      <c r="V306" t="str">
        <f t="shared" si="264"/>
        <v/>
      </c>
      <c r="W306" t="str">
        <f>IF(A306="YES",CONCATENATE("{",'Code List'!$B$4,'Code List'!$D$4,",",'Code List'!$B$5,'Code List'!$D$5,",",'Code List'!$B$6,"""",U306,"""",",",'Code List'!$B$7,'Code List'!$D$7,",",'Code List'!$B$8,'Code List'!$D$8,",",'Code List'!$B$9,'Code List'!$D$9,",",'Code List'!$B$10,'Code List'!$D$10,",",'Code List'!$B$11,"""",V306,"""",",",'Code List'!$B$12,"""",H306,"""",",",'Code List'!$B$13,"""",I306,"""",",",'Code List'!$B$14,"""",J306,"""",",",'Code List'!$B$15,"""",K306,"""",",",'Code List'!$B$16,"""",L306,"""",",",'Code List'!$B$17,"""",M306,"""",",",'Code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06" s="167" t="str">
        <f>IF(A306="YES",CONCATENATE("{",'Code List'!$B$31,"""",U306,"""",",",'Code List'!$B$32,'Code List'!$D$32,",",'Code List'!$B$33,'Code List'!$D$33,",",'Code List'!$B$34,'Code List'!$D$34,",",'Code List'!$B$35,'Code List'!$D$35,",",'Code List'!$B$36,'Code List'!$D$36,",",'Code List'!$B$37,'Code List'!$D$37,",",'Code List'!$B$38,"""",H306,"""",",",'Code List'!$B$39,"""",I306,"""",",",'Code List'!$B$40,"""",J306,"""",",",'Code List'!$B$41,"""",K306,"""",",",'Code List'!$B$42,"""",L306,"""",",",'Code List'!$B$43,"""",M306,"""",",",'Code List'!$B$44,"""",N306,"""",",",'Code List'!$B$45,"""",O306,"""",",",'Code List'!$B$46,"""",P306,"""",",",'Code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List'!$B$59,"""",T306,"""","}"),"")</f>
        <v/>
      </c>
    </row>
    <row r="307" spans="1:25" x14ac:dyDescent="0.25">
      <c r="A307" s="162" t="str">
        <f>IF(AND($A300="YES",E300=$E$1),"YES","NO")</f>
        <v>NO</v>
      </c>
      <c r="C307" t="s">
        <v>259</v>
      </c>
      <c r="D307" s="12" t="str">
        <f>D306</f>
        <v>6C</v>
      </c>
      <c r="E307" t="s">
        <v>259</v>
      </c>
      <c r="G307" s="171">
        <f>F300</f>
        <v>0</v>
      </c>
      <c r="H307">
        <f>ROUND(B300,$O$1)</f>
        <v>176.11</v>
      </c>
      <c r="I307">
        <f>ROUND(B300+'Slide Measurements'!$D$1,$O$1)</f>
        <v>252.56</v>
      </c>
      <c r="J307">
        <f>C300</f>
        <v>199.47</v>
      </c>
      <c r="K307">
        <f>C300+'Slide Measurements'!$D$2</f>
        <v>226.87</v>
      </c>
      <c r="L307" s="5" t="str">
        <f>'Expanded Base Data'!$L298</f>
        <v/>
      </c>
      <c r="M307" s="5" t="str">
        <f>'Expanded Base Data'!$K298</f>
        <v/>
      </c>
      <c r="N307">
        <f t="shared" si="260"/>
        <v>76.45</v>
      </c>
      <c r="O307">
        <f t="shared" si="261"/>
        <v>27.4</v>
      </c>
      <c r="P307" s="5" t="e">
        <f>ROUND((L307-M307),$O$1)</f>
        <v>#VALUE!</v>
      </c>
      <c r="Q307">
        <f>'Code List'!$C$70</f>
        <v>11</v>
      </c>
      <c r="R307">
        <f>'Code List'!$D$70</f>
        <v>19</v>
      </c>
      <c r="S307" t="e">
        <f>IF(P307=0,"1",ROUND((P307/$K$1)+$M$1,0))</f>
        <v>#VALUE!</v>
      </c>
      <c r="T307" t="e">
        <f>Q307*R307*S307</f>
        <v>#VALUE!</v>
      </c>
      <c r="U307" t="str">
        <f>IF(A307="YES",CONCATENATE(G307,"_",'Program Page'!$C$4,'Program Page'!$C$5,"_",D307,"_",E307),"")</f>
        <v/>
      </c>
      <c r="V307" t="str">
        <f>IF(U307="","",CONCATENATE(U307,"_"))</f>
        <v/>
      </c>
      <c r="W307" t="str">
        <f>IF(A307="YES",CONCATENATE("{",'Code List'!$B$4,'Code List'!$D$4,",",'Code List'!$B$5,'Code List'!$D$5,",",'Code List'!$B$6,"""",U307,"""",",",'Code List'!$B$7,'Code List'!$D$7,",",'Code List'!$B$8,'Code List'!$D$8,",",'Code List'!$B$9,'Code List'!$D$9,",",'Code List'!$B$10,'Code List'!$D$10,",",'Code List'!$B$11,"""",V307,"""",",",'Code List'!$B$12,"""",H307,"""",",",'Code List'!$B$13,"""",I307,"""",",",'Code List'!$B$14,"""",J307,"""",",",'Code List'!$B$15,"""",K307,"""",",",'Code List'!$B$16,"""",L307,"""",",",'Code List'!$B$17,"""",M307,"""",",",'Code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307" s="167" t="str">
        <f>IF(A307="YES",CONCATENATE("{",'Code List'!$B$31,"""",U307,"""",",",'Code List'!$B$32,'Code List'!$D$32,",",'Code List'!$B$33,'Code List'!$D$33,",",'Code List'!$B$34,'Code List'!$D$34,",",'Code List'!$B$35,'Code List'!$D$35,",",'Code List'!$B$36,'Code List'!$D$36,",",'Code List'!$B$37,'Code List'!$D$37,",",'Code List'!$B$38,"""",H307,"""",",",'Code List'!$B$39,"""",I307,"""",",",'Code List'!$B$40,"""",J307,"""",",",'Code List'!$B$41,"""",K307,"""",",",'Code List'!$B$42,"""",L307,"""",",",'Code List'!$B$43,"""",M307,"""",",",'Code List'!$B$44,"""",N307,"""",",",'Code List'!$B$45,"""",O307,"""",",",'Code List'!$B$46,"""",P307,"""",",",'Code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List'!$B$59,"""",T307,"""","}"),"")</f>
        <v/>
      </c>
    </row>
    <row r="308" spans="1:25" ht="18.75" x14ac:dyDescent="0.3">
      <c r="A308" s="35" t="str">
        <f>IF(OR(E308=$C$1,E308=$D$1,E308=$E$1),"YES","NO")</f>
        <v>NO</v>
      </c>
      <c r="B308" s="35">
        <f>'Expanded Base Data'!D306</f>
        <v>263.11</v>
      </c>
      <c r="C308" s="35">
        <f>'Expanded Base Data'!E306</f>
        <v>199.47</v>
      </c>
      <c r="D308" s="36" t="str">
        <f>'Expanded Base Data'!B306</f>
        <v>6D</v>
      </c>
      <c r="E308" s="35">
        <f>'Expanded Base Data'!C306</f>
        <v>0</v>
      </c>
      <c r="F308" s="35">
        <f>'Expanded Base Data'!M306</f>
        <v>0</v>
      </c>
      <c r="G308" s="170">
        <f>F308</f>
        <v>0</v>
      </c>
      <c r="Y308" s="167" t="str">
        <f>""</f>
        <v/>
      </c>
    </row>
    <row r="309" spans="1:25" x14ac:dyDescent="0.25">
      <c r="A309" t="str">
        <f>IF(AND($A308="YES",E308=$C$1),"YES","NO")</f>
        <v>NO</v>
      </c>
      <c r="C309" t="s">
        <v>6</v>
      </c>
      <c r="D309" s="12" t="str">
        <f>D308</f>
        <v>6D</v>
      </c>
      <c r="E309" t="s">
        <v>6</v>
      </c>
      <c r="F309" t="s">
        <v>198</v>
      </c>
      <c r="G309" s="171">
        <f>F308</f>
        <v>0</v>
      </c>
      <c r="H309">
        <f>IF('Expanded Base Data'!N306="",ROUND(B308+'Slide Measurements'!$D$11,$O$1),B308+'Expanded Base Data'!N306)</f>
        <v>296.11</v>
      </c>
      <c r="I309">
        <f>IF('Expanded Base Data'!O306="",ROUND(B308+'Slide Measurements'!$D$12,$O$1),B308+'Expanded Base Data'!O306)</f>
        <v>304.70999999999998</v>
      </c>
      <c r="J309">
        <f>IF('Expanded Base Data'!P306="",C308+'Slide Measurements'!$E$13,C308+'Expanded Base Data'!P306)</f>
        <v>208.17</v>
      </c>
      <c r="K309">
        <f>IF('Expanded Base Data'!Q306="",C308+'Slide Measurements'!$E$14,C308+'Expanded Base Data'!Q306)</f>
        <v>216.76999999999998</v>
      </c>
      <c r="L309" s="5" t="str">
        <f>'Expanded Base Data'!$L306</f>
        <v/>
      </c>
      <c r="M309" s="5" t="str">
        <f>'Expanded Base Data'!$K306</f>
        <v/>
      </c>
      <c r="N309">
        <f>ROUND((I309-H309),$O$1)</f>
        <v>8.6</v>
      </c>
      <c r="O309">
        <f>ROUND((K309-J309),$O$1)</f>
        <v>8.6</v>
      </c>
      <c r="P309" s="5" t="e">
        <f>ROUND((L309-M309),$O$1)</f>
        <v>#VALUE!</v>
      </c>
      <c r="Q309">
        <f>'Code List'!$C$62</f>
        <v>5</v>
      </c>
      <c r="R309">
        <f>F310+'Code List'!$G$63</f>
        <v>2</v>
      </c>
      <c r="S309" t="e">
        <f>IF(P309=0,"1",ROUND((P309/$K$1)+$M$1,0))</f>
        <v>#VALUE!</v>
      </c>
      <c r="T309" t="e">
        <f>Q309*R309*S309</f>
        <v>#VALUE!</v>
      </c>
      <c r="U309" t="str">
        <f>IF(A309="YES",CONCATENATE(G309,"_",'Program Page'!$C$4,'Program Page'!$C$5,"_",D309,"_",E309),"")</f>
        <v/>
      </c>
      <c r="V309" t="str">
        <f>IF(U309="","",CONCATENATE(U309,"_"))</f>
        <v/>
      </c>
      <c r="W309" t="str">
        <f>IF(A309="YES",CONCATENATE("{",'Code List'!$B$4,'Code List'!$D$4,",",'Code List'!$B$5,'Code List'!$D$5,",",'Code List'!$B$6,"""",U309,"""",",",'Code List'!$B$7,'Code List'!$D$7,",",'Code List'!$B$8,'Code List'!$D$8,",",'Code List'!$B$9,'Code List'!$D$9,",",'Code List'!$B$10,'Code List'!$D$10,",",'Code List'!$B$11,"""",V309,"""",",",'Code List'!$B$12,"""",H309,"""",",",'Code List'!$B$13,"""",I309,"""",",",'Code List'!$B$14,"""",J309,"""",",",'Code List'!$B$15,"""",K309,"""",",",'Code List'!$B$16,"""",L309,"""",",",'Code List'!$B$17,"""",M309,"""",",",'Code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09" s="167" t="str">
        <f>IF(A309="YES",CONCATENATE("{",'Code List'!$B$31,"""",U309,"""",",",'Code List'!$B$32,'Code List'!$D$32,",",'Code List'!$B$33,'Code List'!$D$33,",",'Code List'!$B$34,'Code List'!$D$34,",",'Code List'!$B$35,'Code List'!$D$35,",",'Code List'!$B$36,'Code List'!$D$36,",",'Code List'!$B$37,'Code List'!$D$37,",",'Code List'!$B$38,"""",H309,"""",",",'Code List'!$B$39,"""",I309,"""",",",'Code List'!$B$40,"""",J309,"""",",",'Code List'!$B$41,"""",K309,"""",",",'Code List'!$B$42,"""",L309,"""",",",'Code List'!$B$43,"""",M309,"""",",",'Code List'!$B$44,"""",N309,"""",",",'Code List'!$B$45,"""",O309,"""",",",'Code List'!$B$46,"""",P309,"""",",",'Code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List'!$B$59,"""",T309,"""","}"),"")</f>
        <v/>
      </c>
    </row>
    <row r="310" spans="1:25" x14ac:dyDescent="0.25">
      <c r="A310" t="str">
        <f>IF(AND($A308="YES",E308=$D$1,F310&gt;0),"YES","NO")</f>
        <v>NO</v>
      </c>
      <c r="C310" t="s">
        <v>5</v>
      </c>
      <c r="D310" s="12" t="str">
        <f t="shared" ref="D310:D314" si="266">D309</f>
        <v>6D</v>
      </c>
      <c r="E310" t="s">
        <v>188</v>
      </c>
      <c r="F310">
        <f>'Expanded Base Data'!F306</f>
        <v>0</v>
      </c>
      <c r="G310" s="171">
        <f>F308</f>
        <v>0</v>
      </c>
      <c r="H310">
        <f>ROUND(B308+'Slide Measurements'!$D$17,$O$1)</f>
        <v>288.51</v>
      </c>
      <c r="I310">
        <f>ROUND(H310+(F310*'Slide Measurements'!$D$21),$O$1)</f>
        <v>288.51</v>
      </c>
      <c r="J310">
        <f>C308+'Slide Measurements'!$E$17</f>
        <v>203.77</v>
      </c>
      <c r="K310">
        <f>J310+($I$1*'Slide Measurements'!$E$23-'Slide Measurements'!$E$23)</f>
        <v>205.62</v>
      </c>
      <c r="L310" s="5" t="str">
        <f>'Expanded Base Data'!$L306</f>
        <v/>
      </c>
      <c r="M310" s="5" t="str">
        <f>'Expanded Base Data'!$K306</f>
        <v/>
      </c>
      <c r="N310">
        <f t="shared" ref="N310:N315" si="267">ROUND((I310-H310),$O$1)</f>
        <v>0</v>
      </c>
      <c r="O310">
        <f t="shared" ref="O310:O315" si="268">ROUND((K310-J310),$O$1)</f>
        <v>1.85</v>
      </c>
      <c r="P310" s="5" t="e">
        <f t="shared" ref="P310:P314" si="269">ROUND((L310-M310),$O$1)</f>
        <v>#VALUE!</v>
      </c>
      <c r="Q310">
        <f>'Code List'!$C$63</f>
        <v>3</v>
      </c>
      <c r="R310">
        <f>F311+'Code List'!$G$63</f>
        <v>2</v>
      </c>
      <c r="S310" t="e">
        <f t="shared" ref="S310:S314" si="270">IF(P310=0,"1",ROUND((P310/$K$1)+$M$1,0))</f>
        <v>#VALUE!</v>
      </c>
      <c r="T310" t="e">
        <f>Q310*R310*S310</f>
        <v>#VALUE!</v>
      </c>
      <c r="U310" t="str">
        <f>IF(A310="YES",CONCATENATE(G310,"_",'Program Page'!$C$4,'Program Page'!$C$5,"_",D310,"_",E310),"")</f>
        <v/>
      </c>
      <c r="V310" t="str">
        <f t="shared" ref="V310:V314" si="271">IF(U310="","",CONCATENATE(U310,"_"))</f>
        <v/>
      </c>
      <c r="W310" t="str">
        <f>IF(A310="YES",CONCATENATE("{",'Code List'!$B$4,'Code List'!$D$4,",",'Code List'!$B$5,'Code List'!$D$5,",",'Code List'!$B$6,"""",U310,"""",",",'Code List'!$B$7,'Code List'!$D$7,",",'Code List'!$B$8,'Code List'!$D$8,",",'Code List'!$B$9,'Code List'!$D$9,",",'Code List'!$B$10,'Code List'!$D$10,",",'Code List'!$B$11,"""",V310,"""",",",'Code List'!$B$12,"""",H310,"""",",",'Code List'!$B$13,"""",I310,"""",",",'Code List'!$B$14,"""",J310,"""",",",'Code List'!$B$15,"""",K310,"""",",",'Code List'!$B$16,"""",L310,"""",",",'Code List'!$B$17,"""",M310,"""",",",'Code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10" s="167" t="str">
        <f>IF(A310="YES",CONCATENATE("{",'Code List'!$B$31,"""",U310,"""",",",'Code List'!$B$32,'Code List'!$D$32,",",'Code List'!$B$33,'Code List'!$D$33,",",'Code List'!$B$34,'Code List'!$D$34,",",'Code List'!$B$35,'Code List'!$D$35,",",'Code List'!$B$36,'Code List'!$D$36,",",'Code List'!$B$37,'Code List'!$D$37,",",'Code List'!$B$38,"""",H310,"""",",",'Code List'!$B$39,"""",I310,"""",",",'Code List'!$B$40,"""",J310,"""",",",'Code List'!$B$41,"""",K310,"""",",",'Code List'!$B$42,"""",L310,"""",",",'Code List'!$B$43,"""",M310,"""",",",'Code List'!$B$44,"""",N310,"""",",",'Code List'!$B$45,"""",O310,"""",",",'Code List'!$B$46,"""",P310,"""",",",'Code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List'!$B$59,"""",T310,"""","}"),"")</f>
        <v/>
      </c>
    </row>
    <row r="311" spans="1:25" x14ac:dyDescent="0.25">
      <c r="A311" t="str">
        <f>IF(AND($A308="YES",E308=$D$1,F311&gt;0),"YES","NO")</f>
        <v>NO</v>
      </c>
      <c r="C311" t="s">
        <v>5</v>
      </c>
      <c r="D311" s="12" t="str">
        <f t="shared" si="266"/>
        <v>6D</v>
      </c>
      <c r="E311" t="s">
        <v>189</v>
      </c>
      <c r="F311">
        <f>'Expanded Base Data'!G306</f>
        <v>0</v>
      </c>
      <c r="G311" s="171">
        <f>F308</f>
        <v>0</v>
      </c>
      <c r="H311">
        <f>ROUND(B308+'Slide Measurements'!$D$17,$O$1)</f>
        <v>288.51</v>
      </c>
      <c r="I311">
        <f>ROUND(H311+(F311*'Slide Measurements'!$D$21),$O$1)</f>
        <v>288.51</v>
      </c>
      <c r="J311">
        <f>K310</f>
        <v>205.62</v>
      </c>
      <c r="K311">
        <f>J311+($I$1*'Slide Measurements'!$E$23-'Slide Measurements'!$E$23)</f>
        <v>207.47</v>
      </c>
      <c r="L311" s="5" t="str">
        <f>'Expanded Base Data'!$L306</f>
        <v/>
      </c>
      <c r="M311" s="5" t="str">
        <f>'Expanded Base Data'!$K306</f>
        <v/>
      </c>
      <c r="N311">
        <f t="shared" si="267"/>
        <v>0</v>
      </c>
      <c r="O311">
        <f t="shared" si="268"/>
        <v>1.85</v>
      </c>
      <c r="P311" s="5" t="e">
        <f t="shared" si="269"/>
        <v>#VALUE!</v>
      </c>
      <c r="Q311">
        <f>'Code List'!$C$63</f>
        <v>3</v>
      </c>
      <c r="R311">
        <f>F312+'Code List'!$G$63</f>
        <v>2</v>
      </c>
      <c r="S311" t="e">
        <f t="shared" si="270"/>
        <v>#VALUE!</v>
      </c>
      <c r="T311" t="e">
        <f t="shared" ref="T311:T314" si="272">Q311*R311*S311</f>
        <v>#VALUE!</v>
      </c>
      <c r="U311" t="str">
        <f>IF(A311="YES",CONCATENATE(G311,"_",'Program Page'!$C$4,'Program Page'!$C$5,"_",D311,"_",E311),"")</f>
        <v/>
      </c>
      <c r="V311" t="str">
        <f t="shared" si="271"/>
        <v/>
      </c>
      <c r="W311" t="str">
        <f>IF(A311="YES",CONCATENATE("{",'Code List'!$B$4,'Code List'!$D$4,",",'Code List'!$B$5,'Code List'!$D$5,",",'Code List'!$B$6,"""",U311,"""",",",'Code List'!$B$7,'Code List'!$D$7,",",'Code List'!$B$8,'Code List'!$D$8,",",'Code List'!$B$9,'Code List'!$D$9,",",'Code List'!$B$10,'Code List'!$D$10,",",'Code List'!$B$11,"""",V311,"""",",",'Code List'!$B$12,"""",H311,"""",",",'Code List'!$B$13,"""",I311,"""",",",'Code List'!$B$14,"""",J311,"""",",",'Code List'!$B$15,"""",K311,"""",",",'Code List'!$B$16,"""",L311,"""",",",'Code List'!$B$17,"""",M311,"""",",",'Code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11" s="167" t="str">
        <f>IF(A311="YES",CONCATENATE("{",'Code List'!$B$31,"""",U311,"""",",",'Code List'!$B$32,'Code List'!$D$32,",",'Code List'!$B$33,'Code List'!$D$33,",",'Code List'!$B$34,'Code List'!$D$34,",",'Code List'!$B$35,'Code List'!$D$35,",",'Code List'!$B$36,'Code List'!$D$36,",",'Code List'!$B$37,'Code List'!$D$37,",",'Code List'!$B$38,"""",H311,"""",",",'Code List'!$B$39,"""",I311,"""",",",'Code List'!$B$40,"""",J311,"""",",",'Code List'!$B$41,"""",K311,"""",",",'Code List'!$B$42,"""",L311,"""",",",'Code List'!$B$43,"""",M311,"""",",",'Code List'!$B$44,"""",N311,"""",",",'Code List'!$B$45,"""",O311,"""",",",'Code List'!$B$46,"""",P311,"""",",",'Code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List'!$B$59,"""",T311,"""","}"),"")</f>
        <v/>
      </c>
    </row>
    <row r="312" spans="1:25" x14ac:dyDescent="0.25">
      <c r="A312" t="str">
        <f>IF(AND($A308="YES",E308=$D$1,F312&gt;0),"YES","NO")</f>
        <v>NO</v>
      </c>
      <c r="C312" t="s">
        <v>5</v>
      </c>
      <c r="D312" s="12" t="str">
        <f t="shared" si="266"/>
        <v>6D</v>
      </c>
      <c r="E312" t="s">
        <v>190</v>
      </c>
      <c r="F312">
        <f>'Expanded Base Data'!H306</f>
        <v>0</v>
      </c>
      <c r="G312" s="171">
        <f>F308</f>
        <v>0</v>
      </c>
      <c r="H312">
        <f>ROUND(B308+'Slide Measurements'!$D$17,$O$1)</f>
        <v>288.51</v>
      </c>
      <c r="I312">
        <f>ROUND(H312+(F312*'Slide Measurements'!$D$21),$O$1)</f>
        <v>288.51</v>
      </c>
      <c r="J312">
        <f>K311</f>
        <v>207.47</v>
      </c>
      <c r="K312">
        <f>J312+($I$1*'Slide Measurements'!$E$23-'Slide Measurements'!$E$23)</f>
        <v>209.32</v>
      </c>
      <c r="L312" s="5" t="str">
        <f>'Expanded Base Data'!$L306</f>
        <v/>
      </c>
      <c r="M312" s="5" t="str">
        <f>'Expanded Base Data'!$K306</f>
        <v/>
      </c>
      <c r="N312">
        <f t="shared" si="267"/>
        <v>0</v>
      </c>
      <c r="O312">
        <f t="shared" si="268"/>
        <v>1.85</v>
      </c>
      <c r="P312" s="5" t="e">
        <f t="shared" si="269"/>
        <v>#VALUE!</v>
      </c>
      <c r="Q312">
        <f>'Code List'!$C$63</f>
        <v>3</v>
      </c>
      <c r="R312">
        <f>F313+'Code List'!$G$63</f>
        <v>2</v>
      </c>
      <c r="S312" t="e">
        <f t="shared" si="270"/>
        <v>#VALUE!</v>
      </c>
      <c r="T312" t="e">
        <f t="shared" si="272"/>
        <v>#VALUE!</v>
      </c>
      <c r="U312" t="str">
        <f>IF(A312="YES",CONCATENATE(G312,"_",'Program Page'!$C$4,'Program Page'!$C$5,"_",D312,"_",E312),"")</f>
        <v/>
      </c>
      <c r="V312" t="str">
        <f t="shared" si="271"/>
        <v/>
      </c>
      <c r="W312" t="str">
        <f>IF(A312="YES",CONCATENATE("{",'Code List'!$B$4,'Code List'!$D$4,",",'Code List'!$B$5,'Code List'!$D$5,",",'Code List'!$B$6,"""",U312,"""",",",'Code List'!$B$7,'Code List'!$D$7,",",'Code List'!$B$8,'Code List'!$D$8,",",'Code List'!$B$9,'Code List'!$D$9,",",'Code List'!$B$10,'Code List'!$D$10,",",'Code List'!$B$11,"""",V312,"""",",",'Code List'!$B$12,"""",H312,"""",",",'Code List'!$B$13,"""",I312,"""",",",'Code List'!$B$14,"""",J312,"""",",",'Code List'!$B$15,"""",K312,"""",",",'Code List'!$B$16,"""",L312,"""",",",'Code List'!$B$17,"""",M312,"""",",",'Code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12" s="167" t="str">
        <f>IF(A312="YES",CONCATENATE("{",'Code List'!$B$31,"""",U312,"""",",",'Code List'!$B$32,'Code List'!$D$32,",",'Code List'!$B$33,'Code List'!$D$33,",",'Code List'!$B$34,'Code List'!$D$34,",",'Code List'!$B$35,'Code List'!$D$35,",",'Code List'!$B$36,'Code List'!$D$36,",",'Code List'!$B$37,'Code List'!$D$37,",",'Code List'!$B$38,"""",H312,"""",",",'Code List'!$B$39,"""",I312,"""",",",'Code List'!$B$40,"""",J312,"""",",",'Code List'!$B$41,"""",K312,"""",",",'Code List'!$B$42,"""",L312,"""",",",'Code List'!$B$43,"""",M312,"""",",",'Code List'!$B$44,"""",N312,"""",",",'Code List'!$B$45,"""",O312,"""",",",'Code List'!$B$46,"""",P312,"""",",",'Code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List'!$B$59,"""",T312,"""","}"),"")</f>
        <v/>
      </c>
    </row>
    <row r="313" spans="1:25" x14ac:dyDescent="0.25">
      <c r="A313" t="str">
        <f>IF(AND($A308="YES",E308=$D$1,F313&gt;0),"YES","NO")</f>
        <v>NO</v>
      </c>
      <c r="C313" t="s">
        <v>5</v>
      </c>
      <c r="D313" s="12" t="str">
        <f t="shared" si="266"/>
        <v>6D</v>
      </c>
      <c r="E313" t="s">
        <v>191</v>
      </c>
      <c r="F313">
        <f>'Expanded Base Data'!I306</f>
        <v>0</v>
      </c>
      <c r="G313" s="171">
        <f>F308</f>
        <v>0</v>
      </c>
      <c r="H313">
        <f>ROUND(B308+'Slide Measurements'!$D$17,$O$1)</f>
        <v>288.51</v>
      </c>
      <c r="I313">
        <f>ROUND(H313+(F313*'Slide Measurements'!$D$21),$O$1)</f>
        <v>288.51</v>
      </c>
      <c r="J313">
        <f>K312</f>
        <v>209.32</v>
      </c>
      <c r="K313">
        <f>J313+($I$1*'Slide Measurements'!$E$23-'Slide Measurements'!$E$23)</f>
        <v>211.17</v>
      </c>
      <c r="L313" s="5" t="str">
        <f>'Expanded Base Data'!$L306</f>
        <v/>
      </c>
      <c r="M313" s="5" t="str">
        <f>'Expanded Base Data'!$K306</f>
        <v/>
      </c>
      <c r="N313">
        <f t="shared" si="267"/>
        <v>0</v>
      </c>
      <c r="O313">
        <f t="shared" si="268"/>
        <v>1.85</v>
      </c>
      <c r="P313" s="5" t="e">
        <f t="shared" si="269"/>
        <v>#VALUE!</v>
      </c>
      <c r="Q313">
        <f>'Code List'!$C$63</f>
        <v>3</v>
      </c>
      <c r="R313">
        <f>F314+'Code List'!$G$63</f>
        <v>2</v>
      </c>
      <c r="S313" t="e">
        <f t="shared" si="270"/>
        <v>#VALUE!</v>
      </c>
      <c r="T313" t="e">
        <f t="shared" si="272"/>
        <v>#VALUE!</v>
      </c>
      <c r="U313" t="str">
        <f>IF(A313="YES",CONCATENATE(G313,"_",'Program Page'!$C$4,'Program Page'!$C$5,"_",D313,"_",E313),"")</f>
        <v/>
      </c>
      <c r="V313" t="str">
        <f t="shared" si="271"/>
        <v/>
      </c>
      <c r="W313" t="str">
        <f>IF(A313="YES",CONCATENATE("{",'Code List'!$B$4,'Code List'!$D$4,",",'Code List'!$B$5,'Code List'!$D$5,",",'Code List'!$B$6,"""",U313,"""",",",'Code List'!$B$7,'Code List'!$D$7,",",'Code List'!$B$8,'Code List'!$D$8,",",'Code List'!$B$9,'Code List'!$D$9,",",'Code List'!$B$10,'Code List'!$D$10,",",'Code List'!$B$11,"""",V313,"""",",",'Code List'!$B$12,"""",H313,"""",",",'Code List'!$B$13,"""",I313,"""",",",'Code List'!$B$14,"""",J313,"""",",",'Code List'!$B$15,"""",K313,"""",",",'Code List'!$B$16,"""",L313,"""",",",'Code List'!$B$17,"""",M313,"""",",",'Code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13" s="167" t="str">
        <f>IF(A313="YES",CONCATENATE("{",'Code List'!$B$31,"""",U313,"""",",",'Code List'!$B$32,'Code List'!$D$32,",",'Code List'!$B$33,'Code List'!$D$33,",",'Code List'!$B$34,'Code List'!$D$34,",",'Code List'!$B$35,'Code List'!$D$35,",",'Code List'!$B$36,'Code List'!$D$36,",",'Code List'!$B$37,'Code List'!$D$37,",",'Code List'!$B$38,"""",H313,"""",",",'Code List'!$B$39,"""",I313,"""",",",'Code List'!$B$40,"""",J313,"""",",",'Code List'!$B$41,"""",K313,"""",",",'Code List'!$B$42,"""",L313,"""",",",'Code List'!$B$43,"""",M313,"""",",",'Code List'!$B$44,"""",N313,"""",",",'Code List'!$B$45,"""",O313,"""",",",'Code List'!$B$46,"""",P313,"""",",",'Code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List'!$B$59,"""",T313,"""","}"),"")</f>
        <v/>
      </c>
    </row>
    <row r="314" spans="1:25" x14ac:dyDescent="0.25">
      <c r="A314" t="str">
        <f>IF(AND($A308="YES",E308=$D$1,F314&gt;0),"YES","NO")</f>
        <v>NO</v>
      </c>
      <c r="C314" t="s">
        <v>5</v>
      </c>
      <c r="D314" s="12" t="str">
        <f t="shared" si="266"/>
        <v>6D</v>
      </c>
      <c r="E314" t="s">
        <v>196</v>
      </c>
      <c r="F314">
        <f>'Expanded Base Data'!J306</f>
        <v>0</v>
      </c>
      <c r="G314" s="171">
        <f>F308</f>
        <v>0</v>
      </c>
      <c r="H314">
        <f>ROUND(B308+'Slide Measurements'!$D$17,$O$1)</f>
        <v>288.51</v>
      </c>
      <c r="I314">
        <f>ROUND(H314+(F314*'Slide Measurements'!$D$21),$O$1)</f>
        <v>288.51</v>
      </c>
      <c r="J314">
        <f>K313</f>
        <v>211.17</v>
      </c>
      <c r="K314">
        <f>J314+($I$1*'Slide Measurements'!$E$23-'Slide Measurements'!$E$23)</f>
        <v>213.01999999999998</v>
      </c>
      <c r="L314" s="5" t="str">
        <f>'Expanded Base Data'!$L306</f>
        <v/>
      </c>
      <c r="M314" s="5" t="str">
        <f>'Expanded Base Data'!$K306</f>
        <v/>
      </c>
      <c r="N314">
        <f t="shared" si="267"/>
        <v>0</v>
      </c>
      <c r="O314">
        <f t="shared" si="268"/>
        <v>1.85</v>
      </c>
      <c r="P314" s="5" t="e">
        <f t="shared" si="269"/>
        <v>#VALUE!</v>
      </c>
      <c r="Q314">
        <f>'Code List'!$C$63</f>
        <v>3</v>
      </c>
      <c r="R314">
        <f>F315+'Code List'!$G$63</f>
        <v>2</v>
      </c>
      <c r="S314" t="e">
        <f t="shared" si="270"/>
        <v>#VALUE!</v>
      </c>
      <c r="T314" t="e">
        <f t="shared" si="272"/>
        <v>#VALUE!</v>
      </c>
      <c r="U314" t="str">
        <f>IF(A314="YES",CONCATENATE(G314,"_",'Program Page'!$C$4,'Program Page'!$C$5,"_",D314,"_",E314),"")</f>
        <v/>
      </c>
      <c r="V314" t="str">
        <f t="shared" si="271"/>
        <v/>
      </c>
      <c r="W314" t="str">
        <f>IF(A314="YES",CONCATENATE("{",'Code List'!$B$4,'Code List'!$D$4,",",'Code List'!$B$5,'Code List'!$D$5,",",'Code List'!$B$6,"""",U314,"""",",",'Code List'!$B$7,'Code List'!$D$7,",",'Code List'!$B$8,'Code List'!$D$8,",",'Code List'!$B$9,'Code List'!$D$9,",",'Code List'!$B$10,'Code List'!$D$10,",",'Code List'!$B$11,"""",V314,"""",",",'Code List'!$B$12,"""",H314,"""",",",'Code List'!$B$13,"""",I314,"""",",",'Code List'!$B$14,"""",J314,"""",",",'Code List'!$B$15,"""",K314,"""",",",'Code List'!$B$16,"""",L314,"""",",",'Code List'!$B$17,"""",M314,"""",",",'Code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14" s="167" t="str">
        <f>IF(A314="YES",CONCATENATE("{",'Code List'!$B$31,"""",U314,"""",",",'Code List'!$B$32,'Code List'!$D$32,",",'Code List'!$B$33,'Code List'!$D$33,",",'Code List'!$B$34,'Code List'!$D$34,",",'Code List'!$B$35,'Code List'!$D$35,",",'Code List'!$B$36,'Code List'!$D$36,",",'Code List'!$B$37,'Code List'!$D$37,",",'Code List'!$B$38,"""",H314,"""",",",'Code List'!$B$39,"""",I314,"""",",",'Code List'!$B$40,"""",J314,"""",",",'Code List'!$B$41,"""",K314,"""",",",'Code List'!$B$42,"""",L314,"""",",",'Code List'!$B$43,"""",M314,"""",",",'Code List'!$B$44,"""",N314,"""",",",'Code List'!$B$45,"""",O314,"""",",",'Code List'!$B$46,"""",P314,"""",",",'Code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List'!$B$59,"""",T314,"""","}"),"")</f>
        <v/>
      </c>
    </row>
    <row r="315" spans="1:25" x14ac:dyDescent="0.25">
      <c r="A315" s="162" t="str">
        <f>IF(AND($A308="YES",E308=$E$1),"YES","NO")</f>
        <v>NO</v>
      </c>
      <c r="C315" t="s">
        <v>259</v>
      </c>
      <c r="D315" s="12" t="str">
        <f>D314</f>
        <v>6D</v>
      </c>
      <c r="E315" t="s">
        <v>259</v>
      </c>
      <c r="G315" s="171">
        <f>F308</f>
        <v>0</v>
      </c>
      <c r="H315">
        <f>ROUND(B308,$O$1)</f>
        <v>263.11</v>
      </c>
      <c r="I315">
        <f>ROUND(B308+'Slide Measurements'!$D$1,$O$1)</f>
        <v>339.56</v>
      </c>
      <c r="J315">
        <f>C308</f>
        <v>199.47</v>
      </c>
      <c r="K315">
        <f>C308+'Slide Measurements'!$D$2</f>
        <v>226.87</v>
      </c>
      <c r="L315" s="5" t="str">
        <f>'Expanded Base Data'!$L306</f>
        <v/>
      </c>
      <c r="M315" s="5" t="str">
        <f>'Expanded Base Data'!$K306</f>
        <v/>
      </c>
      <c r="N315">
        <f t="shared" si="267"/>
        <v>76.45</v>
      </c>
      <c r="O315">
        <f t="shared" si="268"/>
        <v>27.4</v>
      </c>
      <c r="P315" s="5" t="e">
        <f>ROUND((L315-M315),$O$1)</f>
        <v>#VALUE!</v>
      </c>
      <c r="Q315">
        <f>'Code List'!$C$70</f>
        <v>11</v>
      </c>
      <c r="R315">
        <f>'Code List'!$D$70</f>
        <v>19</v>
      </c>
      <c r="S315" t="e">
        <f>IF(P315=0,"1",ROUND((P315/$K$1)+$M$1,0))</f>
        <v>#VALUE!</v>
      </c>
      <c r="T315" t="e">
        <f>Q315*R315*S315</f>
        <v>#VALUE!</v>
      </c>
      <c r="U315" t="str">
        <f>IF(A315="YES",CONCATENATE(G315,"_",'Program Page'!$C$4,'Program Page'!$C$5,"_",D315,"_",E315),"")</f>
        <v/>
      </c>
      <c r="V315" t="str">
        <f>IF(U315="","",CONCATENATE(U315,"_"))</f>
        <v/>
      </c>
      <c r="W315" t="str">
        <f>IF(A315="YES",CONCATENATE("{",'Code List'!$B$4,'Code List'!$D$4,",",'Code List'!$B$5,'Code List'!$D$5,",",'Code List'!$B$6,"""",U315,"""",",",'Code List'!$B$7,'Code List'!$D$7,",",'Code List'!$B$8,'Code List'!$D$8,",",'Code List'!$B$9,'Code List'!$D$9,",",'Code List'!$B$10,'Code List'!$D$10,",",'Code List'!$B$11,"""",V315,"""",",",'Code List'!$B$12,"""",H315,"""",",",'Code List'!$B$13,"""",I315,"""",",",'Code List'!$B$14,"""",J315,"""",",",'Code List'!$B$15,"""",K315,"""",",",'Code List'!$B$16,"""",L315,"""",",",'Code List'!$B$17,"""",M315,"""",",",'Code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315" s="167" t="str">
        <f>IF(A315="YES",CONCATENATE("{",'Code List'!$B$31,"""",U315,"""",",",'Code List'!$B$32,'Code List'!$D$32,",",'Code List'!$B$33,'Code List'!$D$33,",",'Code List'!$B$34,'Code List'!$D$34,",",'Code List'!$B$35,'Code List'!$D$35,",",'Code List'!$B$36,'Code List'!$D$36,",",'Code List'!$B$37,'Code List'!$D$37,",",'Code List'!$B$38,"""",H315,"""",",",'Code List'!$B$39,"""",I315,"""",",",'Code List'!$B$40,"""",J315,"""",",",'Code List'!$B$41,"""",K315,"""",",",'Code List'!$B$42,"""",L315,"""",",",'Code List'!$B$43,"""",M315,"""",",",'Code List'!$B$44,"""",N315,"""",",",'Code List'!$B$45,"""",O315,"""",",",'Code List'!$B$46,"""",P315,"""",",",'Code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List'!$B$59,"""",T315,"""","}"),"")</f>
        <v/>
      </c>
    </row>
    <row r="316" spans="1:25" ht="18.75" x14ac:dyDescent="0.3">
      <c r="A316" s="35" t="str">
        <f>IF(OR(E316=$C$1,E316=$D$1,E316=$E$1),"YES","NO")</f>
        <v>NO</v>
      </c>
      <c r="B316" s="35">
        <f>'Expanded Base Data'!D314</f>
        <v>349.51</v>
      </c>
      <c r="C316" s="35">
        <f>'Expanded Base Data'!E314</f>
        <v>199.47</v>
      </c>
      <c r="D316" s="36" t="str">
        <f>'Expanded Base Data'!B314</f>
        <v>6E</v>
      </c>
      <c r="E316" s="35">
        <f>'Expanded Base Data'!C314</f>
        <v>0</v>
      </c>
      <c r="F316" s="35">
        <f>'Expanded Base Data'!M314</f>
        <v>0</v>
      </c>
      <c r="G316" s="170">
        <f>F316</f>
        <v>0</v>
      </c>
      <c r="Y316" s="167" t="str">
        <f>""</f>
        <v/>
      </c>
    </row>
    <row r="317" spans="1:25" x14ac:dyDescent="0.25">
      <c r="A317" t="str">
        <f>IF(AND($A316="YES",E316=$C$1),"YES","NO")</f>
        <v>NO</v>
      </c>
      <c r="C317" t="s">
        <v>6</v>
      </c>
      <c r="D317" s="12" t="str">
        <f>D316</f>
        <v>6E</v>
      </c>
      <c r="E317" t="s">
        <v>6</v>
      </c>
      <c r="F317" t="s">
        <v>198</v>
      </c>
      <c r="G317" s="171">
        <f>F316</f>
        <v>0</v>
      </c>
      <c r="H317">
        <f>IF('Expanded Base Data'!N314="",ROUND(B316+'Slide Measurements'!$D$11,$O$1),B316+'Expanded Base Data'!N314)</f>
        <v>382.51</v>
      </c>
      <c r="I317">
        <f>IF('Expanded Base Data'!O314="",ROUND(B316+'Slide Measurements'!$D$12,$O$1),B316+'Expanded Base Data'!O314)</f>
        <v>391.11</v>
      </c>
      <c r="J317">
        <f>IF('Expanded Base Data'!P314="",C316+'Slide Measurements'!$E$13,C316+'Expanded Base Data'!P314)</f>
        <v>208.17</v>
      </c>
      <c r="K317">
        <f>IF('Expanded Base Data'!Q314="",C316+'Slide Measurements'!$E$14,C316+'Expanded Base Data'!Q314)</f>
        <v>216.76999999999998</v>
      </c>
      <c r="L317" s="5" t="str">
        <f>'Expanded Base Data'!$L314</f>
        <v/>
      </c>
      <c r="M317" s="5" t="str">
        <f>'Expanded Base Data'!$K314</f>
        <v/>
      </c>
      <c r="N317">
        <f>ROUND((I317-H317),$O$1)</f>
        <v>8.6</v>
      </c>
      <c r="O317">
        <f>ROUND((K317-J317),$O$1)</f>
        <v>8.6</v>
      </c>
      <c r="P317" s="5" t="e">
        <f>ROUND((L317-M317),$O$1)</f>
        <v>#VALUE!</v>
      </c>
      <c r="Q317">
        <f>'Code List'!$C$62</f>
        <v>5</v>
      </c>
      <c r="R317">
        <f>F318+'Code List'!$G$63</f>
        <v>2</v>
      </c>
      <c r="S317" t="e">
        <f>IF(P317=0,"1",ROUND((P317/$K$1)+$M$1,0))</f>
        <v>#VALUE!</v>
      </c>
      <c r="T317" t="e">
        <f>Q317*R317*S317</f>
        <v>#VALUE!</v>
      </c>
      <c r="U317" t="str">
        <f>IF(A317="YES",CONCATENATE(G317,"_",'Program Page'!$C$4,'Program Page'!$C$5,"_",D317,"_",E317),"")</f>
        <v/>
      </c>
      <c r="V317" t="str">
        <f>IF(U317="","",CONCATENATE(U317,"_"))</f>
        <v/>
      </c>
      <c r="W317" t="str">
        <f>IF(A317="YES",CONCATENATE("{",'Code List'!$B$4,'Code List'!$D$4,",",'Code List'!$B$5,'Code List'!$D$5,",",'Code List'!$B$6,"""",U317,"""",",",'Code List'!$B$7,'Code List'!$D$7,",",'Code List'!$B$8,'Code List'!$D$8,",",'Code List'!$B$9,'Code List'!$D$9,",",'Code List'!$B$10,'Code List'!$D$10,",",'Code List'!$B$11,"""",V317,"""",",",'Code List'!$B$12,"""",H317,"""",",",'Code List'!$B$13,"""",I317,"""",",",'Code List'!$B$14,"""",J317,"""",",",'Code List'!$B$15,"""",K317,"""",",",'Code List'!$B$16,"""",L317,"""",",",'Code List'!$B$17,"""",M317,"""",",",'Code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17" s="167" t="str">
        <f>IF(A317="YES",CONCATENATE("{",'Code List'!$B$31,"""",U317,"""",",",'Code List'!$B$32,'Code List'!$D$32,",",'Code List'!$B$33,'Code List'!$D$33,",",'Code List'!$B$34,'Code List'!$D$34,",",'Code List'!$B$35,'Code List'!$D$35,",",'Code List'!$B$36,'Code List'!$D$36,",",'Code List'!$B$37,'Code List'!$D$37,",",'Code List'!$B$38,"""",H317,"""",",",'Code List'!$B$39,"""",I317,"""",",",'Code List'!$B$40,"""",J317,"""",",",'Code List'!$B$41,"""",K317,"""",",",'Code List'!$B$42,"""",L317,"""",",",'Code List'!$B$43,"""",M317,"""",",",'Code List'!$B$44,"""",N317,"""",",",'Code List'!$B$45,"""",O317,"""",",",'Code List'!$B$46,"""",P317,"""",",",'Code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List'!$B$59,"""",T317,"""","}"),"")</f>
        <v/>
      </c>
    </row>
    <row r="318" spans="1:25" x14ac:dyDescent="0.25">
      <c r="A318" t="str">
        <f>IF(AND($A316="YES",E316=$D$1,F318&gt;0),"YES","NO")</f>
        <v>NO</v>
      </c>
      <c r="C318" t="s">
        <v>5</v>
      </c>
      <c r="D318" s="12" t="str">
        <f t="shared" ref="D318:D322" si="273">D317</f>
        <v>6E</v>
      </c>
      <c r="E318" t="s">
        <v>188</v>
      </c>
      <c r="F318">
        <f>'Expanded Base Data'!F314</f>
        <v>0</v>
      </c>
      <c r="G318" s="171">
        <f>F316</f>
        <v>0</v>
      </c>
      <c r="H318">
        <f>ROUND(B316+'Slide Measurements'!$D$17,$O$1)</f>
        <v>374.91</v>
      </c>
      <c r="I318">
        <f>ROUND(H318+(F318*'Slide Measurements'!$D$21),$O$1)</f>
        <v>374.91</v>
      </c>
      <c r="J318">
        <f>C316+'Slide Measurements'!$E$17</f>
        <v>203.77</v>
      </c>
      <c r="K318">
        <f>J318+($I$1*'Slide Measurements'!$E$23-'Slide Measurements'!$E$23)</f>
        <v>205.62</v>
      </c>
      <c r="L318" s="5" t="str">
        <f>'Expanded Base Data'!$L314</f>
        <v/>
      </c>
      <c r="M318" s="5" t="str">
        <f>'Expanded Base Data'!$K314</f>
        <v/>
      </c>
      <c r="N318">
        <f t="shared" ref="N318:N323" si="274">ROUND((I318-H318),$O$1)</f>
        <v>0</v>
      </c>
      <c r="O318">
        <f t="shared" ref="O318:O323" si="275">ROUND((K318-J318),$O$1)</f>
        <v>1.85</v>
      </c>
      <c r="P318" s="5" t="e">
        <f t="shared" ref="P318:P322" si="276">ROUND((L318-M318),$O$1)</f>
        <v>#VALUE!</v>
      </c>
      <c r="Q318">
        <f>'Code List'!$C$63</f>
        <v>3</v>
      </c>
      <c r="R318">
        <f>F319+'Code List'!$G$63</f>
        <v>2</v>
      </c>
      <c r="S318" t="e">
        <f t="shared" ref="S318:S322" si="277">IF(P318=0,"1",ROUND((P318/$K$1)+$M$1,0))</f>
        <v>#VALUE!</v>
      </c>
      <c r="T318" t="e">
        <f>Q318*R318*S318</f>
        <v>#VALUE!</v>
      </c>
      <c r="U318" t="str">
        <f>IF(A318="YES",CONCATENATE(G318,"_",'Program Page'!$C$4,'Program Page'!$C$5,"_",D318,"_",E318),"")</f>
        <v/>
      </c>
      <c r="V318" t="str">
        <f t="shared" ref="V318:V322" si="278">IF(U318="","",CONCATENATE(U318,"_"))</f>
        <v/>
      </c>
      <c r="W318" t="str">
        <f>IF(A318="YES",CONCATENATE("{",'Code List'!$B$4,'Code List'!$D$4,",",'Code List'!$B$5,'Code List'!$D$5,",",'Code List'!$B$6,"""",U318,"""",",",'Code List'!$B$7,'Code List'!$D$7,",",'Code List'!$B$8,'Code List'!$D$8,",",'Code List'!$B$9,'Code List'!$D$9,",",'Code List'!$B$10,'Code List'!$D$10,",",'Code List'!$B$11,"""",V318,"""",",",'Code List'!$B$12,"""",H318,"""",",",'Code List'!$B$13,"""",I318,"""",",",'Code List'!$B$14,"""",J318,"""",",",'Code List'!$B$15,"""",K318,"""",",",'Code List'!$B$16,"""",L318,"""",",",'Code List'!$B$17,"""",M318,"""",",",'Code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18" s="167" t="str">
        <f>IF(A318="YES",CONCATENATE("{",'Code List'!$B$31,"""",U318,"""",",",'Code List'!$B$32,'Code List'!$D$32,",",'Code List'!$B$33,'Code List'!$D$33,",",'Code List'!$B$34,'Code List'!$D$34,",",'Code List'!$B$35,'Code List'!$D$35,",",'Code List'!$B$36,'Code List'!$D$36,",",'Code List'!$B$37,'Code List'!$D$37,",",'Code List'!$B$38,"""",H318,"""",",",'Code List'!$B$39,"""",I318,"""",",",'Code List'!$B$40,"""",J318,"""",",",'Code List'!$B$41,"""",K318,"""",",",'Code List'!$B$42,"""",L318,"""",",",'Code List'!$B$43,"""",M318,"""",",",'Code List'!$B$44,"""",N318,"""",",",'Code List'!$B$45,"""",O318,"""",",",'Code List'!$B$46,"""",P318,"""",",",'Code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List'!$B$59,"""",T318,"""","}"),"")</f>
        <v/>
      </c>
    </row>
    <row r="319" spans="1:25" x14ac:dyDescent="0.25">
      <c r="A319" t="str">
        <f>IF(AND($A316="YES",E316=$D$1,F319&gt;0),"YES","NO")</f>
        <v>NO</v>
      </c>
      <c r="C319" t="s">
        <v>5</v>
      </c>
      <c r="D319" s="12" t="str">
        <f t="shared" si="273"/>
        <v>6E</v>
      </c>
      <c r="E319" t="s">
        <v>189</v>
      </c>
      <c r="F319">
        <f>'Expanded Base Data'!G314</f>
        <v>0</v>
      </c>
      <c r="G319" s="171">
        <f>F316</f>
        <v>0</v>
      </c>
      <c r="H319">
        <f>ROUND(B316+'Slide Measurements'!$D$17,$O$1)</f>
        <v>374.91</v>
      </c>
      <c r="I319">
        <f>ROUND(H319+(F319*'Slide Measurements'!$D$21),$O$1)</f>
        <v>374.91</v>
      </c>
      <c r="J319">
        <f>K318</f>
        <v>205.62</v>
      </c>
      <c r="K319">
        <f>J319+($I$1*'Slide Measurements'!$E$23-'Slide Measurements'!$E$23)</f>
        <v>207.47</v>
      </c>
      <c r="L319" s="5" t="str">
        <f>'Expanded Base Data'!$L314</f>
        <v/>
      </c>
      <c r="M319" s="5" t="str">
        <f>'Expanded Base Data'!$K314</f>
        <v/>
      </c>
      <c r="N319">
        <f t="shared" si="274"/>
        <v>0</v>
      </c>
      <c r="O319">
        <f t="shared" si="275"/>
        <v>1.85</v>
      </c>
      <c r="P319" s="5" t="e">
        <f t="shared" si="276"/>
        <v>#VALUE!</v>
      </c>
      <c r="Q319">
        <f>'Code List'!$C$63</f>
        <v>3</v>
      </c>
      <c r="R319">
        <f>F320+'Code List'!$G$63</f>
        <v>2</v>
      </c>
      <c r="S319" t="e">
        <f t="shared" si="277"/>
        <v>#VALUE!</v>
      </c>
      <c r="T319" t="e">
        <f t="shared" ref="T319:T322" si="279">Q319*R319*S319</f>
        <v>#VALUE!</v>
      </c>
      <c r="U319" t="str">
        <f>IF(A319="YES",CONCATENATE(G319,"_",'Program Page'!$C$4,'Program Page'!$C$5,"_",D319,"_",E319),"")</f>
        <v/>
      </c>
      <c r="V319" t="str">
        <f t="shared" si="278"/>
        <v/>
      </c>
      <c r="W319" t="str">
        <f>IF(A319="YES",CONCATENATE("{",'Code List'!$B$4,'Code List'!$D$4,",",'Code List'!$B$5,'Code List'!$D$5,",",'Code List'!$B$6,"""",U319,"""",",",'Code List'!$B$7,'Code List'!$D$7,",",'Code List'!$B$8,'Code List'!$D$8,",",'Code List'!$B$9,'Code List'!$D$9,",",'Code List'!$B$10,'Code List'!$D$10,",",'Code List'!$B$11,"""",V319,"""",",",'Code List'!$B$12,"""",H319,"""",",",'Code List'!$B$13,"""",I319,"""",",",'Code List'!$B$14,"""",J319,"""",",",'Code List'!$B$15,"""",K319,"""",",",'Code List'!$B$16,"""",L319,"""",",",'Code List'!$B$17,"""",M319,"""",",",'Code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19" s="167" t="str">
        <f>IF(A319="YES",CONCATENATE("{",'Code List'!$B$31,"""",U319,"""",",",'Code List'!$B$32,'Code List'!$D$32,",",'Code List'!$B$33,'Code List'!$D$33,",",'Code List'!$B$34,'Code List'!$D$34,",",'Code List'!$B$35,'Code List'!$D$35,",",'Code List'!$B$36,'Code List'!$D$36,",",'Code List'!$B$37,'Code List'!$D$37,",",'Code List'!$B$38,"""",H319,"""",",",'Code List'!$B$39,"""",I319,"""",",",'Code List'!$B$40,"""",J319,"""",",",'Code List'!$B$41,"""",K319,"""",",",'Code List'!$B$42,"""",L319,"""",",",'Code List'!$B$43,"""",M319,"""",",",'Code List'!$B$44,"""",N319,"""",",",'Code List'!$B$45,"""",O319,"""",",",'Code List'!$B$46,"""",P319,"""",",",'Code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List'!$B$59,"""",T319,"""","}"),"")</f>
        <v/>
      </c>
    </row>
    <row r="320" spans="1:25" x14ac:dyDescent="0.25">
      <c r="A320" t="str">
        <f>IF(AND($A316="YES",E316=$D$1,F320&gt;0),"YES","NO")</f>
        <v>NO</v>
      </c>
      <c r="C320" t="s">
        <v>5</v>
      </c>
      <c r="D320" s="12" t="str">
        <f t="shared" si="273"/>
        <v>6E</v>
      </c>
      <c r="E320" t="s">
        <v>190</v>
      </c>
      <c r="F320">
        <f>'Expanded Base Data'!H314</f>
        <v>0</v>
      </c>
      <c r="G320" s="171">
        <f>F316</f>
        <v>0</v>
      </c>
      <c r="H320">
        <f>ROUND(B316+'Slide Measurements'!$D$17,$O$1)</f>
        <v>374.91</v>
      </c>
      <c r="I320">
        <f>ROUND(H320+(F320*'Slide Measurements'!$D$21),$O$1)</f>
        <v>374.91</v>
      </c>
      <c r="J320">
        <f>K319</f>
        <v>207.47</v>
      </c>
      <c r="K320">
        <f>J320+($I$1*'Slide Measurements'!$E$23-'Slide Measurements'!$E$23)</f>
        <v>209.32</v>
      </c>
      <c r="L320" s="5" t="str">
        <f>'Expanded Base Data'!$L314</f>
        <v/>
      </c>
      <c r="M320" s="5" t="str">
        <f>'Expanded Base Data'!$K314</f>
        <v/>
      </c>
      <c r="N320">
        <f t="shared" si="274"/>
        <v>0</v>
      </c>
      <c r="O320">
        <f t="shared" si="275"/>
        <v>1.85</v>
      </c>
      <c r="P320" s="5" t="e">
        <f t="shared" si="276"/>
        <v>#VALUE!</v>
      </c>
      <c r="Q320">
        <f>'Code List'!$C$63</f>
        <v>3</v>
      </c>
      <c r="R320">
        <f>F321+'Code List'!$G$63</f>
        <v>2</v>
      </c>
      <c r="S320" t="e">
        <f t="shared" si="277"/>
        <v>#VALUE!</v>
      </c>
      <c r="T320" t="e">
        <f t="shared" si="279"/>
        <v>#VALUE!</v>
      </c>
      <c r="U320" t="str">
        <f>IF(A320="YES",CONCATENATE(G320,"_",'Program Page'!$C$4,'Program Page'!$C$5,"_",D320,"_",E320),"")</f>
        <v/>
      </c>
      <c r="V320" t="str">
        <f t="shared" si="278"/>
        <v/>
      </c>
      <c r="W320" t="str">
        <f>IF(A320="YES",CONCATENATE("{",'Code List'!$B$4,'Code List'!$D$4,",",'Code List'!$B$5,'Code List'!$D$5,",",'Code List'!$B$6,"""",U320,"""",",",'Code List'!$B$7,'Code List'!$D$7,",",'Code List'!$B$8,'Code List'!$D$8,",",'Code List'!$B$9,'Code List'!$D$9,",",'Code List'!$B$10,'Code List'!$D$10,",",'Code List'!$B$11,"""",V320,"""",",",'Code List'!$B$12,"""",H320,"""",",",'Code List'!$B$13,"""",I320,"""",",",'Code List'!$B$14,"""",J320,"""",",",'Code List'!$B$15,"""",K320,"""",",",'Code List'!$B$16,"""",L320,"""",",",'Code List'!$B$17,"""",M320,"""",",",'Code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20" s="167" t="str">
        <f>IF(A320="YES",CONCATENATE("{",'Code List'!$B$31,"""",U320,"""",",",'Code List'!$B$32,'Code List'!$D$32,",",'Code List'!$B$33,'Code List'!$D$33,",",'Code List'!$B$34,'Code List'!$D$34,",",'Code List'!$B$35,'Code List'!$D$35,",",'Code List'!$B$36,'Code List'!$D$36,",",'Code List'!$B$37,'Code List'!$D$37,",",'Code List'!$B$38,"""",H320,"""",",",'Code List'!$B$39,"""",I320,"""",",",'Code List'!$B$40,"""",J320,"""",",",'Code List'!$B$41,"""",K320,"""",",",'Code List'!$B$42,"""",L320,"""",",",'Code List'!$B$43,"""",M320,"""",",",'Code List'!$B$44,"""",N320,"""",",",'Code List'!$B$45,"""",O320,"""",",",'Code List'!$B$46,"""",P320,"""",",",'Code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List'!$B$59,"""",T320,"""","}"),"")</f>
        <v/>
      </c>
    </row>
    <row r="321" spans="1:25" x14ac:dyDescent="0.25">
      <c r="A321" t="str">
        <f>IF(AND($A316="YES",E316=$D$1,F321&gt;0),"YES","NO")</f>
        <v>NO</v>
      </c>
      <c r="C321" t="s">
        <v>5</v>
      </c>
      <c r="D321" s="12" t="str">
        <f t="shared" si="273"/>
        <v>6E</v>
      </c>
      <c r="E321" t="s">
        <v>191</v>
      </c>
      <c r="F321">
        <f>'Expanded Base Data'!I314</f>
        <v>0</v>
      </c>
      <c r="G321" s="171">
        <f>F316</f>
        <v>0</v>
      </c>
      <c r="H321">
        <f>ROUND(B316+'Slide Measurements'!$D$17,$O$1)</f>
        <v>374.91</v>
      </c>
      <c r="I321">
        <f>ROUND(H321+(F321*'Slide Measurements'!$D$21),$O$1)</f>
        <v>374.91</v>
      </c>
      <c r="J321">
        <f>K320</f>
        <v>209.32</v>
      </c>
      <c r="K321">
        <f>J321+($I$1*'Slide Measurements'!$E$23-'Slide Measurements'!$E$23)</f>
        <v>211.17</v>
      </c>
      <c r="L321" s="5" t="str">
        <f>'Expanded Base Data'!$L314</f>
        <v/>
      </c>
      <c r="M321" s="5" t="str">
        <f>'Expanded Base Data'!$K314</f>
        <v/>
      </c>
      <c r="N321">
        <f t="shared" si="274"/>
        <v>0</v>
      </c>
      <c r="O321">
        <f t="shared" si="275"/>
        <v>1.85</v>
      </c>
      <c r="P321" s="5" t="e">
        <f t="shared" si="276"/>
        <v>#VALUE!</v>
      </c>
      <c r="Q321">
        <f>'Code List'!$C$63</f>
        <v>3</v>
      </c>
      <c r="R321">
        <f>F322+'Code List'!$G$63</f>
        <v>2</v>
      </c>
      <c r="S321" t="e">
        <f t="shared" si="277"/>
        <v>#VALUE!</v>
      </c>
      <c r="T321" t="e">
        <f t="shared" si="279"/>
        <v>#VALUE!</v>
      </c>
      <c r="U321" t="str">
        <f>IF(A321="YES",CONCATENATE(G321,"_",'Program Page'!$C$4,'Program Page'!$C$5,"_",D321,"_",E321),"")</f>
        <v/>
      </c>
      <c r="V321" t="str">
        <f t="shared" si="278"/>
        <v/>
      </c>
      <c r="W321" t="str">
        <f>IF(A321="YES",CONCATENATE("{",'Code List'!$B$4,'Code List'!$D$4,",",'Code List'!$B$5,'Code List'!$D$5,",",'Code List'!$B$6,"""",U321,"""",",",'Code List'!$B$7,'Code List'!$D$7,",",'Code List'!$B$8,'Code List'!$D$8,",",'Code List'!$B$9,'Code List'!$D$9,",",'Code List'!$B$10,'Code List'!$D$10,",",'Code List'!$B$11,"""",V321,"""",",",'Code List'!$B$12,"""",H321,"""",",",'Code List'!$B$13,"""",I321,"""",",",'Code List'!$B$14,"""",J321,"""",",",'Code List'!$B$15,"""",K321,"""",",",'Code List'!$B$16,"""",L321,"""",",",'Code List'!$B$17,"""",M321,"""",",",'Code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21" s="167" t="str">
        <f>IF(A321="YES",CONCATENATE("{",'Code List'!$B$31,"""",U321,"""",",",'Code List'!$B$32,'Code List'!$D$32,",",'Code List'!$B$33,'Code List'!$D$33,",",'Code List'!$B$34,'Code List'!$D$34,",",'Code List'!$B$35,'Code List'!$D$35,",",'Code List'!$B$36,'Code List'!$D$36,",",'Code List'!$B$37,'Code List'!$D$37,",",'Code List'!$B$38,"""",H321,"""",",",'Code List'!$B$39,"""",I321,"""",",",'Code List'!$B$40,"""",J321,"""",",",'Code List'!$B$41,"""",K321,"""",",",'Code List'!$B$42,"""",L321,"""",",",'Code List'!$B$43,"""",M321,"""",",",'Code List'!$B$44,"""",N321,"""",",",'Code List'!$B$45,"""",O321,"""",",",'Code List'!$B$46,"""",P321,"""",",",'Code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List'!$B$59,"""",T321,"""","}"),"")</f>
        <v/>
      </c>
    </row>
    <row r="322" spans="1:25" x14ac:dyDescent="0.25">
      <c r="A322" t="str">
        <f>IF(AND($A316="YES",E316=$D$1,F322&gt;0),"YES","NO")</f>
        <v>NO</v>
      </c>
      <c r="C322" t="s">
        <v>5</v>
      </c>
      <c r="D322" s="12" t="str">
        <f t="shared" si="273"/>
        <v>6E</v>
      </c>
      <c r="E322" t="s">
        <v>196</v>
      </c>
      <c r="F322">
        <f>'Expanded Base Data'!J314</f>
        <v>0</v>
      </c>
      <c r="G322" s="171">
        <f>F316</f>
        <v>0</v>
      </c>
      <c r="H322">
        <f>ROUND(B316+'Slide Measurements'!$D$17,$O$1)</f>
        <v>374.91</v>
      </c>
      <c r="I322">
        <f>ROUND(H322+(F322*'Slide Measurements'!$D$21),$O$1)</f>
        <v>374.91</v>
      </c>
      <c r="J322">
        <f>K321</f>
        <v>211.17</v>
      </c>
      <c r="K322">
        <f>J322+($I$1*'Slide Measurements'!$E$23-'Slide Measurements'!$E$23)</f>
        <v>213.01999999999998</v>
      </c>
      <c r="L322" s="5" t="str">
        <f>'Expanded Base Data'!$L314</f>
        <v/>
      </c>
      <c r="M322" s="5" t="str">
        <f>'Expanded Base Data'!$K314</f>
        <v/>
      </c>
      <c r="N322">
        <f t="shared" si="274"/>
        <v>0</v>
      </c>
      <c r="O322">
        <f t="shared" si="275"/>
        <v>1.85</v>
      </c>
      <c r="P322" s="5" t="e">
        <f t="shared" si="276"/>
        <v>#VALUE!</v>
      </c>
      <c r="Q322">
        <f>'Code List'!$C$63</f>
        <v>3</v>
      </c>
      <c r="R322">
        <f>F323+'Code List'!$G$63</f>
        <v>2</v>
      </c>
      <c r="S322" t="e">
        <f t="shared" si="277"/>
        <v>#VALUE!</v>
      </c>
      <c r="T322" t="e">
        <f t="shared" si="279"/>
        <v>#VALUE!</v>
      </c>
      <c r="U322" t="str">
        <f>IF(A322="YES",CONCATENATE(G322,"_",'Program Page'!$C$4,'Program Page'!$C$5,"_",D322,"_",E322),"")</f>
        <v/>
      </c>
      <c r="V322" t="str">
        <f t="shared" si="278"/>
        <v/>
      </c>
      <c r="W322" t="str">
        <f>IF(A322="YES",CONCATENATE("{",'Code List'!$B$4,'Code List'!$D$4,",",'Code List'!$B$5,'Code List'!$D$5,",",'Code List'!$B$6,"""",U322,"""",",",'Code List'!$B$7,'Code List'!$D$7,",",'Code List'!$B$8,'Code List'!$D$8,",",'Code List'!$B$9,'Code List'!$D$9,",",'Code List'!$B$10,'Code List'!$D$10,",",'Code List'!$B$11,"""",V322,"""",",",'Code List'!$B$12,"""",H322,"""",",",'Code List'!$B$13,"""",I322,"""",",",'Code List'!$B$14,"""",J322,"""",",",'Code List'!$B$15,"""",K322,"""",",",'Code List'!$B$16,"""",L322,"""",",",'Code List'!$B$17,"""",M322,"""",",",'Code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22" s="167" t="str">
        <f>IF(A322="YES",CONCATENATE("{",'Code List'!$B$31,"""",U322,"""",",",'Code List'!$B$32,'Code List'!$D$32,",",'Code List'!$B$33,'Code List'!$D$33,",",'Code List'!$B$34,'Code List'!$D$34,",",'Code List'!$B$35,'Code List'!$D$35,",",'Code List'!$B$36,'Code List'!$D$36,",",'Code List'!$B$37,'Code List'!$D$37,",",'Code List'!$B$38,"""",H322,"""",",",'Code List'!$B$39,"""",I322,"""",",",'Code List'!$B$40,"""",J322,"""",",",'Code List'!$B$41,"""",K322,"""",",",'Code List'!$B$42,"""",L322,"""",",",'Code List'!$B$43,"""",M322,"""",",",'Code List'!$B$44,"""",N322,"""",",",'Code List'!$B$45,"""",O322,"""",",",'Code List'!$B$46,"""",P322,"""",",",'Code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List'!$B$59,"""",T322,"""","}"),"")</f>
        <v/>
      </c>
    </row>
    <row r="323" spans="1:25" x14ac:dyDescent="0.25">
      <c r="A323" s="162" t="str">
        <f>IF(AND($A316="YES",E316=$E$1),"YES","NO")</f>
        <v>NO</v>
      </c>
      <c r="C323" t="s">
        <v>259</v>
      </c>
      <c r="D323" s="12" t="str">
        <f>D322</f>
        <v>6E</v>
      </c>
      <c r="E323" t="s">
        <v>259</v>
      </c>
      <c r="G323" s="171">
        <f>F316</f>
        <v>0</v>
      </c>
      <c r="H323">
        <f>ROUND(B316,$O$1)</f>
        <v>349.51</v>
      </c>
      <c r="I323">
        <f>ROUND(B316+'Slide Measurements'!$D$1,$O$1)</f>
        <v>425.96</v>
      </c>
      <c r="J323">
        <f>C316</f>
        <v>199.47</v>
      </c>
      <c r="K323">
        <f>C316+'Slide Measurements'!$D$2</f>
        <v>226.87</v>
      </c>
      <c r="L323" s="5" t="str">
        <f>'Expanded Base Data'!$L314</f>
        <v/>
      </c>
      <c r="M323" s="5" t="str">
        <f>'Expanded Base Data'!$K314</f>
        <v/>
      </c>
      <c r="N323">
        <f t="shared" si="274"/>
        <v>76.45</v>
      </c>
      <c r="O323">
        <f t="shared" si="275"/>
        <v>27.4</v>
      </c>
      <c r="P323" s="5" t="e">
        <f>ROUND((L323-M323),$O$1)</f>
        <v>#VALUE!</v>
      </c>
      <c r="Q323">
        <f>'Code List'!$C$70</f>
        <v>11</v>
      </c>
      <c r="R323">
        <f>'Code List'!$D$70</f>
        <v>19</v>
      </c>
      <c r="S323" t="e">
        <f>IF(P323=0,"1",ROUND((P323/$K$1)+$M$1,0))</f>
        <v>#VALUE!</v>
      </c>
      <c r="T323" t="e">
        <f>Q323*R323*S323</f>
        <v>#VALUE!</v>
      </c>
      <c r="U323" t="str">
        <f>IF(A323="YES",CONCATENATE(G323,"_",'Program Page'!$C$4,'Program Page'!$C$5,"_",D323,"_",E323),"")</f>
        <v/>
      </c>
      <c r="V323" t="str">
        <f>IF(U323="","",CONCATENATE(U323,"_"))</f>
        <v/>
      </c>
      <c r="W323" t="str">
        <f>IF(A323="YES",CONCATENATE("{",'Code List'!$B$4,'Code List'!$D$4,",",'Code List'!$B$5,'Code List'!$D$5,",",'Code List'!$B$6,"""",U323,"""",",",'Code List'!$B$7,'Code List'!$D$7,",",'Code List'!$B$8,'Code List'!$D$8,",",'Code List'!$B$9,'Code List'!$D$9,",",'Code List'!$B$10,'Code List'!$D$10,",",'Code List'!$B$11,"""",V323,"""",",",'Code List'!$B$12,"""",H323,"""",",",'Code List'!$B$13,"""",I323,"""",",",'Code List'!$B$14,"""",J323,"""",",",'Code List'!$B$15,"""",K323,"""",",",'Code List'!$B$16,"""",L323,"""",",",'Code List'!$B$17,"""",M323,"""",",",'Code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323" s="167" t="str">
        <f>IF(A323="YES",CONCATENATE("{",'Code List'!$B$31,"""",U323,"""",",",'Code List'!$B$32,'Code List'!$D$32,",",'Code List'!$B$33,'Code List'!$D$33,",",'Code List'!$B$34,'Code List'!$D$34,",",'Code List'!$B$35,'Code List'!$D$35,",",'Code List'!$B$36,'Code List'!$D$36,",",'Code List'!$B$37,'Code List'!$D$37,",",'Code List'!$B$38,"""",H323,"""",",",'Code List'!$B$39,"""",I323,"""",",",'Code List'!$B$40,"""",J323,"""",",",'Code List'!$B$41,"""",K323,"""",",",'Code List'!$B$42,"""",L323,"""",",",'Code List'!$B$43,"""",M323,"""",",",'Code List'!$B$44,"""",N323,"""",",",'Code List'!$B$45,"""",O323,"""",",",'Code List'!$B$46,"""",P323,"""",",",'Code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List'!$B$59,"""",T323,"""","}"),"")</f>
        <v/>
      </c>
    </row>
    <row r="324" spans="1:25" ht="18.75" x14ac:dyDescent="0.3">
      <c r="A324" s="35" t="str">
        <f>IF(OR(E324=$C$1,E324=$D$1,E324=$E$1),"YES","NO")</f>
        <v>NO</v>
      </c>
      <c r="B324" s="35">
        <f>'Expanded Base Data'!D322</f>
        <v>436.11</v>
      </c>
      <c r="C324" s="35">
        <f>'Expanded Base Data'!E322</f>
        <v>199.47</v>
      </c>
      <c r="D324" s="36" t="str">
        <f>'Expanded Base Data'!B322</f>
        <v>6F</v>
      </c>
      <c r="E324" s="35">
        <f>'Expanded Base Data'!C322</f>
        <v>0</v>
      </c>
      <c r="F324" s="35">
        <f>'Expanded Base Data'!M322</f>
        <v>0</v>
      </c>
      <c r="G324" s="170">
        <f>F324</f>
        <v>0</v>
      </c>
      <c r="Y324" s="167" t="str">
        <f>""</f>
        <v/>
      </c>
    </row>
    <row r="325" spans="1:25" x14ac:dyDescent="0.25">
      <c r="A325" t="str">
        <f>IF(AND($A324="YES",E324=$C$1),"YES","NO")</f>
        <v>NO</v>
      </c>
      <c r="C325" t="s">
        <v>6</v>
      </c>
      <c r="D325" s="12" t="str">
        <f>D324</f>
        <v>6F</v>
      </c>
      <c r="E325" t="s">
        <v>6</v>
      </c>
      <c r="F325" t="s">
        <v>198</v>
      </c>
      <c r="G325" s="171">
        <f>F324</f>
        <v>0</v>
      </c>
      <c r="H325">
        <f>IF('Expanded Base Data'!N322="",ROUND(B324+'Slide Measurements'!$D$11,$O$1),B324+'Expanded Base Data'!N322)</f>
        <v>469.11</v>
      </c>
      <c r="I325">
        <f>IF('Expanded Base Data'!O322="",ROUND(B324+'Slide Measurements'!$D$12,$O$1),B324+'Expanded Base Data'!O322)</f>
        <v>477.71</v>
      </c>
      <c r="J325">
        <f>IF('Expanded Base Data'!P322="",C324+'Slide Measurements'!$E$13,C324+'Expanded Base Data'!P322)</f>
        <v>208.17</v>
      </c>
      <c r="K325">
        <f>IF('Expanded Base Data'!Q322="",C324+'Slide Measurements'!$E$14,C324+'Expanded Base Data'!Q322)</f>
        <v>216.76999999999998</v>
      </c>
      <c r="L325" s="5" t="str">
        <f>'Expanded Base Data'!$L322</f>
        <v/>
      </c>
      <c r="M325" s="5" t="str">
        <f>'Expanded Base Data'!$K322</f>
        <v/>
      </c>
      <c r="N325">
        <f>ROUND((I325-H325),$O$1)</f>
        <v>8.6</v>
      </c>
      <c r="O325">
        <f>ROUND((K325-J325),$O$1)</f>
        <v>8.6</v>
      </c>
      <c r="P325" s="5" t="e">
        <f>ROUND((L325-M325),$O$1)</f>
        <v>#VALUE!</v>
      </c>
      <c r="Q325">
        <f>'Code List'!$C$62</f>
        <v>5</v>
      </c>
      <c r="R325">
        <f>F326+'Code List'!$G$63</f>
        <v>2</v>
      </c>
      <c r="S325" t="e">
        <f>IF(P325=0,"1",ROUND((P325/$K$1)+$M$1,0))</f>
        <v>#VALUE!</v>
      </c>
      <c r="T325" t="e">
        <f>Q325*R325*S325</f>
        <v>#VALUE!</v>
      </c>
      <c r="U325" t="str">
        <f>IF(A325="YES",CONCATENATE(G325,"_",'Program Page'!$C$4,'Program Page'!$C$5,"_",D325,"_",E325),"")</f>
        <v/>
      </c>
      <c r="V325" t="str">
        <f>IF(U325="","",CONCATENATE(U325,"_"))</f>
        <v/>
      </c>
      <c r="W325" t="str">
        <f>IF(A325="YES",CONCATENATE("{",'Code List'!$B$4,'Code List'!$D$4,",",'Code List'!$B$5,'Code List'!$D$5,",",'Code List'!$B$6,"""",U325,"""",",",'Code List'!$B$7,'Code List'!$D$7,",",'Code List'!$B$8,'Code List'!$D$8,",",'Code List'!$B$9,'Code List'!$D$9,",",'Code List'!$B$10,'Code List'!$D$10,",",'Code List'!$B$11,"""",V325,"""",",",'Code List'!$B$12,"""",H325,"""",",",'Code List'!$B$13,"""",I325,"""",",",'Code List'!$B$14,"""",J325,"""",",",'Code List'!$B$15,"""",K325,"""",",",'Code List'!$B$16,"""",L325,"""",",",'Code List'!$B$17,"""",M325,"""",",",'Code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25" s="167" t="str">
        <f>IF(A325="YES",CONCATENATE("{",'Code List'!$B$31,"""",U325,"""",",",'Code List'!$B$32,'Code List'!$D$32,",",'Code List'!$B$33,'Code List'!$D$33,",",'Code List'!$B$34,'Code List'!$D$34,",",'Code List'!$B$35,'Code List'!$D$35,",",'Code List'!$B$36,'Code List'!$D$36,",",'Code List'!$B$37,'Code List'!$D$37,",",'Code List'!$B$38,"""",H325,"""",",",'Code List'!$B$39,"""",I325,"""",",",'Code List'!$B$40,"""",J325,"""",",",'Code List'!$B$41,"""",K325,"""",",",'Code List'!$B$42,"""",L325,"""",",",'Code List'!$B$43,"""",M325,"""",",",'Code List'!$B$44,"""",N325,"""",",",'Code List'!$B$45,"""",O325,"""",",",'Code List'!$B$46,"""",P325,"""",",",'Code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List'!$B$59,"""",T325,"""","}"),"")</f>
        <v/>
      </c>
    </row>
    <row r="326" spans="1:25" x14ac:dyDescent="0.25">
      <c r="A326" t="str">
        <f>IF(AND($A324="YES",E324=$D$1,F326&gt;0),"YES","NO")</f>
        <v>NO</v>
      </c>
      <c r="C326" t="s">
        <v>5</v>
      </c>
      <c r="D326" s="12" t="str">
        <f t="shared" ref="D326:D330" si="280">D325</f>
        <v>6F</v>
      </c>
      <c r="E326" t="s">
        <v>188</v>
      </c>
      <c r="F326">
        <f>'Expanded Base Data'!F322</f>
        <v>0</v>
      </c>
      <c r="G326" s="171">
        <f>F324</f>
        <v>0</v>
      </c>
      <c r="H326">
        <f>ROUND(B324+'Slide Measurements'!$D$17,$O$1)</f>
        <v>461.51</v>
      </c>
      <c r="I326">
        <f>ROUND(H326+(F326*'Slide Measurements'!$D$21),$O$1)</f>
        <v>461.51</v>
      </c>
      <c r="J326">
        <f>C324+'Slide Measurements'!$E$17</f>
        <v>203.77</v>
      </c>
      <c r="K326">
        <f>J326+($I$1*'Slide Measurements'!$E$23-'Slide Measurements'!$E$23)</f>
        <v>205.62</v>
      </c>
      <c r="L326" s="5" t="str">
        <f>'Expanded Base Data'!$L322</f>
        <v/>
      </c>
      <c r="M326" s="5" t="str">
        <f>'Expanded Base Data'!$K322</f>
        <v/>
      </c>
      <c r="N326">
        <f t="shared" ref="N326:N331" si="281">ROUND((I326-H326),$O$1)</f>
        <v>0</v>
      </c>
      <c r="O326">
        <f t="shared" ref="O326:O331" si="282">ROUND((K326-J326),$O$1)</f>
        <v>1.85</v>
      </c>
      <c r="P326" s="5" t="e">
        <f t="shared" ref="P326:P330" si="283">ROUND((L326-M326),$O$1)</f>
        <v>#VALUE!</v>
      </c>
      <c r="Q326">
        <f>'Code List'!$C$63</f>
        <v>3</v>
      </c>
      <c r="R326">
        <f>F327+'Code List'!$G$63</f>
        <v>2</v>
      </c>
      <c r="S326" t="e">
        <f t="shared" ref="S326:S330" si="284">IF(P326=0,"1",ROUND((P326/$K$1)+$M$1,0))</f>
        <v>#VALUE!</v>
      </c>
      <c r="T326" t="e">
        <f>Q326*R326*S326</f>
        <v>#VALUE!</v>
      </c>
      <c r="U326" t="str">
        <f>IF(A326="YES",CONCATENATE(G326,"_",'Program Page'!$C$4,'Program Page'!$C$5,"_",D326,"_",E326),"")</f>
        <v/>
      </c>
      <c r="V326" t="str">
        <f t="shared" ref="V326:V330" si="285">IF(U326="","",CONCATENATE(U326,"_"))</f>
        <v/>
      </c>
      <c r="W326" t="str">
        <f>IF(A326="YES",CONCATENATE("{",'Code List'!$B$4,'Code List'!$D$4,",",'Code List'!$B$5,'Code List'!$D$5,",",'Code List'!$B$6,"""",U326,"""",",",'Code List'!$B$7,'Code List'!$D$7,",",'Code List'!$B$8,'Code List'!$D$8,",",'Code List'!$B$9,'Code List'!$D$9,",",'Code List'!$B$10,'Code List'!$D$10,",",'Code List'!$B$11,"""",V326,"""",",",'Code List'!$B$12,"""",H326,"""",",",'Code List'!$B$13,"""",I326,"""",",",'Code List'!$B$14,"""",J326,"""",",",'Code List'!$B$15,"""",K326,"""",",",'Code List'!$B$16,"""",L326,"""",",",'Code List'!$B$17,"""",M326,"""",",",'Code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26" s="167" t="str">
        <f>IF(A326="YES",CONCATENATE("{",'Code List'!$B$31,"""",U326,"""",",",'Code List'!$B$32,'Code List'!$D$32,",",'Code List'!$B$33,'Code List'!$D$33,",",'Code List'!$B$34,'Code List'!$D$34,",",'Code List'!$B$35,'Code List'!$D$35,",",'Code List'!$B$36,'Code List'!$D$36,",",'Code List'!$B$37,'Code List'!$D$37,",",'Code List'!$B$38,"""",H326,"""",",",'Code List'!$B$39,"""",I326,"""",",",'Code List'!$B$40,"""",J326,"""",",",'Code List'!$B$41,"""",K326,"""",",",'Code List'!$B$42,"""",L326,"""",",",'Code List'!$B$43,"""",M326,"""",",",'Code List'!$B$44,"""",N326,"""",",",'Code List'!$B$45,"""",O326,"""",",",'Code List'!$B$46,"""",P326,"""",",",'Code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List'!$B$59,"""",T326,"""","}"),"")</f>
        <v/>
      </c>
    </row>
    <row r="327" spans="1:25" x14ac:dyDescent="0.25">
      <c r="A327" t="str">
        <f>IF(AND($A324="YES",E324=$D$1,F327&gt;0),"YES","NO")</f>
        <v>NO</v>
      </c>
      <c r="C327" t="s">
        <v>5</v>
      </c>
      <c r="D327" s="12" t="str">
        <f t="shared" si="280"/>
        <v>6F</v>
      </c>
      <c r="E327" t="s">
        <v>189</v>
      </c>
      <c r="F327">
        <f>'Expanded Base Data'!G322</f>
        <v>0</v>
      </c>
      <c r="G327" s="171">
        <f>F324</f>
        <v>0</v>
      </c>
      <c r="H327">
        <f>ROUND(B324+'Slide Measurements'!$D$17,$O$1)</f>
        <v>461.51</v>
      </c>
      <c r="I327">
        <f>ROUND(H327+(F327*'Slide Measurements'!$D$21),$O$1)</f>
        <v>461.51</v>
      </c>
      <c r="J327">
        <f>K326</f>
        <v>205.62</v>
      </c>
      <c r="K327">
        <f>J327+($I$1*'Slide Measurements'!$E$23-'Slide Measurements'!$E$23)</f>
        <v>207.47</v>
      </c>
      <c r="L327" s="5" t="str">
        <f>'Expanded Base Data'!$L322</f>
        <v/>
      </c>
      <c r="M327" s="5" t="str">
        <f>'Expanded Base Data'!$K322</f>
        <v/>
      </c>
      <c r="N327">
        <f t="shared" si="281"/>
        <v>0</v>
      </c>
      <c r="O327">
        <f t="shared" si="282"/>
        <v>1.85</v>
      </c>
      <c r="P327" s="5" t="e">
        <f t="shared" si="283"/>
        <v>#VALUE!</v>
      </c>
      <c r="Q327">
        <f>'Code List'!$C$63</f>
        <v>3</v>
      </c>
      <c r="R327">
        <f>F328+'Code List'!$G$63</f>
        <v>2</v>
      </c>
      <c r="S327" t="e">
        <f t="shared" si="284"/>
        <v>#VALUE!</v>
      </c>
      <c r="T327" t="e">
        <f t="shared" ref="T327:T330" si="286">Q327*R327*S327</f>
        <v>#VALUE!</v>
      </c>
      <c r="U327" t="str">
        <f>IF(A327="YES",CONCATENATE(G327,"_",'Program Page'!$C$4,'Program Page'!$C$5,"_",D327,"_",E327),"")</f>
        <v/>
      </c>
      <c r="V327" t="str">
        <f t="shared" si="285"/>
        <v/>
      </c>
      <c r="W327" t="str">
        <f>IF(A327="YES",CONCATENATE("{",'Code List'!$B$4,'Code List'!$D$4,",",'Code List'!$B$5,'Code List'!$D$5,",",'Code List'!$B$6,"""",U327,"""",",",'Code List'!$B$7,'Code List'!$D$7,",",'Code List'!$B$8,'Code List'!$D$8,",",'Code List'!$B$9,'Code List'!$D$9,",",'Code List'!$B$10,'Code List'!$D$10,",",'Code List'!$B$11,"""",V327,"""",",",'Code List'!$B$12,"""",H327,"""",",",'Code List'!$B$13,"""",I327,"""",",",'Code List'!$B$14,"""",J327,"""",",",'Code List'!$B$15,"""",K327,"""",",",'Code List'!$B$16,"""",L327,"""",",",'Code List'!$B$17,"""",M327,"""",",",'Code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27" s="167" t="str">
        <f>IF(A327="YES",CONCATENATE("{",'Code List'!$B$31,"""",U327,"""",",",'Code List'!$B$32,'Code List'!$D$32,",",'Code List'!$B$33,'Code List'!$D$33,",",'Code List'!$B$34,'Code List'!$D$34,",",'Code List'!$B$35,'Code List'!$D$35,",",'Code List'!$B$36,'Code List'!$D$36,",",'Code List'!$B$37,'Code List'!$D$37,",",'Code List'!$B$38,"""",H327,"""",",",'Code List'!$B$39,"""",I327,"""",",",'Code List'!$B$40,"""",J327,"""",",",'Code List'!$B$41,"""",K327,"""",",",'Code List'!$B$42,"""",L327,"""",",",'Code List'!$B$43,"""",M327,"""",",",'Code List'!$B$44,"""",N327,"""",",",'Code List'!$B$45,"""",O327,"""",",",'Code List'!$B$46,"""",P327,"""",",",'Code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List'!$B$59,"""",T327,"""","}"),"")</f>
        <v/>
      </c>
    </row>
    <row r="328" spans="1:25" x14ac:dyDescent="0.25">
      <c r="A328" t="str">
        <f>IF(AND($A324="YES",E324=$D$1,F328&gt;0),"YES","NO")</f>
        <v>NO</v>
      </c>
      <c r="C328" t="s">
        <v>5</v>
      </c>
      <c r="D328" s="12" t="str">
        <f t="shared" si="280"/>
        <v>6F</v>
      </c>
      <c r="E328" t="s">
        <v>190</v>
      </c>
      <c r="F328">
        <f>'Expanded Base Data'!H322</f>
        <v>0</v>
      </c>
      <c r="G328" s="171">
        <f>F324</f>
        <v>0</v>
      </c>
      <c r="H328">
        <f>ROUND(B324+'Slide Measurements'!$D$17,$O$1)</f>
        <v>461.51</v>
      </c>
      <c r="I328">
        <f>ROUND(H328+(F328*'Slide Measurements'!$D$21),$O$1)</f>
        <v>461.51</v>
      </c>
      <c r="J328">
        <f>K327</f>
        <v>207.47</v>
      </c>
      <c r="K328">
        <f>J328+($I$1*'Slide Measurements'!$E$23-'Slide Measurements'!$E$23)</f>
        <v>209.32</v>
      </c>
      <c r="L328" s="5" t="str">
        <f>'Expanded Base Data'!$L322</f>
        <v/>
      </c>
      <c r="M328" s="5" t="str">
        <f>'Expanded Base Data'!$K322</f>
        <v/>
      </c>
      <c r="N328">
        <f t="shared" si="281"/>
        <v>0</v>
      </c>
      <c r="O328">
        <f t="shared" si="282"/>
        <v>1.85</v>
      </c>
      <c r="P328" s="5" t="e">
        <f t="shared" si="283"/>
        <v>#VALUE!</v>
      </c>
      <c r="Q328">
        <f>'Code List'!$C$63</f>
        <v>3</v>
      </c>
      <c r="R328">
        <f>F329+'Code List'!$G$63</f>
        <v>2</v>
      </c>
      <c r="S328" t="e">
        <f t="shared" si="284"/>
        <v>#VALUE!</v>
      </c>
      <c r="T328" t="e">
        <f t="shared" si="286"/>
        <v>#VALUE!</v>
      </c>
      <c r="U328" t="str">
        <f>IF(A328="YES",CONCATENATE(G328,"_",'Program Page'!$C$4,'Program Page'!$C$5,"_",D328,"_",E328),"")</f>
        <v/>
      </c>
      <c r="V328" t="str">
        <f t="shared" si="285"/>
        <v/>
      </c>
      <c r="W328" t="str">
        <f>IF(A328="YES",CONCATENATE("{",'Code List'!$B$4,'Code List'!$D$4,",",'Code List'!$B$5,'Code List'!$D$5,",",'Code List'!$B$6,"""",U328,"""",",",'Code List'!$B$7,'Code List'!$D$7,",",'Code List'!$B$8,'Code List'!$D$8,",",'Code List'!$B$9,'Code List'!$D$9,",",'Code List'!$B$10,'Code List'!$D$10,",",'Code List'!$B$11,"""",V328,"""",",",'Code List'!$B$12,"""",H328,"""",",",'Code List'!$B$13,"""",I328,"""",",",'Code List'!$B$14,"""",J328,"""",",",'Code List'!$B$15,"""",K328,"""",",",'Code List'!$B$16,"""",L328,"""",",",'Code List'!$B$17,"""",M328,"""",",",'Code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28" s="167" t="str">
        <f>IF(A328="YES",CONCATENATE("{",'Code List'!$B$31,"""",U328,"""",",",'Code List'!$B$32,'Code List'!$D$32,",",'Code List'!$B$33,'Code List'!$D$33,",",'Code List'!$B$34,'Code List'!$D$34,",",'Code List'!$B$35,'Code List'!$D$35,",",'Code List'!$B$36,'Code List'!$D$36,",",'Code List'!$B$37,'Code List'!$D$37,",",'Code List'!$B$38,"""",H328,"""",",",'Code List'!$B$39,"""",I328,"""",",",'Code List'!$B$40,"""",J328,"""",",",'Code List'!$B$41,"""",K328,"""",",",'Code List'!$B$42,"""",L328,"""",",",'Code List'!$B$43,"""",M328,"""",",",'Code List'!$B$44,"""",N328,"""",",",'Code List'!$B$45,"""",O328,"""",",",'Code List'!$B$46,"""",P328,"""",",",'Code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List'!$B$59,"""",T328,"""","}"),"")</f>
        <v/>
      </c>
    </row>
    <row r="329" spans="1:25" x14ac:dyDescent="0.25">
      <c r="A329" t="str">
        <f>IF(AND($A324="YES",E324=$D$1,F329&gt;0),"YES","NO")</f>
        <v>NO</v>
      </c>
      <c r="C329" t="s">
        <v>5</v>
      </c>
      <c r="D329" s="12" t="str">
        <f t="shared" si="280"/>
        <v>6F</v>
      </c>
      <c r="E329" t="s">
        <v>191</v>
      </c>
      <c r="F329">
        <f>'Expanded Base Data'!I322</f>
        <v>0</v>
      </c>
      <c r="G329" s="171">
        <f>F324</f>
        <v>0</v>
      </c>
      <c r="H329">
        <f>ROUND(B324+'Slide Measurements'!$D$17,$O$1)</f>
        <v>461.51</v>
      </c>
      <c r="I329">
        <f>ROUND(H329+(F329*'Slide Measurements'!$D$21),$O$1)</f>
        <v>461.51</v>
      </c>
      <c r="J329">
        <f>K328</f>
        <v>209.32</v>
      </c>
      <c r="K329">
        <f>J329+($I$1*'Slide Measurements'!$E$23-'Slide Measurements'!$E$23)</f>
        <v>211.17</v>
      </c>
      <c r="L329" s="5" t="str">
        <f>'Expanded Base Data'!$L322</f>
        <v/>
      </c>
      <c r="M329" s="5" t="str">
        <f>'Expanded Base Data'!$K322</f>
        <v/>
      </c>
      <c r="N329">
        <f t="shared" si="281"/>
        <v>0</v>
      </c>
      <c r="O329">
        <f t="shared" si="282"/>
        <v>1.85</v>
      </c>
      <c r="P329" s="5" t="e">
        <f t="shared" si="283"/>
        <v>#VALUE!</v>
      </c>
      <c r="Q329">
        <f>'Code List'!$C$63</f>
        <v>3</v>
      </c>
      <c r="R329">
        <f>F330+'Code List'!$G$63</f>
        <v>2</v>
      </c>
      <c r="S329" t="e">
        <f t="shared" si="284"/>
        <v>#VALUE!</v>
      </c>
      <c r="T329" t="e">
        <f t="shared" si="286"/>
        <v>#VALUE!</v>
      </c>
      <c r="U329" t="str">
        <f>IF(A329="YES",CONCATENATE(G329,"_",'Program Page'!$C$4,'Program Page'!$C$5,"_",D329,"_",E329),"")</f>
        <v/>
      </c>
      <c r="V329" t="str">
        <f t="shared" si="285"/>
        <v/>
      </c>
      <c r="W329" t="str">
        <f>IF(A329="YES",CONCATENATE("{",'Code List'!$B$4,'Code List'!$D$4,",",'Code List'!$B$5,'Code List'!$D$5,",",'Code List'!$B$6,"""",U329,"""",",",'Code List'!$B$7,'Code List'!$D$7,",",'Code List'!$B$8,'Code List'!$D$8,",",'Code List'!$B$9,'Code List'!$D$9,",",'Code List'!$B$10,'Code List'!$D$10,",",'Code List'!$B$11,"""",V329,"""",",",'Code List'!$B$12,"""",H329,"""",",",'Code List'!$B$13,"""",I329,"""",",",'Code List'!$B$14,"""",J329,"""",",",'Code List'!$B$15,"""",K329,"""",",",'Code List'!$B$16,"""",L329,"""",",",'Code List'!$B$17,"""",M329,"""",",",'Code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29" s="167" t="str">
        <f>IF(A329="YES",CONCATENATE("{",'Code List'!$B$31,"""",U329,"""",",",'Code List'!$B$32,'Code List'!$D$32,",",'Code List'!$B$33,'Code List'!$D$33,",",'Code List'!$B$34,'Code List'!$D$34,",",'Code List'!$B$35,'Code List'!$D$35,",",'Code List'!$B$36,'Code List'!$D$36,",",'Code List'!$B$37,'Code List'!$D$37,",",'Code List'!$B$38,"""",H329,"""",",",'Code List'!$B$39,"""",I329,"""",",",'Code List'!$B$40,"""",J329,"""",",",'Code List'!$B$41,"""",K329,"""",",",'Code List'!$B$42,"""",L329,"""",",",'Code List'!$B$43,"""",M329,"""",",",'Code List'!$B$44,"""",N329,"""",",",'Code List'!$B$45,"""",O329,"""",",",'Code List'!$B$46,"""",P329,"""",",",'Code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List'!$B$59,"""",T329,"""","}"),"")</f>
        <v/>
      </c>
    </row>
    <row r="330" spans="1:25" x14ac:dyDescent="0.25">
      <c r="A330" t="str">
        <f>IF(AND($A324="YES",E324=$D$1,F330&gt;0),"YES","NO")</f>
        <v>NO</v>
      </c>
      <c r="C330" t="s">
        <v>5</v>
      </c>
      <c r="D330" s="12" t="str">
        <f t="shared" si="280"/>
        <v>6F</v>
      </c>
      <c r="E330" t="s">
        <v>196</v>
      </c>
      <c r="F330">
        <f>'Expanded Base Data'!J322</f>
        <v>0</v>
      </c>
      <c r="G330" s="171">
        <f>F324</f>
        <v>0</v>
      </c>
      <c r="H330">
        <f>ROUND(B324+'Slide Measurements'!$D$17,$O$1)</f>
        <v>461.51</v>
      </c>
      <c r="I330">
        <f>ROUND(H330+(F330*'Slide Measurements'!$D$21),$O$1)</f>
        <v>461.51</v>
      </c>
      <c r="J330">
        <f>K329</f>
        <v>211.17</v>
      </c>
      <c r="K330">
        <f>J330+($I$1*'Slide Measurements'!$E$23-'Slide Measurements'!$E$23)</f>
        <v>213.01999999999998</v>
      </c>
      <c r="L330" s="5" t="str">
        <f>'Expanded Base Data'!$L322</f>
        <v/>
      </c>
      <c r="M330" s="5" t="str">
        <f>'Expanded Base Data'!$K322</f>
        <v/>
      </c>
      <c r="N330">
        <f t="shared" si="281"/>
        <v>0</v>
      </c>
      <c r="O330">
        <f t="shared" si="282"/>
        <v>1.85</v>
      </c>
      <c r="P330" s="5" t="e">
        <f t="shared" si="283"/>
        <v>#VALUE!</v>
      </c>
      <c r="Q330">
        <f>'Code List'!$C$63</f>
        <v>3</v>
      </c>
      <c r="R330">
        <f>F331+'Code List'!$G$63</f>
        <v>2</v>
      </c>
      <c r="S330" t="e">
        <f t="shared" si="284"/>
        <v>#VALUE!</v>
      </c>
      <c r="T330" t="e">
        <f t="shared" si="286"/>
        <v>#VALUE!</v>
      </c>
      <c r="U330" t="str">
        <f>IF(A330="YES",CONCATENATE(G330,"_",'Program Page'!$C$4,'Program Page'!$C$5,"_",D330,"_",E330),"")</f>
        <v/>
      </c>
      <c r="V330" t="str">
        <f t="shared" si="285"/>
        <v/>
      </c>
      <c r="W330" t="str">
        <f>IF(A330="YES",CONCATENATE("{",'Code List'!$B$4,'Code List'!$D$4,",",'Code List'!$B$5,'Code List'!$D$5,",",'Code List'!$B$6,"""",U330,"""",",",'Code List'!$B$7,'Code List'!$D$7,",",'Code List'!$B$8,'Code List'!$D$8,",",'Code List'!$B$9,'Code List'!$D$9,",",'Code List'!$B$10,'Code List'!$D$10,",",'Code List'!$B$11,"""",V330,"""",",",'Code List'!$B$12,"""",H330,"""",",",'Code List'!$B$13,"""",I330,"""",",",'Code List'!$B$14,"""",J330,"""",",",'Code List'!$B$15,"""",K330,"""",",",'Code List'!$B$16,"""",L330,"""",",",'Code List'!$B$17,"""",M330,"""",",",'Code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30" s="167" t="str">
        <f>IF(A330="YES",CONCATENATE("{",'Code List'!$B$31,"""",U330,"""",",",'Code List'!$B$32,'Code List'!$D$32,",",'Code List'!$B$33,'Code List'!$D$33,",",'Code List'!$B$34,'Code List'!$D$34,",",'Code List'!$B$35,'Code List'!$D$35,",",'Code List'!$B$36,'Code List'!$D$36,",",'Code List'!$B$37,'Code List'!$D$37,",",'Code List'!$B$38,"""",H330,"""",",",'Code List'!$B$39,"""",I330,"""",",",'Code List'!$B$40,"""",J330,"""",",",'Code List'!$B$41,"""",K330,"""",",",'Code List'!$B$42,"""",L330,"""",",",'Code List'!$B$43,"""",M330,"""",",",'Code List'!$B$44,"""",N330,"""",",",'Code List'!$B$45,"""",O330,"""",",",'Code List'!$B$46,"""",P330,"""",",",'Code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List'!$B$59,"""",T330,"""","}"),"")</f>
        <v/>
      </c>
    </row>
    <row r="331" spans="1:25" x14ac:dyDescent="0.25">
      <c r="A331" s="162" t="str">
        <f>IF(AND($A324="YES",E324=$E$1),"YES","NO")</f>
        <v>NO</v>
      </c>
      <c r="C331" t="s">
        <v>259</v>
      </c>
      <c r="D331" s="12" t="str">
        <f>D330</f>
        <v>6F</v>
      </c>
      <c r="E331" t="s">
        <v>259</v>
      </c>
      <c r="G331" s="171">
        <f>F324</f>
        <v>0</v>
      </c>
      <c r="H331">
        <f>ROUND(B324,$O$1)</f>
        <v>436.11</v>
      </c>
      <c r="I331">
        <f>ROUND(B324+'Slide Measurements'!$D$1,$O$1)</f>
        <v>512.55999999999995</v>
      </c>
      <c r="J331">
        <f>C324</f>
        <v>199.47</v>
      </c>
      <c r="K331">
        <f>C324+'Slide Measurements'!$D$2</f>
        <v>226.87</v>
      </c>
      <c r="L331" s="5" t="str">
        <f>'Expanded Base Data'!$L322</f>
        <v/>
      </c>
      <c r="M331" s="5" t="str">
        <f>'Expanded Base Data'!$K322</f>
        <v/>
      </c>
      <c r="N331">
        <f t="shared" si="281"/>
        <v>76.45</v>
      </c>
      <c r="O331">
        <f t="shared" si="282"/>
        <v>27.4</v>
      </c>
      <c r="P331" s="5" t="e">
        <f>ROUND((L331-M331),$O$1)</f>
        <v>#VALUE!</v>
      </c>
      <c r="Q331">
        <f>'Code List'!$C$70</f>
        <v>11</v>
      </c>
      <c r="R331">
        <f>'Code List'!$D$70</f>
        <v>19</v>
      </c>
      <c r="S331" t="e">
        <f>IF(P331=0,"1",ROUND((P331/$K$1)+$M$1,0))</f>
        <v>#VALUE!</v>
      </c>
      <c r="T331" t="e">
        <f>Q331*R331*S331</f>
        <v>#VALUE!</v>
      </c>
      <c r="U331" t="str">
        <f>IF(A331="YES",CONCATENATE(G331,"_",'Program Page'!$C$4,'Program Page'!$C$5,"_",D331,"_",E331),"")</f>
        <v/>
      </c>
      <c r="V331" t="str">
        <f>IF(U331="","",CONCATENATE(U331,"_"))</f>
        <v/>
      </c>
      <c r="W331" t="str">
        <f>IF(A331="YES",CONCATENATE("{",'Code List'!$B$4,'Code List'!$D$4,",",'Code List'!$B$5,'Code List'!$D$5,",",'Code List'!$B$6,"""",U331,"""",",",'Code List'!$B$7,'Code List'!$D$7,",",'Code List'!$B$8,'Code List'!$D$8,",",'Code List'!$B$9,'Code List'!$D$9,",",'Code List'!$B$10,'Code List'!$D$10,",",'Code List'!$B$11,"""",V331,"""",",",'Code List'!$B$12,"""",H331,"""",",",'Code List'!$B$13,"""",I331,"""",",",'Code List'!$B$14,"""",J331,"""",",",'Code List'!$B$15,"""",K331,"""",",",'Code List'!$B$16,"""",L331,"""",",",'Code List'!$B$17,"""",M331,"""",",",'Code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331" s="167" t="str">
        <f>IF(A331="YES",CONCATENATE("{",'Code List'!$B$31,"""",U331,"""",",",'Code List'!$B$32,'Code List'!$D$32,",",'Code List'!$B$33,'Code List'!$D$33,",",'Code List'!$B$34,'Code List'!$D$34,",",'Code List'!$B$35,'Code List'!$D$35,",",'Code List'!$B$36,'Code List'!$D$36,",",'Code List'!$B$37,'Code List'!$D$37,",",'Code List'!$B$38,"""",H331,"""",",",'Code List'!$B$39,"""",I331,"""",",",'Code List'!$B$40,"""",J331,"""",",",'Code List'!$B$41,"""",K331,"""",",",'Code List'!$B$42,"""",L331,"""",",",'Code List'!$B$43,"""",M331,"""",",",'Code List'!$B$44,"""",N331,"""",",",'Code List'!$B$45,"""",O331,"""",",",'Code List'!$B$46,"""",P331,"""",",",'Code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List'!$B$59,"""",T331,"""","}"),"")</f>
        <v/>
      </c>
    </row>
    <row r="332" spans="1:25" ht="18.75" x14ac:dyDescent="0.3">
      <c r="A332" s="35" t="str">
        <f>IF(OR(E332=$C$1,E332=$D$1,E332=$E$1),"YES","NO")</f>
        <v>NO</v>
      </c>
      <c r="B332" s="35">
        <f>'Expanded Base Data'!D330</f>
        <v>523.01</v>
      </c>
      <c r="C332" s="35">
        <f>'Expanded Base Data'!E330</f>
        <v>199.47</v>
      </c>
      <c r="D332" s="36" t="str">
        <f>'Expanded Base Data'!B330</f>
        <v>6G</v>
      </c>
      <c r="E332" s="35">
        <f>'Expanded Base Data'!C330</f>
        <v>0</v>
      </c>
      <c r="F332" s="35">
        <f>'Expanded Base Data'!M330</f>
        <v>0</v>
      </c>
      <c r="G332" s="170">
        <f>F332</f>
        <v>0</v>
      </c>
      <c r="Y332" s="167" t="str">
        <f>""</f>
        <v/>
      </c>
    </row>
    <row r="333" spans="1:25" x14ac:dyDescent="0.25">
      <c r="A333" t="str">
        <f>IF(AND($A332="YES",E332=$C$1),"YES","NO")</f>
        <v>NO</v>
      </c>
      <c r="C333" t="s">
        <v>6</v>
      </c>
      <c r="D333" s="12" t="str">
        <f>D332</f>
        <v>6G</v>
      </c>
      <c r="E333" t="s">
        <v>6</v>
      </c>
      <c r="F333" t="s">
        <v>198</v>
      </c>
      <c r="G333" s="171">
        <f>F332</f>
        <v>0</v>
      </c>
      <c r="H333">
        <f>IF('Expanded Base Data'!N330="",ROUND(B332+'Slide Measurements'!$D$11,$O$1),B332+'Expanded Base Data'!N330)</f>
        <v>556.01</v>
      </c>
      <c r="I333">
        <f>IF('Expanded Base Data'!O330="",ROUND(B332+'Slide Measurements'!$D$12,$O$1),B332+'Expanded Base Data'!O330)</f>
        <v>564.61</v>
      </c>
      <c r="J333">
        <f>IF('Expanded Base Data'!P330="",C332+'Slide Measurements'!$E$13,C332+'Expanded Base Data'!P330)</f>
        <v>208.17</v>
      </c>
      <c r="K333">
        <f>IF('Expanded Base Data'!Q330="",C332+'Slide Measurements'!$E$14,C332+'Expanded Base Data'!Q330)</f>
        <v>216.76999999999998</v>
      </c>
      <c r="L333" s="5" t="str">
        <f>'Expanded Base Data'!$L330</f>
        <v/>
      </c>
      <c r="M333" s="5" t="str">
        <f>'Expanded Base Data'!$K330</f>
        <v/>
      </c>
      <c r="N333">
        <f>ROUND((I333-H333),$O$1)</f>
        <v>8.6</v>
      </c>
      <c r="O333">
        <f>ROUND((K333-J333),$O$1)</f>
        <v>8.6</v>
      </c>
      <c r="P333" s="5" t="e">
        <f>ROUND((L333-M333),$O$1)</f>
        <v>#VALUE!</v>
      </c>
      <c r="Q333">
        <f>'Code List'!$C$62</f>
        <v>5</v>
      </c>
      <c r="R333">
        <f>F334+'Code List'!$G$63</f>
        <v>2</v>
      </c>
      <c r="S333" t="e">
        <f>IF(P333=0,"1",ROUND((P333/$K$1)+$M$1,0))</f>
        <v>#VALUE!</v>
      </c>
      <c r="T333" t="e">
        <f>Q333*R333*S333</f>
        <v>#VALUE!</v>
      </c>
      <c r="U333" t="str">
        <f>IF(A333="YES",CONCATENATE(G333,"_",'Program Page'!$C$4,'Program Page'!$C$5,"_",D333,"_",E333),"")</f>
        <v/>
      </c>
      <c r="V333" t="str">
        <f>IF(U333="","",CONCATENATE(U333,"_"))</f>
        <v/>
      </c>
      <c r="W333" t="str">
        <f>IF(A333="YES",CONCATENATE("{",'Code List'!$B$4,'Code List'!$D$4,",",'Code List'!$B$5,'Code List'!$D$5,",",'Code List'!$B$6,"""",U333,"""",",",'Code List'!$B$7,'Code List'!$D$7,",",'Code List'!$B$8,'Code List'!$D$8,",",'Code List'!$B$9,'Code List'!$D$9,",",'Code List'!$B$10,'Code List'!$D$10,",",'Code List'!$B$11,"""",V333,"""",",",'Code List'!$B$12,"""",H333,"""",",",'Code List'!$B$13,"""",I333,"""",",",'Code List'!$B$14,"""",J333,"""",",",'Code List'!$B$15,"""",K333,"""",",",'Code List'!$B$16,"""",L333,"""",",",'Code List'!$B$17,"""",M333,"""",",",'Code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33" s="167" t="str">
        <f>IF(A333="YES",CONCATENATE("{",'Code List'!$B$31,"""",U333,"""",",",'Code List'!$B$32,'Code List'!$D$32,",",'Code List'!$B$33,'Code List'!$D$33,",",'Code List'!$B$34,'Code List'!$D$34,",",'Code List'!$B$35,'Code List'!$D$35,",",'Code List'!$B$36,'Code List'!$D$36,",",'Code List'!$B$37,'Code List'!$D$37,",",'Code List'!$B$38,"""",H333,"""",",",'Code List'!$B$39,"""",I333,"""",",",'Code List'!$B$40,"""",J333,"""",",",'Code List'!$B$41,"""",K333,"""",",",'Code List'!$B$42,"""",L333,"""",",",'Code List'!$B$43,"""",M333,"""",",",'Code List'!$B$44,"""",N333,"""",",",'Code List'!$B$45,"""",O333,"""",",",'Code List'!$B$46,"""",P333,"""",",",'Code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List'!$B$59,"""",T333,"""","}"),"")</f>
        <v/>
      </c>
    </row>
    <row r="334" spans="1:25" x14ac:dyDescent="0.25">
      <c r="A334" t="str">
        <f>IF(AND($A332="YES",E332=$D$1,F334&gt;0),"YES","NO")</f>
        <v>NO</v>
      </c>
      <c r="C334" t="s">
        <v>5</v>
      </c>
      <c r="D334" s="12" t="str">
        <f t="shared" ref="D334:D338" si="287">D333</f>
        <v>6G</v>
      </c>
      <c r="E334" t="s">
        <v>188</v>
      </c>
      <c r="F334">
        <f>'Expanded Base Data'!F330</f>
        <v>0</v>
      </c>
      <c r="G334" s="171">
        <f>F332</f>
        <v>0</v>
      </c>
      <c r="H334">
        <f>ROUND(B332+'Slide Measurements'!$D$17,$O$1)</f>
        <v>548.41</v>
      </c>
      <c r="I334">
        <f>ROUND(H334+(F334*'Slide Measurements'!$D$21),$O$1)</f>
        <v>548.41</v>
      </c>
      <c r="J334">
        <f>C332+'Slide Measurements'!$E$17</f>
        <v>203.77</v>
      </c>
      <c r="K334">
        <f>J334+($I$1*'Slide Measurements'!$E$23-'Slide Measurements'!$E$23)</f>
        <v>205.62</v>
      </c>
      <c r="L334" s="5" t="str">
        <f>'Expanded Base Data'!$L330</f>
        <v/>
      </c>
      <c r="M334" s="5" t="str">
        <f>'Expanded Base Data'!$K330</f>
        <v/>
      </c>
      <c r="N334">
        <f t="shared" ref="N334:N339" si="288">ROUND((I334-H334),$O$1)</f>
        <v>0</v>
      </c>
      <c r="O334">
        <f t="shared" ref="O334:O339" si="289">ROUND((K334-J334),$O$1)</f>
        <v>1.85</v>
      </c>
      <c r="P334" s="5" t="e">
        <f t="shared" ref="P334:P338" si="290">ROUND((L334-M334),$O$1)</f>
        <v>#VALUE!</v>
      </c>
      <c r="Q334">
        <f>'Code List'!$C$63</f>
        <v>3</v>
      </c>
      <c r="R334">
        <f>F335+'Code List'!$G$63</f>
        <v>2</v>
      </c>
      <c r="S334" t="e">
        <f t="shared" ref="S334:S338" si="291">IF(P334=0,"1",ROUND((P334/$K$1)+$M$1,0))</f>
        <v>#VALUE!</v>
      </c>
      <c r="T334" t="e">
        <f>Q334*R334*S334</f>
        <v>#VALUE!</v>
      </c>
      <c r="U334" t="str">
        <f>IF(A334="YES",CONCATENATE(G334,"_",'Program Page'!$C$4,'Program Page'!$C$5,"_",D334,"_",E334),"")</f>
        <v/>
      </c>
      <c r="V334" t="str">
        <f t="shared" ref="V334:V338" si="292">IF(U334="","",CONCATENATE(U334,"_"))</f>
        <v/>
      </c>
      <c r="W334" t="str">
        <f>IF(A334="YES",CONCATENATE("{",'Code List'!$B$4,'Code List'!$D$4,",",'Code List'!$B$5,'Code List'!$D$5,",",'Code List'!$B$6,"""",U334,"""",",",'Code List'!$B$7,'Code List'!$D$7,",",'Code List'!$B$8,'Code List'!$D$8,",",'Code List'!$B$9,'Code List'!$D$9,",",'Code List'!$B$10,'Code List'!$D$10,",",'Code List'!$B$11,"""",V334,"""",",",'Code List'!$B$12,"""",H334,"""",",",'Code List'!$B$13,"""",I334,"""",",",'Code List'!$B$14,"""",J334,"""",",",'Code List'!$B$15,"""",K334,"""",",",'Code List'!$B$16,"""",L334,"""",",",'Code List'!$B$17,"""",M334,"""",",",'Code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34" s="167" t="str">
        <f>IF(A334="YES",CONCATENATE("{",'Code List'!$B$31,"""",U334,"""",",",'Code List'!$B$32,'Code List'!$D$32,",",'Code List'!$B$33,'Code List'!$D$33,",",'Code List'!$B$34,'Code List'!$D$34,",",'Code List'!$B$35,'Code List'!$D$35,",",'Code List'!$B$36,'Code List'!$D$36,",",'Code List'!$B$37,'Code List'!$D$37,",",'Code List'!$B$38,"""",H334,"""",",",'Code List'!$B$39,"""",I334,"""",",",'Code List'!$B$40,"""",J334,"""",",",'Code List'!$B$41,"""",K334,"""",",",'Code List'!$B$42,"""",L334,"""",",",'Code List'!$B$43,"""",M334,"""",",",'Code List'!$B$44,"""",N334,"""",",",'Code List'!$B$45,"""",O334,"""",",",'Code List'!$B$46,"""",P334,"""",",",'Code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List'!$B$59,"""",T334,"""","}"),"")</f>
        <v/>
      </c>
    </row>
    <row r="335" spans="1:25" x14ac:dyDescent="0.25">
      <c r="A335" t="str">
        <f>IF(AND($A332="YES",E332=$D$1,F335&gt;0),"YES","NO")</f>
        <v>NO</v>
      </c>
      <c r="C335" t="s">
        <v>5</v>
      </c>
      <c r="D335" s="12" t="str">
        <f t="shared" si="287"/>
        <v>6G</v>
      </c>
      <c r="E335" t="s">
        <v>189</v>
      </c>
      <c r="F335">
        <f>'Expanded Base Data'!G330</f>
        <v>0</v>
      </c>
      <c r="G335" s="171">
        <f>F332</f>
        <v>0</v>
      </c>
      <c r="H335">
        <f>ROUND(B332+'Slide Measurements'!$D$17,$O$1)</f>
        <v>548.41</v>
      </c>
      <c r="I335">
        <f>ROUND(H335+(F335*'Slide Measurements'!$D$21),$O$1)</f>
        <v>548.41</v>
      </c>
      <c r="J335">
        <f>K334</f>
        <v>205.62</v>
      </c>
      <c r="K335">
        <f>J335+($I$1*'Slide Measurements'!$E$23-'Slide Measurements'!$E$23)</f>
        <v>207.47</v>
      </c>
      <c r="L335" s="5" t="str">
        <f>'Expanded Base Data'!$L330</f>
        <v/>
      </c>
      <c r="M335" s="5" t="str">
        <f>'Expanded Base Data'!$K330</f>
        <v/>
      </c>
      <c r="N335">
        <f t="shared" si="288"/>
        <v>0</v>
      </c>
      <c r="O335">
        <f t="shared" si="289"/>
        <v>1.85</v>
      </c>
      <c r="P335" s="5" t="e">
        <f t="shared" si="290"/>
        <v>#VALUE!</v>
      </c>
      <c r="Q335">
        <f>'Code List'!$C$63</f>
        <v>3</v>
      </c>
      <c r="R335">
        <f>F336+'Code List'!$G$63</f>
        <v>2</v>
      </c>
      <c r="S335" t="e">
        <f t="shared" si="291"/>
        <v>#VALUE!</v>
      </c>
      <c r="T335" t="e">
        <f t="shared" ref="T335:T338" si="293">Q335*R335*S335</f>
        <v>#VALUE!</v>
      </c>
      <c r="U335" t="str">
        <f>IF(A335="YES",CONCATENATE(G335,"_",'Program Page'!$C$4,'Program Page'!$C$5,"_",D335,"_",E335),"")</f>
        <v/>
      </c>
      <c r="V335" t="str">
        <f t="shared" si="292"/>
        <v/>
      </c>
      <c r="W335" t="str">
        <f>IF(A335="YES",CONCATENATE("{",'Code List'!$B$4,'Code List'!$D$4,",",'Code List'!$B$5,'Code List'!$D$5,",",'Code List'!$B$6,"""",U335,"""",",",'Code List'!$B$7,'Code List'!$D$7,",",'Code List'!$B$8,'Code List'!$D$8,",",'Code List'!$B$9,'Code List'!$D$9,",",'Code List'!$B$10,'Code List'!$D$10,",",'Code List'!$B$11,"""",V335,"""",",",'Code List'!$B$12,"""",H335,"""",",",'Code List'!$B$13,"""",I335,"""",",",'Code List'!$B$14,"""",J335,"""",",",'Code List'!$B$15,"""",K335,"""",",",'Code List'!$B$16,"""",L335,"""",",",'Code List'!$B$17,"""",M335,"""",",",'Code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35" s="167" t="str">
        <f>IF(A335="YES",CONCATENATE("{",'Code List'!$B$31,"""",U335,"""",",",'Code List'!$B$32,'Code List'!$D$32,",",'Code List'!$B$33,'Code List'!$D$33,",",'Code List'!$B$34,'Code List'!$D$34,",",'Code List'!$B$35,'Code List'!$D$35,",",'Code List'!$B$36,'Code List'!$D$36,",",'Code List'!$B$37,'Code List'!$D$37,",",'Code List'!$B$38,"""",H335,"""",",",'Code List'!$B$39,"""",I335,"""",",",'Code List'!$B$40,"""",J335,"""",",",'Code List'!$B$41,"""",K335,"""",",",'Code List'!$B$42,"""",L335,"""",",",'Code List'!$B$43,"""",M335,"""",",",'Code List'!$B$44,"""",N335,"""",",",'Code List'!$B$45,"""",O335,"""",",",'Code List'!$B$46,"""",P335,"""",",",'Code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List'!$B$59,"""",T335,"""","}"),"")</f>
        <v/>
      </c>
    </row>
    <row r="336" spans="1:25" x14ac:dyDescent="0.25">
      <c r="A336" t="str">
        <f>IF(AND($A332="YES",E332=$D$1,F336&gt;0),"YES","NO")</f>
        <v>NO</v>
      </c>
      <c r="C336" t="s">
        <v>5</v>
      </c>
      <c r="D336" s="12" t="str">
        <f t="shared" si="287"/>
        <v>6G</v>
      </c>
      <c r="E336" t="s">
        <v>190</v>
      </c>
      <c r="F336">
        <f>'Expanded Base Data'!H330</f>
        <v>0</v>
      </c>
      <c r="G336" s="171">
        <f>F332</f>
        <v>0</v>
      </c>
      <c r="H336">
        <f>ROUND(B332+'Slide Measurements'!$D$17,$O$1)</f>
        <v>548.41</v>
      </c>
      <c r="I336">
        <f>ROUND(H336+(F336*'Slide Measurements'!$D$21),$O$1)</f>
        <v>548.41</v>
      </c>
      <c r="J336">
        <f>K335</f>
        <v>207.47</v>
      </c>
      <c r="K336">
        <f>J336+($I$1*'Slide Measurements'!$E$23-'Slide Measurements'!$E$23)</f>
        <v>209.32</v>
      </c>
      <c r="L336" s="5" t="str">
        <f>'Expanded Base Data'!$L330</f>
        <v/>
      </c>
      <c r="M336" s="5" t="str">
        <f>'Expanded Base Data'!$K330</f>
        <v/>
      </c>
      <c r="N336">
        <f t="shared" si="288"/>
        <v>0</v>
      </c>
      <c r="O336">
        <f t="shared" si="289"/>
        <v>1.85</v>
      </c>
      <c r="P336" s="5" t="e">
        <f t="shared" si="290"/>
        <v>#VALUE!</v>
      </c>
      <c r="Q336">
        <f>'Code List'!$C$63</f>
        <v>3</v>
      </c>
      <c r="R336">
        <f>F337+'Code List'!$G$63</f>
        <v>2</v>
      </c>
      <c r="S336" t="e">
        <f t="shared" si="291"/>
        <v>#VALUE!</v>
      </c>
      <c r="T336" t="e">
        <f t="shared" si="293"/>
        <v>#VALUE!</v>
      </c>
      <c r="U336" t="str">
        <f>IF(A336="YES",CONCATENATE(G336,"_",'Program Page'!$C$4,'Program Page'!$C$5,"_",D336,"_",E336),"")</f>
        <v/>
      </c>
      <c r="V336" t="str">
        <f t="shared" si="292"/>
        <v/>
      </c>
      <c r="W336" t="str">
        <f>IF(A336="YES",CONCATENATE("{",'Code List'!$B$4,'Code List'!$D$4,",",'Code List'!$B$5,'Code List'!$D$5,",",'Code List'!$B$6,"""",U336,"""",",",'Code List'!$B$7,'Code List'!$D$7,",",'Code List'!$B$8,'Code List'!$D$8,",",'Code List'!$B$9,'Code List'!$D$9,",",'Code List'!$B$10,'Code List'!$D$10,",",'Code List'!$B$11,"""",V336,"""",",",'Code List'!$B$12,"""",H336,"""",",",'Code List'!$B$13,"""",I336,"""",",",'Code List'!$B$14,"""",J336,"""",",",'Code List'!$B$15,"""",K336,"""",",",'Code List'!$B$16,"""",L336,"""",",",'Code List'!$B$17,"""",M336,"""",",",'Code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36" s="167" t="str">
        <f>IF(A336="YES",CONCATENATE("{",'Code List'!$B$31,"""",U336,"""",",",'Code List'!$B$32,'Code List'!$D$32,",",'Code List'!$B$33,'Code List'!$D$33,",",'Code List'!$B$34,'Code List'!$D$34,",",'Code List'!$B$35,'Code List'!$D$35,",",'Code List'!$B$36,'Code List'!$D$36,",",'Code List'!$B$37,'Code List'!$D$37,",",'Code List'!$B$38,"""",H336,"""",",",'Code List'!$B$39,"""",I336,"""",",",'Code List'!$B$40,"""",J336,"""",",",'Code List'!$B$41,"""",K336,"""",",",'Code List'!$B$42,"""",L336,"""",",",'Code List'!$B$43,"""",M336,"""",",",'Code List'!$B$44,"""",N336,"""",",",'Code List'!$B$45,"""",O336,"""",",",'Code List'!$B$46,"""",P336,"""",",",'Code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List'!$B$59,"""",T336,"""","}"),"")</f>
        <v/>
      </c>
    </row>
    <row r="337" spans="1:25" x14ac:dyDescent="0.25">
      <c r="A337" t="str">
        <f>IF(AND($A332="YES",E332=$D$1,F337&gt;0),"YES","NO")</f>
        <v>NO</v>
      </c>
      <c r="C337" t="s">
        <v>5</v>
      </c>
      <c r="D337" s="12" t="str">
        <f t="shared" si="287"/>
        <v>6G</v>
      </c>
      <c r="E337" t="s">
        <v>191</v>
      </c>
      <c r="F337">
        <f>'Expanded Base Data'!I330</f>
        <v>0</v>
      </c>
      <c r="G337" s="171">
        <f>F332</f>
        <v>0</v>
      </c>
      <c r="H337">
        <f>ROUND(B332+'Slide Measurements'!$D$17,$O$1)</f>
        <v>548.41</v>
      </c>
      <c r="I337">
        <f>ROUND(H337+(F337*'Slide Measurements'!$D$21),$O$1)</f>
        <v>548.41</v>
      </c>
      <c r="J337">
        <f>K336</f>
        <v>209.32</v>
      </c>
      <c r="K337">
        <f>J337+($I$1*'Slide Measurements'!$E$23-'Slide Measurements'!$E$23)</f>
        <v>211.17</v>
      </c>
      <c r="L337" s="5" t="str">
        <f>'Expanded Base Data'!$L330</f>
        <v/>
      </c>
      <c r="M337" s="5" t="str">
        <f>'Expanded Base Data'!$K330</f>
        <v/>
      </c>
      <c r="N337">
        <f t="shared" si="288"/>
        <v>0</v>
      </c>
      <c r="O337">
        <f t="shared" si="289"/>
        <v>1.85</v>
      </c>
      <c r="P337" s="5" t="e">
        <f t="shared" si="290"/>
        <v>#VALUE!</v>
      </c>
      <c r="Q337">
        <f>'Code List'!$C$63</f>
        <v>3</v>
      </c>
      <c r="R337">
        <f>F338+'Code List'!$G$63</f>
        <v>2</v>
      </c>
      <c r="S337" t="e">
        <f t="shared" si="291"/>
        <v>#VALUE!</v>
      </c>
      <c r="T337" t="e">
        <f t="shared" si="293"/>
        <v>#VALUE!</v>
      </c>
      <c r="U337" t="str">
        <f>IF(A337="YES",CONCATENATE(G337,"_",'Program Page'!$C$4,'Program Page'!$C$5,"_",D337,"_",E337),"")</f>
        <v/>
      </c>
      <c r="V337" t="str">
        <f t="shared" si="292"/>
        <v/>
      </c>
      <c r="W337" t="str">
        <f>IF(A337="YES",CONCATENATE("{",'Code List'!$B$4,'Code List'!$D$4,",",'Code List'!$B$5,'Code List'!$D$5,",",'Code List'!$B$6,"""",U337,"""",",",'Code List'!$B$7,'Code List'!$D$7,",",'Code List'!$B$8,'Code List'!$D$8,",",'Code List'!$B$9,'Code List'!$D$9,",",'Code List'!$B$10,'Code List'!$D$10,",",'Code List'!$B$11,"""",V337,"""",",",'Code List'!$B$12,"""",H337,"""",",",'Code List'!$B$13,"""",I337,"""",",",'Code List'!$B$14,"""",J337,"""",",",'Code List'!$B$15,"""",K337,"""",",",'Code List'!$B$16,"""",L337,"""",",",'Code List'!$B$17,"""",M337,"""",",",'Code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37" s="167" t="str">
        <f>IF(A337="YES",CONCATENATE("{",'Code List'!$B$31,"""",U337,"""",",",'Code List'!$B$32,'Code List'!$D$32,",",'Code List'!$B$33,'Code List'!$D$33,",",'Code List'!$B$34,'Code List'!$D$34,",",'Code List'!$B$35,'Code List'!$D$35,",",'Code List'!$B$36,'Code List'!$D$36,",",'Code List'!$B$37,'Code List'!$D$37,",",'Code List'!$B$38,"""",H337,"""",",",'Code List'!$B$39,"""",I337,"""",",",'Code List'!$B$40,"""",J337,"""",",",'Code List'!$B$41,"""",K337,"""",",",'Code List'!$B$42,"""",L337,"""",",",'Code List'!$B$43,"""",M337,"""",",",'Code List'!$B$44,"""",N337,"""",",",'Code List'!$B$45,"""",O337,"""",",",'Code List'!$B$46,"""",P337,"""",",",'Code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List'!$B$59,"""",T337,"""","}"),"")</f>
        <v/>
      </c>
    </row>
    <row r="338" spans="1:25" x14ac:dyDescent="0.25">
      <c r="A338" t="str">
        <f>IF(AND($A332="YES",E332=$D$1,F338&gt;0),"YES","NO")</f>
        <v>NO</v>
      </c>
      <c r="C338" t="s">
        <v>5</v>
      </c>
      <c r="D338" s="12" t="str">
        <f t="shared" si="287"/>
        <v>6G</v>
      </c>
      <c r="E338" t="s">
        <v>196</v>
      </c>
      <c r="F338">
        <f>'Expanded Base Data'!J330</f>
        <v>0</v>
      </c>
      <c r="G338" s="171">
        <f>F332</f>
        <v>0</v>
      </c>
      <c r="H338">
        <f>ROUND(B332+'Slide Measurements'!$D$17,$O$1)</f>
        <v>548.41</v>
      </c>
      <c r="I338">
        <f>ROUND(H338+(F338*'Slide Measurements'!$D$21),$O$1)</f>
        <v>548.41</v>
      </c>
      <c r="J338">
        <f>K337</f>
        <v>211.17</v>
      </c>
      <c r="K338">
        <f>J338+($I$1*'Slide Measurements'!$E$23-'Slide Measurements'!$E$23)</f>
        <v>213.01999999999998</v>
      </c>
      <c r="L338" s="5" t="str">
        <f>'Expanded Base Data'!$L330</f>
        <v/>
      </c>
      <c r="M338" s="5" t="str">
        <f>'Expanded Base Data'!$K330</f>
        <v/>
      </c>
      <c r="N338">
        <f t="shared" si="288"/>
        <v>0</v>
      </c>
      <c r="O338">
        <f t="shared" si="289"/>
        <v>1.85</v>
      </c>
      <c r="P338" s="5" t="e">
        <f t="shared" si="290"/>
        <v>#VALUE!</v>
      </c>
      <c r="Q338">
        <f>'Code List'!$C$63</f>
        <v>3</v>
      </c>
      <c r="R338">
        <f>F339+'Code List'!$G$63</f>
        <v>2</v>
      </c>
      <c r="S338" t="e">
        <f t="shared" si="291"/>
        <v>#VALUE!</v>
      </c>
      <c r="T338" t="e">
        <f t="shared" si="293"/>
        <v>#VALUE!</v>
      </c>
      <c r="U338" t="str">
        <f>IF(A338="YES",CONCATENATE(G338,"_",'Program Page'!$C$4,'Program Page'!$C$5,"_",D338,"_",E338),"")</f>
        <v/>
      </c>
      <c r="V338" t="str">
        <f t="shared" si="292"/>
        <v/>
      </c>
      <c r="W338" t="str">
        <f>IF(A338="YES",CONCATENATE("{",'Code List'!$B$4,'Code List'!$D$4,",",'Code List'!$B$5,'Code List'!$D$5,",",'Code List'!$B$6,"""",U338,"""",",",'Code List'!$B$7,'Code List'!$D$7,",",'Code List'!$B$8,'Code List'!$D$8,",",'Code List'!$B$9,'Code List'!$D$9,",",'Code List'!$B$10,'Code List'!$D$10,",",'Code List'!$B$11,"""",V338,"""",",",'Code List'!$B$12,"""",H338,"""",",",'Code List'!$B$13,"""",I338,"""",",",'Code List'!$B$14,"""",J338,"""",",",'Code List'!$B$15,"""",K338,"""",",",'Code List'!$B$16,"""",L338,"""",",",'Code List'!$B$17,"""",M338,"""",",",'Code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38" s="167" t="str">
        <f>IF(A338="YES",CONCATENATE("{",'Code List'!$B$31,"""",U338,"""",",",'Code List'!$B$32,'Code List'!$D$32,",",'Code List'!$B$33,'Code List'!$D$33,",",'Code List'!$B$34,'Code List'!$D$34,",",'Code List'!$B$35,'Code List'!$D$35,",",'Code List'!$B$36,'Code List'!$D$36,",",'Code List'!$B$37,'Code List'!$D$37,",",'Code List'!$B$38,"""",H338,"""",",",'Code List'!$B$39,"""",I338,"""",",",'Code List'!$B$40,"""",J338,"""",",",'Code List'!$B$41,"""",K338,"""",",",'Code List'!$B$42,"""",L338,"""",",",'Code List'!$B$43,"""",M338,"""",",",'Code List'!$B$44,"""",N338,"""",",",'Code List'!$B$45,"""",O338,"""",",",'Code List'!$B$46,"""",P338,"""",",",'Code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List'!$B$59,"""",T338,"""","}"),"")</f>
        <v/>
      </c>
    </row>
    <row r="339" spans="1:25" x14ac:dyDescent="0.25">
      <c r="A339" s="162" t="str">
        <f>IF(AND($A332="YES",E332=$E$1),"YES","NO")</f>
        <v>NO</v>
      </c>
      <c r="C339" t="s">
        <v>259</v>
      </c>
      <c r="D339" s="12" t="str">
        <f>D338</f>
        <v>6G</v>
      </c>
      <c r="E339" t="s">
        <v>259</v>
      </c>
      <c r="G339" s="171">
        <f>F332</f>
        <v>0</v>
      </c>
      <c r="H339">
        <f>ROUND(B332,$O$1)</f>
        <v>523.01</v>
      </c>
      <c r="I339">
        <f>ROUND(B332+'Slide Measurements'!$D$1,$O$1)</f>
        <v>599.46</v>
      </c>
      <c r="J339">
        <f>C332</f>
        <v>199.47</v>
      </c>
      <c r="K339">
        <f>C332+'Slide Measurements'!$D$2</f>
        <v>226.87</v>
      </c>
      <c r="L339" s="5" t="str">
        <f>'Expanded Base Data'!$L330</f>
        <v/>
      </c>
      <c r="M339" s="5" t="str">
        <f>'Expanded Base Data'!$K330</f>
        <v/>
      </c>
      <c r="N339">
        <f t="shared" si="288"/>
        <v>76.45</v>
      </c>
      <c r="O339">
        <f t="shared" si="289"/>
        <v>27.4</v>
      </c>
      <c r="P339" s="5" t="e">
        <f>ROUND((L339-M339),$O$1)</f>
        <v>#VALUE!</v>
      </c>
      <c r="Q339">
        <f>'Code List'!$C$70</f>
        <v>11</v>
      </c>
      <c r="R339">
        <f>'Code List'!$D$70</f>
        <v>19</v>
      </c>
      <c r="S339" t="e">
        <f>IF(P339=0,"1",ROUND((P339/$K$1)+$M$1,0))</f>
        <v>#VALUE!</v>
      </c>
      <c r="T339" t="e">
        <f>Q339*R339*S339</f>
        <v>#VALUE!</v>
      </c>
      <c r="U339" t="str">
        <f>IF(A339="YES",CONCATENATE(G339,"_",'Program Page'!$C$4,'Program Page'!$C$5,"_",D339,"_",E339),"")</f>
        <v/>
      </c>
      <c r="V339" t="str">
        <f>IF(U339="","",CONCATENATE(U339,"_"))</f>
        <v/>
      </c>
      <c r="W339" t="str">
        <f>IF(A339="YES",CONCATENATE("{",'Code List'!$B$4,'Code List'!$D$4,",",'Code List'!$B$5,'Code List'!$D$5,",",'Code List'!$B$6,"""",U339,"""",",",'Code List'!$B$7,'Code List'!$D$7,",",'Code List'!$B$8,'Code List'!$D$8,",",'Code List'!$B$9,'Code List'!$D$9,",",'Code List'!$B$10,'Code List'!$D$10,",",'Code List'!$B$11,"""",V339,"""",",",'Code List'!$B$12,"""",H339,"""",",",'Code List'!$B$13,"""",I339,"""",",",'Code List'!$B$14,"""",J339,"""",",",'Code List'!$B$15,"""",K339,"""",",",'Code List'!$B$16,"""",L339,"""",",",'Code List'!$B$17,"""",M339,"""",",",'Code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339" s="167" t="str">
        <f>IF(A339="YES",CONCATENATE("{",'Code List'!$B$31,"""",U339,"""",",",'Code List'!$B$32,'Code List'!$D$32,",",'Code List'!$B$33,'Code List'!$D$33,",",'Code List'!$B$34,'Code List'!$D$34,",",'Code List'!$B$35,'Code List'!$D$35,",",'Code List'!$B$36,'Code List'!$D$36,",",'Code List'!$B$37,'Code List'!$D$37,",",'Code List'!$B$38,"""",H339,"""",",",'Code List'!$B$39,"""",I339,"""",",",'Code List'!$B$40,"""",J339,"""",",",'Code List'!$B$41,"""",K339,"""",",",'Code List'!$B$42,"""",L339,"""",",",'Code List'!$B$43,"""",M339,"""",",",'Code List'!$B$44,"""",N339,"""",",",'Code List'!$B$45,"""",O339,"""",",",'Code List'!$B$46,"""",P339,"""",",",'Code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List'!$B$59,"""",T339,"""","}"),"")</f>
        <v/>
      </c>
    </row>
    <row r="340" spans="1:25" ht="18.75" x14ac:dyDescent="0.3">
      <c r="A340" s="35" t="str">
        <f>IF(OR(E340=$C$1,E340=$D$1,E340=$E$1),"YES","NO")</f>
        <v>NO</v>
      </c>
      <c r="B340" s="35">
        <f>'Expanded Base Data'!D338</f>
        <v>1.71</v>
      </c>
      <c r="C340" s="35">
        <f>'Expanded Base Data'!E338</f>
        <v>251.42999999999998</v>
      </c>
      <c r="D340" s="36" t="str">
        <f>'Expanded Base Data'!B338</f>
        <v>7A</v>
      </c>
      <c r="E340" s="35">
        <f>'Expanded Base Data'!C338</f>
        <v>0</v>
      </c>
      <c r="F340" s="35">
        <f>'Expanded Base Data'!M338</f>
        <v>0</v>
      </c>
      <c r="G340" s="170">
        <f>F340</f>
        <v>0</v>
      </c>
      <c r="Y340" s="167" t="str">
        <f>""</f>
        <v/>
      </c>
    </row>
    <row r="341" spans="1:25" x14ac:dyDescent="0.25">
      <c r="A341" t="str">
        <f>IF(AND($A340="YES",E340=$C$1),"YES","NO")</f>
        <v>NO</v>
      </c>
      <c r="C341" t="s">
        <v>6</v>
      </c>
      <c r="D341" s="12" t="str">
        <f>D340</f>
        <v>7A</v>
      </c>
      <c r="E341" t="s">
        <v>6</v>
      </c>
      <c r="F341" t="s">
        <v>198</v>
      </c>
      <c r="G341" s="171">
        <f>F340</f>
        <v>0</v>
      </c>
      <c r="H341">
        <f>IF('Expanded Base Data'!N338="",ROUND(B340+'Slide Measurements'!$D$11,$O$1),B340+'Expanded Base Data'!N338)</f>
        <v>34.71</v>
      </c>
      <c r="I341">
        <f>IF('Expanded Base Data'!O338="",ROUND(B340+'Slide Measurements'!$D$12,$O$1),B340+'Expanded Base Data'!O338)</f>
        <v>43.31</v>
      </c>
      <c r="J341">
        <f>IF('Expanded Base Data'!P338="",C340+'Slide Measurements'!$E$13,C340+'Expanded Base Data'!P338)</f>
        <v>260.13</v>
      </c>
      <c r="K341">
        <f>IF('Expanded Base Data'!Q338="",C340+'Slide Measurements'!$E$14,C340+'Expanded Base Data'!Q338)</f>
        <v>268.72999999999996</v>
      </c>
      <c r="L341" s="5" t="str">
        <f>'Expanded Base Data'!$L338</f>
        <v/>
      </c>
      <c r="M341" s="5" t="str">
        <f>'Expanded Base Data'!$K338</f>
        <v/>
      </c>
      <c r="N341">
        <f>ROUND((I341-H341),$O$1)</f>
        <v>8.6</v>
      </c>
      <c r="O341">
        <f>ROUND((K341-J341),$O$1)</f>
        <v>8.6</v>
      </c>
      <c r="P341" s="5" t="e">
        <f>ROUND((L341-M341),$O$1)</f>
        <v>#VALUE!</v>
      </c>
      <c r="Q341">
        <f>'Code List'!$C$62</f>
        <v>5</v>
      </c>
      <c r="R341">
        <f>F342+'Code List'!$G$63</f>
        <v>2</v>
      </c>
      <c r="S341" t="e">
        <f>IF(P341=0,"1",ROUND((P341/$K$1)+$M$1,0))</f>
        <v>#VALUE!</v>
      </c>
      <c r="T341" t="e">
        <f>Q341*R341*S341</f>
        <v>#VALUE!</v>
      </c>
      <c r="U341" t="str">
        <f>IF(A341="YES",CONCATENATE(G341,"_",'Program Page'!$C$4,'Program Page'!$C$5,"_",D341,"_",E341),"")</f>
        <v/>
      </c>
      <c r="V341" t="str">
        <f>IF(U341="","",CONCATENATE(U341,"_"))</f>
        <v/>
      </c>
      <c r="W341" t="str">
        <f>IF(A341="YES",CONCATENATE("{",'Code List'!$B$4,'Code List'!$D$4,",",'Code List'!$B$5,'Code List'!$D$5,",",'Code List'!$B$6,"""",U341,"""",",",'Code List'!$B$7,'Code List'!$D$7,",",'Code List'!$B$8,'Code List'!$D$8,",",'Code List'!$B$9,'Code List'!$D$9,",",'Code List'!$B$10,'Code List'!$D$10,",",'Code List'!$B$11,"""",V341,"""",",",'Code List'!$B$12,"""",H341,"""",",",'Code List'!$B$13,"""",I341,"""",",",'Code List'!$B$14,"""",J341,"""",",",'Code List'!$B$15,"""",K341,"""",",",'Code List'!$B$16,"""",L341,"""",",",'Code List'!$B$17,"""",M341,"""",",",'Code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41" s="167" t="str">
        <f>IF(A341="YES",CONCATENATE("{",'Code List'!$B$31,"""",U341,"""",",",'Code List'!$B$32,'Code List'!$D$32,",",'Code List'!$B$33,'Code List'!$D$33,",",'Code List'!$B$34,'Code List'!$D$34,",",'Code List'!$B$35,'Code List'!$D$35,",",'Code List'!$B$36,'Code List'!$D$36,",",'Code List'!$B$37,'Code List'!$D$37,",",'Code List'!$B$38,"""",H341,"""",",",'Code List'!$B$39,"""",I341,"""",",",'Code List'!$B$40,"""",J341,"""",",",'Code List'!$B$41,"""",K341,"""",",",'Code List'!$B$42,"""",L341,"""",",",'Code List'!$B$43,"""",M341,"""",",",'Code List'!$B$44,"""",N341,"""",",",'Code List'!$B$45,"""",O341,"""",",",'Code List'!$B$46,"""",P341,"""",",",'Code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List'!$B$59,"""",T341,"""","}"),"")</f>
        <v/>
      </c>
    </row>
    <row r="342" spans="1:25" x14ac:dyDescent="0.25">
      <c r="A342" t="str">
        <f>IF(AND($A340="YES",E340=$D$1,F342&gt;0),"YES","NO")</f>
        <v>NO</v>
      </c>
      <c r="C342" t="s">
        <v>5</v>
      </c>
      <c r="D342" s="12" t="str">
        <f t="shared" ref="D342:D346" si="294">D341</f>
        <v>7A</v>
      </c>
      <c r="E342" t="s">
        <v>188</v>
      </c>
      <c r="F342">
        <f>'Expanded Base Data'!F338</f>
        <v>0</v>
      </c>
      <c r="G342" s="171">
        <f>F340</f>
        <v>0</v>
      </c>
      <c r="H342">
        <f>ROUND(B340+'Slide Measurements'!$D$17,$O$1)</f>
        <v>27.11</v>
      </c>
      <c r="I342">
        <f>ROUND(H342+(F342*'Slide Measurements'!$D$21),$O$1)</f>
        <v>27.11</v>
      </c>
      <c r="J342">
        <f>C340+'Slide Measurements'!$E$17</f>
        <v>255.73</v>
      </c>
      <c r="K342">
        <f>J342+($I$1*'Slide Measurements'!$E$23-'Slide Measurements'!$E$23)</f>
        <v>257.58</v>
      </c>
      <c r="L342" s="5" t="str">
        <f>'Expanded Base Data'!$L338</f>
        <v/>
      </c>
      <c r="M342" s="5" t="str">
        <f>'Expanded Base Data'!$K338</f>
        <v/>
      </c>
      <c r="N342">
        <f t="shared" ref="N342:N347" si="295">ROUND((I342-H342),$O$1)</f>
        <v>0</v>
      </c>
      <c r="O342">
        <f t="shared" ref="O342:O347" si="296">ROUND((K342-J342),$O$1)</f>
        <v>1.85</v>
      </c>
      <c r="P342" s="5" t="e">
        <f t="shared" ref="P342:P346" si="297">ROUND((L342-M342),$O$1)</f>
        <v>#VALUE!</v>
      </c>
      <c r="Q342">
        <f>'Code List'!$C$63</f>
        <v>3</v>
      </c>
      <c r="R342">
        <f>F343+'Code List'!$G$63</f>
        <v>2</v>
      </c>
      <c r="S342" t="e">
        <f t="shared" ref="S342:S346" si="298">IF(P342=0,"1",ROUND((P342/$K$1)+$M$1,0))</f>
        <v>#VALUE!</v>
      </c>
      <c r="T342" t="e">
        <f>Q342*R342*S342</f>
        <v>#VALUE!</v>
      </c>
      <c r="U342" t="str">
        <f>IF(A342="YES",CONCATENATE(G342,"_",'Program Page'!$C$4,'Program Page'!$C$5,"_",D342,"_",E342),"")</f>
        <v/>
      </c>
      <c r="V342" t="str">
        <f t="shared" ref="V342:V346" si="299">IF(U342="","",CONCATENATE(U342,"_"))</f>
        <v/>
      </c>
      <c r="W342" t="str">
        <f>IF(A342="YES",CONCATENATE("{",'Code List'!$B$4,'Code List'!$D$4,",",'Code List'!$B$5,'Code List'!$D$5,",",'Code List'!$B$6,"""",U342,"""",",",'Code List'!$B$7,'Code List'!$D$7,",",'Code List'!$B$8,'Code List'!$D$8,",",'Code List'!$B$9,'Code List'!$D$9,",",'Code List'!$B$10,'Code List'!$D$10,",",'Code List'!$B$11,"""",V342,"""",",",'Code List'!$B$12,"""",H342,"""",",",'Code List'!$B$13,"""",I342,"""",",",'Code List'!$B$14,"""",J342,"""",",",'Code List'!$B$15,"""",K342,"""",",",'Code List'!$B$16,"""",L342,"""",",",'Code List'!$B$17,"""",M342,"""",",",'Code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42" s="167" t="str">
        <f>IF(A342="YES",CONCATENATE("{",'Code List'!$B$31,"""",U342,"""",",",'Code List'!$B$32,'Code List'!$D$32,",",'Code List'!$B$33,'Code List'!$D$33,",",'Code List'!$B$34,'Code List'!$D$34,",",'Code List'!$B$35,'Code List'!$D$35,",",'Code List'!$B$36,'Code List'!$D$36,",",'Code List'!$B$37,'Code List'!$D$37,",",'Code List'!$B$38,"""",H342,"""",",",'Code List'!$B$39,"""",I342,"""",",",'Code List'!$B$40,"""",J342,"""",",",'Code List'!$B$41,"""",K342,"""",",",'Code List'!$B$42,"""",L342,"""",",",'Code List'!$B$43,"""",M342,"""",",",'Code List'!$B$44,"""",N342,"""",",",'Code List'!$B$45,"""",O342,"""",",",'Code List'!$B$46,"""",P342,"""",",",'Code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List'!$B$59,"""",T342,"""","}"),"")</f>
        <v/>
      </c>
    </row>
    <row r="343" spans="1:25" x14ac:dyDescent="0.25">
      <c r="A343" t="str">
        <f>IF(AND($A340="YES",E340=$D$1,F343&gt;0),"YES","NO")</f>
        <v>NO</v>
      </c>
      <c r="C343" t="s">
        <v>5</v>
      </c>
      <c r="D343" s="12" t="str">
        <f t="shared" si="294"/>
        <v>7A</v>
      </c>
      <c r="E343" t="s">
        <v>189</v>
      </c>
      <c r="F343">
        <f>'Expanded Base Data'!G338</f>
        <v>0</v>
      </c>
      <c r="G343" s="171">
        <f>F340</f>
        <v>0</v>
      </c>
      <c r="H343">
        <f>ROUND(B340+'Slide Measurements'!$D$17,$O$1)</f>
        <v>27.11</v>
      </c>
      <c r="I343">
        <f>ROUND(H343+(F343*'Slide Measurements'!$D$21),$O$1)</f>
        <v>27.11</v>
      </c>
      <c r="J343">
        <f>K342</f>
        <v>257.58</v>
      </c>
      <c r="K343">
        <f>J343+($I$1*'Slide Measurements'!$E$23-'Slide Measurements'!$E$23)</f>
        <v>259.43</v>
      </c>
      <c r="L343" s="5" t="str">
        <f>'Expanded Base Data'!$L338</f>
        <v/>
      </c>
      <c r="M343" s="5" t="str">
        <f>'Expanded Base Data'!$K338</f>
        <v/>
      </c>
      <c r="N343">
        <f t="shared" si="295"/>
        <v>0</v>
      </c>
      <c r="O343">
        <f t="shared" si="296"/>
        <v>1.85</v>
      </c>
      <c r="P343" s="5" t="e">
        <f t="shared" si="297"/>
        <v>#VALUE!</v>
      </c>
      <c r="Q343">
        <f>'Code List'!$C$63</f>
        <v>3</v>
      </c>
      <c r="R343">
        <f>F344+'Code List'!$G$63</f>
        <v>2</v>
      </c>
      <c r="S343" t="e">
        <f t="shared" si="298"/>
        <v>#VALUE!</v>
      </c>
      <c r="T343" t="e">
        <f t="shared" ref="T343:T346" si="300">Q343*R343*S343</f>
        <v>#VALUE!</v>
      </c>
      <c r="U343" t="str">
        <f>IF(A343="YES",CONCATENATE(G343,"_",'Program Page'!$C$4,'Program Page'!$C$5,"_",D343,"_",E343),"")</f>
        <v/>
      </c>
      <c r="V343" t="str">
        <f t="shared" si="299"/>
        <v/>
      </c>
      <c r="W343" t="str">
        <f>IF(A343="YES",CONCATENATE("{",'Code List'!$B$4,'Code List'!$D$4,",",'Code List'!$B$5,'Code List'!$D$5,",",'Code List'!$B$6,"""",U343,"""",",",'Code List'!$B$7,'Code List'!$D$7,",",'Code List'!$B$8,'Code List'!$D$8,",",'Code List'!$B$9,'Code List'!$D$9,",",'Code List'!$B$10,'Code List'!$D$10,",",'Code List'!$B$11,"""",V343,"""",",",'Code List'!$B$12,"""",H343,"""",",",'Code List'!$B$13,"""",I343,"""",",",'Code List'!$B$14,"""",J343,"""",",",'Code List'!$B$15,"""",K343,"""",",",'Code List'!$B$16,"""",L343,"""",",",'Code List'!$B$17,"""",M343,"""",",",'Code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43" s="167" t="str">
        <f>IF(A343="YES",CONCATENATE("{",'Code List'!$B$31,"""",U343,"""",",",'Code List'!$B$32,'Code List'!$D$32,",",'Code List'!$B$33,'Code List'!$D$33,",",'Code List'!$B$34,'Code List'!$D$34,",",'Code List'!$B$35,'Code List'!$D$35,",",'Code List'!$B$36,'Code List'!$D$36,",",'Code List'!$B$37,'Code List'!$D$37,",",'Code List'!$B$38,"""",H343,"""",",",'Code List'!$B$39,"""",I343,"""",",",'Code List'!$B$40,"""",J343,"""",",",'Code List'!$B$41,"""",K343,"""",",",'Code List'!$B$42,"""",L343,"""",",",'Code List'!$B$43,"""",M343,"""",",",'Code List'!$B$44,"""",N343,"""",",",'Code List'!$B$45,"""",O343,"""",",",'Code List'!$B$46,"""",P343,"""",",",'Code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List'!$B$59,"""",T343,"""","}"),"")</f>
        <v/>
      </c>
    </row>
    <row r="344" spans="1:25" x14ac:dyDescent="0.25">
      <c r="A344" t="str">
        <f>IF(AND($A340="YES",E340=$D$1,F344&gt;0),"YES","NO")</f>
        <v>NO</v>
      </c>
      <c r="C344" t="s">
        <v>5</v>
      </c>
      <c r="D344" s="12" t="str">
        <f t="shared" si="294"/>
        <v>7A</v>
      </c>
      <c r="E344" t="s">
        <v>190</v>
      </c>
      <c r="F344">
        <f>'Expanded Base Data'!H338</f>
        <v>0</v>
      </c>
      <c r="G344" s="171">
        <f>F340</f>
        <v>0</v>
      </c>
      <c r="H344">
        <f>ROUND(B340+'Slide Measurements'!$D$17,$O$1)</f>
        <v>27.11</v>
      </c>
      <c r="I344">
        <f>ROUND(H344+(F344*'Slide Measurements'!$D$21),$O$1)</f>
        <v>27.11</v>
      </c>
      <c r="J344">
        <f>K343</f>
        <v>259.43</v>
      </c>
      <c r="K344">
        <f>J344+($I$1*'Slide Measurements'!$E$23-'Slide Measurements'!$E$23)</f>
        <v>261.28000000000003</v>
      </c>
      <c r="L344" s="5" t="str">
        <f>'Expanded Base Data'!$L338</f>
        <v/>
      </c>
      <c r="M344" s="5" t="str">
        <f>'Expanded Base Data'!$K338</f>
        <v/>
      </c>
      <c r="N344">
        <f t="shared" si="295"/>
        <v>0</v>
      </c>
      <c r="O344">
        <f t="shared" si="296"/>
        <v>1.85</v>
      </c>
      <c r="P344" s="5" t="e">
        <f t="shared" si="297"/>
        <v>#VALUE!</v>
      </c>
      <c r="Q344">
        <f>'Code List'!$C$63</f>
        <v>3</v>
      </c>
      <c r="R344">
        <f>F345+'Code List'!$G$63</f>
        <v>2</v>
      </c>
      <c r="S344" t="e">
        <f t="shared" si="298"/>
        <v>#VALUE!</v>
      </c>
      <c r="T344" t="e">
        <f t="shared" si="300"/>
        <v>#VALUE!</v>
      </c>
      <c r="U344" t="str">
        <f>IF(A344="YES",CONCATENATE(G344,"_",'Program Page'!$C$4,'Program Page'!$C$5,"_",D344,"_",E344),"")</f>
        <v/>
      </c>
      <c r="V344" t="str">
        <f t="shared" si="299"/>
        <v/>
      </c>
      <c r="W344" t="str">
        <f>IF(A344="YES",CONCATENATE("{",'Code List'!$B$4,'Code List'!$D$4,",",'Code List'!$B$5,'Code List'!$D$5,",",'Code List'!$B$6,"""",U344,"""",",",'Code List'!$B$7,'Code List'!$D$7,",",'Code List'!$B$8,'Code List'!$D$8,",",'Code List'!$B$9,'Code List'!$D$9,",",'Code List'!$B$10,'Code List'!$D$10,",",'Code List'!$B$11,"""",V344,"""",",",'Code List'!$B$12,"""",H344,"""",",",'Code List'!$B$13,"""",I344,"""",",",'Code List'!$B$14,"""",J344,"""",",",'Code List'!$B$15,"""",K344,"""",",",'Code List'!$B$16,"""",L344,"""",",",'Code List'!$B$17,"""",M344,"""",",",'Code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44" s="167" t="str">
        <f>IF(A344="YES",CONCATENATE("{",'Code List'!$B$31,"""",U344,"""",",",'Code List'!$B$32,'Code List'!$D$32,",",'Code List'!$B$33,'Code List'!$D$33,",",'Code List'!$B$34,'Code List'!$D$34,",",'Code List'!$B$35,'Code List'!$D$35,",",'Code List'!$B$36,'Code List'!$D$36,",",'Code List'!$B$37,'Code List'!$D$37,",",'Code List'!$B$38,"""",H344,"""",",",'Code List'!$B$39,"""",I344,"""",",",'Code List'!$B$40,"""",J344,"""",",",'Code List'!$B$41,"""",K344,"""",",",'Code List'!$B$42,"""",L344,"""",",",'Code List'!$B$43,"""",M344,"""",",",'Code List'!$B$44,"""",N344,"""",",",'Code List'!$B$45,"""",O344,"""",",",'Code List'!$B$46,"""",P344,"""",",",'Code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List'!$B$59,"""",T344,"""","}"),"")</f>
        <v/>
      </c>
    </row>
    <row r="345" spans="1:25" x14ac:dyDescent="0.25">
      <c r="A345" t="str">
        <f>IF(AND($A340="YES",E340=$D$1,F345&gt;0),"YES","NO")</f>
        <v>NO</v>
      </c>
      <c r="C345" t="s">
        <v>5</v>
      </c>
      <c r="D345" s="12" t="str">
        <f t="shared" si="294"/>
        <v>7A</v>
      </c>
      <c r="E345" t="s">
        <v>191</v>
      </c>
      <c r="F345">
        <f>'Expanded Base Data'!I338</f>
        <v>0</v>
      </c>
      <c r="G345" s="171">
        <f>F340</f>
        <v>0</v>
      </c>
      <c r="H345">
        <f>ROUND(B340+'Slide Measurements'!$D$17,$O$1)</f>
        <v>27.11</v>
      </c>
      <c r="I345">
        <f>ROUND(H345+(F345*'Slide Measurements'!$D$21),$O$1)</f>
        <v>27.11</v>
      </c>
      <c r="J345">
        <f>K344</f>
        <v>261.28000000000003</v>
      </c>
      <c r="K345">
        <f>J345+($I$1*'Slide Measurements'!$E$23-'Slide Measurements'!$E$23)</f>
        <v>263.13000000000005</v>
      </c>
      <c r="L345" s="5" t="str">
        <f>'Expanded Base Data'!$L338</f>
        <v/>
      </c>
      <c r="M345" s="5" t="str">
        <f>'Expanded Base Data'!$K338</f>
        <v/>
      </c>
      <c r="N345">
        <f t="shared" si="295"/>
        <v>0</v>
      </c>
      <c r="O345">
        <f t="shared" si="296"/>
        <v>1.85</v>
      </c>
      <c r="P345" s="5" t="e">
        <f t="shared" si="297"/>
        <v>#VALUE!</v>
      </c>
      <c r="Q345">
        <f>'Code List'!$C$63</f>
        <v>3</v>
      </c>
      <c r="R345">
        <f>F346+'Code List'!$G$63</f>
        <v>2</v>
      </c>
      <c r="S345" t="e">
        <f t="shared" si="298"/>
        <v>#VALUE!</v>
      </c>
      <c r="T345" t="e">
        <f t="shared" si="300"/>
        <v>#VALUE!</v>
      </c>
      <c r="U345" t="str">
        <f>IF(A345="YES",CONCATENATE(G345,"_",'Program Page'!$C$4,'Program Page'!$C$5,"_",D345,"_",E345),"")</f>
        <v/>
      </c>
      <c r="V345" t="str">
        <f t="shared" si="299"/>
        <v/>
      </c>
      <c r="W345" t="str">
        <f>IF(A345="YES",CONCATENATE("{",'Code List'!$B$4,'Code List'!$D$4,",",'Code List'!$B$5,'Code List'!$D$5,",",'Code List'!$B$6,"""",U345,"""",",",'Code List'!$B$7,'Code List'!$D$7,",",'Code List'!$B$8,'Code List'!$D$8,",",'Code List'!$B$9,'Code List'!$D$9,",",'Code List'!$B$10,'Code List'!$D$10,",",'Code List'!$B$11,"""",V345,"""",",",'Code List'!$B$12,"""",H345,"""",",",'Code List'!$B$13,"""",I345,"""",",",'Code List'!$B$14,"""",J345,"""",",",'Code List'!$B$15,"""",K345,"""",",",'Code List'!$B$16,"""",L345,"""",",",'Code List'!$B$17,"""",M345,"""",",",'Code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45" s="167" t="str">
        <f>IF(A345="YES",CONCATENATE("{",'Code List'!$B$31,"""",U345,"""",",",'Code List'!$B$32,'Code List'!$D$32,",",'Code List'!$B$33,'Code List'!$D$33,",",'Code List'!$B$34,'Code List'!$D$34,",",'Code List'!$B$35,'Code List'!$D$35,",",'Code List'!$B$36,'Code List'!$D$36,",",'Code List'!$B$37,'Code List'!$D$37,",",'Code List'!$B$38,"""",H345,"""",",",'Code List'!$B$39,"""",I345,"""",",",'Code List'!$B$40,"""",J345,"""",",",'Code List'!$B$41,"""",K345,"""",",",'Code List'!$B$42,"""",L345,"""",",",'Code List'!$B$43,"""",M345,"""",",",'Code List'!$B$44,"""",N345,"""",",",'Code List'!$B$45,"""",O345,"""",",",'Code List'!$B$46,"""",P345,"""",",",'Code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List'!$B$59,"""",T345,"""","}"),"")</f>
        <v/>
      </c>
    </row>
    <row r="346" spans="1:25" x14ac:dyDescent="0.25">
      <c r="A346" t="str">
        <f>IF(AND($A340="YES",E340=$D$1,F346&gt;0),"YES","NO")</f>
        <v>NO</v>
      </c>
      <c r="C346" t="s">
        <v>5</v>
      </c>
      <c r="D346" s="12" t="str">
        <f t="shared" si="294"/>
        <v>7A</v>
      </c>
      <c r="E346" t="s">
        <v>196</v>
      </c>
      <c r="F346">
        <f>'Expanded Base Data'!J338</f>
        <v>0</v>
      </c>
      <c r="G346" s="171">
        <f>F340</f>
        <v>0</v>
      </c>
      <c r="H346">
        <f>ROUND(B340+'Slide Measurements'!$D$17,$O$1)</f>
        <v>27.11</v>
      </c>
      <c r="I346">
        <f>ROUND(H346+(F346*'Slide Measurements'!$D$21),$O$1)</f>
        <v>27.11</v>
      </c>
      <c r="J346">
        <f>K345</f>
        <v>263.13000000000005</v>
      </c>
      <c r="K346">
        <f>J346+($I$1*'Slide Measurements'!$E$23-'Slide Measurements'!$E$23)</f>
        <v>264.98000000000008</v>
      </c>
      <c r="L346" s="5" t="str">
        <f>'Expanded Base Data'!$L338</f>
        <v/>
      </c>
      <c r="M346" s="5" t="str">
        <f>'Expanded Base Data'!$K338</f>
        <v/>
      </c>
      <c r="N346">
        <f t="shared" si="295"/>
        <v>0</v>
      </c>
      <c r="O346">
        <f t="shared" si="296"/>
        <v>1.85</v>
      </c>
      <c r="P346" s="5" t="e">
        <f t="shared" si="297"/>
        <v>#VALUE!</v>
      </c>
      <c r="Q346">
        <f>'Code List'!$C$63</f>
        <v>3</v>
      </c>
      <c r="R346">
        <f>F347+'Code List'!$G$63</f>
        <v>2</v>
      </c>
      <c r="S346" t="e">
        <f t="shared" si="298"/>
        <v>#VALUE!</v>
      </c>
      <c r="T346" t="e">
        <f t="shared" si="300"/>
        <v>#VALUE!</v>
      </c>
      <c r="U346" t="str">
        <f>IF(A346="YES",CONCATENATE(G346,"_",'Program Page'!$C$4,'Program Page'!$C$5,"_",D346,"_",E346),"")</f>
        <v/>
      </c>
      <c r="V346" t="str">
        <f t="shared" si="299"/>
        <v/>
      </c>
      <c r="W346" t="str">
        <f>IF(A346="YES",CONCATENATE("{",'Code List'!$B$4,'Code List'!$D$4,",",'Code List'!$B$5,'Code List'!$D$5,",",'Code List'!$B$6,"""",U346,"""",",",'Code List'!$B$7,'Code List'!$D$7,",",'Code List'!$B$8,'Code List'!$D$8,",",'Code List'!$B$9,'Code List'!$D$9,",",'Code List'!$B$10,'Code List'!$D$10,",",'Code List'!$B$11,"""",V346,"""",",",'Code List'!$B$12,"""",H346,"""",",",'Code List'!$B$13,"""",I346,"""",",",'Code List'!$B$14,"""",J346,"""",",",'Code List'!$B$15,"""",K346,"""",",",'Code List'!$B$16,"""",L346,"""",",",'Code List'!$B$17,"""",M346,"""",",",'Code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46" s="167" t="str">
        <f>IF(A346="YES",CONCATENATE("{",'Code List'!$B$31,"""",U346,"""",",",'Code List'!$B$32,'Code List'!$D$32,",",'Code List'!$B$33,'Code List'!$D$33,",",'Code List'!$B$34,'Code List'!$D$34,",",'Code List'!$B$35,'Code List'!$D$35,",",'Code List'!$B$36,'Code List'!$D$36,",",'Code List'!$B$37,'Code List'!$D$37,",",'Code List'!$B$38,"""",H346,"""",",",'Code List'!$B$39,"""",I346,"""",",",'Code List'!$B$40,"""",J346,"""",",",'Code List'!$B$41,"""",K346,"""",",",'Code List'!$B$42,"""",L346,"""",",",'Code List'!$B$43,"""",M346,"""",",",'Code List'!$B$44,"""",N346,"""",",",'Code List'!$B$45,"""",O346,"""",",",'Code List'!$B$46,"""",P346,"""",",",'Code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List'!$B$59,"""",T346,"""","}"),"")</f>
        <v/>
      </c>
    </row>
    <row r="347" spans="1:25" x14ac:dyDescent="0.25">
      <c r="A347" s="162" t="str">
        <f>IF(AND($A340="YES",E340=$E$1),"YES","NO")</f>
        <v>NO</v>
      </c>
      <c r="C347" t="s">
        <v>259</v>
      </c>
      <c r="D347" s="12" t="str">
        <f>D346</f>
        <v>7A</v>
      </c>
      <c r="E347" t="s">
        <v>259</v>
      </c>
      <c r="G347" s="171">
        <f>F340</f>
        <v>0</v>
      </c>
      <c r="H347">
        <f>ROUND(B340,$O$1)</f>
        <v>1.71</v>
      </c>
      <c r="I347">
        <f>ROUND(B340+'Slide Measurements'!$D$1,$O$1)</f>
        <v>78.16</v>
      </c>
      <c r="J347">
        <f>C340</f>
        <v>251.42999999999998</v>
      </c>
      <c r="K347">
        <f>C340+'Slide Measurements'!$D$2</f>
        <v>278.83</v>
      </c>
      <c r="L347" s="5" t="str">
        <f>'Expanded Base Data'!$L338</f>
        <v/>
      </c>
      <c r="M347" s="5" t="str">
        <f>'Expanded Base Data'!$K338</f>
        <v/>
      </c>
      <c r="N347">
        <f t="shared" si="295"/>
        <v>76.45</v>
      </c>
      <c r="O347">
        <f t="shared" si="296"/>
        <v>27.4</v>
      </c>
      <c r="P347" s="5" t="e">
        <f>ROUND((L347-M347),$O$1)</f>
        <v>#VALUE!</v>
      </c>
      <c r="Q347">
        <f>'Code List'!$C$70</f>
        <v>11</v>
      </c>
      <c r="R347">
        <f>'Code List'!$D$70</f>
        <v>19</v>
      </c>
      <c r="S347" t="e">
        <f>IF(P347=0,"1",ROUND((P347/$K$1)+$M$1,0))</f>
        <v>#VALUE!</v>
      </c>
      <c r="T347" t="e">
        <f>Q347*R347*S347</f>
        <v>#VALUE!</v>
      </c>
      <c r="U347" t="str">
        <f>IF(A347="YES",CONCATENATE(G347,"_",'Program Page'!$C$4,'Program Page'!$C$5,"_",D347,"_",E347),"")</f>
        <v/>
      </c>
      <c r="V347" t="str">
        <f>IF(U347="","",CONCATENATE(U347,"_"))</f>
        <v/>
      </c>
      <c r="W347" t="str">
        <f>IF(A347="YES",CONCATENATE("{",'Code List'!$B$4,'Code List'!$D$4,",",'Code List'!$B$5,'Code List'!$D$5,",",'Code List'!$B$6,"""",U347,"""",",",'Code List'!$B$7,'Code List'!$D$7,",",'Code List'!$B$8,'Code List'!$D$8,",",'Code List'!$B$9,'Code List'!$D$9,",",'Code List'!$B$10,'Code List'!$D$10,",",'Code List'!$B$11,"""",V347,"""",",",'Code List'!$B$12,"""",H347,"""",",",'Code List'!$B$13,"""",I347,"""",",",'Code List'!$B$14,"""",J347,"""",",",'Code List'!$B$15,"""",K347,"""",",",'Code List'!$B$16,"""",L347,"""",",",'Code List'!$B$17,"""",M347,"""",",",'Code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347" s="167" t="str">
        <f>IF(A347="YES",CONCATENATE("{",'Code List'!$B$31,"""",U347,"""",",",'Code List'!$B$32,'Code List'!$D$32,",",'Code List'!$B$33,'Code List'!$D$33,",",'Code List'!$B$34,'Code List'!$D$34,",",'Code List'!$B$35,'Code List'!$D$35,",",'Code List'!$B$36,'Code List'!$D$36,",",'Code List'!$B$37,'Code List'!$D$37,",",'Code List'!$B$38,"""",H347,"""",",",'Code List'!$B$39,"""",I347,"""",",",'Code List'!$B$40,"""",J347,"""",",",'Code List'!$B$41,"""",K347,"""",",",'Code List'!$B$42,"""",L347,"""",",",'Code List'!$B$43,"""",M347,"""",",",'Code List'!$B$44,"""",N347,"""",",",'Code List'!$B$45,"""",O347,"""",",",'Code List'!$B$46,"""",P347,"""",",",'Code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List'!$B$59,"""",T347,"""","}"),"")</f>
        <v/>
      </c>
    </row>
    <row r="348" spans="1:25" ht="18.75" x14ac:dyDescent="0.3">
      <c r="A348" s="35" t="str">
        <f>IF(OR(E348=$C$1,E348=$D$1,E348=$E$1),"YES","NO")</f>
        <v>NO</v>
      </c>
      <c r="B348" s="35">
        <f>'Expanded Base Data'!D346</f>
        <v>89.31</v>
      </c>
      <c r="C348" s="35">
        <f>'Expanded Base Data'!E346</f>
        <v>251.42999999999998</v>
      </c>
      <c r="D348" s="36" t="str">
        <f>'Expanded Base Data'!B346</f>
        <v>7B</v>
      </c>
      <c r="E348" s="35">
        <f>'Expanded Base Data'!C346</f>
        <v>0</v>
      </c>
      <c r="F348" s="35">
        <f>'Expanded Base Data'!M346</f>
        <v>0</v>
      </c>
      <c r="G348" s="170">
        <f>F348</f>
        <v>0</v>
      </c>
      <c r="Y348" s="167" t="str">
        <f>""</f>
        <v/>
      </c>
    </row>
    <row r="349" spans="1:25" x14ac:dyDescent="0.25">
      <c r="A349" t="str">
        <f>IF(AND($A348="YES",E348=$C$1),"YES","NO")</f>
        <v>NO</v>
      </c>
      <c r="C349" t="s">
        <v>6</v>
      </c>
      <c r="D349" s="12" t="str">
        <f>D348</f>
        <v>7B</v>
      </c>
      <c r="E349" t="s">
        <v>6</v>
      </c>
      <c r="F349" t="s">
        <v>198</v>
      </c>
      <c r="G349" s="171">
        <f>F348</f>
        <v>0</v>
      </c>
      <c r="H349">
        <f>IF('Expanded Base Data'!N346="",ROUND(B348+'Slide Measurements'!$D$11,$O$1),B348+'Expanded Base Data'!N346)</f>
        <v>122.31</v>
      </c>
      <c r="I349">
        <f>IF('Expanded Base Data'!O346="",ROUND(B348+'Slide Measurements'!$D$12,$O$1),B348+'Expanded Base Data'!O346)</f>
        <v>130.91</v>
      </c>
      <c r="J349">
        <f>IF('Expanded Base Data'!P346="",C348+'Slide Measurements'!$E$13,C348+'Expanded Base Data'!P346)</f>
        <v>260.13</v>
      </c>
      <c r="K349">
        <f>IF('Expanded Base Data'!Q346="",C348+'Slide Measurements'!$E$14,C348+'Expanded Base Data'!Q346)</f>
        <v>268.72999999999996</v>
      </c>
      <c r="L349" s="5" t="str">
        <f>'Expanded Base Data'!$L346</f>
        <v/>
      </c>
      <c r="M349" s="5" t="str">
        <f>'Expanded Base Data'!$K346</f>
        <v/>
      </c>
      <c r="N349">
        <f>ROUND((I349-H349),$O$1)</f>
        <v>8.6</v>
      </c>
      <c r="O349">
        <f>ROUND((K349-J349),$O$1)</f>
        <v>8.6</v>
      </c>
      <c r="P349" s="5" t="e">
        <f>ROUND((L349-M349),$O$1)</f>
        <v>#VALUE!</v>
      </c>
      <c r="Q349">
        <f>'Code List'!$C$62</f>
        <v>5</v>
      </c>
      <c r="R349">
        <f>F350+'Code List'!$G$63</f>
        <v>2</v>
      </c>
      <c r="S349" t="e">
        <f>IF(P349=0,"1",ROUND((P349/$K$1)+$M$1,0))</f>
        <v>#VALUE!</v>
      </c>
      <c r="T349" t="e">
        <f>Q349*R349*S349</f>
        <v>#VALUE!</v>
      </c>
      <c r="U349" t="str">
        <f>IF(A349="YES",CONCATENATE(G349,"_",'Program Page'!$C$4,'Program Page'!$C$5,"_",D349,"_",E349),"")</f>
        <v/>
      </c>
      <c r="V349" t="str">
        <f>IF(U349="","",CONCATENATE(U349,"_"))</f>
        <v/>
      </c>
      <c r="W349" t="str">
        <f>IF(A349="YES",CONCATENATE("{",'Code List'!$B$4,'Code List'!$D$4,",",'Code List'!$B$5,'Code List'!$D$5,",",'Code List'!$B$6,"""",U349,"""",",",'Code List'!$B$7,'Code List'!$D$7,",",'Code List'!$B$8,'Code List'!$D$8,",",'Code List'!$B$9,'Code List'!$D$9,",",'Code List'!$B$10,'Code List'!$D$10,",",'Code List'!$B$11,"""",V349,"""",",",'Code List'!$B$12,"""",H349,"""",",",'Code List'!$B$13,"""",I349,"""",",",'Code List'!$B$14,"""",J349,"""",",",'Code List'!$B$15,"""",K349,"""",",",'Code List'!$B$16,"""",L349,"""",",",'Code List'!$B$17,"""",M349,"""",",",'Code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49" s="167" t="str">
        <f>IF(A349="YES",CONCATENATE("{",'Code List'!$B$31,"""",U349,"""",",",'Code List'!$B$32,'Code List'!$D$32,",",'Code List'!$B$33,'Code List'!$D$33,",",'Code List'!$B$34,'Code List'!$D$34,",",'Code List'!$B$35,'Code List'!$D$35,",",'Code List'!$B$36,'Code List'!$D$36,",",'Code List'!$B$37,'Code List'!$D$37,",",'Code List'!$B$38,"""",H349,"""",",",'Code List'!$B$39,"""",I349,"""",",",'Code List'!$B$40,"""",J349,"""",",",'Code List'!$B$41,"""",K349,"""",",",'Code List'!$B$42,"""",L349,"""",",",'Code List'!$B$43,"""",M349,"""",",",'Code List'!$B$44,"""",N349,"""",",",'Code List'!$B$45,"""",O349,"""",",",'Code List'!$B$46,"""",P349,"""",",",'Code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List'!$B$59,"""",T349,"""","}"),"")</f>
        <v/>
      </c>
    </row>
    <row r="350" spans="1:25" x14ac:dyDescent="0.25">
      <c r="A350" t="str">
        <f>IF(AND($A348="YES",E348=$D$1,F350&gt;0),"YES","NO")</f>
        <v>NO</v>
      </c>
      <c r="C350" t="s">
        <v>5</v>
      </c>
      <c r="D350" s="12" t="str">
        <f t="shared" ref="D350:D354" si="301">D349</f>
        <v>7B</v>
      </c>
      <c r="E350" t="s">
        <v>188</v>
      </c>
      <c r="F350">
        <f>'Expanded Base Data'!F346</f>
        <v>0</v>
      </c>
      <c r="G350" s="171">
        <f>F348</f>
        <v>0</v>
      </c>
      <c r="H350">
        <f>ROUND(B348+'Slide Measurements'!$D$17,$O$1)</f>
        <v>114.71</v>
      </c>
      <c r="I350">
        <f>ROUND(H350+(F350*'Slide Measurements'!$D$21),$O$1)</f>
        <v>114.71</v>
      </c>
      <c r="J350">
        <f>C348+'Slide Measurements'!$E$17</f>
        <v>255.73</v>
      </c>
      <c r="K350">
        <f>J350+($I$1*'Slide Measurements'!$E$23-'Slide Measurements'!$E$23)</f>
        <v>257.58</v>
      </c>
      <c r="L350" s="5" t="str">
        <f>'Expanded Base Data'!$L346</f>
        <v/>
      </c>
      <c r="M350" s="5" t="str">
        <f>'Expanded Base Data'!$K346</f>
        <v/>
      </c>
      <c r="N350">
        <f t="shared" ref="N350:N355" si="302">ROUND((I350-H350),$O$1)</f>
        <v>0</v>
      </c>
      <c r="O350">
        <f t="shared" ref="O350:O355" si="303">ROUND((K350-J350),$O$1)</f>
        <v>1.85</v>
      </c>
      <c r="P350" s="5" t="e">
        <f t="shared" ref="P350:P354" si="304">ROUND((L350-M350),$O$1)</f>
        <v>#VALUE!</v>
      </c>
      <c r="Q350">
        <f>'Code List'!$C$63</f>
        <v>3</v>
      </c>
      <c r="R350">
        <f>F351+'Code List'!$G$63</f>
        <v>2</v>
      </c>
      <c r="S350" t="e">
        <f t="shared" ref="S350:S354" si="305">IF(P350=0,"1",ROUND((P350/$K$1)+$M$1,0))</f>
        <v>#VALUE!</v>
      </c>
      <c r="T350" t="e">
        <f>Q350*R350*S350</f>
        <v>#VALUE!</v>
      </c>
      <c r="U350" t="str">
        <f>IF(A350="YES",CONCATENATE(G350,"_",'Program Page'!$C$4,'Program Page'!$C$5,"_",D350,"_",E350),"")</f>
        <v/>
      </c>
      <c r="V350" t="str">
        <f t="shared" ref="V350:V354" si="306">IF(U350="","",CONCATENATE(U350,"_"))</f>
        <v/>
      </c>
      <c r="W350" t="str">
        <f>IF(A350="YES",CONCATENATE("{",'Code List'!$B$4,'Code List'!$D$4,",",'Code List'!$B$5,'Code List'!$D$5,",",'Code List'!$B$6,"""",U350,"""",",",'Code List'!$B$7,'Code List'!$D$7,",",'Code List'!$B$8,'Code List'!$D$8,",",'Code List'!$B$9,'Code List'!$D$9,",",'Code List'!$B$10,'Code List'!$D$10,",",'Code List'!$B$11,"""",V350,"""",",",'Code List'!$B$12,"""",H350,"""",",",'Code List'!$B$13,"""",I350,"""",",",'Code List'!$B$14,"""",J350,"""",",",'Code List'!$B$15,"""",K350,"""",",",'Code List'!$B$16,"""",L350,"""",",",'Code List'!$B$17,"""",M350,"""",",",'Code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50" s="167" t="str">
        <f>IF(A350="YES",CONCATENATE("{",'Code List'!$B$31,"""",U350,"""",",",'Code List'!$B$32,'Code List'!$D$32,",",'Code List'!$B$33,'Code List'!$D$33,",",'Code List'!$B$34,'Code List'!$D$34,",",'Code List'!$B$35,'Code List'!$D$35,",",'Code List'!$B$36,'Code List'!$D$36,",",'Code List'!$B$37,'Code List'!$D$37,",",'Code List'!$B$38,"""",H350,"""",",",'Code List'!$B$39,"""",I350,"""",",",'Code List'!$B$40,"""",J350,"""",",",'Code List'!$B$41,"""",K350,"""",",",'Code List'!$B$42,"""",L350,"""",",",'Code List'!$B$43,"""",M350,"""",",",'Code List'!$B$44,"""",N350,"""",",",'Code List'!$B$45,"""",O350,"""",",",'Code List'!$B$46,"""",P350,"""",",",'Code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List'!$B$59,"""",T350,"""","}"),"")</f>
        <v/>
      </c>
    </row>
    <row r="351" spans="1:25" x14ac:dyDescent="0.25">
      <c r="A351" t="str">
        <f>IF(AND($A348="YES",E348=$D$1,F351&gt;0),"YES","NO")</f>
        <v>NO</v>
      </c>
      <c r="C351" t="s">
        <v>5</v>
      </c>
      <c r="D351" s="12" t="str">
        <f t="shared" si="301"/>
        <v>7B</v>
      </c>
      <c r="E351" t="s">
        <v>189</v>
      </c>
      <c r="F351">
        <f>'Expanded Base Data'!G346</f>
        <v>0</v>
      </c>
      <c r="G351" s="171">
        <f>F348</f>
        <v>0</v>
      </c>
      <c r="H351">
        <f>ROUND(B348+'Slide Measurements'!$D$17,$O$1)</f>
        <v>114.71</v>
      </c>
      <c r="I351">
        <f>ROUND(H351+(F351*'Slide Measurements'!$D$21),$O$1)</f>
        <v>114.71</v>
      </c>
      <c r="J351">
        <f>K350</f>
        <v>257.58</v>
      </c>
      <c r="K351">
        <f>J351+($I$1*'Slide Measurements'!$E$23-'Slide Measurements'!$E$23)</f>
        <v>259.43</v>
      </c>
      <c r="L351" s="5" t="str">
        <f>'Expanded Base Data'!$L346</f>
        <v/>
      </c>
      <c r="M351" s="5" t="str">
        <f>'Expanded Base Data'!$K346</f>
        <v/>
      </c>
      <c r="N351">
        <f t="shared" si="302"/>
        <v>0</v>
      </c>
      <c r="O351">
        <f t="shared" si="303"/>
        <v>1.85</v>
      </c>
      <c r="P351" s="5" t="e">
        <f t="shared" si="304"/>
        <v>#VALUE!</v>
      </c>
      <c r="Q351">
        <f>'Code List'!$C$63</f>
        <v>3</v>
      </c>
      <c r="R351">
        <f>F352+'Code List'!$G$63</f>
        <v>2</v>
      </c>
      <c r="S351" t="e">
        <f t="shared" si="305"/>
        <v>#VALUE!</v>
      </c>
      <c r="T351" t="e">
        <f t="shared" ref="T351:T354" si="307">Q351*R351*S351</f>
        <v>#VALUE!</v>
      </c>
      <c r="U351" t="str">
        <f>IF(A351="YES",CONCATENATE(G351,"_",'Program Page'!$C$4,'Program Page'!$C$5,"_",D351,"_",E351),"")</f>
        <v/>
      </c>
      <c r="V351" t="str">
        <f t="shared" si="306"/>
        <v/>
      </c>
      <c r="W351" t="str">
        <f>IF(A351="YES",CONCATENATE("{",'Code List'!$B$4,'Code List'!$D$4,",",'Code List'!$B$5,'Code List'!$D$5,",",'Code List'!$B$6,"""",U351,"""",",",'Code List'!$B$7,'Code List'!$D$7,",",'Code List'!$B$8,'Code List'!$D$8,",",'Code List'!$B$9,'Code List'!$D$9,",",'Code List'!$B$10,'Code List'!$D$10,",",'Code List'!$B$11,"""",V351,"""",",",'Code List'!$B$12,"""",H351,"""",",",'Code List'!$B$13,"""",I351,"""",",",'Code List'!$B$14,"""",J351,"""",",",'Code List'!$B$15,"""",K351,"""",",",'Code List'!$B$16,"""",L351,"""",",",'Code List'!$B$17,"""",M351,"""",",",'Code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51" s="167" t="str">
        <f>IF(A351="YES",CONCATENATE("{",'Code List'!$B$31,"""",U351,"""",",",'Code List'!$B$32,'Code List'!$D$32,",",'Code List'!$B$33,'Code List'!$D$33,",",'Code List'!$B$34,'Code List'!$D$34,",",'Code List'!$B$35,'Code List'!$D$35,",",'Code List'!$B$36,'Code List'!$D$36,",",'Code List'!$B$37,'Code List'!$D$37,",",'Code List'!$B$38,"""",H351,"""",",",'Code List'!$B$39,"""",I351,"""",",",'Code List'!$B$40,"""",J351,"""",",",'Code List'!$B$41,"""",K351,"""",",",'Code List'!$B$42,"""",L351,"""",",",'Code List'!$B$43,"""",M351,"""",",",'Code List'!$B$44,"""",N351,"""",",",'Code List'!$B$45,"""",O351,"""",",",'Code List'!$B$46,"""",P351,"""",",",'Code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List'!$B$59,"""",T351,"""","}"),"")</f>
        <v/>
      </c>
    </row>
    <row r="352" spans="1:25" x14ac:dyDescent="0.25">
      <c r="A352" t="str">
        <f>IF(AND($A348="YES",E348=$D$1,F352&gt;0),"YES","NO")</f>
        <v>NO</v>
      </c>
      <c r="C352" t="s">
        <v>5</v>
      </c>
      <c r="D352" s="12" t="str">
        <f t="shared" si="301"/>
        <v>7B</v>
      </c>
      <c r="E352" t="s">
        <v>190</v>
      </c>
      <c r="F352">
        <f>'Expanded Base Data'!H346</f>
        <v>0</v>
      </c>
      <c r="G352" s="171">
        <f>F348</f>
        <v>0</v>
      </c>
      <c r="H352">
        <f>ROUND(B348+'Slide Measurements'!$D$17,$O$1)</f>
        <v>114.71</v>
      </c>
      <c r="I352">
        <f>ROUND(H352+(F352*'Slide Measurements'!$D$21),$O$1)</f>
        <v>114.71</v>
      </c>
      <c r="J352">
        <f>K351</f>
        <v>259.43</v>
      </c>
      <c r="K352">
        <f>J352+($I$1*'Slide Measurements'!$E$23-'Slide Measurements'!$E$23)</f>
        <v>261.28000000000003</v>
      </c>
      <c r="L352" s="5" t="str">
        <f>'Expanded Base Data'!$L346</f>
        <v/>
      </c>
      <c r="M352" s="5" t="str">
        <f>'Expanded Base Data'!$K346</f>
        <v/>
      </c>
      <c r="N352">
        <f t="shared" si="302"/>
        <v>0</v>
      </c>
      <c r="O352">
        <f t="shared" si="303"/>
        <v>1.85</v>
      </c>
      <c r="P352" s="5" t="e">
        <f t="shared" si="304"/>
        <v>#VALUE!</v>
      </c>
      <c r="Q352">
        <f>'Code List'!$C$63</f>
        <v>3</v>
      </c>
      <c r="R352">
        <f>F353+'Code List'!$G$63</f>
        <v>2</v>
      </c>
      <c r="S352" t="e">
        <f t="shared" si="305"/>
        <v>#VALUE!</v>
      </c>
      <c r="T352" t="e">
        <f t="shared" si="307"/>
        <v>#VALUE!</v>
      </c>
      <c r="U352" t="str">
        <f>IF(A352="YES",CONCATENATE(G352,"_",'Program Page'!$C$4,'Program Page'!$C$5,"_",D352,"_",E352),"")</f>
        <v/>
      </c>
      <c r="V352" t="str">
        <f t="shared" si="306"/>
        <v/>
      </c>
      <c r="W352" t="str">
        <f>IF(A352="YES",CONCATENATE("{",'Code List'!$B$4,'Code List'!$D$4,",",'Code List'!$B$5,'Code List'!$D$5,",",'Code List'!$B$6,"""",U352,"""",",",'Code List'!$B$7,'Code List'!$D$7,",",'Code List'!$B$8,'Code List'!$D$8,",",'Code List'!$B$9,'Code List'!$D$9,",",'Code List'!$B$10,'Code List'!$D$10,",",'Code List'!$B$11,"""",V352,"""",",",'Code List'!$B$12,"""",H352,"""",",",'Code List'!$B$13,"""",I352,"""",",",'Code List'!$B$14,"""",J352,"""",",",'Code List'!$B$15,"""",K352,"""",",",'Code List'!$B$16,"""",L352,"""",",",'Code List'!$B$17,"""",M352,"""",",",'Code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52" s="167" t="str">
        <f>IF(A352="YES",CONCATENATE("{",'Code List'!$B$31,"""",U352,"""",",",'Code List'!$B$32,'Code List'!$D$32,",",'Code List'!$B$33,'Code List'!$D$33,",",'Code List'!$B$34,'Code List'!$D$34,",",'Code List'!$B$35,'Code List'!$D$35,",",'Code List'!$B$36,'Code List'!$D$36,",",'Code List'!$B$37,'Code List'!$D$37,",",'Code List'!$B$38,"""",H352,"""",",",'Code List'!$B$39,"""",I352,"""",",",'Code List'!$B$40,"""",J352,"""",",",'Code List'!$B$41,"""",K352,"""",",",'Code List'!$B$42,"""",L352,"""",",",'Code List'!$B$43,"""",M352,"""",",",'Code List'!$B$44,"""",N352,"""",",",'Code List'!$B$45,"""",O352,"""",",",'Code List'!$B$46,"""",P352,"""",",",'Code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List'!$B$59,"""",T352,"""","}"),"")</f>
        <v/>
      </c>
    </row>
    <row r="353" spans="1:25" x14ac:dyDescent="0.25">
      <c r="A353" t="str">
        <f>IF(AND($A348="YES",E348=$D$1,F353&gt;0),"YES","NO")</f>
        <v>NO</v>
      </c>
      <c r="C353" t="s">
        <v>5</v>
      </c>
      <c r="D353" s="12" t="str">
        <f t="shared" si="301"/>
        <v>7B</v>
      </c>
      <c r="E353" t="s">
        <v>191</v>
      </c>
      <c r="F353">
        <f>'Expanded Base Data'!I346</f>
        <v>0</v>
      </c>
      <c r="G353" s="171">
        <f>F348</f>
        <v>0</v>
      </c>
      <c r="H353">
        <f>ROUND(B348+'Slide Measurements'!$D$17,$O$1)</f>
        <v>114.71</v>
      </c>
      <c r="I353">
        <f>ROUND(H353+(F353*'Slide Measurements'!$D$21),$O$1)</f>
        <v>114.71</v>
      </c>
      <c r="J353">
        <f>K352</f>
        <v>261.28000000000003</v>
      </c>
      <c r="K353">
        <f>J353+($I$1*'Slide Measurements'!$E$23-'Slide Measurements'!$E$23)</f>
        <v>263.13000000000005</v>
      </c>
      <c r="L353" s="5" t="str">
        <f>'Expanded Base Data'!$L346</f>
        <v/>
      </c>
      <c r="M353" s="5" t="str">
        <f>'Expanded Base Data'!$K346</f>
        <v/>
      </c>
      <c r="N353">
        <f t="shared" si="302"/>
        <v>0</v>
      </c>
      <c r="O353">
        <f t="shared" si="303"/>
        <v>1.85</v>
      </c>
      <c r="P353" s="5" t="e">
        <f t="shared" si="304"/>
        <v>#VALUE!</v>
      </c>
      <c r="Q353">
        <f>'Code List'!$C$63</f>
        <v>3</v>
      </c>
      <c r="R353">
        <f>F354+'Code List'!$G$63</f>
        <v>2</v>
      </c>
      <c r="S353" t="e">
        <f t="shared" si="305"/>
        <v>#VALUE!</v>
      </c>
      <c r="T353" t="e">
        <f t="shared" si="307"/>
        <v>#VALUE!</v>
      </c>
      <c r="U353" t="str">
        <f>IF(A353="YES",CONCATENATE(G353,"_",'Program Page'!$C$4,'Program Page'!$C$5,"_",D353,"_",E353),"")</f>
        <v/>
      </c>
      <c r="V353" t="str">
        <f t="shared" si="306"/>
        <v/>
      </c>
      <c r="W353" t="str">
        <f>IF(A353="YES",CONCATENATE("{",'Code List'!$B$4,'Code List'!$D$4,",",'Code List'!$B$5,'Code List'!$D$5,",",'Code List'!$B$6,"""",U353,"""",",",'Code List'!$B$7,'Code List'!$D$7,",",'Code List'!$B$8,'Code List'!$D$8,",",'Code List'!$B$9,'Code List'!$D$9,",",'Code List'!$B$10,'Code List'!$D$10,",",'Code List'!$B$11,"""",V353,"""",",",'Code List'!$B$12,"""",H353,"""",",",'Code List'!$B$13,"""",I353,"""",",",'Code List'!$B$14,"""",J353,"""",",",'Code List'!$B$15,"""",K353,"""",",",'Code List'!$B$16,"""",L353,"""",",",'Code List'!$B$17,"""",M353,"""",",",'Code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53" s="167" t="str">
        <f>IF(A353="YES",CONCATENATE("{",'Code List'!$B$31,"""",U353,"""",",",'Code List'!$B$32,'Code List'!$D$32,",",'Code List'!$B$33,'Code List'!$D$33,",",'Code List'!$B$34,'Code List'!$D$34,",",'Code List'!$B$35,'Code List'!$D$35,",",'Code List'!$B$36,'Code List'!$D$36,",",'Code List'!$B$37,'Code List'!$D$37,",",'Code List'!$B$38,"""",H353,"""",",",'Code List'!$B$39,"""",I353,"""",",",'Code List'!$B$40,"""",J353,"""",",",'Code List'!$B$41,"""",K353,"""",",",'Code List'!$B$42,"""",L353,"""",",",'Code List'!$B$43,"""",M353,"""",",",'Code List'!$B$44,"""",N353,"""",",",'Code List'!$B$45,"""",O353,"""",",",'Code List'!$B$46,"""",P353,"""",",",'Code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List'!$B$59,"""",T353,"""","}"),"")</f>
        <v/>
      </c>
    </row>
    <row r="354" spans="1:25" x14ac:dyDescent="0.25">
      <c r="A354" t="str">
        <f>IF(AND($A348="YES",E348=$D$1,F354&gt;0),"YES","NO")</f>
        <v>NO</v>
      </c>
      <c r="C354" t="s">
        <v>5</v>
      </c>
      <c r="D354" s="12" t="str">
        <f t="shared" si="301"/>
        <v>7B</v>
      </c>
      <c r="E354" t="s">
        <v>196</v>
      </c>
      <c r="F354">
        <f>'Expanded Base Data'!J346</f>
        <v>0</v>
      </c>
      <c r="G354" s="171">
        <f>F348</f>
        <v>0</v>
      </c>
      <c r="H354">
        <f>ROUND(B348+'Slide Measurements'!$D$17,$O$1)</f>
        <v>114.71</v>
      </c>
      <c r="I354">
        <f>ROUND(H354+(F354*'Slide Measurements'!$D$21),$O$1)</f>
        <v>114.71</v>
      </c>
      <c r="J354">
        <f>K353</f>
        <v>263.13000000000005</v>
      </c>
      <c r="K354">
        <f>J354+($I$1*'Slide Measurements'!$E$23-'Slide Measurements'!$E$23)</f>
        <v>264.98000000000008</v>
      </c>
      <c r="L354" s="5" t="str">
        <f>'Expanded Base Data'!$L346</f>
        <v/>
      </c>
      <c r="M354" s="5" t="str">
        <f>'Expanded Base Data'!$K346</f>
        <v/>
      </c>
      <c r="N354">
        <f t="shared" si="302"/>
        <v>0</v>
      </c>
      <c r="O354">
        <f t="shared" si="303"/>
        <v>1.85</v>
      </c>
      <c r="P354" s="5" t="e">
        <f t="shared" si="304"/>
        <v>#VALUE!</v>
      </c>
      <c r="Q354">
        <f>'Code List'!$C$63</f>
        <v>3</v>
      </c>
      <c r="R354">
        <f>F355+'Code List'!$G$63</f>
        <v>2</v>
      </c>
      <c r="S354" t="e">
        <f t="shared" si="305"/>
        <v>#VALUE!</v>
      </c>
      <c r="T354" t="e">
        <f t="shared" si="307"/>
        <v>#VALUE!</v>
      </c>
      <c r="U354" t="str">
        <f>IF(A354="YES",CONCATENATE(G354,"_",'Program Page'!$C$4,'Program Page'!$C$5,"_",D354,"_",E354),"")</f>
        <v/>
      </c>
      <c r="V354" t="str">
        <f t="shared" si="306"/>
        <v/>
      </c>
      <c r="W354" t="str">
        <f>IF(A354="YES",CONCATENATE("{",'Code List'!$B$4,'Code List'!$D$4,",",'Code List'!$B$5,'Code List'!$D$5,",",'Code List'!$B$6,"""",U354,"""",",",'Code List'!$B$7,'Code List'!$D$7,",",'Code List'!$B$8,'Code List'!$D$8,",",'Code List'!$B$9,'Code List'!$D$9,",",'Code List'!$B$10,'Code List'!$D$10,",",'Code List'!$B$11,"""",V354,"""",",",'Code List'!$B$12,"""",H354,"""",",",'Code List'!$B$13,"""",I354,"""",",",'Code List'!$B$14,"""",J354,"""",",",'Code List'!$B$15,"""",K354,"""",",",'Code List'!$B$16,"""",L354,"""",",",'Code List'!$B$17,"""",M354,"""",",",'Code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54" s="167" t="str">
        <f>IF(A354="YES",CONCATENATE("{",'Code List'!$B$31,"""",U354,"""",",",'Code List'!$B$32,'Code List'!$D$32,",",'Code List'!$B$33,'Code List'!$D$33,",",'Code List'!$B$34,'Code List'!$D$34,",",'Code List'!$B$35,'Code List'!$D$35,",",'Code List'!$B$36,'Code List'!$D$36,",",'Code List'!$B$37,'Code List'!$D$37,",",'Code List'!$B$38,"""",H354,"""",",",'Code List'!$B$39,"""",I354,"""",",",'Code List'!$B$40,"""",J354,"""",",",'Code List'!$B$41,"""",K354,"""",",",'Code List'!$B$42,"""",L354,"""",",",'Code List'!$B$43,"""",M354,"""",",",'Code List'!$B$44,"""",N354,"""",",",'Code List'!$B$45,"""",O354,"""",",",'Code List'!$B$46,"""",P354,"""",",",'Code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List'!$B$59,"""",T354,"""","}"),"")</f>
        <v/>
      </c>
    </row>
    <row r="355" spans="1:25" x14ac:dyDescent="0.25">
      <c r="A355" s="162" t="str">
        <f>IF(AND($A348="YES",E348=$E$1),"YES","NO")</f>
        <v>NO</v>
      </c>
      <c r="C355" t="s">
        <v>259</v>
      </c>
      <c r="D355" s="12" t="str">
        <f>D354</f>
        <v>7B</v>
      </c>
      <c r="E355" t="s">
        <v>259</v>
      </c>
      <c r="G355" s="171">
        <f>F348</f>
        <v>0</v>
      </c>
      <c r="H355">
        <f>ROUND(B348,$O$1)</f>
        <v>89.31</v>
      </c>
      <c r="I355">
        <f>ROUND(B348+'Slide Measurements'!$D$1,$O$1)</f>
        <v>165.76</v>
      </c>
      <c r="J355">
        <f>C348</f>
        <v>251.42999999999998</v>
      </c>
      <c r="K355">
        <f>C348+'Slide Measurements'!$D$2</f>
        <v>278.83</v>
      </c>
      <c r="L355" s="5" t="str">
        <f>'Expanded Base Data'!$L346</f>
        <v/>
      </c>
      <c r="M355" s="5" t="str">
        <f>'Expanded Base Data'!$K346</f>
        <v/>
      </c>
      <c r="N355">
        <f t="shared" si="302"/>
        <v>76.45</v>
      </c>
      <c r="O355">
        <f t="shared" si="303"/>
        <v>27.4</v>
      </c>
      <c r="P355" s="5" t="e">
        <f>ROUND((L355-M355),$O$1)</f>
        <v>#VALUE!</v>
      </c>
      <c r="Q355">
        <f>'Code List'!$C$70</f>
        <v>11</v>
      </c>
      <c r="R355">
        <f>'Code List'!$D$70</f>
        <v>19</v>
      </c>
      <c r="S355" t="e">
        <f>IF(P355=0,"1",ROUND((P355/$K$1)+$M$1,0))</f>
        <v>#VALUE!</v>
      </c>
      <c r="T355" t="e">
        <f>Q355*R355*S355</f>
        <v>#VALUE!</v>
      </c>
      <c r="U355" t="str">
        <f>IF(A355="YES",CONCATENATE(G355,"_",'Program Page'!$C$4,'Program Page'!$C$5,"_",D355,"_",E355),"")</f>
        <v/>
      </c>
      <c r="V355" t="str">
        <f>IF(U355="","",CONCATENATE(U355,"_"))</f>
        <v/>
      </c>
      <c r="W355" t="str">
        <f>IF(A355="YES",CONCATENATE("{",'Code List'!$B$4,'Code List'!$D$4,",",'Code List'!$B$5,'Code List'!$D$5,",",'Code List'!$B$6,"""",U355,"""",",",'Code List'!$B$7,'Code List'!$D$7,",",'Code List'!$B$8,'Code List'!$D$8,",",'Code List'!$B$9,'Code List'!$D$9,",",'Code List'!$B$10,'Code List'!$D$10,",",'Code List'!$B$11,"""",V355,"""",",",'Code List'!$B$12,"""",H355,"""",",",'Code List'!$B$13,"""",I355,"""",",",'Code List'!$B$14,"""",J355,"""",",",'Code List'!$B$15,"""",K355,"""",",",'Code List'!$B$16,"""",L355,"""",",",'Code List'!$B$17,"""",M355,"""",",",'Code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355" s="167" t="str">
        <f>IF(A355="YES",CONCATENATE("{",'Code List'!$B$31,"""",U355,"""",",",'Code List'!$B$32,'Code List'!$D$32,",",'Code List'!$B$33,'Code List'!$D$33,",",'Code List'!$B$34,'Code List'!$D$34,",",'Code List'!$B$35,'Code List'!$D$35,",",'Code List'!$B$36,'Code List'!$D$36,",",'Code List'!$B$37,'Code List'!$D$37,",",'Code List'!$B$38,"""",H355,"""",",",'Code List'!$B$39,"""",I355,"""",",",'Code List'!$B$40,"""",J355,"""",",",'Code List'!$B$41,"""",K355,"""",",",'Code List'!$B$42,"""",L355,"""",",",'Code List'!$B$43,"""",M355,"""",",",'Code List'!$B$44,"""",N355,"""",",",'Code List'!$B$45,"""",O355,"""",",",'Code List'!$B$46,"""",P355,"""",",",'Code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List'!$B$59,"""",T355,"""","}"),"")</f>
        <v/>
      </c>
    </row>
    <row r="356" spans="1:25" ht="18.75" x14ac:dyDescent="0.3">
      <c r="A356" s="35" t="str">
        <f>IF(OR(E356=$C$1,E356=$D$1,E356=$E$1),"YES","NO")</f>
        <v>NO</v>
      </c>
      <c r="B356" s="35">
        <f>'Expanded Base Data'!D354</f>
        <v>175.91</v>
      </c>
      <c r="C356" s="35">
        <f>'Expanded Base Data'!E354</f>
        <v>251.42999999999998</v>
      </c>
      <c r="D356" s="36" t="str">
        <f>'Expanded Base Data'!B354</f>
        <v>7C</v>
      </c>
      <c r="E356" s="35">
        <f>'Expanded Base Data'!C354</f>
        <v>0</v>
      </c>
      <c r="F356" s="35">
        <f>'Expanded Base Data'!M354</f>
        <v>0</v>
      </c>
      <c r="G356" s="170">
        <f>F356</f>
        <v>0</v>
      </c>
      <c r="Y356" s="167" t="str">
        <f>""</f>
        <v/>
      </c>
    </row>
    <row r="357" spans="1:25" x14ac:dyDescent="0.25">
      <c r="A357" t="str">
        <f>IF(AND($A356="YES",E356=$C$1),"YES","NO")</f>
        <v>NO</v>
      </c>
      <c r="C357" t="s">
        <v>6</v>
      </c>
      <c r="D357" s="12" t="str">
        <f>D356</f>
        <v>7C</v>
      </c>
      <c r="E357" t="s">
        <v>6</v>
      </c>
      <c r="F357" t="s">
        <v>198</v>
      </c>
      <c r="G357" s="171">
        <f>F356</f>
        <v>0</v>
      </c>
      <c r="H357">
        <f>IF('Expanded Base Data'!N354="",ROUND(B356+'Slide Measurements'!$D$11,$O$1),B356+'Expanded Base Data'!N354)</f>
        <v>208.91</v>
      </c>
      <c r="I357">
        <f>IF('Expanded Base Data'!O354="",ROUND(B356+'Slide Measurements'!$D$12,$O$1),B356+'Expanded Base Data'!O354)</f>
        <v>217.51</v>
      </c>
      <c r="J357">
        <f>IF('Expanded Base Data'!P354="",C356+'Slide Measurements'!$E$13,C356+'Expanded Base Data'!P354)</f>
        <v>260.13</v>
      </c>
      <c r="K357">
        <f>IF('Expanded Base Data'!Q354="",C356+'Slide Measurements'!$E$14,C356+'Expanded Base Data'!Q354)</f>
        <v>268.72999999999996</v>
      </c>
      <c r="L357" s="5" t="str">
        <f>'Expanded Base Data'!$L354</f>
        <v/>
      </c>
      <c r="M357" s="5" t="str">
        <f>'Expanded Base Data'!$K354</f>
        <v/>
      </c>
      <c r="N357">
        <f>ROUND((I357-H357),$O$1)</f>
        <v>8.6</v>
      </c>
      <c r="O357">
        <f>ROUND((K357-J357),$O$1)</f>
        <v>8.6</v>
      </c>
      <c r="P357" s="5" t="e">
        <f>ROUND((L357-M357),$O$1)</f>
        <v>#VALUE!</v>
      </c>
      <c r="Q357">
        <f>'Code List'!$C$62</f>
        <v>5</v>
      </c>
      <c r="R357">
        <f>F358+'Code List'!$G$63</f>
        <v>2</v>
      </c>
      <c r="S357" t="e">
        <f>IF(P357=0,"1",ROUND((P357/$K$1)+$M$1,0))</f>
        <v>#VALUE!</v>
      </c>
      <c r="T357" t="e">
        <f>Q357*R357*S357</f>
        <v>#VALUE!</v>
      </c>
      <c r="U357" t="str">
        <f>IF(A357="YES",CONCATENATE(G357,"_",'Program Page'!$C$4,'Program Page'!$C$5,"_",D357,"_",E357),"")</f>
        <v/>
      </c>
      <c r="V357" t="str">
        <f>IF(U357="","",CONCATENATE(U357,"_"))</f>
        <v/>
      </c>
      <c r="W357" t="str">
        <f>IF(A357="YES",CONCATENATE("{",'Code List'!$B$4,'Code List'!$D$4,",",'Code List'!$B$5,'Code List'!$D$5,",",'Code List'!$B$6,"""",U357,"""",",",'Code List'!$B$7,'Code List'!$D$7,",",'Code List'!$B$8,'Code List'!$D$8,",",'Code List'!$B$9,'Code List'!$D$9,",",'Code List'!$B$10,'Code List'!$D$10,",",'Code List'!$B$11,"""",V357,"""",",",'Code List'!$B$12,"""",H357,"""",",",'Code List'!$B$13,"""",I357,"""",",",'Code List'!$B$14,"""",J357,"""",",",'Code List'!$B$15,"""",K357,"""",",",'Code List'!$B$16,"""",L357,"""",",",'Code List'!$B$17,"""",M357,"""",",",'Code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57" s="167" t="str">
        <f>IF(A357="YES",CONCATENATE("{",'Code List'!$B$31,"""",U357,"""",",",'Code List'!$B$32,'Code List'!$D$32,",",'Code List'!$B$33,'Code List'!$D$33,",",'Code List'!$B$34,'Code List'!$D$34,",",'Code List'!$B$35,'Code List'!$D$35,",",'Code List'!$B$36,'Code List'!$D$36,",",'Code List'!$B$37,'Code List'!$D$37,",",'Code List'!$B$38,"""",H357,"""",",",'Code List'!$B$39,"""",I357,"""",",",'Code List'!$B$40,"""",J357,"""",",",'Code List'!$B$41,"""",K357,"""",",",'Code List'!$B$42,"""",L357,"""",",",'Code List'!$B$43,"""",M357,"""",",",'Code List'!$B$44,"""",N357,"""",",",'Code List'!$B$45,"""",O357,"""",",",'Code List'!$B$46,"""",P357,"""",",",'Code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List'!$B$59,"""",T357,"""","}"),"")</f>
        <v/>
      </c>
    </row>
    <row r="358" spans="1:25" x14ac:dyDescent="0.25">
      <c r="A358" t="str">
        <f>IF(AND($A356="YES",E356=$D$1,F358&gt;0),"YES","NO")</f>
        <v>NO</v>
      </c>
      <c r="C358" t="s">
        <v>5</v>
      </c>
      <c r="D358" s="12" t="str">
        <f t="shared" ref="D358:D362" si="308">D357</f>
        <v>7C</v>
      </c>
      <c r="E358" t="s">
        <v>188</v>
      </c>
      <c r="F358">
        <f>'Expanded Base Data'!F354</f>
        <v>0</v>
      </c>
      <c r="G358" s="171">
        <f>F356</f>
        <v>0</v>
      </c>
      <c r="H358">
        <f>ROUND(B356+'Slide Measurements'!$D$17,$O$1)</f>
        <v>201.31</v>
      </c>
      <c r="I358">
        <f>ROUND(H358+(F358*'Slide Measurements'!$D$21),$O$1)</f>
        <v>201.31</v>
      </c>
      <c r="J358">
        <f>C356+'Slide Measurements'!$E$17</f>
        <v>255.73</v>
      </c>
      <c r="K358">
        <f>J358+($I$1*'Slide Measurements'!$E$23-'Slide Measurements'!$E$23)</f>
        <v>257.58</v>
      </c>
      <c r="L358" s="5" t="str">
        <f>'Expanded Base Data'!$L354</f>
        <v/>
      </c>
      <c r="M358" s="5" t="str">
        <f>'Expanded Base Data'!$K354</f>
        <v/>
      </c>
      <c r="N358">
        <f t="shared" ref="N358:N363" si="309">ROUND((I358-H358),$O$1)</f>
        <v>0</v>
      </c>
      <c r="O358">
        <f t="shared" ref="O358:O363" si="310">ROUND((K358-J358),$O$1)</f>
        <v>1.85</v>
      </c>
      <c r="P358" s="5" t="e">
        <f t="shared" ref="P358:P362" si="311">ROUND((L358-M358),$O$1)</f>
        <v>#VALUE!</v>
      </c>
      <c r="Q358">
        <f>'Code List'!$C$63</f>
        <v>3</v>
      </c>
      <c r="R358">
        <f>F359+'Code List'!$G$63</f>
        <v>2</v>
      </c>
      <c r="S358" t="e">
        <f t="shared" ref="S358:S362" si="312">IF(P358=0,"1",ROUND((P358/$K$1)+$M$1,0))</f>
        <v>#VALUE!</v>
      </c>
      <c r="T358" t="e">
        <f>Q358*R358*S358</f>
        <v>#VALUE!</v>
      </c>
      <c r="U358" t="str">
        <f>IF(A358="YES",CONCATENATE(G358,"_",'Program Page'!$C$4,'Program Page'!$C$5,"_",D358,"_",E358),"")</f>
        <v/>
      </c>
      <c r="V358" t="str">
        <f t="shared" ref="V358:V362" si="313">IF(U358="","",CONCATENATE(U358,"_"))</f>
        <v/>
      </c>
      <c r="W358" t="str">
        <f>IF(A358="YES",CONCATENATE("{",'Code List'!$B$4,'Code List'!$D$4,",",'Code List'!$B$5,'Code List'!$D$5,",",'Code List'!$B$6,"""",U358,"""",",",'Code List'!$B$7,'Code List'!$D$7,",",'Code List'!$B$8,'Code List'!$D$8,",",'Code List'!$B$9,'Code List'!$D$9,",",'Code List'!$B$10,'Code List'!$D$10,",",'Code List'!$B$11,"""",V358,"""",",",'Code List'!$B$12,"""",H358,"""",",",'Code List'!$B$13,"""",I358,"""",",",'Code List'!$B$14,"""",J358,"""",",",'Code List'!$B$15,"""",K358,"""",",",'Code List'!$B$16,"""",L358,"""",",",'Code List'!$B$17,"""",M358,"""",",",'Code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58" s="167" t="str">
        <f>IF(A358="YES",CONCATENATE("{",'Code List'!$B$31,"""",U358,"""",",",'Code List'!$B$32,'Code List'!$D$32,",",'Code List'!$B$33,'Code List'!$D$33,",",'Code List'!$B$34,'Code List'!$D$34,",",'Code List'!$B$35,'Code List'!$D$35,",",'Code List'!$B$36,'Code List'!$D$36,",",'Code List'!$B$37,'Code List'!$D$37,",",'Code List'!$B$38,"""",H358,"""",",",'Code List'!$B$39,"""",I358,"""",",",'Code List'!$B$40,"""",J358,"""",",",'Code List'!$B$41,"""",K358,"""",",",'Code List'!$B$42,"""",L358,"""",",",'Code List'!$B$43,"""",M358,"""",",",'Code List'!$B$44,"""",N358,"""",",",'Code List'!$B$45,"""",O358,"""",",",'Code List'!$B$46,"""",P358,"""",",",'Code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List'!$B$59,"""",T358,"""","}"),"")</f>
        <v/>
      </c>
    </row>
    <row r="359" spans="1:25" x14ac:dyDescent="0.25">
      <c r="A359" t="str">
        <f>IF(AND($A356="YES",E356=$D$1,F359&gt;0),"YES","NO")</f>
        <v>NO</v>
      </c>
      <c r="C359" t="s">
        <v>5</v>
      </c>
      <c r="D359" s="12" t="str">
        <f t="shared" si="308"/>
        <v>7C</v>
      </c>
      <c r="E359" t="s">
        <v>189</v>
      </c>
      <c r="F359">
        <f>'Expanded Base Data'!G354</f>
        <v>0</v>
      </c>
      <c r="G359" s="171">
        <f>F356</f>
        <v>0</v>
      </c>
      <c r="H359">
        <f>ROUND(B356+'Slide Measurements'!$D$17,$O$1)</f>
        <v>201.31</v>
      </c>
      <c r="I359">
        <f>ROUND(H359+(F359*'Slide Measurements'!$D$21),$O$1)</f>
        <v>201.31</v>
      </c>
      <c r="J359">
        <f>K358</f>
        <v>257.58</v>
      </c>
      <c r="K359">
        <f>J359+($I$1*'Slide Measurements'!$E$23-'Slide Measurements'!$E$23)</f>
        <v>259.43</v>
      </c>
      <c r="L359" s="5" t="str">
        <f>'Expanded Base Data'!$L354</f>
        <v/>
      </c>
      <c r="M359" s="5" t="str">
        <f>'Expanded Base Data'!$K354</f>
        <v/>
      </c>
      <c r="N359">
        <f t="shared" si="309"/>
        <v>0</v>
      </c>
      <c r="O359">
        <f t="shared" si="310"/>
        <v>1.85</v>
      </c>
      <c r="P359" s="5" t="e">
        <f t="shared" si="311"/>
        <v>#VALUE!</v>
      </c>
      <c r="Q359">
        <f>'Code List'!$C$63</f>
        <v>3</v>
      </c>
      <c r="R359">
        <f>F360+'Code List'!$G$63</f>
        <v>2</v>
      </c>
      <c r="S359" t="e">
        <f t="shared" si="312"/>
        <v>#VALUE!</v>
      </c>
      <c r="T359" t="e">
        <f t="shared" ref="T359:T362" si="314">Q359*R359*S359</f>
        <v>#VALUE!</v>
      </c>
      <c r="U359" t="str">
        <f>IF(A359="YES",CONCATENATE(G359,"_",'Program Page'!$C$4,'Program Page'!$C$5,"_",D359,"_",E359),"")</f>
        <v/>
      </c>
      <c r="V359" t="str">
        <f t="shared" si="313"/>
        <v/>
      </c>
      <c r="W359" t="str">
        <f>IF(A359="YES",CONCATENATE("{",'Code List'!$B$4,'Code List'!$D$4,",",'Code List'!$B$5,'Code List'!$D$5,",",'Code List'!$B$6,"""",U359,"""",",",'Code List'!$B$7,'Code List'!$D$7,",",'Code List'!$B$8,'Code List'!$D$8,",",'Code List'!$B$9,'Code List'!$D$9,",",'Code List'!$B$10,'Code List'!$D$10,",",'Code List'!$B$11,"""",V359,"""",",",'Code List'!$B$12,"""",H359,"""",",",'Code List'!$B$13,"""",I359,"""",",",'Code List'!$B$14,"""",J359,"""",",",'Code List'!$B$15,"""",K359,"""",",",'Code List'!$B$16,"""",L359,"""",",",'Code List'!$B$17,"""",M359,"""",",",'Code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59" s="167" t="str">
        <f>IF(A359="YES",CONCATENATE("{",'Code List'!$B$31,"""",U359,"""",",",'Code List'!$B$32,'Code List'!$D$32,",",'Code List'!$B$33,'Code List'!$D$33,",",'Code List'!$B$34,'Code List'!$D$34,",",'Code List'!$B$35,'Code List'!$D$35,",",'Code List'!$B$36,'Code List'!$D$36,",",'Code List'!$B$37,'Code List'!$D$37,",",'Code List'!$B$38,"""",H359,"""",",",'Code List'!$B$39,"""",I359,"""",",",'Code List'!$B$40,"""",J359,"""",",",'Code List'!$B$41,"""",K359,"""",",",'Code List'!$B$42,"""",L359,"""",",",'Code List'!$B$43,"""",M359,"""",",",'Code List'!$B$44,"""",N359,"""",",",'Code List'!$B$45,"""",O359,"""",",",'Code List'!$B$46,"""",P359,"""",",",'Code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List'!$B$59,"""",T359,"""","}"),"")</f>
        <v/>
      </c>
    </row>
    <row r="360" spans="1:25" x14ac:dyDescent="0.25">
      <c r="A360" t="str">
        <f>IF(AND($A356="YES",E356=$D$1,F360&gt;0),"YES","NO")</f>
        <v>NO</v>
      </c>
      <c r="C360" t="s">
        <v>5</v>
      </c>
      <c r="D360" s="12" t="str">
        <f t="shared" si="308"/>
        <v>7C</v>
      </c>
      <c r="E360" t="s">
        <v>190</v>
      </c>
      <c r="F360">
        <f>'Expanded Base Data'!H354</f>
        <v>0</v>
      </c>
      <c r="G360" s="171">
        <f>F356</f>
        <v>0</v>
      </c>
      <c r="H360">
        <f>ROUND(B356+'Slide Measurements'!$D$17,$O$1)</f>
        <v>201.31</v>
      </c>
      <c r="I360">
        <f>ROUND(H360+(F360*'Slide Measurements'!$D$21),$O$1)</f>
        <v>201.31</v>
      </c>
      <c r="J360">
        <f>K359</f>
        <v>259.43</v>
      </c>
      <c r="K360">
        <f>J360+($I$1*'Slide Measurements'!$E$23-'Slide Measurements'!$E$23)</f>
        <v>261.28000000000003</v>
      </c>
      <c r="L360" s="5" t="str">
        <f>'Expanded Base Data'!$L354</f>
        <v/>
      </c>
      <c r="M360" s="5" t="str">
        <f>'Expanded Base Data'!$K354</f>
        <v/>
      </c>
      <c r="N360">
        <f t="shared" si="309"/>
        <v>0</v>
      </c>
      <c r="O360">
        <f t="shared" si="310"/>
        <v>1.85</v>
      </c>
      <c r="P360" s="5" t="e">
        <f t="shared" si="311"/>
        <v>#VALUE!</v>
      </c>
      <c r="Q360">
        <f>'Code List'!$C$63</f>
        <v>3</v>
      </c>
      <c r="R360">
        <f>F361+'Code List'!$G$63</f>
        <v>2</v>
      </c>
      <c r="S360" t="e">
        <f t="shared" si="312"/>
        <v>#VALUE!</v>
      </c>
      <c r="T360" t="e">
        <f t="shared" si="314"/>
        <v>#VALUE!</v>
      </c>
      <c r="U360" t="str">
        <f>IF(A360="YES",CONCATENATE(G360,"_",'Program Page'!$C$4,'Program Page'!$C$5,"_",D360,"_",E360),"")</f>
        <v/>
      </c>
      <c r="V360" t="str">
        <f t="shared" si="313"/>
        <v/>
      </c>
      <c r="W360" t="str">
        <f>IF(A360="YES",CONCATENATE("{",'Code List'!$B$4,'Code List'!$D$4,",",'Code List'!$B$5,'Code List'!$D$5,",",'Code List'!$B$6,"""",U360,"""",",",'Code List'!$B$7,'Code List'!$D$7,",",'Code List'!$B$8,'Code List'!$D$8,",",'Code List'!$B$9,'Code List'!$D$9,",",'Code List'!$B$10,'Code List'!$D$10,",",'Code List'!$B$11,"""",V360,"""",",",'Code List'!$B$12,"""",H360,"""",",",'Code List'!$B$13,"""",I360,"""",",",'Code List'!$B$14,"""",J360,"""",",",'Code List'!$B$15,"""",K360,"""",",",'Code List'!$B$16,"""",L360,"""",",",'Code List'!$B$17,"""",M360,"""",",",'Code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60" s="167" t="str">
        <f>IF(A360="YES",CONCATENATE("{",'Code List'!$B$31,"""",U360,"""",",",'Code List'!$B$32,'Code List'!$D$32,",",'Code List'!$B$33,'Code List'!$D$33,",",'Code List'!$B$34,'Code List'!$D$34,",",'Code List'!$B$35,'Code List'!$D$35,",",'Code List'!$B$36,'Code List'!$D$36,",",'Code List'!$B$37,'Code List'!$D$37,",",'Code List'!$B$38,"""",H360,"""",",",'Code List'!$B$39,"""",I360,"""",",",'Code List'!$B$40,"""",J360,"""",",",'Code List'!$B$41,"""",K360,"""",",",'Code List'!$B$42,"""",L360,"""",",",'Code List'!$B$43,"""",M360,"""",",",'Code List'!$B$44,"""",N360,"""",",",'Code List'!$B$45,"""",O360,"""",",",'Code List'!$B$46,"""",P360,"""",",",'Code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List'!$B$59,"""",T360,"""","}"),"")</f>
        <v/>
      </c>
    </row>
    <row r="361" spans="1:25" x14ac:dyDescent="0.25">
      <c r="A361" t="str">
        <f>IF(AND($A356="YES",E356=$D$1,F361&gt;0),"YES","NO")</f>
        <v>NO</v>
      </c>
      <c r="C361" t="s">
        <v>5</v>
      </c>
      <c r="D361" s="12" t="str">
        <f t="shared" si="308"/>
        <v>7C</v>
      </c>
      <c r="E361" t="s">
        <v>191</v>
      </c>
      <c r="F361">
        <f>'Expanded Base Data'!I354</f>
        <v>0</v>
      </c>
      <c r="G361" s="171">
        <f>F356</f>
        <v>0</v>
      </c>
      <c r="H361">
        <f>ROUND(B356+'Slide Measurements'!$D$17,$O$1)</f>
        <v>201.31</v>
      </c>
      <c r="I361">
        <f>ROUND(H361+(F361*'Slide Measurements'!$D$21),$O$1)</f>
        <v>201.31</v>
      </c>
      <c r="J361">
        <f>K360</f>
        <v>261.28000000000003</v>
      </c>
      <c r="K361">
        <f>J361+($I$1*'Slide Measurements'!$E$23-'Slide Measurements'!$E$23)</f>
        <v>263.13000000000005</v>
      </c>
      <c r="L361" s="5" t="str">
        <f>'Expanded Base Data'!$L354</f>
        <v/>
      </c>
      <c r="M361" s="5" t="str">
        <f>'Expanded Base Data'!$K354</f>
        <v/>
      </c>
      <c r="N361">
        <f t="shared" si="309"/>
        <v>0</v>
      </c>
      <c r="O361">
        <f t="shared" si="310"/>
        <v>1.85</v>
      </c>
      <c r="P361" s="5" t="e">
        <f t="shared" si="311"/>
        <v>#VALUE!</v>
      </c>
      <c r="Q361">
        <f>'Code List'!$C$63</f>
        <v>3</v>
      </c>
      <c r="R361">
        <f>F362+'Code List'!$G$63</f>
        <v>2</v>
      </c>
      <c r="S361" t="e">
        <f t="shared" si="312"/>
        <v>#VALUE!</v>
      </c>
      <c r="T361" t="e">
        <f t="shared" si="314"/>
        <v>#VALUE!</v>
      </c>
      <c r="U361" t="str">
        <f>IF(A361="YES",CONCATENATE(G361,"_",'Program Page'!$C$4,'Program Page'!$C$5,"_",D361,"_",E361),"")</f>
        <v/>
      </c>
      <c r="V361" t="str">
        <f t="shared" si="313"/>
        <v/>
      </c>
      <c r="W361" t="str">
        <f>IF(A361="YES",CONCATENATE("{",'Code List'!$B$4,'Code List'!$D$4,",",'Code List'!$B$5,'Code List'!$D$5,",",'Code List'!$B$6,"""",U361,"""",",",'Code List'!$B$7,'Code List'!$D$7,",",'Code List'!$B$8,'Code List'!$D$8,",",'Code List'!$B$9,'Code List'!$D$9,",",'Code List'!$B$10,'Code List'!$D$10,",",'Code List'!$B$11,"""",V361,"""",",",'Code List'!$B$12,"""",H361,"""",",",'Code List'!$B$13,"""",I361,"""",",",'Code List'!$B$14,"""",J361,"""",",",'Code List'!$B$15,"""",K361,"""",",",'Code List'!$B$16,"""",L361,"""",",",'Code List'!$B$17,"""",M361,"""",",",'Code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61" s="167" t="str">
        <f>IF(A361="YES",CONCATENATE("{",'Code List'!$B$31,"""",U361,"""",",",'Code List'!$B$32,'Code List'!$D$32,",",'Code List'!$B$33,'Code List'!$D$33,",",'Code List'!$B$34,'Code List'!$D$34,",",'Code List'!$B$35,'Code List'!$D$35,",",'Code List'!$B$36,'Code List'!$D$36,",",'Code List'!$B$37,'Code List'!$D$37,",",'Code List'!$B$38,"""",H361,"""",",",'Code List'!$B$39,"""",I361,"""",",",'Code List'!$B$40,"""",J361,"""",",",'Code List'!$B$41,"""",K361,"""",",",'Code List'!$B$42,"""",L361,"""",",",'Code List'!$B$43,"""",M361,"""",",",'Code List'!$B$44,"""",N361,"""",",",'Code List'!$B$45,"""",O361,"""",",",'Code List'!$B$46,"""",P361,"""",",",'Code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List'!$B$59,"""",T361,"""","}"),"")</f>
        <v/>
      </c>
    </row>
    <row r="362" spans="1:25" x14ac:dyDescent="0.25">
      <c r="A362" t="str">
        <f>IF(AND($A356="YES",E356=$D$1,F362&gt;0),"YES","NO")</f>
        <v>NO</v>
      </c>
      <c r="C362" t="s">
        <v>5</v>
      </c>
      <c r="D362" s="12" t="str">
        <f t="shared" si="308"/>
        <v>7C</v>
      </c>
      <c r="E362" t="s">
        <v>196</v>
      </c>
      <c r="F362">
        <f>'Expanded Base Data'!J354</f>
        <v>0</v>
      </c>
      <c r="G362" s="171">
        <f>F356</f>
        <v>0</v>
      </c>
      <c r="H362">
        <f>ROUND(B356+'Slide Measurements'!$D$17,$O$1)</f>
        <v>201.31</v>
      </c>
      <c r="I362">
        <f>ROUND(H362+(F362*'Slide Measurements'!$D$21),$O$1)</f>
        <v>201.31</v>
      </c>
      <c r="J362">
        <f>K361</f>
        <v>263.13000000000005</v>
      </c>
      <c r="K362">
        <f>J362+($I$1*'Slide Measurements'!$E$23-'Slide Measurements'!$E$23)</f>
        <v>264.98000000000008</v>
      </c>
      <c r="L362" s="5" t="str">
        <f>'Expanded Base Data'!$L354</f>
        <v/>
      </c>
      <c r="M362" s="5" t="str">
        <f>'Expanded Base Data'!$K354</f>
        <v/>
      </c>
      <c r="N362">
        <f t="shared" si="309"/>
        <v>0</v>
      </c>
      <c r="O362">
        <f t="shared" si="310"/>
        <v>1.85</v>
      </c>
      <c r="P362" s="5" t="e">
        <f t="shared" si="311"/>
        <v>#VALUE!</v>
      </c>
      <c r="Q362">
        <f>'Code List'!$C$63</f>
        <v>3</v>
      </c>
      <c r="R362">
        <f>F363+'Code List'!$G$63</f>
        <v>2</v>
      </c>
      <c r="S362" t="e">
        <f t="shared" si="312"/>
        <v>#VALUE!</v>
      </c>
      <c r="T362" t="e">
        <f t="shared" si="314"/>
        <v>#VALUE!</v>
      </c>
      <c r="U362" t="str">
        <f>IF(A362="YES",CONCATENATE(G362,"_",'Program Page'!$C$4,'Program Page'!$C$5,"_",D362,"_",E362),"")</f>
        <v/>
      </c>
      <c r="V362" t="str">
        <f t="shared" si="313"/>
        <v/>
      </c>
      <c r="W362" t="str">
        <f>IF(A362="YES",CONCATENATE("{",'Code List'!$B$4,'Code List'!$D$4,",",'Code List'!$B$5,'Code List'!$D$5,",",'Code List'!$B$6,"""",U362,"""",",",'Code List'!$B$7,'Code List'!$D$7,",",'Code List'!$B$8,'Code List'!$D$8,",",'Code List'!$B$9,'Code List'!$D$9,",",'Code List'!$B$10,'Code List'!$D$10,",",'Code List'!$B$11,"""",V362,"""",",",'Code List'!$B$12,"""",H362,"""",",",'Code List'!$B$13,"""",I362,"""",",",'Code List'!$B$14,"""",J362,"""",",",'Code List'!$B$15,"""",K362,"""",",",'Code List'!$B$16,"""",L362,"""",",",'Code List'!$B$17,"""",M362,"""",",",'Code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62" s="167" t="str">
        <f>IF(A362="YES",CONCATENATE("{",'Code List'!$B$31,"""",U362,"""",",",'Code List'!$B$32,'Code List'!$D$32,",",'Code List'!$B$33,'Code List'!$D$33,",",'Code List'!$B$34,'Code List'!$D$34,",",'Code List'!$B$35,'Code List'!$D$35,",",'Code List'!$B$36,'Code List'!$D$36,",",'Code List'!$B$37,'Code List'!$D$37,",",'Code List'!$B$38,"""",H362,"""",",",'Code List'!$B$39,"""",I362,"""",",",'Code List'!$B$40,"""",J362,"""",",",'Code List'!$B$41,"""",K362,"""",",",'Code List'!$B$42,"""",L362,"""",",",'Code List'!$B$43,"""",M362,"""",",",'Code List'!$B$44,"""",N362,"""",",",'Code List'!$B$45,"""",O362,"""",",",'Code List'!$B$46,"""",P362,"""",",",'Code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List'!$B$59,"""",T362,"""","}"),"")</f>
        <v/>
      </c>
    </row>
    <row r="363" spans="1:25" x14ac:dyDescent="0.25">
      <c r="A363" s="162" t="str">
        <f>IF(AND($A356="YES",E356=$E$1),"YES","NO")</f>
        <v>NO</v>
      </c>
      <c r="C363" t="s">
        <v>259</v>
      </c>
      <c r="D363" s="12" t="str">
        <f>D362</f>
        <v>7C</v>
      </c>
      <c r="E363" t="s">
        <v>259</v>
      </c>
      <c r="G363" s="171">
        <f>F356</f>
        <v>0</v>
      </c>
      <c r="H363">
        <f>ROUND(B356,$O$1)</f>
        <v>175.91</v>
      </c>
      <c r="I363">
        <f>ROUND(B356+'Slide Measurements'!$D$1,$O$1)</f>
        <v>252.36</v>
      </c>
      <c r="J363">
        <f>C356</f>
        <v>251.42999999999998</v>
      </c>
      <c r="K363">
        <f>C356+'Slide Measurements'!$D$2</f>
        <v>278.83</v>
      </c>
      <c r="L363" s="5" t="str">
        <f>'Expanded Base Data'!$L354</f>
        <v/>
      </c>
      <c r="M363" s="5" t="str">
        <f>'Expanded Base Data'!$K354</f>
        <v/>
      </c>
      <c r="N363">
        <f t="shared" si="309"/>
        <v>76.45</v>
      </c>
      <c r="O363">
        <f t="shared" si="310"/>
        <v>27.4</v>
      </c>
      <c r="P363" s="5" t="e">
        <f>ROUND((L363-M363),$O$1)</f>
        <v>#VALUE!</v>
      </c>
      <c r="Q363">
        <f>'Code List'!$C$70</f>
        <v>11</v>
      </c>
      <c r="R363">
        <f>'Code List'!$D$70</f>
        <v>19</v>
      </c>
      <c r="S363" t="e">
        <f>IF(P363=0,"1",ROUND((P363/$K$1)+$M$1,0))</f>
        <v>#VALUE!</v>
      </c>
      <c r="T363" t="e">
        <f>Q363*R363*S363</f>
        <v>#VALUE!</v>
      </c>
      <c r="U363" t="str">
        <f>IF(A363="YES",CONCATENATE(G363,"_",'Program Page'!$C$4,'Program Page'!$C$5,"_",D363,"_",E363),"")</f>
        <v/>
      </c>
      <c r="V363" t="str">
        <f>IF(U363="","",CONCATENATE(U363,"_"))</f>
        <v/>
      </c>
      <c r="W363" t="str">
        <f>IF(A363="YES",CONCATENATE("{",'Code List'!$B$4,'Code List'!$D$4,",",'Code List'!$B$5,'Code List'!$D$5,",",'Code List'!$B$6,"""",U363,"""",",",'Code List'!$B$7,'Code List'!$D$7,",",'Code List'!$B$8,'Code List'!$D$8,",",'Code List'!$B$9,'Code List'!$D$9,",",'Code List'!$B$10,'Code List'!$D$10,",",'Code List'!$B$11,"""",V363,"""",",",'Code List'!$B$12,"""",H363,"""",",",'Code List'!$B$13,"""",I363,"""",",",'Code List'!$B$14,"""",J363,"""",",",'Code List'!$B$15,"""",K363,"""",",",'Code List'!$B$16,"""",L363,"""",",",'Code List'!$B$17,"""",M363,"""",",",'Code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363" s="167" t="str">
        <f>IF(A363="YES",CONCATENATE("{",'Code List'!$B$31,"""",U363,"""",",",'Code List'!$B$32,'Code List'!$D$32,",",'Code List'!$B$33,'Code List'!$D$33,",",'Code List'!$B$34,'Code List'!$D$34,",",'Code List'!$B$35,'Code List'!$D$35,",",'Code List'!$B$36,'Code List'!$D$36,",",'Code List'!$B$37,'Code List'!$D$37,",",'Code List'!$B$38,"""",H363,"""",",",'Code List'!$B$39,"""",I363,"""",",",'Code List'!$B$40,"""",J363,"""",",",'Code List'!$B$41,"""",K363,"""",",",'Code List'!$B$42,"""",L363,"""",",",'Code List'!$B$43,"""",M363,"""",",",'Code List'!$B$44,"""",N363,"""",",",'Code List'!$B$45,"""",O363,"""",",",'Code List'!$B$46,"""",P363,"""",",",'Code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List'!$B$59,"""",T363,"""","}"),"")</f>
        <v/>
      </c>
    </row>
    <row r="364" spans="1:25" ht="18.75" x14ac:dyDescent="0.3">
      <c r="A364" s="35" t="str">
        <f>IF(OR(E364=$C$1,E364=$D$1,E364=$E$1),"YES","NO")</f>
        <v>NO</v>
      </c>
      <c r="B364" s="35">
        <f>'Expanded Base Data'!D362</f>
        <v>262.91000000000003</v>
      </c>
      <c r="C364" s="35">
        <f>'Expanded Base Data'!E362</f>
        <v>251.42999999999998</v>
      </c>
      <c r="D364" s="36" t="str">
        <f>'Expanded Base Data'!B362</f>
        <v>7D</v>
      </c>
      <c r="E364" s="35">
        <f>'Expanded Base Data'!C362</f>
        <v>0</v>
      </c>
      <c r="F364" s="35">
        <f>'Expanded Base Data'!M362</f>
        <v>0</v>
      </c>
      <c r="G364" s="170">
        <f>F364</f>
        <v>0</v>
      </c>
      <c r="Y364" s="167" t="str">
        <f>""</f>
        <v/>
      </c>
    </row>
    <row r="365" spans="1:25" x14ac:dyDescent="0.25">
      <c r="A365" t="str">
        <f>IF(AND($A364="YES",E364=$C$1),"YES","NO")</f>
        <v>NO</v>
      </c>
      <c r="C365" t="s">
        <v>6</v>
      </c>
      <c r="D365" s="12" t="str">
        <f>D364</f>
        <v>7D</v>
      </c>
      <c r="E365" t="s">
        <v>6</v>
      </c>
      <c r="F365" t="s">
        <v>198</v>
      </c>
      <c r="G365" s="171">
        <f>F364</f>
        <v>0</v>
      </c>
      <c r="H365">
        <f>IF('Expanded Base Data'!N362="",ROUND(B364+'Slide Measurements'!$D$11,$O$1),B364+'Expanded Base Data'!N362)</f>
        <v>295.91000000000003</v>
      </c>
      <c r="I365">
        <f>IF('Expanded Base Data'!O362="",ROUND(B364+'Slide Measurements'!$D$12,$O$1),B364+'Expanded Base Data'!O362)</f>
        <v>304.51</v>
      </c>
      <c r="J365">
        <f>IF('Expanded Base Data'!P362="",C364+'Slide Measurements'!$E$13,C364+'Expanded Base Data'!P362)</f>
        <v>260.13</v>
      </c>
      <c r="K365">
        <f>IF('Expanded Base Data'!Q362="",C364+'Slide Measurements'!$E$14,C364+'Expanded Base Data'!Q362)</f>
        <v>268.72999999999996</v>
      </c>
      <c r="L365" s="5" t="str">
        <f>'Expanded Base Data'!$L362</f>
        <v/>
      </c>
      <c r="M365" s="5" t="str">
        <f>'Expanded Base Data'!$K362</f>
        <v/>
      </c>
      <c r="N365">
        <f>ROUND((I365-H365),$O$1)</f>
        <v>8.6</v>
      </c>
      <c r="O365">
        <f>ROUND((K365-J365),$O$1)</f>
        <v>8.6</v>
      </c>
      <c r="P365" s="5" t="e">
        <f>ROUND((L365-M365),$O$1)</f>
        <v>#VALUE!</v>
      </c>
      <c r="Q365">
        <f>'Code List'!$C$62</f>
        <v>5</v>
      </c>
      <c r="R365">
        <f>F366+'Code List'!$G$63</f>
        <v>2</v>
      </c>
      <c r="S365" t="e">
        <f>IF(P365=0,"1",ROUND((P365/$K$1)+$M$1,0))</f>
        <v>#VALUE!</v>
      </c>
      <c r="T365" t="e">
        <f>Q365*R365*S365</f>
        <v>#VALUE!</v>
      </c>
      <c r="U365" t="str">
        <f>IF(A365="YES",CONCATENATE(G365,"_",'Program Page'!$C$4,'Program Page'!$C$5,"_",D365,"_",E365),"")</f>
        <v/>
      </c>
      <c r="V365" t="str">
        <f>IF(U365="","",CONCATENATE(U365,"_"))</f>
        <v/>
      </c>
      <c r="W365" t="str">
        <f>IF(A365="YES",CONCATENATE("{",'Code List'!$B$4,'Code List'!$D$4,",",'Code List'!$B$5,'Code List'!$D$5,",",'Code List'!$B$6,"""",U365,"""",",",'Code List'!$B$7,'Code List'!$D$7,",",'Code List'!$B$8,'Code List'!$D$8,",",'Code List'!$B$9,'Code List'!$D$9,",",'Code List'!$B$10,'Code List'!$D$10,",",'Code List'!$B$11,"""",V365,"""",",",'Code List'!$B$12,"""",H365,"""",",",'Code List'!$B$13,"""",I365,"""",",",'Code List'!$B$14,"""",J365,"""",",",'Code List'!$B$15,"""",K365,"""",",",'Code List'!$B$16,"""",L365,"""",",",'Code List'!$B$17,"""",M365,"""",",",'Code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65" s="167" t="str">
        <f>IF(A365="YES",CONCATENATE("{",'Code List'!$B$31,"""",U365,"""",",",'Code List'!$B$32,'Code List'!$D$32,",",'Code List'!$B$33,'Code List'!$D$33,",",'Code List'!$B$34,'Code List'!$D$34,",",'Code List'!$B$35,'Code List'!$D$35,",",'Code List'!$B$36,'Code List'!$D$36,",",'Code List'!$B$37,'Code List'!$D$37,",",'Code List'!$B$38,"""",H365,"""",",",'Code List'!$B$39,"""",I365,"""",",",'Code List'!$B$40,"""",J365,"""",",",'Code List'!$B$41,"""",K365,"""",",",'Code List'!$B$42,"""",L365,"""",",",'Code List'!$B$43,"""",M365,"""",",",'Code List'!$B$44,"""",N365,"""",",",'Code List'!$B$45,"""",O365,"""",",",'Code List'!$B$46,"""",P365,"""",",",'Code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List'!$B$59,"""",T365,"""","}"),"")</f>
        <v/>
      </c>
    </row>
    <row r="366" spans="1:25" x14ac:dyDescent="0.25">
      <c r="A366" t="str">
        <f>IF(AND($A364="YES",E364=$D$1,F366&gt;0),"YES","NO")</f>
        <v>NO</v>
      </c>
      <c r="C366" t="s">
        <v>5</v>
      </c>
      <c r="D366" s="12" t="str">
        <f t="shared" ref="D366:D370" si="315">D365</f>
        <v>7D</v>
      </c>
      <c r="E366" t="s">
        <v>188</v>
      </c>
      <c r="F366">
        <f>'Expanded Base Data'!F362</f>
        <v>0</v>
      </c>
      <c r="G366" s="171">
        <f>F364</f>
        <v>0</v>
      </c>
      <c r="H366">
        <f>ROUND(B364+'Slide Measurements'!$D$17,$O$1)</f>
        <v>288.31</v>
      </c>
      <c r="I366">
        <f>ROUND(H366+(F366*'Slide Measurements'!$D$21),$O$1)</f>
        <v>288.31</v>
      </c>
      <c r="J366">
        <f>C364+'Slide Measurements'!$E$17</f>
        <v>255.73</v>
      </c>
      <c r="K366">
        <f>J366+($I$1*'Slide Measurements'!$E$23-'Slide Measurements'!$E$23)</f>
        <v>257.58</v>
      </c>
      <c r="L366" s="5" t="str">
        <f>'Expanded Base Data'!$L362</f>
        <v/>
      </c>
      <c r="M366" s="5" t="str">
        <f>'Expanded Base Data'!$K362</f>
        <v/>
      </c>
      <c r="N366">
        <f t="shared" ref="N366:N371" si="316">ROUND((I366-H366),$O$1)</f>
        <v>0</v>
      </c>
      <c r="O366">
        <f t="shared" ref="O366:O371" si="317">ROUND((K366-J366),$O$1)</f>
        <v>1.85</v>
      </c>
      <c r="P366" s="5" t="e">
        <f t="shared" ref="P366:P370" si="318">ROUND((L366-M366),$O$1)</f>
        <v>#VALUE!</v>
      </c>
      <c r="Q366">
        <f>'Code List'!$C$63</f>
        <v>3</v>
      </c>
      <c r="R366">
        <f>F367+'Code List'!$G$63</f>
        <v>2</v>
      </c>
      <c r="S366" t="e">
        <f t="shared" ref="S366:S370" si="319">IF(P366=0,"1",ROUND((P366/$K$1)+$M$1,0))</f>
        <v>#VALUE!</v>
      </c>
      <c r="T366" t="e">
        <f>Q366*R366*S366</f>
        <v>#VALUE!</v>
      </c>
      <c r="U366" t="str">
        <f>IF(A366="YES",CONCATENATE(G366,"_",'Program Page'!$C$4,'Program Page'!$C$5,"_",D366,"_",E366),"")</f>
        <v/>
      </c>
      <c r="V366" t="str">
        <f t="shared" ref="V366:V370" si="320">IF(U366="","",CONCATENATE(U366,"_"))</f>
        <v/>
      </c>
      <c r="W366" t="str">
        <f>IF(A366="YES",CONCATENATE("{",'Code List'!$B$4,'Code List'!$D$4,",",'Code List'!$B$5,'Code List'!$D$5,",",'Code List'!$B$6,"""",U366,"""",",",'Code List'!$B$7,'Code List'!$D$7,",",'Code List'!$B$8,'Code List'!$D$8,",",'Code List'!$B$9,'Code List'!$D$9,",",'Code List'!$B$10,'Code List'!$D$10,",",'Code List'!$B$11,"""",V366,"""",",",'Code List'!$B$12,"""",H366,"""",",",'Code List'!$B$13,"""",I366,"""",",",'Code List'!$B$14,"""",J366,"""",",",'Code List'!$B$15,"""",K366,"""",",",'Code List'!$B$16,"""",L366,"""",",",'Code List'!$B$17,"""",M366,"""",",",'Code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66" s="167" t="str">
        <f>IF(A366="YES",CONCATENATE("{",'Code List'!$B$31,"""",U366,"""",",",'Code List'!$B$32,'Code List'!$D$32,",",'Code List'!$B$33,'Code List'!$D$33,",",'Code List'!$B$34,'Code List'!$D$34,",",'Code List'!$B$35,'Code List'!$D$35,",",'Code List'!$B$36,'Code List'!$D$36,",",'Code List'!$B$37,'Code List'!$D$37,",",'Code List'!$B$38,"""",H366,"""",",",'Code List'!$B$39,"""",I366,"""",",",'Code List'!$B$40,"""",J366,"""",",",'Code List'!$B$41,"""",K366,"""",",",'Code List'!$B$42,"""",L366,"""",",",'Code List'!$B$43,"""",M366,"""",",",'Code List'!$B$44,"""",N366,"""",",",'Code List'!$B$45,"""",O366,"""",",",'Code List'!$B$46,"""",P366,"""",",",'Code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List'!$B$59,"""",T366,"""","}"),"")</f>
        <v/>
      </c>
    </row>
    <row r="367" spans="1:25" x14ac:dyDescent="0.25">
      <c r="A367" t="str">
        <f>IF(AND($A364="YES",E364=$D$1,F367&gt;0),"YES","NO")</f>
        <v>NO</v>
      </c>
      <c r="C367" t="s">
        <v>5</v>
      </c>
      <c r="D367" s="12" t="str">
        <f t="shared" si="315"/>
        <v>7D</v>
      </c>
      <c r="E367" t="s">
        <v>189</v>
      </c>
      <c r="F367">
        <f>'Expanded Base Data'!G362</f>
        <v>0</v>
      </c>
      <c r="G367" s="171">
        <f>F364</f>
        <v>0</v>
      </c>
      <c r="H367">
        <f>ROUND(B364+'Slide Measurements'!$D$17,$O$1)</f>
        <v>288.31</v>
      </c>
      <c r="I367">
        <f>ROUND(H367+(F367*'Slide Measurements'!$D$21),$O$1)</f>
        <v>288.31</v>
      </c>
      <c r="J367">
        <f>K366</f>
        <v>257.58</v>
      </c>
      <c r="K367">
        <f>J367+($I$1*'Slide Measurements'!$E$23-'Slide Measurements'!$E$23)</f>
        <v>259.43</v>
      </c>
      <c r="L367" s="5" t="str">
        <f>'Expanded Base Data'!$L362</f>
        <v/>
      </c>
      <c r="M367" s="5" t="str">
        <f>'Expanded Base Data'!$K362</f>
        <v/>
      </c>
      <c r="N367">
        <f t="shared" si="316"/>
        <v>0</v>
      </c>
      <c r="O367">
        <f t="shared" si="317"/>
        <v>1.85</v>
      </c>
      <c r="P367" s="5" t="e">
        <f t="shared" si="318"/>
        <v>#VALUE!</v>
      </c>
      <c r="Q367">
        <f>'Code List'!$C$63</f>
        <v>3</v>
      </c>
      <c r="R367">
        <f>F368+'Code List'!$G$63</f>
        <v>2</v>
      </c>
      <c r="S367" t="e">
        <f t="shared" si="319"/>
        <v>#VALUE!</v>
      </c>
      <c r="T367" t="e">
        <f t="shared" ref="T367:T370" si="321">Q367*R367*S367</f>
        <v>#VALUE!</v>
      </c>
      <c r="U367" t="str">
        <f>IF(A367="YES",CONCATENATE(G367,"_",'Program Page'!$C$4,'Program Page'!$C$5,"_",D367,"_",E367),"")</f>
        <v/>
      </c>
      <c r="V367" t="str">
        <f t="shared" si="320"/>
        <v/>
      </c>
      <c r="W367" t="str">
        <f>IF(A367="YES",CONCATENATE("{",'Code List'!$B$4,'Code List'!$D$4,",",'Code List'!$B$5,'Code List'!$D$5,",",'Code List'!$B$6,"""",U367,"""",",",'Code List'!$B$7,'Code List'!$D$7,",",'Code List'!$B$8,'Code List'!$D$8,",",'Code List'!$B$9,'Code List'!$D$9,",",'Code List'!$B$10,'Code List'!$D$10,",",'Code List'!$B$11,"""",V367,"""",",",'Code List'!$B$12,"""",H367,"""",",",'Code List'!$B$13,"""",I367,"""",",",'Code List'!$B$14,"""",J367,"""",",",'Code List'!$B$15,"""",K367,"""",",",'Code List'!$B$16,"""",L367,"""",",",'Code List'!$B$17,"""",M367,"""",",",'Code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67" s="167" t="str">
        <f>IF(A367="YES",CONCATENATE("{",'Code List'!$B$31,"""",U367,"""",",",'Code List'!$B$32,'Code List'!$D$32,",",'Code List'!$B$33,'Code List'!$D$33,",",'Code List'!$B$34,'Code List'!$D$34,",",'Code List'!$B$35,'Code List'!$D$35,",",'Code List'!$B$36,'Code List'!$D$36,",",'Code List'!$B$37,'Code List'!$D$37,",",'Code List'!$B$38,"""",H367,"""",",",'Code List'!$B$39,"""",I367,"""",",",'Code List'!$B$40,"""",J367,"""",",",'Code List'!$B$41,"""",K367,"""",",",'Code List'!$B$42,"""",L367,"""",",",'Code List'!$B$43,"""",M367,"""",",",'Code List'!$B$44,"""",N367,"""",",",'Code List'!$B$45,"""",O367,"""",",",'Code List'!$B$46,"""",P367,"""",",",'Code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List'!$B$59,"""",T367,"""","}"),"")</f>
        <v/>
      </c>
    </row>
    <row r="368" spans="1:25" x14ac:dyDescent="0.25">
      <c r="A368" t="str">
        <f>IF(AND($A364="YES",E364=$D$1,F368&gt;0),"YES","NO")</f>
        <v>NO</v>
      </c>
      <c r="C368" t="s">
        <v>5</v>
      </c>
      <c r="D368" s="12" t="str">
        <f t="shared" si="315"/>
        <v>7D</v>
      </c>
      <c r="E368" t="s">
        <v>190</v>
      </c>
      <c r="F368">
        <f>'Expanded Base Data'!H362</f>
        <v>0</v>
      </c>
      <c r="G368" s="171">
        <f>F364</f>
        <v>0</v>
      </c>
      <c r="H368">
        <f>ROUND(B364+'Slide Measurements'!$D$17,$O$1)</f>
        <v>288.31</v>
      </c>
      <c r="I368">
        <f>ROUND(H368+(F368*'Slide Measurements'!$D$21),$O$1)</f>
        <v>288.31</v>
      </c>
      <c r="J368">
        <f>K367</f>
        <v>259.43</v>
      </c>
      <c r="K368">
        <f>J368+($I$1*'Slide Measurements'!$E$23-'Slide Measurements'!$E$23)</f>
        <v>261.28000000000003</v>
      </c>
      <c r="L368" s="5" t="str">
        <f>'Expanded Base Data'!$L362</f>
        <v/>
      </c>
      <c r="M368" s="5" t="str">
        <f>'Expanded Base Data'!$K362</f>
        <v/>
      </c>
      <c r="N368">
        <f t="shared" si="316"/>
        <v>0</v>
      </c>
      <c r="O368">
        <f t="shared" si="317"/>
        <v>1.85</v>
      </c>
      <c r="P368" s="5" t="e">
        <f t="shared" si="318"/>
        <v>#VALUE!</v>
      </c>
      <c r="Q368">
        <f>'Code List'!$C$63</f>
        <v>3</v>
      </c>
      <c r="R368">
        <f>F369+'Code List'!$G$63</f>
        <v>2</v>
      </c>
      <c r="S368" t="e">
        <f t="shared" si="319"/>
        <v>#VALUE!</v>
      </c>
      <c r="T368" t="e">
        <f t="shared" si="321"/>
        <v>#VALUE!</v>
      </c>
      <c r="U368" t="str">
        <f>IF(A368="YES",CONCATENATE(G368,"_",'Program Page'!$C$4,'Program Page'!$C$5,"_",D368,"_",E368),"")</f>
        <v/>
      </c>
      <c r="V368" t="str">
        <f t="shared" si="320"/>
        <v/>
      </c>
      <c r="W368" t="str">
        <f>IF(A368="YES",CONCATENATE("{",'Code List'!$B$4,'Code List'!$D$4,",",'Code List'!$B$5,'Code List'!$D$5,",",'Code List'!$B$6,"""",U368,"""",",",'Code List'!$B$7,'Code List'!$D$7,",",'Code List'!$B$8,'Code List'!$D$8,",",'Code List'!$B$9,'Code List'!$D$9,",",'Code List'!$B$10,'Code List'!$D$10,",",'Code List'!$B$11,"""",V368,"""",",",'Code List'!$B$12,"""",H368,"""",",",'Code List'!$B$13,"""",I368,"""",",",'Code List'!$B$14,"""",J368,"""",",",'Code List'!$B$15,"""",K368,"""",",",'Code List'!$B$16,"""",L368,"""",",",'Code List'!$B$17,"""",M368,"""",",",'Code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68" s="167" t="str">
        <f>IF(A368="YES",CONCATENATE("{",'Code List'!$B$31,"""",U368,"""",",",'Code List'!$B$32,'Code List'!$D$32,",",'Code List'!$B$33,'Code List'!$D$33,",",'Code List'!$B$34,'Code List'!$D$34,",",'Code List'!$B$35,'Code List'!$D$35,",",'Code List'!$B$36,'Code List'!$D$36,",",'Code List'!$B$37,'Code List'!$D$37,",",'Code List'!$B$38,"""",H368,"""",",",'Code List'!$B$39,"""",I368,"""",",",'Code List'!$B$40,"""",J368,"""",",",'Code List'!$B$41,"""",K368,"""",",",'Code List'!$B$42,"""",L368,"""",",",'Code List'!$B$43,"""",M368,"""",",",'Code List'!$B$44,"""",N368,"""",",",'Code List'!$B$45,"""",O368,"""",",",'Code List'!$B$46,"""",P368,"""",",",'Code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List'!$B$59,"""",T368,"""","}"),"")</f>
        <v/>
      </c>
    </row>
    <row r="369" spans="1:25" x14ac:dyDescent="0.25">
      <c r="A369" t="str">
        <f>IF(AND($A364="YES",E364=$D$1,F369&gt;0),"YES","NO")</f>
        <v>NO</v>
      </c>
      <c r="C369" t="s">
        <v>5</v>
      </c>
      <c r="D369" s="12" t="str">
        <f t="shared" si="315"/>
        <v>7D</v>
      </c>
      <c r="E369" t="s">
        <v>191</v>
      </c>
      <c r="F369">
        <f>'Expanded Base Data'!I362</f>
        <v>0</v>
      </c>
      <c r="G369" s="171">
        <f>F364</f>
        <v>0</v>
      </c>
      <c r="H369">
        <f>ROUND(B364+'Slide Measurements'!$D$17,$O$1)</f>
        <v>288.31</v>
      </c>
      <c r="I369">
        <f>ROUND(H369+(F369*'Slide Measurements'!$D$21),$O$1)</f>
        <v>288.31</v>
      </c>
      <c r="J369">
        <f>K368</f>
        <v>261.28000000000003</v>
      </c>
      <c r="K369">
        <f>J369+($I$1*'Slide Measurements'!$E$23-'Slide Measurements'!$E$23)</f>
        <v>263.13000000000005</v>
      </c>
      <c r="L369" s="5" t="str">
        <f>'Expanded Base Data'!$L362</f>
        <v/>
      </c>
      <c r="M369" s="5" t="str">
        <f>'Expanded Base Data'!$K362</f>
        <v/>
      </c>
      <c r="N369">
        <f t="shared" si="316"/>
        <v>0</v>
      </c>
      <c r="O369">
        <f t="shared" si="317"/>
        <v>1.85</v>
      </c>
      <c r="P369" s="5" t="e">
        <f t="shared" si="318"/>
        <v>#VALUE!</v>
      </c>
      <c r="Q369">
        <f>'Code List'!$C$63</f>
        <v>3</v>
      </c>
      <c r="R369">
        <f>F370+'Code List'!$G$63</f>
        <v>2</v>
      </c>
      <c r="S369" t="e">
        <f t="shared" si="319"/>
        <v>#VALUE!</v>
      </c>
      <c r="T369" t="e">
        <f t="shared" si="321"/>
        <v>#VALUE!</v>
      </c>
      <c r="U369" t="str">
        <f>IF(A369="YES",CONCATENATE(G369,"_",'Program Page'!$C$4,'Program Page'!$C$5,"_",D369,"_",E369),"")</f>
        <v/>
      </c>
      <c r="V369" t="str">
        <f t="shared" si="320"/>
        <v/>
      </c>
      <c r="W369" t="str">
        <f>IF(A369="YES",CONCATENATE("{",'Code List'!$B$4,'Code List'!$D$4,",",'Code List'!$B$5,'Code List'!$D$5,",",'Code List'!$B$6,"""",U369,"""",",",'Code List'!$B$7,'Code List'!$D$7,",",'Code List'!$B$8,'Code List'!$D$8,",",'Code List'!$B$9,'Code List'!$D$9,",",'Code List'!$B$10,'Code List'!$D$10,",",'Code List'!$B$11,"""",V369,"""",",",'Code List'!$B$12,"""",H369,"""",",",'Code List'!$B$13,"""",I369,"""",",",'Code List'!$B$14,"""",J369,"""",",",'Code List'!$B$15,"""",K369,"""",",",'Code List'!$B$16,"""",L369,"""",",",'Code List'!$B$17,"""",M369,"""",",",'Code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69" s="167" t="str">
        <f>IF(A369="YES",CONCATENATE("{",'Code List'!$B$31,"""",U369,"""",",",'Code List'!$B$32,'Code List'!$D$32,",",'Code List'!$B$33,'Code List'!$D$33,",",'Code List'!$B$34,'Code List'!$D$34,",",'Code List'!$B$35,'Code List'!$D$35,",",'Code List'!$B$36,'Code List'!$D$36,",",'Code List'!$B$37,'Code List'!$D$37,",",'Code List'!$B$38,"""",H369,"""",",",'Code List'!$B$39,"""",I369,"""",",",'Code List'!$B$40,"""",J369,"""",",",'Code List'!$B$41,"""",K369,"""",",",'Code List'!$B$42,"""",L369,"""",",",'Code List'!$B$43,"""",M369,"""",",",'Code List'!$B$44,"""",N369,"""",",",'Code List'!$B$45,"""",O369,"""",",",'Code List'!$B$46,"""",P369,"""",",",'Code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List'!$B$59,"""",T369,"""","}"),"")</f>
        <v/>
      </c>
    </row>
    <row r="370" spans="1:25" x14ac:dyDescent="0.25">
      <c r="A370" t="str">
        <f>IF(AND($A364="YES",E364=$D$1,F370&gt;0),"YES","NO")</f>
        <v>NO</v>
      </c>
      <c r="C370" t="s">
        <v>5</v>
      </c>
      <c r="D370" s="12" t="str">
        <f t="shared" si="315"/>
        <v>7D</v>
      </c>
      <c r="E370" t="s">
        <v>196</v>
      </c>
      <c r="F370">
        <f>'Expanded Base Data'!J362</f>
        <v>0</v>
      </c>
      <c r="G370" s="171">
        <f>F364</f>
        <v>0</v>
      </c>
      <c r="H370">
        <f>ROUND(B364+'Slide Measurements'!$D$17,$O$1)</f>
        <v>288.31</v>
      </c>
      <c r="I370">
        <f>ROUND(H370+(F370*'Slide Measurements'!$D$21),$O$1)</f>
        <v>288.31</v>
      </c>
      <c r="J370">
        <f>K369</f>
        <v>263.13000000000005</v>
      </c>
      <c r="K370">
        <f>J370+($I$1*'Slide Measurements'!$E$23-'Slide Measurements'!$E$23)</f>
        <v>264.98000000000008</v>
      </c>
      <c r="L370" s="5" t="str">
        <f>'Expanded Base Data'!$L362</f>
        <v/>
      </c>
      <c r="M370" s="5" t="str">
        <f>'Expanded Base Data'!$K362</f>
        <v/>
      </c>
      <c r="N370">
        <f t="shared" si="316"/>
        <v>0</v>
      </c>
      <c r="O370">
        <f t="shared" si="317"/>
        <v>1.85</v>
      </c>
      <c r="P370" s="5" t="e">
        <f t="shared" si="318"/>
        <v>#VALUE!</v>
      </c>
      <c r="Q370">
        <f>'Code List'!$C$63</f>
        <v>3</v>
      </c>
      <c r="R370">
        <f>F371+'Code List'!$G$63</f>
        <v>2</v>
      </c>
      <c r="S370" t="e">
        <f t="shared" si="319"/>
        <v>#VALUE!</v>
      </c>
      <c r="T370" t="e">
        <f t="shared" si="321"/>
        <v>#VALUE!</v>
      </c>
      <c r="U370" t="str">
        <f>IF(A370="YES",CONCATENATE(G370,"_",'Program Page'!$C$4,'Program Page'!$C$5,"_",D370,"_",E370),"")</f>
        <v/>
      </c>
      <c r="V370" t="str">
        <f t="shared" si="320"/>
        <v/>
      </c>
      <c r="W370" t="str">
        <f>IF(A370="YES",CONCATENATE("{",'Code List'!$B$4,'Code List'!$D$4,",",'Code List'!$B$5,'Code List'!$D$5,",",'Code List'!$B$6,"""",U370,"""",",",'Code List'!$B$7,'Code List'!$D$7,",",'Code List'!$B$8,'Code List'!$D$8,",",'Code List'!$B$9,'Code List'!$D$9,",",'Code List'!$B$10,'Code List'!$D$10,",",'Code List'!$B$11,"""",V370,"""",",",'Code List'!$B$12,"""",H370,"""",",",'Code List'!$B$13,"""",I370,"""",",",'Code List'!$B$14,"""",J370,"""",",",'Code List'!$B$15,"""",K370,"""",",",'Code List'!$B$16,"""",L370,"""",",",'Code List'!$B$17,"""",M370,"""",",",'Code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70" s="167" t="str">
        <f>IF(A370="YES",CONCATENATE("{",'Code List'!$B$31,"""",U370,"""",",",'Code List'!$B$32,'Code List'!$D$32,",",'Code List'!$B$33,'Code List'!$D$33,",",'Code List'!$B$34,'Code List'!$D$34,",",'Code List'!$B$35,'Code List'!$D$35,",",'Code List'!$B$36,'Code List'!$D$36,",",'Code List'!$B$37,'Code List'!$D$37,",",'Code List'!$B$38,"""",H370,"""",",",'Code List'!$B$39,"""",I370,"""",",",'Code List'!$B$40,"""",J370,"""",",",'Code List'!$B$41,"""",K370,"""",",",'Code List'!$B$42,"""",L370,"""",",",'Code List'!$B$43,"""",M370,"""",",",'Code List'!$B$44,"""",N370,"""",",",'Code List'!$B$45,"""",O370,"""",",",'Code List'!$B$46,"""",P370,"""",",",'Code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List'!$B$59,"""",T370,"""","}"),"")</f>
        <v/>
      </c>
    </row>
    <row r="371" spans="1:25" x14ac:dyDescent="0.25">
      <c r="A371" s="162" t="str">
        <f>IF(AND($A364="YES",E364=$E$1),"YES","NO")</f>
        <v>NO</v>
      </c>
      <c r="C371" t="s">
        <v>259</v>
      </c>
      <c r="D371" s="12" t="str">
        <f>D370</f>
        <v>7D</v>
      </c>
      <c r="E371" t="s">
        <v>259</v>
      </c>
      <c r="G371" s="171">
        <f>F364</f>
        <v>0</v>
      </c>
      <c r="H371">
        <f>ROUND(B364,$O$1)</f>
        <v>262.91000000000003</v>
      </c>
      <c r="I371">
        <f>ROUND(B364+'Slide Measurements'!$D$1,$O$1)</f>
        <v>339.36</v>
      </c>
      <c r="J371">
        <f>C364</f>
        <v>251.42999999999998</v>
      </c>
      <c r="K371">
        <f>C364+'Slide Measurements'!$D$2</f>
        <v>278.83</v>
      </c>
      <c r="L371" s="5" t="str">
        <f>'Expanded Base Data'!$L362</f>
        <v/>
      </c>
      <c r="M371" s="5" t="str">
        <f>'Expanded Base Data'!$K362</f>
        <v/>
      </c>
      <c r="N371">
        <f t="shared" si="316"/>
        <v>76.45</v>
      </c>
      <c r="O371">
        <f t="shared" si="317"/>
        <v>27.4</v>
      </c>
      <c r="P371" s="5" t="e">
        <f>ROUND((L371-M371),$O$1)</f>
        <v>#VALUE!</v>
      </c>
      <c r="Q371">
        <f>'Code List'!$C$70</f>
        <v>11</v>
      </c>
      <c r="R371">
        <f>'Code List'!$D$70</f>
        <v>19</v>
      </c>
      <c r="S371" t="e">
        <f>IF(P371=0,"1",ROUND((P371/$K$1)+$M$1,0))</f>
        <v>#VALUE!</v>
      </c>
      <c r="T371" t="e">
        <f>Q371*R371*S371</f>
        <v>#VALUE!</v>
      </c>
      <c r="U371" t="str">
        <f>IF(A371="YES",CONCATENATE(G371,"_",'Program Page'!$C$4,'Program Page'!$C$5,"_",D371,"_",E371),"")</f>
        <v/>
      </c>
      <c r="V371" t="str">
        <f>IF(U371="","",CONCATENATE(U371,"_"))</f>
        <v/>
      </c>
      <c r="W371" t="str">
        <f>IF(A371="YES",CONCATENATE("{",'Code List'!$B$4,'Code List'!$D$4,",",'Code List'!$B$5,'Code List'!$D$5,",",'Code List'!$B$6,"""",U371,"""",",",'Code List'!$B$7,'Code List'!$D$7,",",'Code List'!$B$8,'Code List'!$D$8,",",'Code List'!$B$9,'Code List'!$D$9,",",'Code List'!$B$10,'Code List'!$D$10,",",'Code List'!$B$11,"""",V371,"""",",",'Code List'!$B$12,"""",H371,"""",",",'Code List'!$B$13,"""",I371,"""",",",'Code List'!$B$14,"""",J371,"""",",",'Code List'!$B$15,"""",K371,"""",",",'Code List'!$B$16,"""",L371,"""",",",'Code List'!$B$17,"""",M371,"""",",",'Code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371" s="167" t="str">
        <f>IF(A371="YES",CONCATENATE("{",'Code List'!$B$31,"""",U371,"""",",",'Code List'!$B$32,'Code List'!$D$32,",",'Code List'!$B$33,'Code List'!$D$33,",",'Code List'!$B$34,'Code List'!$D$34,",",'Code List'!$B$35,'Code List'!$D$35,",",'Code List'!$B$36,'Code List'!$D$36,",",'Code List'!$B$37,'Code List'!$D$37,",",'Code List'!$B$38,"""",H371,"""",",",'Code List'!$B$39,"""",I371,"""",",",'Code List'!$B$40,"""",J371,"""",",",'Code List'!$B$41,"""",K371,"""",",",'Code List'!$B$42,"""",L371,"""",",",'Code List'!$B$43,"""",M371,"""",",",'Code List'!$B$44,"""",N371,"""",",",'Code List'!$B$45,"""",O371,"""",",",'Code List'!$B$46,"""",P371,"""",",",'Code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List'!$B$59,"""",T371,"""","}"),"")</f>
        <v/>
      </c>
    </row>
    <row r="372" spans="1:25" ht="18.75" x14ac:dyDescent="0.3">
      <c r="A372" s="35" t="str">
        <f>IF(OR(E372=$C$1,E372=$D$1,E372=$E$1),"YES","NO")</f>
        <v>NO</v>
      </c>
      <c r="B372" s="35">
        <f>'Expanded Base Data'!D370</f>
        <v>349.31</v>
      </c>
      <c r="C372" s="35">
        <f>'Expanded Base Data'!E370</f>
        <v>251.42999999999998</v>
      </c>
      <c r="D372" s="36" t="str">
        <f>'Expanded Base Data'!B370</f>
        <v>7E</v>
      </c>
      <c r="E372" s="35">
        <f>'Expanded Base Data'!C370</f>
        <v>0</v>
      </c>
      <c r="F372" s="35">
        <f>'Expanded Base Data'!M370</f>
        <v>0</v>
      </c>
      <c r="G372" s="170">
        <f>F372</f>
        <v>0</v>
      </c>
      <c r="Y372" s="167" t="str">
        <f>""</f>
        <v/>
      </c>
    </row>
    <row r="373" spans="1:25" x14ac:dyDescent="0.25">
      <c r="A373" t="str">
        <f>IF(AND($A372="YES",E372=$C$1),"YES","NO")</f>
        <v>NO</v>
      </c>
      <c r="C373" t="s">
        <v>6</v>
      </c>
      <c r="D373" s="12" t="str">
        <f>D372</f>
        <v>7E</v>
      </c>
      <c r="E373" t="s">
        <v>6</v>
      </c>
      <c r="F373" t="s">
        <v>198</v>
      </c>
      <c r="G373" s="171">
        <f>F372</f>
        <v>0</v>
      </c>
      <c r="H373">
        <f>IF('Expanded Base Data'!N370="",ROUND(B372+'Slide Measurements'!$D$11,$O$1),B372+'Expanded Base Data'!N370)</f>
        <v>382.31</v>
      </c>
      <c r="I373">
        <f>IF('Expanded Base Data'!O370="",ROUND(B372+'Slide Measurements'!$D$12,$O$1),B372+'Expanded Base Data'!O370)</f>
        <v>390.91</v>
      </c>
      <c r="J373">
        <f>IF('Expanded Base Data'!P370="",C372+'Slide Measurements'!$E$13,C372+'Expanded Base Data'!P370)</f>
        <v>260.13</v>
      </c>
      <c r="K373">
        <f>IF('Expanded Base Data'!Q370="",C372+'Slide Measurements'!$E$14,C372+'Expanded Base Data'!Q370)</f>
        <v>268.72999999999996</v>
      </c>
      <c r="L373" s="5" t="str">
        <f>'Expanded Base Data'!$L370</f>
        <v/>
      </c>
      <c r="M373" s="5" t="str">
        <f>'Expanded Base Data'!$K370</f>
        <v/>
      </c>
      <c r="N373">
        <f>ROUND((I373-H373),$O$1)</f>
        <v>8.6</v>
      </c>
      <c r="O373">
        <f>ROUND((K373-J373),$O$1)</f>
        <v>8.6</v>
      </c>
      <c r="P373" s="5" t="e">
        <f>ROUND((L373-M373),$O$1)</f>
        <v>#VALUE!</v>
      </c>
      <c r="Q373">
        <f>'Code List'!$C$62</f>
        <v>5</v>
      </c>
      <c r="R373">
        <f>F374+'Code List'!$G$63</f>
        <v>2</v>
      </c>
      <c r="S373" t="e">
        <f>IF(P373=0,"1",ROUND((P373/$K$1)+$M$1,0))</f>
        <v>#VALUE!</v>
      </c>
      <c r="T373" t="e">
        <f>Q373*R373*S373</f>
        <v>#VALUE!</v>
      </c>
      <c r="U373" t="str">
        <f>IF(A373="YES",CONCATENATE(G373,"_",'Program Page'!$C$4,'Program Page'!$C$5,"_",D373,"_",E373),"")</f>
        <v/>
      </c>
      <c r="V373" t="str">
        <f>IF(U373="","",CONCATENATE(U373,"_"))</f>
        <v/>
      </c>
      <c r="W373" t="str">
        <f>IF(A373="YES",CONCATENATE("{",'Code List'!$B$4,'Code List'!$D$4,",",'Code List'!$B$5,'Code List'!$D$5,",",'Code List'!$B$6,"""",U373,"""",",",'Code List'!$B$7,'Code List'!$D$7,",",'Code List'!$B$8,'Code List'!$D$8,",",'Code List'!$B$9,'Code List'!$D$9,",",'Code List'!$B$10,'Code List'!$D$10,",",'Code List'!$B$11,"""",V373,"""",",",'Code List'!$B$12,"""",H373,"""",",",'Code List'!$B$13,"""",I373,"""",",",'Code List'!$B$14,"""",J373,"""",",",'Code List'!$B$15,"""",K373,"""",",",'Code List'!$B$16,"""",L373,"""",",",'Code List'!$B$17,"""",M373,"""",",",'Code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73" s="167" t="str">
        <f>IF(A373="YES",CONCATENATE("{",'Code List'!$B$31,"""",U373,"""",",",'Code List'!$B$32,'Code List'!$D$32,",",'Code List'!$B$33,'Code List'!$D$33,",",'Code List'!$B$34,'Code List'!$D$34,",",'Code List'!$B$35,'Code List'!$D$35,",",'Code List'!$B$36,'Code List'!$D$36,",",'Code List'!$B$37,'Code List'!$D$37,",",'Code List'!$B$38,"""",H373,"""",",",'Code List'!$B$39,"""",I373,"""",",",'Code List'!$B$40,"""",J373,"""",",",'Code List'!$B$41,"""",K373,"""",",",'Code List'!$B$42,"""",L373,"""",",",'Code List'!$B$43,"""",M373,"""",",",'Code List'!$B$44,"""",N373,"""",",",'Code List'!$B$45,"""",O373,"""",",",'Code List'!$B$46,"""",P373,"""",",",'Code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List'!$B$59,"""",T373,"""","}"),"")</f>
        <v/>
      </c>
    </row>
    <row r="374" spans="1:25" x14ac:dyDescent="0.25">
      <c r="A374" t="str">
        <f>IF(AND($A372="YES",E372=$D$1,F374&gt;0),"YES","NO")</f>
        <v>NO</v>
      </c>
      <c r="C374" t="s">
        <v>5</v>
      </c>
      <c r="D374" s="12" t="str">
        <f t="shared" ref="D374:D378" si="322">D373</f>
        <v>7E</v>
      </c>
      <c r="E374" t="s">
        <v>188</v>
      </c>
      <c r="F374">
        <f>'Expanded Base Data'!F370</f>
        <v>0</v>
      </c>
      <c r="G374" s="171">
        <f>F372</f>
        <v>0</v>
      </c>
      <c r="H374">
        <f>ROUND(B372+'Slide Measurements'!$D$17,$O$1)</f>
        <v>374.71</v>
      </c>
      <c r="I374">
        <f>ROUND(H374+(F374*'Slide Measurements'!$D$21),$O$1)</f>
        <v>374.71</v>
      </c>
      <c r="J374">
        <f>C372+'Slide Measurements'!$E$17</f>
        <v>255.73</v>
      </c>
      <c r="K374">
        <f>J374+($I$1*'Slide Measurements'!$E$23-'Slide Measurements'!$E$23)</f>
        <v>257.58</v>
      </c>
      <c r="L374" s="5" t="str">
        <f>'Expanded Base Data'!$L370</f>
        <v/>
      </c>
      <c r="M374" s="5" t="str">
        <f>'Expanded Base Data'!$K370</f>
        <v/>
      </c>
      <c r="N374">
        <f t="shared" ref="N374:N379" si="323">ROUND((I374-H374),$O$1)</f>
        <v>0</v>
      </c>
      <c r="O374">
        <f t="shared" ref="O374:O379" si="324">ROUND((K374-J374),$O$1)</f>
        <v>1.85</v>
      </c>
      <c r="P374" s="5" t="e">
        <f t="shared" ref="P374:P378" si="325">ROUND((L374-M374),$O$1)</f>
        <v>#VALUE!</v>
      </c>
      <c r="Q374">
        <f>'Code List'!$C$63</f>
        <v>3</v>
      </c>
      <c r="R374">
        <f>F375+'Code List'!$G$63</f>
        <v>2</v>
      </c>
      <c r="S374" t="e">
        <f t="shared" ref="S374:S378" si="326">IF(P374=0,"1",ROUND((P374/$K$1)+$M$1,0))</f>
        <v>#VALUE!</v>
      </c>
      <c r="T374" t="e">
        <f>Q374*R374*S374</f>
        <v>#VALUE!</v>
      </c>
      <c r="U374" t="str">
        <f>IF(A374="YES",CONCATENATE(G374,"_",'Program Page'!$C$4,'Program Page'!$C$5,"_",D374,"_",E374),"")</f>
        <v/>
      </c>
      <c r="V374" t="str">
        <f t="shared" ref="V374:V378" si="327">IF(U374="","",CONCATENATE(U374,"_"))</f>
        <v/>
      </c>
      <c r="W374" t="str">
        <f>IF(A374="YES",CONCATENATE("{",'Code List'!$B$4,'Code List'!$D$4,",",'Code List'!$B$5,'Code List'!$D$5,",",'Code List'!$B$6,"""",U374,"""",",",'Code List'!$B$7,'Code List'!$D$7,",",'Code List'!$B$8,'Code List'!$D$8,",",'Code List'!$B$9,'Code List'!$D$9,",",'Code List'!$B$10,'Code List'!$D$10,",",'Code List'!$B$11,"""",V374,"""",",",'Code List'!$B$12,"""",H374,"""",",",'Code List'!$B$13,"""",I374,"""",",",'Code List'!$B$14,"""",J374,"""",",",'Code List'!$B$15,"""",K374,"""",",",'Code List'!$B$16,"""",L374,"""",",",'Code List'!$B$17,"""",M374,"""",",",'Code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74" s="167" t="str">
        <f>IF(A374="YES",CONCATENATE("{",'Code List'!$B$31,"""",U374,"""",",",'Code List'!$B$32,'Code List'!$D$32,",",'Code List'!$B$33,'Code List'!$D$33,",",'Code List'!$B$34,'Code List'!$D$34,",",'Code List'!$B$35,'Code List'!$D$35,",",'Code List'!$B$36,'Code List'!$D$36,",",'Code List'!$B$37,'Code List'!$D$37,",",'Code List'!$B$38,"""",H374,"""",",",'Code List'!$B$39,"""",I374,"""",",",'Code List'!$B$40,"""",J374,"""",",",'Code List'!$B$41,"""",K374,"""",",",'Code List'!$B$42,"""",L374,"""",",",'Code List'!$B$43,"""",M374,"""",",",'Code List'!$B$44,"""",N374,"""",",",'Code List'!$B$45,"""",O374,"""",",",'Code List'!$B$46,"""",P374,"""",",",'Code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List'!$B$59,"""",T374,"""","}"),"")</f>
        <v/>
      </c>
    </row>
    <row r="375" spans="1:25" x14ac:dyDescent="0.25">
      <c r="A375" t="str">
        <f>IF(AND($A372="YES",E372=$D$1,F375&gt;0),"YES","NO")</f>
        <v>NO</v>
      </c>
      <c r="C375" t="s">
        <v>5</v>
      </c>
      <c r="D375" s="12" t="str">
        <f t="shared" si="322"/>
        <v>7E</v>
      </c>
      <c r="E375" t="s">
        <v>189</v>
      </c>
      <c r="F375">
        <f>'Expanded Base Data'!G370</f>
        <v>0</v>
      </c>
      <c r="G375" s="171">
        <f>F372</f>
        <v>0</v>
      </c>
      <c r="H375">
        <f>ROUND(B372+'Slide Measurements'!$D$17,$O$1)</f>
        <v>374.71</v>
      </c>
      <c r="I375">
        <f>ROUND(H375+(F375*'Slide Measurements'!$D$21),$O$1)</f>
        <v>374.71</v>
      </c>
      <c r="J375">
        <f>K374</f>
        <v>257.58</v>
      </c>
      <c r="K375">
        <f>J375+($I$1*'Slide Measurements'!$E$23-'Slide Measurements'!$E$23)</f>
        <v>259.43</v>
      </c>
      <c r="L375" s="5" t="str">
        <f>'Expanded Base Data'!$L370</f>
        <v/>
      </c>
      <c r="M375" s="5" t="str">
        <f>'Expanded Base Data'!$K370</f>
        <v/>
      </c>
      <c r="N375">
        <f t="shared" si="323"/>
        <v>0</v>
      </c>
      <c r="O375">
        <f t="shared" si="324"/>
        <v>1.85</v>
      </c>
      <c r="P375" s="5" t="e">
        <f t="shared" si="325"/>
        <v>#VALUE!</v>
      </c>
      <c r="Q375">
        <f>'Code List'!$C$63</f>
        <v>3</v>
      </c>
      <c r="R375">
        <f>F376+'Code List'!$G$63</f>
        <v>2</v>
      </c>
      <c r="S375" t="e">
        <f t="shared" si="326"/>
        <v>#VALUE!</v>
      </c>
      <c r="T375" t="e">
        <f t="shared" ref="T375:T378" si="328">Q375*R375*S375</f>
        <v>#VALUE!</v>
      </c>
      <c r="U375" t="str">
        <f>IF(A375="YES",CONCATENATE(G375,"_",'Program Page'!$C$4,'Program Page'!$C$5,"_",D375,"_",E375),"")</f>
        <v/>
      </c>
      <c r="V375" t="str">
        <f t="shared" si="327"/>
        <v/>
      </c>
      <c r="W375" t="str">
        <f>IF(A375="YES",CONCATENATE("{",'Code List'!$B$4,'Code List'!$D$4,",",'Code List'!$B$5,'Code List'!$D$5,",",'Code List'!$B$6,"""",U375,"""",",",'Code List'!$B$7,'Code List'!$D$7,",",'Code List'!$B$8,'Code List'!$D$8,",",'Code List'!$B$9,'Code List'!$D$9,",",'Code List'!$B$10,'Code List'!$D$10,",",'Code List'!$B$11,"""",V375,"""",",",'Code List'!$B$12,"""",H375,"""",",",'Code List'!$B$13,"""",I375,"""",",",'Code List'!$B$14,"""",J375,"""",",",'Code List'!$B$15,"""",K375,"""",",",'Code List'!$B$16,"""",L375,"""",",",'Code List'!$B$17,"""",M375,"""",",",'Code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75" s="167" t="str">
        <f>IF(A375="YES",CONCATENATE("{",'Code List'!$B$31,"""",U375,"""",",",'Code List'!$B$32,'Code List'!$D$32,",",'Code List'!$B$33,'Code List'!$D$33,",",'Code List'!$B$34,'Code List'!$D$34,",",'Code List'!$B$35,'Code List'!$D$35,",",'Code List'!$B$36,'Code List'!$D$36,",",'Code List'!$B$37,'Code List'!$D$37,",",'Code List'!$B$38,"""",H375,"""",",",'Code List'!$B$39,"""",I375,"""",",",'Code List'!$B$40,"""",J375,"""",",",'Code List'!$B$41,"""",K375,"""",",",'Code List'!$B$42,"""",L375,"""",",",'Code List'!$B$43,"""",M375,"""",",",'Code List'!$B$44,"""",N375,"""",",",'Code List'!$B$45,"""",O375,"""",",",'Code List'!$B$46,"""",P375,"""",",",'Code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List'!$B$59,"""",T375,"""","}"),"")</f>
        <v/>
      </c>
    </row>
    <row r="376" spans="1:25" x14ac:dyDescent="0.25">
      <c r="A376" t="str">
        <f>IF(AND($A372="YES",E372=$D$1,F376&gt;0),"YES","NO")</f>
        <v>NO</v>
      </c>
      <c r="C376" t="s">
        <v>5</v>
      </c>
      <c r="D376" s="12" t="str">
        <f t="shared" si="322"/>
        <v>7E</v>
      </c>
      <c r="E376" t="s">
        <v>190</v>
      </c>
      <c r="F376">
        <f>'Expanded Base Data'!H370</f>
        <v>0</v>
      </c>
      <c r="G376" s="171">
        <f>F372</f>
        <v>0</v>
      </c>
      <c r="H376">
        <f>ROUND(B372+'Slide Measurements'!$D$17,$O$1)</f>
        <v>374.71</v>
      </c>
      <c r="I376">
        <f>ROUND(H376+(F376*'Slide Measurements'!$D$21),$O$1)</f>
        <v>374.71</v>
      </c>
      <c r="J376">
        <f>K375</f>
        <v>259.43</v>
      </c>
      <c r="K376">
        <f>J376+($I$1*'Slide Measurements'!$E$23-'Slide Measurements'!$E$23)</f>
        <v>261.28000000000003</v>
      </c>
      <c r="L376" s="5" t="str">
        <f>'Expanded Base Data'!$L370</f>
        <v/>
      </c>
      <c r="M376" s="5" t="str">
        <f>'Expanded Base Data'!$K370</f>
        <v/>
      </c>
      <c r="N376">
        <f t="shared" si="323"/>
        <v>0</v>
      </c>
      <c r="O376">
        <f t="shared" si="324"/>
        <v>1.85</v>
      </c>
      <c r="P376" s="5" t="e">
        <f t="shared" si="325"/>
        <v>#VALUE!</v>
      </c>
      <c r="Q376">
        <f>'Code List'!$C$63</f>
        <v>3</v>
      </c>
      <c r="R376">
        <f>F377+'Code List'!$G$63</f>
        <v>2</v>
      </c>
      <c r="S376" t="e">
        <f t="shared" si="326"/>
        <v>#VALUE!</v>
      </c>
      <c r="T376" t="e">
        <f t="shared" si="328"/>
        <v>#VALUE!</v>
      </c>
      <c r="U376" t="str">
        <f>IF(A376="YES",CONCATENATE(G376,"_",'Program Page'!$C$4,'Program Page'!$C$5,"_",D376,"_",E376),"")</f>
        <v/>
      </c>
      <c r="V376" t="str">
        <f t="shared" si="327"/>
        <v/>
      </c>
      <c r="W376" t="str">
        <f>IF(A376="YES",CONCATENATE("{",'Code List'!$B$4,'Code List'!$D$4,",",'Code List'!$B$5,'Code List'!$D$5,",",'Code List'!$B$6,"""",U376,"""",",",'Code List'!$B$7,'Code List'!$D$7,",",'Code List'!$B$8,'Code List'!$D$8,",",'Code List'!$B$9,'Code List'!$D$9,",",'Code List'!$B$10,'Code List'!$D$10,",",'Code List'!$B$11,"""",V376,"""",",",'Code List'!$B$12,"""",H376,"""",",",'Code List'!$B$13,"""",I376,"""",",",'Code List'!$B$14,"""",J376,"""",",",'Code List'!$B$15,"""",K376,"""",",",'Code List'!$B$16,"""",L376,"""",",",'Code List'!$B$17,"""",M376,"""",",",'Code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76" s="167" t="str">
        <f>IF(A376="YES",CONCATENATE("{",'Code List'!$B$31,"""",U376,"""",",",'Code List'!$B$32,'Code List'!$D$32,",",'Code List'!$B$33,'Code List'!$D$33,",",'Code List'!$B$34,'Code List'!$D$34,",",'Code List'!$B$35,'Code List'!$D$35,",",'Code List'!$B$36,'Code List'!$D$36,",",'Code List'!$B$37,'Code List'!$D$37,",",'Code List'!$B$38,"""",H376,"""",",",'Code List'!$B$39,"""",I376,"""",",",'Code List'!$B$40,"""",J376,"""",",",'Code List'!$B$41,"""",K376,"""",",",'Code List'!$B$42,"""",L376,"""",",",'Code List'!$B$43,"""",M376,"""",",",'Code List'!$B$44,"""",N376,"""",",",'Code List'!$B$45,"""",O376,"""",",",'Code List'!$B$46,"""",P376,"""",",",'Code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List'!$B$59,"""",T376,"""","}"),"")</f>
        <v/>
      </c>
    </row>
    <row r="377" spans="1:25" x14ac:dyDescent="0.25">
      <c r="A377" t="str">
        <f>IF(AND($A372="YES",E372=$D$1,F377&gt;0),"YES","NO")</f>
        <v>NO</v>
      </c>
      <c r="C377" t="s">
        <v>5</v>
      </c>
      <c r="D377" s="12" t="str">
        <f t="shared" si="322"/>
        <v>7E</v>
      </c>
      <c r="E377" t="s">
        <v>191</v>
      </c>
      <c r="F377">
        <f>'Expanded Base Data'!I370</f>
        <v>0</v>
      </c>
      <c r="G377" s="171">
        <f>F372</f>
        <v>0</v>
      </c>
      <c r="H377">
        <f>ROUND(B372+'Slide Measurements'!$D$17,$O$1)</f>
        <v>374.71</v>
      </c>
      <c r="I377">
        <f>ROUND(H377+(F377*'Slide Measurements'!$D$21),$O$1)</f>
        <v>374.71</v>
      </c>
      <c r="J377">
        <f>K376</f>
        <v>261.28000000000003</v>
      </c>
      <c r="K377">
        <f>J377+($I$1*'Slide Measurements'!$E$23-'Slide Measurements'!$E$23)</f>
        <v>263.13000000000005</v>
      </c>
      <c r="L377" s="5" t="str">
        <f>'Expanded Base Data'!$L370</f>
        <v/>
      </c>
      <c r="M377" s="5" t="str">
        <f>'Expanded Base Data'!$K370</f>
        <v/>
      </c>
      <c r="N377">
        <f t="shared" si="323"/>
        <v>0</v>
      </c>
      <c r="O377">
        <f t="shared" si="324"/>
        <v>1.85</v>
      </c>
      <c r="P377" s="5" t="e">
        <f t="shared" si="325"/>
        <v>#VALUE!</v>
      </c>
      <c r="Q377">
        <f>'Code List'!$C$63</f>
        <v>3</v>
      </c>
      <c r="R377">
        <f>F378+'Code List'!$G$63</f>
        <v>2</v>
      </c>
      <c r="S377" t="e">
        <f t="shared" si="326"/>
        <v>#VALUE!</v>
      </c>
      <c r="T377" t="e">
        <f t="shared" si="328"/>
        <v>#VALUE!</v>
      </c>
      <c r="U377" t="str">
        <f>IF(A377="YES",CONCATENATE(G377,"_",'Program Page'!$C$4,'Program Page'!$C$5,"_",D377,"_",E377),"")</f>
        <v/>
      </c>
      <c r="V377" t="str">
        <f t="shared" si="327"/>
        <v/>
      </c>
      <c r="W377" t="str">
        <f>IF(A377="YES",CONCATENATE("{",'Code List'!$B$4,'Code List'!$D$4,",",'Code List'!$B$5,'Code List'!$D$5,",",'Code List'!$B$6,"""",U377,"""",",",'Code List'!$B$7,'Code List'!$D$7,",",'Code List'!$B$8,'Code List'!$D$8,",",'Code List'!$B$9,'Code List'!$D$9,",",'Code List'!$B$10,'Code List'!$D$10,",",'Code List'!$B$11,"""",V377,"""",",",'Code List'!$B$12,"""",H377,"""",",",'Code List'!$B$13,"""",I377,"""",",",'Code List'!$B$14,"""",J377,"""",",",'Code List'!$B$15,"""",K377,"""",",",'Code List'!$B$16,"""",L377,"""",",",'Code List'!$B$17,"""",M377,"""",",",'Code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77" s="167" t="str">
        <f>IF(A377="YES",CONCATENATE("{",'Code List'!$B$31,"""",U377,"""",",",'Code List'!$B$32,'Code List'!$D$32,",",'Code List'!$B$33,'Code List'!$D$33,",",'Code List'!$B$34,'Code List'!$D$34,",",'Code List'!$B$35,'Code List'!$D$35,",",'Code List'!$B$36,'Code List'!$D$36,",",'Code List'!$B$37,'Code List'!$D$37,",",'Code List'!$B$38,"""",H377,"""",",",'Code List'!$B$39,"""",I377,"""",",",'Code List'!$B$40,"""",J377,"""",",",'Code List'!$B$41,"""",K377,"""",",",'Code List'!$B$42,"""",L377,"""",",",'Code List'!$B$43,"""",M377,"""",",",'Code List'!$B$44,"""",N377,"""",",",'Code List'!$B$45,"""",O377,"""",",",'Code List'!$B$46,"""",P377,"""",",",'Code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List'!$B$59,"""",T377,"""","}"),"")</f>
        <v/>
      </c>
    </row>
    <row r="378" spans="1:25" x14ac:dyDescent="0.25">
      <c r="A378" t="str">
        <f>IF(AND($A372="YES",E372=$D$1,F378&gt;0),"YES","NO")</f>
        <v>NO</v>
      </c>
      <c r="C378" t="s">
        <v>5</v>
      </c>
      <c r="D378" s="12" t="str">
        <f t="shared" si="322"/>
        <v>7E</v>
      </c>
      <c r="E378" t="s">
        <v>196</v>
      </c>
      <c r="F378">
        <f>'Expanded Base Data'!J370</f>
        <v>0</v>
      </c>
      <c r="G378" s="171">
        <f>F372</f>
        <v>0</v>
      </c>
      <c r="H378">
        <f>ROUND(B372+'Slide Measurements'!$D$17,$O$1)</f>
        <v>374.71</v>
      </c>
      <c r="I378">
        <f>ROUND(H378+(F378*'Slide Measurements'!$D$21),$O$1)</f>
        <v>374.71</v>
      </c>
      <c r="J378">
        <f>K377</f>
        <v>263.13000000000005</v>
      </c>
      <c r="K378">
        <f>J378+($I$1*'Slide Measurements'!$E$23-'Slide Measurements'!$E$23)</f>
        <v>264.98000000000008</v>
      </c>
      <c r="L378" s="5" t="str">
        <f>'Expanded Base Data'!$L370</f>
        <v/>
      </c>
      <c r="M378" s="5" t="str">
        <f>'Expanded Base Data'!$K370</f>
        <v/>
      </c>
      <c r="N378">
        <f t="shared" si="323"/>
        <v>0</v>
      </c>
      <c r="O378">
        <f t="shared" si="324"/>
        <v>1.85</v>
      </c>
      <c r="P378" s="5" t="e">
        <f t="shared" si="325"/>
        <v>#VALUE!</v>
      </c>
      <c r="Q378">
        <f>'Code List'!$C$63</f>
        <v>3</v>
      </c>
      <c r="R378">
        <f>F379+'Code List'!$G$63</f>
        <v>2</v>
      </c>
      <c r="S378" t="e">
        <f t="shared" si="326"/>
        <v>#VALUE!</v>
      </c>
      <c r="T378" t="e">
        <f t="shared" si="328"/>
        <v>#VALUE!</v>
      </c>
      <c r="U378" t="str">
        <f>IF(A378="YES",CONCATENATE(G378,"_",'Program Page'!$C$4,'Program Page'!$C$5,"_",D378,"_",E378),"")</f>
        <v/>
      </c>
      <c r="V378" t="str">
        <f t="shared" si="327"/>
        <v/>
      </c>
      <c r="W378" t="str">
        <f>IF(A378="YES",CONCATENATE("{",'Code List'!$B$4,'Code List'!$D$4,",",'Code List'!$B$5,'Code List'!$D$5,",",'Code List'!$B$6,"""",U378,"""",",",'Code List'!$B$7,'Code List'!$D$7,",",'Code List'!$B$8,'Code List'!$D$8,",",'Code List'!$B$9,'Code List'!$D$9,",",'Code List'!$B$10,'Code List'!$D$10,",",'Code List'!$B$11,"""",V378,"""",",",'Code List'!$B$12,"""",H378,"""",",",'Code List'!$B$13,"""",I378,"""",",",'Code List'!$B$14,"""",J378,"""",",",'Code List'!$B$15,"""",K378,"""",",",'Code List'!$B$16,"""",L378,"""",",",'Code List'!$B$17,"""",M378,"""",",",'Code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78" s="167" t="str">
        <f>IF(A378="YES",CONCATENATE("{",'Code List'!$B$31,"""",U378,"""",",",'Code List'!$B$32,'Code List'!$D$32,",",'Code List'!$B$33,'Code List'!$D$33,",",'Code List'!$B$34,'Code List'!$D$34,",",'Code List'!$B$35,'Code List'!$D$35,",",'Code List'!$B$36,'Code List'!$D$36,",",'Code List'!$B$37,'Code List'!$D$37,",",'Code List'!$B$38,"""",H378,"""",",",'Code List'!$B$39,"""",I378,"""",",",'Code List'!$B$40,"""",J378,"""",",",'Code List'!$B$41,"""",K378,"""",",",'Code List'!$B$42,"""",L378,"""",",",'Code List'!$B$43,"""",M378,"""",",",'Code List'!$B$44,"""",N378,"""",",",'Code List'!$B$45,"""",O378,"""",",",'Code List'!$B$46,"""",P378,"""",",",'Code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List'!$B$59,"""",T378,"""","}"),"")</f>
        <v/>
      </c>
    </row>
    <row r="379" spans="1:25" x14ac:dyDescent="0.25">
      <c r="A379" s="162" t="str">
        <f>IF(AND($A372="YES",E372=$E$1),"YES","NO")</f>
        <v>NO</v>
      </c>
      <c r="C379" t="s">
        <v>259</v>
      </c>
      <c r="D379" s="12" t="str">
        <f>D378</f>
        <v>7E</v>
      </c>
      <c r="E379" t="s">
        <v>259</v>
      </c>
      <c r="G379" s="171">
        <f>F372</f>
        <v>0</v>
      </c>
      <c r="H379">
        <f>ROUND(B372,$O$1)</f>
        <v>349.31</v>
      </c>
      <c r="I379">
        <f>ROUND(B372+'Slide Measurements'!$D$1,$O$1)</f>
        <v>425.76</v>
      </c>
      <c r="J379">
        <f>C372</f>
        <v>251.42999999999998</v>
      </c>
      <c r="K379">
        <f>C372+'Slide Measurements'!$D$2</f>
        <v>278.83</v>
      </c>
      <c r="L379" s="5" t="str">
        <f>'Expanded Base Data'!$L370</f>
        <v/>
      </c>
      <c r="M379" s="5" t="str">
        <f>'Expanded Base Data'!$K370</f>
        <v/>
      </c>
      <c r="N379">
        <f t="shared" si="323"/>
        <v>76.45</v>
      </c>
      <c r="O379">
        <f t="shared" si="324"/>
        <v>27.4</v>
      </c>
      <c r="P379" s="5" t="e">
        <f>ROUND((L379-M379),$O$1)</f>
        <v>#VALUE!</v>
      </c>
      <c r="Q379">
        <f>'Code List'!$C$70</f>
        <v>11</v>
      </c>
      <c r="R379">
        <f>'Code List'!$D$70</f>
        <v>19</v>
      </c>
      <c r="S379" t="e">
        <f>IF(P379=0,"1",ROUND((P379/$K$1)+$M$1,0))</f>
        <v>#VALUE!</v>
      </c>
      <c r="T379" t="e">
        <f>Q379*R379*S379</f>
        <v>#VALUE!</v>
      </c>
      <c r="U379" t="str">
        <f>IF(A379="YES",CONCATENATE(G379,"_",'Program Page'!$C$4,'Program Page'!$C$5,"_",D379,"_",E379),"")</f>
        <v/>
      </c>
      <c r="V379" t="str">
        <f>IF(U379="","",CONCATENATE(U379,"_"))</f>
        <v/>
      </c>
      <c r="W379" t="str">
        <f>IF(A379="YES",CONCATENATE("{",'Code List'!$B$4,'Code List'!$D$4,",",'Code List'!$B$5,'Code List'!$D$5,",",'Code List'!$B$6,"""",U379,"""",",",'Code List'!$B$7,'Code List'!$D$7,",",'Code List'!$B$8,'Code List'!$D$8,",",'Code List'!$B$9,'Code List'!$D$9,",",'Code List'!$B$10,'Code List'!$D$10,",",'Code List'!$B$11,"""",V379,"""",",",'Code List'!$B$12,"""",H379,"""",",",'Code List'!$B$13,"""",I379,"""",",",'Code List'!$B$14,"""",J379,"""",",",'Code List'!$B$15,"""",K379,"""",",",'Code List'!$B$16,"""",L379,"""",",",'Code List'!$B$17,"""",M379,"""",",",'Code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379" s="167" t="str">
        <f>IF(A379="YES",CONCATENATE("{",'Code List'!$B$31,"""",U379,"""",",",'Code List'!$B$32,'Code List'!$D$32,",",'Code List'!$B$33,'Code List'!$D$33,",",'Code List'!$B$34,'Code List'!$D$34,",",'Code List'!$B$35,'Code List'!$D$35,",",'Code List'!$B$36,'Code List'!$D$36,",",'Code List'!$B$37,'Code List'!$D$37,",",'Code List'!$B$38,"""",H379,"""",",",'Code List'!$B$39,"""",I379,"""",",",'Code List'!$B$40,"""",J379,"""",",",'Code List'!$B$41,"""",K379,"""",",",'Code List'!$B$42,"""",L379,"""",",",'Code List'!$B$43,"""",M379,"""",",",'Code List'!$B$44,"""",N379,"""",",",'Code List'!$B$45,"""",O379,"""",",",'Code List'!$B$46,"""",P379,"""",",",'Code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List'!$B$59,"""",T379,"""","}"),"")</f>
        <v/>
      </c>
    </row>
    <row r="380" spans="1:25" ht="18.75" x14ac:dyDescent="0.3">
      <c r="A380" s="35" t="str">
        <f>IF(OR(E380=$C$1,E380=$D$1,E380=$E$1),"YES","NO")</f>
        <v>NO</v>
      </c>
      <c r="B380" s="35">
        <f>'Expanded Base Data'!D378</f>
        <v>435.91</v>
      </c>
      <c r="C380" s="35">
        <f>'Expanded Base Data'!E378</f>
        <v>251.42999999999998</v>
      </c>
      <c r="D380" s="36" t="str">
        <f>'Expanded Base Data'!B378</f>
        <v>7F</v>
      </c>
      <c r="E380" s="35">
        <f>'Expanded Base Data'!C378</f>
        <v>0</v>
      </c>
      <c r="F380" s="35">
        <f>'Expanded Base Data'!M378</f>
        <v>0</v>
      </c>
      <c r="G380" s="170">
        <f>F380</f>
        <v>0</v>
      </c>
      <c r="Y380" s="167" t="str">
        <f>""</f>
        <v/>
      </c>
    </row>
    <row r="381" spans="1:25" x14ac:dyDescent="0.25">
      <c r="A381" t="str">
        <f>IF(AND($A380="YES",E380=$C$1),"YES","NO")</f>
        <v>NO</v>
      </c>
      <c r="C381" t="s">
        <v>6</v>
      </c>
      <c r="D381" s="12" t="str">
        <f>D380</f>
        <v>7F</v>
      </c>
      <c r="E381" t="s">
        <v>6</v>
      </c>
      <c r="F381" t="s">
        <v>198</v>
      </c>
      <c r="G381" s="171">
        <f>F380</f>
        <v>0</v>
      </c>
      <c r="H381">
        <f>IF('Expanded Base Data'!N378="",ROUND(B380+'Slide Measurements'!$D$11,$O$1),B380+'Expanded Base Data'!N378)</f>
        <v>468.91</v>
      </c>
      <c r="I381">
        <f>IF('Expanded Base Data'!O378="",ROUND(B380+'Slide Measurements'!$D$12,$O$1),B380+'Expanded Base Data'!O378)</f>
        <v>477.51</v>
      </c>
      <c r="J381">
        <f>IF('Expanded Base Data'!P378="",C380+'Slide Measurements'!$E$13,C380+'Expanded Base Data'!P378)</f>
        <v>260.13</v>
      </c>
      <c r="K381">
        <f>IF('Expanded Base Data'!Q378="",C380+'Slide Measurements'!$E$14,C380+'Expanded Base Data'!Q378)</f>
        <v>268.72999999999996</v>
      </c>
      <c r="L381" s="5" t="str">
        <f>'Expanded Base Data'!$L378</f>
        <v/>
      </c>
      <c r="M381" s="5" t="str">
        <f>'Expanded Base Data'!$K378</f>
        <v/>
      </c>
      <c r="N381">
        <f>ROUND((I381-H381),$O$1)</f>
        <v>8.6</v>
      </c>
      <c r="O381">
        <f>ROUND((K381-J381),$O$1)</f>
        <v>8.6</v>
      </c>
      <c r="P381" s="5" t="e">
        <f>ROUND((L381-M381),$O$1)</f>
        <v>#VALUE!</v>
      </c>
      <c r="Q381">
        <f>'Code List'!$C$62</f>
        <v>5</v>
      </c>
      <c r="R381">
        <f>F382+'Code List'!$G$63</f>
        <v>2</v>
      </c>
      <c r="S381" t="e">
        <f>IF(P381=0,"1",ROUND((P381/$K$1)+$M$1,0))</f>
        <v>#VALUE!</v>
      </c>
      <c r="T381" t="e">
        <f>Q381*R381*S381</f>
        <v>#VALUE!</v>
      </c>
      <c r="U381" t="str">
        <f>IF(A381="YES",CONCATENATE(G381,"_",'Program Page'!$C$4,'Program Page'!$C$5,"_",D381,"_",E381),"")</f>
        <v/>
      </c>
      <c r="V381" t="str">
        <f>IF(U381="","",CONCATENATE(U381,"_"))</f>
        <v/>
      </c>
      <c r="W381" t="str">
        <f>IF(A381="YES",CONCATENATE("{",'Code List'!$B$4,'Code List'!$D$4,",",'Code List'!$B$5,'Code List'!$D$5,",",'Code List'!$B$6,"""",U381,"""",",",'Code List'!$B$7,'Code List'!$D$7,",",'Code List'!$B$8,'Code List'!$D$8,",",'Code List'!$B$9,'Code List'!$D$9,",",'Code List'!$B$10,'Code List'!$D$10,",",'Code List'!$B$11,"""",V381,"""",",",'Code List'!$B$12,"""",H381,"""",",",'Code List'!$B$13,"""",I381,"""",",",'Code List'!$B$14,"""",J381,"""",",",'Code List'!$B$15,"""",K381,"""",",",'Code List'!$B$16,"""",L381,"""",",",'Code List'!$B$17,"""",M381,"""",",",'Code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81" s="167" t="str">
        <f>IF(A381="YES",CONCATENATE("{",'Code List'!$B$31,"""",U381,"""",",",'Code List'!$B$32,'Code List'!$D$32,",",'Code List'!$B$33,'Code List'!$D$33,",",'Code List'!$B$34,'Code List'!$D$34,",",'Code List'!$B$35,'Code List'!$D$35,",",'Code List'!$B$36,'Code List'!$D$36,",",'Code List'!$B$37,'Code List'!$D$37,",",'Code List'!$B$38,"""",H381,"""",",",'Code List'!$B$39,"""",I381,"""",",",'Code List'!$B$40,"""",J381,"""",",",'Code List'!$B$41,"""",K381,"""",",",'Code List'!$B$42,"""",L381,"""",",",'Code List'!$B$43,"""",M381,"""",",",'Code List'!$B$44,"""",N381,"""",",",'Code List'!$B$45,"""",O381,"""",",",'Code List'!$B$46,"""",P381,"""",",",'Code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List'!$B$59,"""",T381,"""","}"),"")</f>
        <v/>
      </c>
    </row>
    <row r="382" spans="1:25" x14ac:dyDescent="0.25">
      <c r="A382" t="str">
        <f>IF(AND($A380="YES",E380=$D$1,F382&gt;0),"YES","NO")</f>
        <v>NO</v>
      </c>
      <c r="C382" t="s">
        <v>5</v>
      </c>
      <c r="D382" s="12" t="str">
        <f t="shared" ref="D382:D386" si="329">D381</f>
        <v>7F</v>
      </c>
      <c r="E382" t="s">
        <v>188</v>
      </c>
      <c r="F382">
        <f>'Expanded Base Data'!F378</f>
        <v>0</v>
      </c>
      <c r="G382" s="171">
        <f>F380</f>
        <v>0</v>
      </c>
      <c r="H382">
        <f>ROUND(B380+'Slide Measurements'!$D$17,$O$1)</f>
        <v>461.31</v>
      </c>
      <c r="I382">
        <f>ROUND(H382+(F382*'Slide Measurements'!$D$21),$O$1)</f>
        <v>461.31</v>
      </c>
      <c r="J382">
        <f>C380+'Slide Measurements'!$E$17</f>
        <v>255.73</v>
      </c>
      <c r="K382">
        <f>J382+($I$1*'Slide Measurements'!$E$23-'Slide Measurements'!$E$23)</f>
        <v>257.58</v>
      </c>
      <c r="L382" s="5" t="str">
        <f>'Expanded Base Data'!$L378</f>
        <v/>
      </c>
      <c r="M382" s="5" t="str">
        <f>'Expanded Base Data'!$K378</f>
        <v/>
      </c>
      <c r="N382">
        <f t="shared" ref="N382:N387" si="330">ROUND((I382-H382),$O$1)</f>
        <v>0</v>
      </c>
      <c r="O382">
        <f t="shared" ref="O382:O387" si="331">ROUND((K382-J382),$O$1)</f>
        <v>1.85</v>
      </c>
      <c r="P382" s="5" t="e">
        <f t="shared" ref="P382:P386" si="332">ROUND((L382-M382),$O$1)</f>
        <v>#VALUE!</v>
      </c>
      <c r="Q382">
        <f>'Code List'!$C$63</f>
        <v>3</v>
      </c>
      <c r="R382">
        <f>F383+'Code List'!$G$63</f>
        <v>2</v>
      </c>
      <c r="S382" t="e">
        <f t="shared" ref="S382:S386" si="333">IF(P382=0,"1",ROUND((P382/$K$1)+$M$1,0))</f>
        <v>#VALUE!</v>
      </c>
      <c r="T382" t="e">
        <f>Q382*R382*S382</f>
        <v>#VALUE!</v>
      </c>
      <c r="U382" t="str">
        <f>IF(A382="YES",CONCATENATE(G382,"_",'Program Page'!$C$4,'Program Page'!$C$5,"_",D382,"_",E382),"")</f>
        <v/>
      </c>
      <c r="V382" t="str">
        <f t="shared" ref="V382:V386" si="334">IF(U382="","",CONCATENATE(U382,"_"))</f>
        <v/>
      </c>
      <c r="W382" t="str">
        <f>IF(A382="YES",CONCATENATE("{",'Code List'!$B$4,'Code List'!$D$4,",",'Code List'!$B$5,'Code List'!$D$5,",",'Code List'!$B$6,"""",U382,"""",",",'Code List'!$B$7,'Code List'!$D$7,",",'Code List'!$B$8,'Code List'!$D$8,",",'Code List'!$B$9,'Code List'!$D$9,",",'Code List'!$B$10,'Code List'!$D$10,",",'Code List'!$B$11,"""",V382,"""",",",'Code List'!$B$12,"""",H382,"""",",",'Code List'!$B$13,"""",I382,"""",",",'Code List'!$B$14,"""",J382,"""",",",'Code List'!$B$15,"""",K382,"""",",",'Code List'!$B$16,"""",L382,"""",",",'Code List'!$B$17,"""",M382,"""",",",'Code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82" s="167" t="str">
        <f>IF(A382="YES",CONCATENATE("{",'Code List'!$B$31,"""",U382,"""",",",'Code List'!$B$32,'Code List'!$D$32,",",'Code List'!$B$33,'Code List'!$D$33,",",'Code List'!$B$34,'Code List'!$D$34,",",'Code List'!$B$35,'Code List'!$D$35,",",'Code List'!$B$36,'Code List'!$D$36,",",'Code List'!$B$37,'Code List'!$D$37,",",'Code List'!$B$38,"""",H382,"""",",",'Code List'!$B$39,"""",I382,"""",",",'Code List'!$B$40,"""",J382,"""",",",'Code List'!$B$41,"""",K382,"""",",",'Code List'!$B$42,"""",L382,"""",",",'Code List'!$B$43,"""",M382,"""",",",'Code List'!$B$44,"""",N382,"""",",",'Code List'!$B$45,"""",O382,"""",",",'Code List'!$B$46,"""",P382,"""",",",'Code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List'!$B$59,"""",T382,"""","}"),"")</f>
        <v/>
      </c>
    </row>
    <row r="383" spans="1:25" x14ac:dyDescent="0.25">
      <c r="A383" t="str">
        <f>IF(AND($A380="YES",E380=$D$1,F383&gt;0),"YES","NO")</f>
        <v>NO</v>
      </c>
      <c r="C383" t="s">
        <v>5</v>
      </c>
      <c r="D383" s="12" t="str">
        <f t="shared" si="329"/>
        <v>7F</v>
      </c>
      <c r="E383" t="s">
        <v>189</v>
      </c>
      <c r="F383">
        <f>'Expanded Base Data'!G378</f>
        <v>0</v>
      </c>
      <c r="G383" s="171">
        <f>F380</f>
        <v>0</v>
      </c>
      <c r="H383">
        <f>ROUND(B380+'Slide Measurements'!$D$17,$O$1)</f>
        <v>461.31</v>
      </c>
      <c r="I383">
        <f>ROUND(H383+(F383*'Slide Measurements'!$D$21),$O$1)</f>
        <v>461.31</v>
      </c>
      <c r="J383">
        <f>K382</f>
        <v>257.58</v>
      </c>
      <c r="K383">
        <f>J383+($I$1*'Slide Measurements'!$E$23-'Slide Measurements'!$E$23)</f>
        <v>259.43</v>
      </c>
      <c r="L383" s="5" t="str">
        <f>'Expanded Base Data'!$L378</f>
        <v/>
      </c>
      <c r="M383" s="5" t="str">
        <f>'Expanded Base Data'!$K378</f>
        <v/>
      </c>
      <c r="N383">
        <f t="shared" si="330"/>
        <v>0</v>
      </c>
      <c r="O383">
        <f t="shared" si="331"/>
        <v>1.85</v>
      </c>
      <c r="P383" s="5" t="e">
        <f t="shared" si="332"/>
        <v>#VALUE!</v>
      </c>
      <c r="Q383">
        <f>'Code List'!$C$63</f>
        <v>3</v>
      </c>
      <c r="R383">
        <f>F384+'Code List'!$G$63</f>
        <v>2</v>
      </c>
      <c r="S383" t="e">
        <f t="shared" si="333"/>
        <v>#VALUE!</v>
      </c>
      <c r="T383" t="e">
        <f t="shared" ref="T383:T386" si="335">Q383*R383*S383</f>
        <v>#VALUE!</v>
      </c>
      <c r="U383" t="str">
        <f>IF(A383="YES",CONCATENATE(G383,"_",'Program Page'!$C$4,'Program Page'!$C$5,"_",D383,"_",E383),"")</f>
        <v/>
      </c>
      <c r="V383" t="str">
        <f t="shared" si="334"/>
        <v/>
      </c>
      <c r="W383" t="str">
        <f>IF(A383="YES",CONCATENATE("{",'Code List'!$B$4,'Code List'!$D$4,",",'Code List'!$B$5,'Code List'!$D$5,",",'Code List'!$B$6,"""",U383,"""",",",'Code List'!$B$7,'Code List'!$D$7,",",'Code List'!$B$8,'Code List'!$D$8,",",'Code List'!$B$9,'Code List'!$D$9,",",'Code List'!$B$10,'Code List'!$D$10,",",'Code List'!$B$11,"""",V383,"""",",",'Code List'!$B$12,"""",H383,"""",",",'Code List'!$B$13,"""",I383,"""",",",'Code List'!$B$14,"""",J383,"""",",",'Code List'!$B$15,"""",K383,"""",",",'Code List'!$B$16,"""",L383,"""",",",'Code List'!$B$17,"""",M383,"""",",",'Code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83" s="167" t="str">
        <f>IF(A383="YES",CONCATENATE("{",'Code List'!$B$31,"""",U383,"""",",",'Code List'!$B$32,'Code List'!$D$32,",",'Code List'!$B$33,'Code List'!$D$33,",",'Code List'!$B$34,'Code List'!$D$34,",",'Code List'!$B$35,'Code List'!$D$35,",",'Code List'!$B$36,'Code List'!$D$36,",",'Code List'!$B$37,'Code List'!$D$37,",",'Code List'!$B$38,"""",H383,"""",",",'Code List'!$B$39,"""",I383,"""",",",'Code List'!$B$40,"""",J383,"""",",",'Code List'!$B$41,"""",K383,"""",",",'Code List'!$B$42,"""",L383,"""",",",'Code List'!$B$43,"""",M383,"""",",",'Code List'!$B$44,"""",N383,"""",",",'Code List'!$B$45,"""",O383,"""",",",'Code List'!$B$46,"""",P383,"""",",",'Code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List'!$B$59,"""",T383,"""","}"),"")</f>
        <v/>
      </c>
    </row>
    <row r="384" spans="1:25" x14ac:dyDescent="0.25">
      <c r="A384" t="str">
        <f>IF(AND($A380="YES",E380=$D$1,F384&gt;0),"YES","NO")</f>
        <v>NO</v>
      </c>
      <c r="C384" t="s">
        <v>5</v>
      </c>
      <c r="D384" s="12" t="str">
        <f t="shared" si="329"/>
        <v>7F</v>
      </c>
      <c r="E384" t="s">
        <v>190</v>
      </c>
      <c r="F384">
        <f>'Expanded Base Data'!H378</f>
        <v>0</v>
      </c>
      <c r="G384" s="171">
        <f>F380</f>
        <v>0</v>
      </c>
      <c r="H384">
        <f>ROUND(B380+'Slide Measurements'!$D$17,$O$1)</f>
        <v>461.31</v>
      </c>
      <c r="I384">
        <f>ROUND(H384+(F384*'Slide Measurements'!$D$21),$O$1)</f>
        <v>461.31</v>
      </c>
      <c r="J384">
        <f>K383</f>
        <v>259.43</v>
      </c>
      <c r="K384">
        <f>J384+($I$1*'Slide Measurements'!$E$23-'Slide Measurements'!$E$23)</f>
        <v>261.28000000000003</v>
      </c>
      <c r="L384" s="5" t="str">
        <f>'Expanded Base Data'!$L378</f>
        <v/>
      </c>
      <c r="M384" s="5" t="str">
        <f>'Expanded Base Data'!$K378</f>
        <v/>
      </c>
      <c r="N384">
        <f t="shared" si="330"/>
        <v>0</v>
      </c>
      <c r="O384">
        <f t="shared" si="331"/>
        <v>1.85</v>
      </c>
      <c r="P384" s="5" t="e">
        <f t="shared" si="332"/>
        <v>#VALUE!</v>
      </c>
      <c r="Q384">
        <f>'Code List'!$C$63</f>
        <v>3</v>
      </c>
      <c r="R384">
        <f>F385+'Code List'!$G$63</f>
        <v>2</v>
      </c>
      <c r="S384" t="e">
        <f t="shared" si="333"/>
        <v>#VALUE!</v>
      </c>
      <c r="T384" t="e">
        <f t="shared" si="335"/>
        <v>#VALUE!</v>
      </c>
      <c r="U384" t="str">
        <f>IF(A384="YES",CONCATENATE(G384,"_",'Program Page'!$C$4,'Program Page'!$C$5,"_",D384,"_",E384),"")</f>
        <v/>
      </c>
      <c r="V384" t="str">
        <f t="shared" si="334"/>
        <v/>
      </c>
      <c r="W384" t="str">
        <f>IF(A384="YES",CONCATENATE("{",'Code List'!$B$4,'Code List'!$D$4,",",'Code List'!$B$5,'Code List'!$D$5,",",'Code List'!$B$6,"""",U384,"""",",",'Code List'!$B$7,'Code List'!$D$7,",",'Code List'!$B$8,'Code List'!$D$8,",",'Code List'!$B$9,'Code List'!$D$9,",",'Code List'!$B$10,'Code List'!$D$10,",",'Code List'!$B$11,"""",V384,"""",",",'Code List'!$B$12,"""",H384,"""",",",'Code List'!$B$13,"""",I384,"""",",",'Code List'!$B$14,"""",J384,"""",",",'Code List'!$B$15,"""",K384,"""",",",'Code List'!$B$16,"""",L384,"""",",",'Code List'!$B$17,"""",M384,"""",",",'Code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84" s="167" t="str">
        <f>IF(A384="YES",CONCATENATE("{",'Code List'!$B$31,"""",U384,"""",",",'Code List'!$B$32,'Code List'!$D$32,",",'Code List'!$B$33,'Code List'!$D$33,",",'Code List'!$B$34,'Code List'!$D$34,",",'Code List'!$B$35,'Code List'!$D$35,",",'Code List'!$B$36,'Code List'!$D$36,",",'Code List'!$B$37,'Code List'!$D$37,",",'Code List'!$B$38,"""",H384,"""",",",'Code List'!$B$39,"""",I384,"""",",",'Code List'!$B$40,"""",J384,"""",",",'Code List'!$B$41,"""",K384,"""",",",'Code List'!$B$42,"""",L384,"""",",",'Code List'!$B$43,"""",M384,"""",",",'Code List'!$B$44,"""",N384,"""",",",'Code List'!$B$45,"""",O384,"""",",",'Code List'!$B$46,"""",P384,"""",",",'Code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List'!$B$59,"""",T384,"""","}"),"")</f>
        <v/>
      </c>
    </row>
    <row r="385" spans="1:25" x14ac:dyDescent="0.25">
      <c r="A385" t="str">
        <f>IF(AND($A380="YES",E380=$D$1,F385&gt;0),"YES","NO")</f>
        <v>NO</v>
      </c>
      <c r="C385" t="s">
        <v>5</v>
      </c>
      <c r="D385" s="12" t="str">
        <f t="shared" si="329"/>
        <v>7F</v>
      </c>
      <c r="E385" t="s">
        <v>191</v>
      </c>
      <c r="F385">
        <f>'Expanded Base Data'!I378</f>
        <v>0</v>
      </c>
      <c r="G385" s="171">
        <f>F380</f>
        <v>0</v>
      </c>
      <c r="H385">
        <f>ROUND(B380+'Slide Measurements'!$D$17,$O$1)</f>
        <v>461.31</v>
      </c>
      <c r="I385">
        <f>ROUND(H385+(F385*'Slide Measurements'!$D$21),$O$1)</f>
        <v>461.31</v>
      </c>
      <c r="J385">
        <f>K384</f>
        <v>261.28000000000003</v>
      </c>
      <c r="K385">
        <f>J385+($I$1*'Slide Measurements'!$E$23-'Slide Measurements'!$E$23)</f>
        <v>263.13000000000005</v>
      </c>
      <c r="L385" s="5" t="str">
        <f>'Expanded Base Data'!$L378</f>
        <v/>
      </c>
      <c r="M385" s="5" t="str">
        <f>'Expanded Base Data'!$K378</f>
        <v/>
      </c>
      <c r="N385">
        <f t="shared" si="330"/>
        <v>0</v>
      </c>
      <c r="O385">
        <f t="shared" si="331"/>
        <v>1.85</v>
      </c>
      <c r="P385" s="5" t="e">
        <f t="shared" si="332"/>
        <v>#VALUE!</v>
      </c>
      <c r="Q385">
        <f>'Code List'!$C$63</f>
        <v>3</v>
      </c>
      <c r="R385">
        <f>F386+'Code List'!$G$63</f>
        <v>2</v>
      </c>
      <c r="S385" t="e">
        <f t="shared" si="333"/>
        <v>#VALUE!</v>
      </c>
      <c r="T385" t="e">
        <f t="shared" si="335"/>
        <v>#VALUE!</v>
      </c>
      <c r="U385" t="str">
        <f>IF(A385="YES",CONCATENATE(G385,"_",'Program Page'!$C$4,'Program Page'!$C$5,"_",D385,"_",E385),"")</f>
        <v/>
      </c>
      <c r="V385" t="str">
        <f t="shared" si="334"/>
        <v/>
      </c>
      <c r="W385" t="str">
        <f>IF(A385="YES",CONCATENATE("{",'Code List'!$B$4,'Code List'!$D$4,",",'Code List'!$B$5,'Code List'!$D$5,",",'Code List'!$B$6,"""",U385,"""",",",'Code List'!$B$7,'Code List'!$D$7,",",'Code List'!$B$8,'Code List'!$D$8,",",'Code List'!$B$9,'Code List'!$D$9,",",'Code List'!$B$10,'Code List'!$D$10,",",'Code List'!$B$11,"""",V385,"""",",",'Code List'!$B$12,"""",H385,"""",",",'Code List'!$B$13,"""",I385,"""",",",'Code List'!$B$14,"""",J385,"""",",",'Code List'!$B$15,"""",K385,"""",",",'Code List'!$B$16,"""",L385,"""",",",'Code List'!$B$17,"""",M385,"""",",",'Code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85" s="167" t="str">
        <f>IF(A385="YES",CONCATENATE("{",'Code List'!$B$31,"""",U385,"""",",",'Code List'!$B$32,'Code List'!$D$32,",",'Code List'!$B$33,'Code List'!$D$33,",",'Code List'!$B$34,'Code List'!$D$34,",",'Code List'!$B$35,'Code List'!$D$35,",",'Code List'!$B$36,'Code List'!$D$36,",",'Code List'!$B$37,'Code List'!$D$37,",",'Code List'!$B$38,"""",H385,"""",",",'Code List'!$B$39,"""",I385,"""",",",'Code List'!$B$40,"""",J385,"""",",",'Code List'!$B$41,"""",K385,"""",",",'Code List'!$B$42,"""",L385,"""",",",'Code List'!$B$43,"""",M385,"""",",",'Code List'!$B$44,"""",N385,"""",",",'Code List'!$B$45,"""",O385,"""",",",'Code List'!$B$46,"""",P385,"""",",",'Code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List'!$B$59,"""",T385,"""","}"),"")</f>
        <v/>
      </c>
    </row>
    <row r="386" spans="1:25" x14ac:dyDescent="0.25">
      <c r="A386" t="str">
        <f>IF(AND($A380="YES",E380=$D$1,F386&gt;0),"YES","NO")</f>
        <v>NO</v>
      </c>
      <c r="C386" t="s">
        <v>5</v>
      </c>
      <c r="D386" s="12" t="str">
        <f t="shared" si="329"/>
        <v>7F</v>
      </c>
      <c r="E386" t="s">
        <v>196</v>
      </c>
      <c r="F386">
        <f>'Expanded Base Data'!J378</f>
        <v>0</v>
      </c>
      <c r="G386" s="171">
        <f>F380</f>
        <v>0</v>
      </c>
      <c r="H386">
        <f>ROUND(B380+'Slide Measurements'!$D$17,$O$1)</f>
        <v>461.31</v>
      </c>
      <c r="I386">
        <f>ROUND(H386+(F386*'Slide Measurements'!$D$21),$O$1)</f>
        <v>461.31</v>
      </c>
      <c r="J386">
        <f>K385</f>
        <v>263.13000000000005</v>
      </c>
      <c r="K386">
        <f>J386+($I$1*'Slide Measurements'!$E$23-'Slide Measurements'!$E$23)</f>
        <v>264.98000000000008</v>
      </c>
      <c r="L386" s="5" t="str">
        <f>'Expanded Base Data'!$L378</f>
        <v/>
      </c>
      <c r="M386" s="5" t="str">
        <f>'Expanded Base Data'!$K378</f>
        <v/>
      </c>
      <c r="N386">
        <f t="shared" si="330"/>
        <v>0</v>
      </c>
      <c r="O386">
        <f t="shared" si="331"/>
        <v>1.85</v>
      </c>
      <c r="P386" s="5" t="e">
        <f t="shared" si="332"/>
        <v>#VALUE!</v>
      </c>
      <c r="Q386">
        <f>'Code List'!$C$63</f>
        <v>3</v>
      </c>
      <c r="R386">
        <f>F387+'Code List'!$G$63</f>
        <v>2</v>
      </c>
      <c r="S386" t="e">
        <f t="shared" si="333"/>
        <v>#VALUE!</v>
      </c>
      <c r="T386" t="e">
        <f t="shared" si="335"/>
        <v>#VALUE!</v>
      </c>
      <c r="U386" t="str">
        <f>IF(A386="YES",CONCATENATE(G386,"_",'Program Page'!$C$4,'Program Page'!$C$5,"_",D386,"_",E386),"")</f>
        <v/>
      </c>
      <c r="V386" t="str">
        <f t="shared" si="334"/>
        <v/>
      </c>
      <c r="W386" t="str">
        <f>IF(A386="YES",CONCATENATE("{",'Code List'!$B$4,'Code List'!$D$4,",",'Code List'!$B$5,'Code List'!$D$5,",",'Code List'!$B$6,"""",U386,"""",",",'Code List'!$B$7,'Code List'!$D$7,",",'Code List'!$B$8,'Code List'!$D$8,",",'Code List'!$B$9,'Code List'!$D$9,",",'Code List'!$B$10,'Code List'!$D$10,",",'Code List'!$B$11,"""",V386,"""",",",'Code List'!$B$12,"""",H386,"""",",",'Code List'!$B$13,"""",I386,"""",",",'Code List'!$B$14,"""",J386,"""",",",'Code List'!$B$15,"""",K386,"""",",",'Code List'!$B$16,"""",L386,"""",",",'Code List'!$B$17,"""",M386,"""",",",'Code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86" s="167" t="str">
        <f>IF(A386="YES",CONCATENATE("{",'Code List'!$B$31,"""",U386,"""",",",'Code List'!$B$32,'Code List'!$D$32,",",'Code List'!$B$33,'Code List'!$D$33,",",'Code List'!$B$34,'Code List'!$D$34,",",'Code List'!$B$35,'Code List'!$D$35,",",'Code List'!$B$36,'Code List'!$D$36,",",'Code List'!$B$37,'Code List'!$D$37,",",'Code List'!$B$38,"""",H386,"""",",",'Code List'!$B$39,"""",I386,"""",",",'Code List'!$B$40,"""",J386,"""",",",'Code List'!$B$41,"""",K386,"""",",",'Code List'!$B$42,"""",L386,"""",",",'Code List'!$B$43,"""",M386,"""",",",'Code List'!$B$44,"""",N386,"""",",",'Code List'!$B$45,"""",O386,"""",",",'Code List'!$B$46,"""",P386,"""",",",'Code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List'!$B$59,"""",T386,"""","}"),"")</f>
        <v/>
      </c>
    </row>
    <row r="387" spans="1:25" x14ac:dyDescent="0.25">
      <c r="A387" s="162" t="str">
        <f>IF(AND($A380="YES",E380=$E$1),"YES","NO")</f>
        <v>NO</v>
      </c>
      <c r="C387" t="s">
        <v>259</v>
      </c>
      <c r="D387" s="12" t="str">
        <f>D386</f>
        <v>7F</v>
      </c>
      <c r="E387" t="s">
        <v>259</v>
      </c>
      <c r="G387" s="171">
        <f>F380</f>
        <v>0</v>
      </c>
      <c r="H387">
        <f>ROUND(B380,$O$1)</f>
        <v>435.91</v>
      </c>
      <c r="I387">
        <f>ROUND(B380+'Slide Measurements'!$D$1,$O$1)</f>
        <v>512.36</v>
      </c>
      <c r="J387">
        <f>C380</f>
        <v>251.42999999999998</v>
      </c>
      <c r="K387">
        <f>C380+'Slide Measurements'!$D$2</f>
        <v>278.83</v>
      </c>
      <c r="L387" s="5" t="str">
        <f>'Expanded Base Data'!$L378</f>
        <v/>
      </c>
      <c r="M387" s="5" t="str">
        <f>'Expanded Base Data'!$K378</f>
        <v/>
      </c>
      <c r="N387">
        <f t="shared" si="330"/>
        <v>76.45</v>
      </c>
      <c r="O387">
        <f t="shared" si="331"/>
        <v>27.4</v>
      </c>
      <c r="P387" s="5" t="e">
        <f>ROUND((L387-M387),$O$1)</f>
        <v>#VALUE!</v>
      </c>
      <c r="Q387">
        <f>'Code List'!$C$70</f>
        <v>11</v>
      </c>
      <c r="R387">
        <f>'Code List'!$D$70</f>
        <v>19</v>
      </c>
      <c r="S387" t="e">
        <f>IF(P387=0,"1",ROUND((P387/$K$1)+$M$1,0))</f>
        <v>#VALUE!</v>
      </c>
      <c r="T387" t="e">
        <f>Q387*R387*S387</f>
        <v>#VALUE!</v>
      </c>
      <c r="U387" t="str">
        <f>IF(A387="YES",CONCATENATE(G387,"_",'Program Page'!$C$4,'Program Page'!$C$5,"_",D387,"_",E387),"")</f>
        <v/>
      </c>
      <c r="V387" t="str">
        <f>IF(U387="","",CONCATENATE(U387,"_"))</f>
        <v/>
      </c>
      <c r="W387" t="str">
        <f>IF(A387="YES",CONCATENATE("{",'Code List'!$B$4,'Code List'!$D$4,",",'Code List'!$B$5,'Code List'!$D$5,",",'Code List'!$B$6,"""",U387,"""",",",'Code List'!$B$7,'Code List'!$D$7,",",'Code List'!$B$8,'Code List'!$D$8,",",'Code List'!$B$9,'Code List'!$D$9,",",'Code List'!$B$10,'Code List'!$D$10,",",'Code List'!$B$11,"""",V387,"""",",",'Code List'!$B$12,"""",H387,"""",",",'Code List'!$B$13,"""",I387,"""",",",'Code List'!$B$14,"""",J387,"""",",",'Code List'!$B$15,"""",K387,"""",",",'Code List'!$B$16,"""",L387,"""",",",'Code List'!$B$17,"""",M387,"""",",",'Code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387" s="167" t="str">
        <f>IF(A387="YES",CONCATENATE("{",'Code List'!$B$31,"""",U387,"""",",",'Code List'!$B$32,'Code List'!$D$32,",",'Code List'!$B$33,'Code List'!$D$33,",",'Code List'!$B$34,'Code List'!$D$34,",",'Code List'!$B$35,'Code List'!$D$35,",",'Code List'!$B$36,'Code List'!$D$36,",",'Code List'!$B$37,'Code List'!$D$37,",",'Code List'!$B$38,"""",H387,"""",",",'Code List'!$B$39,"""",I387,"""",",",'Code List'!$B$40,"""",J387,"""",",",'Code List'!$B$41,"""",K387,"""",",",'Code List'!$B$42,"""",L387,"""",",",'Code List'!$B$43,"""",M387,"""",",",'Code List'!$B$44,"""",N387,"""",",",'Code List'!$B$45,"""",O387,"""",",",'Code List'!$B$46,"""",P387,"""",",",'Code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List'!$B$59,"""",T387,"""","}"),"")</f>
        <v/>
      </c>
    </row>
    <row r="388" spans="1:25" ht="18.75" x14ac:dyDescent="0.3">
      <c r="A388" s="35" t="str">
        <f>IF(OR(E388=$C$1,E388=$D$1,E388=$E$1),"YES","NO")</f>
        <v>NO</v>
      </c>
      <c r="B388" s="35">
        <f>'Expanded Base Data'!D386</f>
        <v>522.81000000000006</v>
      </c>
      <c r="C388" s="35">
        <f>'Expanded Base Data'!E386</f>
        <v>251.42999999999998</v>
      </c>
      <c r="D388" s="36" t="str">
        <f>'Expanded Base Data'!B386</f>
        <v>7G</v>
      </c>
      <c r="E388" s="35">
        <f>'Expanded Base Data'!C386</f>
        <v>0</v>
      </c>
      <c r="F388" s="35">
        <f>'Expanded Base Data'!M386</f>
        <v>0</v>
      </c>
      <c r="G388" s="170">
        <f>F388</f>
        <v>0</v>
      </c>
      <c r="Y388" s="167" t="str">
        <f>""</f>
        <v/>
      </c>
    </row>
    <row r="389" spans="1:25" x14ac:dyDescent="0.25">
      <c r="A389" t="str">
        <f>IF(AND($A388="YES",E388=$C$1),"YES","NO")</f>
        <v>NO</v>
      </c>
      <c r="C389" t="s">
        <v>6</v>
      </c>
      <c r="D389" s="12" t="str">
        <f>D388</f>
        <v>7G</v>
      </c>
      <c r="E389" t="s">
        <v>6</v>
      </c>
      <c r="F389" t="s">
        <v>198</v>
      </c>
      <c r="G389" s="171">
        <f>F388</f>
        <v>0</v>
      </c>
      <c r="H389">
        <f>IF('Expanded Base Data'!N386="",ROUND(B388+'Slide Measurements'!$D$11,$O$1),B388+'Expanded Base Data'!N386)</f>
        <v>555.80999999999995</v>
      </c>
      <c r="I389">
        <f>IF('Expanded Base Data'!O386="",ROUND(B388+'Slide Measurements'!$D$12,$O$1),B388+'Expanded Base Data'!O386)</f>
        <v>564.41</v>
      </c>
      <c r="J389">
        <f>IF('Expanded Base Data'!P386="",C388+'Slide Measurements'!$E$13,C388+'Expanded Base Data'!P386)</f>
        <v>260.13</v>
      </c>
      <c r="K389">
        <f>IF('Expanded Base Data'!Q386="",C388+'Slide Measurements'!$E$14,C388+'Expanded Base Data'!Q386)</f>
        <v>268.72999999999996</v>
      </c>
      <c r="L389" s="5" t="str">
        <f>'Expanded Base Data'!$L386</f>
        <v/>
      </c>
      <c r="M389" s="5" t="str">
        <f>'Expanded Base Data'!$K386</f>
        <v/>
      </c>
      <c r="N389">
        <f>ROUND((I389-H389),$O$1)</f>
        <v>8.6</v>
      </c>
      <c r="O389">
        <f>ROUND((K389-J389),$O$1)</f>
        <v>8.6</v>
      </c>
      <c r="P389" s="5" t="e">
        <f>ROUND((L389-M389),$O$1)</f>
        <v>#VALUE!</v>
      </c>
      <c r="Q389">
        <f>'Code List'!$C$62</f>
        <v>5</v>
      </c>
      <c r="R389">
        <f>F390+'Code List'!$G$63</f>
        <v>2</v>
      </c>
      <c r="S389" t="e">
        <f>IF(P389=0,"1",ROUND((P389/$K$1)+$M$1,0))</f>
        <v>#VALUE!</v>
      </c>
      <c r="T389" t="e">
        <f>Q389*R389*S389</f>
        <v>#VALUE!</v>
      </c>
      <c r="U389" t="str">
        <f>IF(A389="YES",CONCATENATE(G389,"_",'Program Page'!$C$4,'Program Page'!$C$5,"_",D389,"_",E389),"")</f>
        <v/>
      </c>
      <c r="V389" t="str">
        <f>IF(U389="","",CONCATENATE(U389,"_"))</f>
        <v/>
      </c>
      <c r="W389" t="str">
        <f>IF(A389="YES",CONCATENATE("{",'Code List'!$B$4,'Code List'!$D$4,",",'Code List'!$B$5,'Code List'!$D$5,",",'Code List'!$B$6,"""",U389,"""",",",'Code List'!$B$7,'Code List'!$D$7,",",'Code List'!$B$8,'Code List'!$D$8,",",'Code List'!$B$9,'Code List'!$D$9,",",'Code List'!$B$10,'Code List'!$D$10,",",'Code List'!$B$11,"""",V389,"""",",",'Code List'!$B$12,"""",H389,"""",",",'Code List'!$B$13,"""",I389,"""",",",'Code List'!$B$14,"""",J389,"""",",",'Code List'!$B$15,"""",K389,"""",",",'Code List'!$B$16,"""",L389,"""",",",'Code List'!$B$17,"""",M389,"""",",",'Code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89" s="167" t="str">
        <f>IF(A389="YES",CONCATENATE("{",'Code List'!$B$31,"""",U389,"""",",",'Code List'!$B$32,'Code List'!$D$32,",",'Code List'!$B$33,'Code List'!$D$33,",",'Code List'!$B$34,'Code List'!$D$34,",",'Code List'!$B$35,'Code List'!$D$35,",",'Code List'!$B$36,'Code List'!$D$36,",",'Code List'!$B$37,'Code List'!$D$37,",",'Code List'!$B$38,"""",H389,"""",",",'Code List'!$B$39,"""",I389,"""",",",'Code List'!$B$40,"""",J389,"""",",",'Code List'!$B$41,"""",K389,"""",",",'Code List'!$B$42,"""",L389,"""",",",'Code List'!$B$43,"""",M389,"""",",",'Code List'!$B$44,"""",N389,"""",",",'Code List'!$B$45,"""",O389,"""",",",'Code List'!$B$46,"""",P389,"""",",",'Code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List'!$B$59,"""",T389,"""","}"),"")</f>
        <v/>
      </c>
    </row>
    <row r="390" spans="1:25" x14ac:dyDescent="0.25">
      <c r="A390" t="str">
        <f>IF(AND($A388="YES",E388=$D$1,F390&gt;0),"YES","NO")</f>
        <v>NO</v>
      </c>
      <c r="C390" t="s">
        <v>5</v>
      </c>
      <c r="D390" s="12" t="str">
        <f t="shared" ref="D390:D394" si="336">D389</f>
        <v>7G</v>
      </c>
      <c r="E390" t="s">
        <v>188</v>
      </c>
      <c r="F390">
        <f>'Expanded Base Data'!F386</f>
        <v>0</v>
      </c>
      <c r="G390" s="171">
        <f>F388</f>
        <v>0</v>
      </c>
      <c r="H390">
        <f>ROUND(B388+'Slide Measurements'!$D$17,$O$1)</f>
        <v>548.21</v>
      </c>
      <c r="I390">
        <f>ROUND(H390+(F390*'Slide Measurements'!$D$21),$O$1)</f>
        <v>548.21</v>
      </c>
      <c r="J390">
        <f>C388+'Slide Measurements'!$E$17</f>
        <v>255.73</v>
      </c>
      <c r="K390">
        <f>J390+($I$1*'Slide Measurements'!$E$23-'Slide Measurements'!$E$23)</f>
        <v>257.58</v>
      </c>
      <c r="L390" s="5" t="str">
        <f>'Expanded Base Data'!$L386</f>
        <v/>
      </c>
      <c r="M390" s="5" t="str">
        <f>'Expanded Base Data'!$K386</f>
        <v/>
      </c>
      <c r="N390">
        <f t="shared" ref="N390:N395" si="337">ROUND((I390-H390),$O$1)</f>
        <v>0</v>
      </c>
      <c r="O390">
        <f t="shared" ref="O390:O395" si="338">ROUND((K390-J390),$O$1)</f>
        <v>1.85</v>
      </c>
      <c r="P390" s="5" t="e">
        <f t="shared" ref="P390:P394" si="339">ROUND((L390-M390),$O$1)</f>
        <v>#VALUE!</v>
      </c>
      <c r="Q390">
        <f>'Code List'!$C$63</f>
        <v>3</v>
      </c>
      <c r="R390">
        <f>F391+'Code List'!$G$63</f>
        <v>2</v>
      </c>
      <c r="S390" t="e">
        <f t="shared" ref="S390:S394" si="340">IF(P390=0,"1",ROUND((P390/$K$1)+$M$1,0))</f>
        <v>#VALUE!</v>
      </c>
      <c r="T390" t="e">
        <f>Q390*R390*S390</f>
        <v>#VALUE!</v>
      </c>
      <c r="U390" t="str">
        <f>IF(A390="YES",CONCATENATE(G390,"_",'Program Page'!$C$4,'Program Page'!$C$5,"_",D390,"_",E390),"")</f>
        <v/>
      </c>
      <c r="V390" t="str">
        <f t="shared" ref="V390:V394" si="341">IF(U390="","",CONCATENATE(U390,"_"))</f>
        <v/>
      </c>
      <c r="W390" t="str">
        <f>IF(A390="YES",CONCATENATE("{",'Code List'!$B$4,'Code List'!$D$4,",",'Code List'!$B$5,'Code List'!$D$5,",",'Code List'!$B$6,"""",U390,"""",",",'Code List'!$B$7,'Code List'!$D$7,",",'Code List'!$B$8,'Code List'!$D$8,",",'Code List'!$B$9,'Code List'!$D$9,",",'Code List'!$B$10,'Code List'!$D$10,",",'Code List'!$B$11,"""",V390,"""",",",'Code List'!$B$12,"""",H390,"""",",",'Code List'!$B$13,"""",I390,"""",",",'Code List'!$B$14,"""",J390,"""",",",'Code List'!$B$15,"""",K390,"""",",",'Code List'!$B$16,"""",L390,"""",",",'Code List'!$B$17,"""",M390,"""",",",'Code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90" s="167" t="str">
        <f>IF(A390="YES",CONCATENATE("{",'Code List'!$B$31,"""",U390,"""",",",'Code List'!$B$32,'Code List'!$D$32,",",'Code List'!$B$33,'Code List'!$D$33,",",'Code List'!$B$34,'Code List'!$D$34,",",'Code List'!$B$35,'Code List'!$D$35,",",'Code List'!$B$36,'Code List'!$D$36,",",'Code List'!$B$37,'Code List'!$D$37,",",'Code List'!$B$38,"""",H390,"""",",",'Code List'!$B$39,"""",I390,"""",",",'Code List'!$B$40,"""",J390,"""",",",'Code List'!$B$41,"""",K390,"""",",",'Code List'!$B$42,"""",L390,"""",",",'Code List'!$B$43,"""",M390,"""",",",'Code List'!$B$44,"""",N390,"""",",",'Code List'!$B$45,"""",O390,"""",",",'Code List'!$B$46,"""",P390,"""",",",'Code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List'!$B$59,"""",T390,"""","}"),"")</f>
        <v/>
      </c>
    </row>
    <row r="391" spans="1:25" x14ac:dyDescent="0.25">
      <c r="A391" t="str">
        <f>IF(AND($A388="YES",E388=$D$1,F391&gt;0),"YES","NO")</f>
        <v>NO</v>
      </c>
      <c r="C391" t="s">
        <v>5</v>
      </c>
      <c r="D391" s="12" t="str">
        <f t="shared" si="336"/>
        <v>7G</v>
      </c>
      <c r="E391" t="s">
        <v>189</v>
      </c>
      <c r="F391">
        <f>'Expanded Base Data'!G386</f>
        <v>0</v>
      </c>
      <c r="G391" s="171">
        <f>F388</f>
        <v>0</v>
      </c>
      <c r="H391">
        <f>ROUND(B388+'Slide Measurements'!$D$17,$O$1)</f>
        <v>548.21</v>
      </c>
      <c r="I391">
        <f>ROUND(H391+(F391*'Slide Measurements'!$D$21),$O$1)</f>
        <v>548.21</v>
      </c>
      <c r="J391">
        <f>K390</f>
        <v>257.58</v>
      </c>
      <c r="K391">
        <f>J391+($I$1*'Slide Measurements'!$E$23-'Slide Measurements'!$E$23)</f>
        <v>259.43</v>
      </c>
      <c r="L391" s="5" t="str">
        <f>'Expanded Base Data'!$L386</f>
        <v/>
      </c>
      <c r="M391" s="5" t="str">
        <f>'Expanded Base Data'!$K386</f>
        <v/>
      </c>
      <c r="N391">
        <f t="shared" si="337"/>
        <v>0</v>
      </c>
      <c r="O391">
        <f t="shared" si="338"/>
        <v>1.85</v>
      </c>
      <c r="P391" s="5" t="e">
        <f t="shared" si="339"/>
        <v>#VALUE!</v>
      </c>
      <c r="Q391">
        <f>'Code List'!$C$63</f>
        <v>3</v>
      </c>
      <c r="R391">
        <f>F392+'Code List'!$G$63</f>
        <v>2</v>
      </c>
      <c r="S391" t="e">
        <f t="shared" si="340"/>
        <v>#VALUE!</v>
      </c>
      <c r="T391" t="e">
        <f t="shared" ref="T391:T394" si="342">Q391*R391*S391</f>
        <v>#VALUE!</v>
      </c>
      <c r="U391" t="str">
        <f>IF(A391="YES",CONCATENATE(G391,"_",'Program Page'!$C$4,'Program Page'!$C$5,"_",D391,"_",E391),"")</f>
        <v/>
      </c>
      <c r="V391" t="str">
        <f t="shared" si="341"/>
        <v/>
      </c>
      <c r="W391" t="str">
        <f>IF(A391="YES",CONCATENATE("{",'Code List'!$B$4,'Code List'!$D$4,",",'Code List'!$B$5,'Code List'!$D$5,",",'Code List'!$B$6,"""",U391,"""",",",'Code List'!$B$7,'Code List'!$D$7,",",'Code List'!$B$8,'Code List'!$D$8,",",'Code List'!$B$9,'Code List'!$D$9,",",'Code List'!$B$10,'Code List'!$D$10,",",'Code List'!$B$11,"""",V391,"""",",",'Code List'!$B$12,"""",H391,"""",",",'Code List'!$B$13,"""",I391,"""",",",'Code List'!$B$14,"""",J391,"""",",",'Code List'!$B$15,"""",K391,"""",",",'Code List'!$B$16,"""",L391,"""",",",'Code List'!$B$17,"""",M391,"""",",",'Code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91" s="167" t="str">
        <f>IF(A391="YES",CONCATENATE("{",'Code List'!$B$31,"""",U391,"""",",",'Code List'!$B$32,'Code List'!$D$32,",",'Code List'!$B$33,'Code List'!$D$33,",",'Code List'!$B$34,'Code List'!$D$34,",",'Code List'!$B$35,'Code List'!$D$35,",",'Code List'!$B$36,'Code List'!$D$36,",",'Code List'!$B$37,'Code List'!$D$37,",",'Code List'!$B$38,"""",H391,"""",",",'Code List'!$B$39,"""",I391,"""",",",'Code List'!$B$40,"""",J391,"""",",",'Code List'!$B$41,"""",K391,"""",",",'Code List'!$B$42,"""",L391,"""",",",'Code List'!$B$43,"""",M391,"""",",",'Code List'!$B$44,"""",N391,"""",",",'Code List'!$B$45,"""",O391,"""",",",'Code List'!$B$46,"""",P391,"""",",",'Code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List'!$B$59,"""",T391,"""","}"),"")</f>
        <v/>
      </c>
    </row>
    <row r="392" spans="1:25" x14ac:dyDescent="0.25">
      <c r="A392" t="str">
        <f>IF(AND($A388="YES",E388=$D$1,F392&gt;0),"YES","NO")</f>
        <v>NO</v>
      </c>
      <c r="C392" t="s">
        <v>5</v>
      </c>
      <c r="D392" s="12" t="str">
        <f t="shared" si="336"/>
        <v>7G</v>
      </c>
      <c r="E392" t="s">
        <v>190</v>
      </c>
      <c r="F392">
        <f>'Expanded Base Data'!H386</f>
        <v>0</v>
      </c>
      <c r="G392" s="171">
        <f>F388</f>
        <v>0</v>
      </c>
      <c r="H392">
        <f>ROUND(B388+'Slide Measurements'!$D$17,$O$1)</f>
        <v>548.21</v>
      </c>
      <c r="I392">
        <f>ROUND(H392+(F392*'Slide Measurements'!$D$21),$O$1)</f>
        <v>548.21</v>
      </c>
      <c r="J392">
        <f>K391</f>
        <v>259.43</v>
      </c>
      <c r="K392">
        <f>J392+($I$1*'Slide Measurements'!$E$23-'Slide Measurements'!$E$23)</f>
        <v>261.28000000000003</v>
      </c>
      <c r="L392" s="5" t="str">
        <f>'Expanded Base Data'!$L386</f>
        <v/>
      </c>
      <c r="M392" s="5" t="str">
        <f>'Expanded Base Data'!$K386</f>
        <v/>
      </c>
      <c r="N392">
        <f t="shared" si="337"/>
        <v>0</v>
      </c>
      <c r="O392">
        <f t="shared" si="338"/>
        <v>1.85</v>
      </c>
      <c r="P392" s="5" t="e">
        <f t="shared" si="339"/>
        <v>#VALUE!</v>
      </c>
      <c r="Q392">
        <f>'Code List'!$C$63</f>
        <v>3</v>
      </c>
      <c r="R392">
        <f>F393+'Code List'!$G$63</f>
        <v>2</v>
      </c>
      <c r="S392" t="e">
        <f t="shared" si="340"/>
        <v>#VALUE!</v>
      </c>
      <c r="T392" t="e">
        <f t="shared" si="342"/>
        <v>#VALUE!</v>
      </c>
      <c r="U392" t="str">
        <f>IF(A392="YES",CONCATENATE(G392,"_",'Program Page'!$C$4,'Program Page'!$C$5,"_",D392,"_",E392),"")</f>
        <v/>
      </c>
      <c r="V392" t="str">
        <f t="shared" si="341"/>
        <v/>
      </c>
      <c r="W392" t="str">
        <f>IF(A392="YES",CONCATENATE("{",'Code List'!$B$4,'Code List'!$D$4,",",'Code List'!$B$5,'Code List'!$D$5,",",'Code List'!$B$6,"""",U392,"""",",",'Code List'!$B$7,'Code List'!$D$7,",",'Code List'!$B$8,'Code List'!$D$8,",",'Code List'!$B$9,'Code List'!$D$9,",",'Code List'!$B$10,'Code List'!$D$10,",",'Code List'!$B$11,"""",V392,"""",",",'Code List'!$B$12,"""",H392,"""",",",'Code List'!$B$13,"""",I392,"""",",",'Code List'!$B$14,"""",J392,"""",",",'Code List'!$B$15,"""",K392,"""",",",'Code List'!$B$16,"""",L392,"""",",",'Code List'!$B$17,"""",M392,"""",",",'Code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92" s="167" t="str">
        <f>IF(A392="YES",CONCATENATE("{",'Code List'!$B$31,"""",U392,"""",",",'Code List'!$B$32,'Code List'!$D$32,",",'Code List'!$B$33,'Code List'!$D$33,",",'Code List'!$B$34,'Code List'!$D$34,",",'Code List'!$B$35,'Code List'!$D$35,",",'Code List'!$B$36,'Code List'!$D$36,",",'Code List'!$B$37,'Code List'!$D$37,",",'Code List'!$B$38,"""",H392,"""",",",'Code List'!$B$39,"""",I392,"""",",",'Code List'!$B$40,"""",J392,"""",",",'Code List'!$B$41,"""",K392,"""",",",'Code List'!$B$42,"""",L392,"""",",",'Code List'!$B$43,"""",M392,"""",",",'Code List'!$B$44,"""",N392,"""",",",'Code List'!$B$45,"""",O392,"""",",",'Code List'!$B$46,"""",P392,"""",",",'Code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List'!$B$59,"""",T392,"""","}"),"")</f>
        <v/>
      </c>
    </row>
    <row r="393" spans="1:25" x14ac:dyDescent="0.25">
      <c r="A393" t="str">
        <f>IF(AND($A388="YES",E388=$D$1,F393&gt;0),"YES","NO")</f>
        <v>NO</v>
      </c>
      <c r="C393" t="s">
        <v>5</v>
      </c>
      <c r="D393" s="12" t="str">
        <f t="shared" si="336"/>
        <v>7G</v>
      </c>
      <c r="E393" t="s">
        <v>191</v>
      </c>
      <c r="F393">
        <f>'Expanded Base Data'!I386</f>
        <v>0</v>
      </c>
      <c r="G393" s="171">
        <f>F388</f>
        <v>0</v>
      </c>
      <c r="H393">
        <f>ROUND(B388+'Slide Measurements'!$D$17,$O$1)</f>
        <v>548.21</v>
      </c>
      <c r="I393">
        <f>ROUND(H393+(F393*'Slide Measurements'!$D$21),$O$1)</f>
        <v>548.21</v>
      </c>
      <c r="J393">
        <f>K392</f>
        <v>261.28000000000003</v>
      </c>
      <c r="K393">
        <f>J393+($I$1*'Slide Measurements'!$E$23-'Slide Measurements'!$E$23)</f>
        <v>263.13000000000005</v>
      </c>
      <c r="L393" s="5" t="str">
        <f>'Expanded Base Data'!$L386</f>
        <v/>
      </c>
      <c r="M393" s="5" t="str">
        <f>'Expanded Base Data'!$K386</f>
        <v/>
      </c>
      <c r="N393">
        <f t="shared" si="337"/>
        <v>0</v>
      </c>
      <c r="O393">
        <f t="shared" si="338"/>
        <v>1.85</v>
      </c>
      <c r="P393" s="5" t="e">
        <f t="shared" si="339"/>
        <v>#VALUE!</v>
      </c>
      <c r="Q393">
        <f>'Code List'!$C$63</f>
        <v>3</v>
      </c>
      <c r="R393">
        <f>F394+'Code List'!$G$63</f>
        <v>2</v>
      </c>
      <c r="S393" t="e">
        <f t="shared" si="340"/>
        <v>#VALUE!</v>
      </c>
      <c r="T393" t="e">
        <f t="shared" si="342"/>
        <v>#VALUE!</v>
      </c>
      <c r="U393" t="str">
        <f>IF(A393="YES",CONCATENATE(G393,"_",'Program Page'!$C$4,'Program Page'!$C$5,"_",D393,"_",E393),"")</f>
        <v/>
      </c>
      <c r="V393" t="str">
        <f t="shared" si="341"/>
        <v/>
      </c>
      <c r="W393" t="str">
        <f>IF(A393="YES",CONCATENATE("{",'Code List'!$B$4,'Code List'!$D$4,",",'Code List'!$B$5,'Code List'!$D$5,",",'Code List'!$B$6,"""",U393,"""",",",'Code List'!$B$7,'Code List'!$D$7,",",'Code List'!$B$8,'Code List'!$D$8,",",'Code List'!$B$9,'Code List'!$D$9,",",'Code List'!$B$10,'Code List'!$D$10,",",'Code List'!$B$11,"""",V393,"""",",",'Code List'!$B$12,"""",H393,"""",",",'Code List'!$B$13,"""",I393,"""",",",'Code List'!$B$14,"""",J393,"""",",",'Code List'!$B$15,"""",K393,"""",",",'Code List'!$B$16,"""",L393,"""",",",'Code List'!$B$17,"""",M393,"""",",",'Code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93" s="167" t="str">
        <f>IF(A393="YES",CONCATENATE("{",'Code List'!$B$31,"""",U393,"""",",",'Code List'!$B$32,'Code List'!$D$32,",",'Code List'!$B$33,'Code List'!$D$33,",",'Code List'!$B$34,'Code List'!$D$34,",",'Code List'!$B$35,'Code List'!$D$35,",",'Code List'!$B$36,'Code List'!$D$36,",",'Code List'!$B$37,'Code List'!$D$37,",",'Code List'!$B$38,"""",H393,"""",",",'Code List'!$B$39,"""",I393,"""",",",'Code List'!$B$40,"""",J393,"""",",",'Code List'!$B$41,"""",K393,"""",",",'Code List'!$B$42,"""",L393,"""",",",'Code List'!$B$43,"""",M393,"""",",",'Code List'!$B$44,"""",N393,"""",",",'Code List'!$B$45,"""",O393,"""",",",'Code List'!$B$46,"""",P393,"""",",",'Code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List'!$B$59,"""",T393,"""","}"),"")</f>
        <v/>
      </c>
    </row>
    <row r="394" spans="1:25" x14ac:dyDescent="0.25">
      <c r="A394" t="str">
        <f>IF(AND($A388="YES",E388=$D$1,F394&gt;0),"YES","NO")</f>
        <v>NO</v>
      </c>
      <c r="C394" t="s">
        <v>5</v>
      </c>
      <c r="D394" s="12" t="str">
        <f t="shared" si="336"/>
        <v>7G</v>
      </c>
      <c r="E394" t="s">
        <v>196</v>
      </c>
      <c r="F394">
        <f>'Expanded Base Data'!J386</f>
        <v>0</v>
      </c>
      <c r="G394" s="171">
        <f>F388</f>
        <v>0</v>
      </c>
      <c r="H394">
        <f>ROUND(B388+'Slide Measurements'!$D$17,$O$1)</f>
        <v>548.21</v>
      </c>
      <c r="I394">
        <f>ROUND(H394+(F394*'Slide Measurements'!$D$21),$O$1)</f>
        <v>548.21</v>
      </c>
      <c r="J394">
        <f>K393</f>
        <v>263.13000000000005</v>
      </c>
      <c r="K394">
        <f>J394+($I$1*'Slide Measurements'!$E$23-'Slide Measurements'!$E$23)</f>
        <v>264.98000000000008</v>
      </c>
      <c r="L394" s="5" t="str">
        <f>'Expanded Base Data'!$L386</f>
        <v/>
      </c>
      <c r="M394" s="5" t="str">
        <f>'Expanded Base Data'!$K386</f>
        <v/>
      </c>
      <c r="N394">
        <f t="shared" si="337"/>
        <v>0</v>
      </c>
      <c r="O394">
        <f t="shared" si="338"/>
        <v>1.85</v>
      </c>
      <c r="P394" s="5" t="e">
        <f t="shared" si="339"/>
        <v>#VALUE!</v>
      </c>
      <c r="Q394">
        <f>'Code List'!$C$63</f>
        <v>3</v>
      </c>
      <c r="R394">
        <f>F395+'Code List'!$G$63</f>
        <v>2</v>
      </c>
      <c r="S394" t="e">
        <f t="shared" si="340"/>
        <v>#VALUE!</v>
      </c>
      <c r="T394" t="e">
        <f t="shared" si="342"/>
        <v>#VALUE!</v>
      </c>
      <c r="U394" t="str">
        <f>IF(A394="YES",CONCATENATE(G394,"_",'Program Page'!$C$4,'Program Page'!$C$5,"_",D394,"_",E394),"")</f>
        <v/>
      </c>
      <c r="V394" t="str">
        <f t="shared" si="341"/>
        <v/>
      </c>
      <c r="W394" t="str">
        <f>IF(A394="YES",CONCATENATE("{",'Code List'!$B$4,'Code List'!$D$4,",",'Code List'!$B$5,'Code List'!$D$5,",",'Code List'!$B$6,"""",U394,"""",",",'Code List'!$B$7,'Code List'!$D$7,",",'Code List'!$B$8,'Code List'!$D$8,",",'Code List'!$B$9,'Code List'!$D$9,",",'Code List'!$B$10,'Code List'!$D$10,",",'Code List'!$B$11,"""",V394,"""",",",'Code List'!$B$12,"""",H394,"""",",",'Code List'!$B$13,"""",I394,"""",",",'Code List'!$B$14,"""",J394,"""",",",'Code List'!$B$15,"""",K394,"""",",",'Code List'!$B$16,"""",L394,"""",",",'Code List'!$B$17,"""",M394,"""",",",'Code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94" s="167" t="str">
        <f>IF(A394="YES",CONCATENATE("{",'Code List'!$B$31,"""",U394,"""",",",'Code List'!$B$32,'Code List'!$D$32,",",'Code List'!$B$33,'Code List'!$D$33,",",'Code List'!$B$34,'Code List'!$D$34,",",'Code List'!$B$35,'Code List'!$D$35,",",'Code List'!$B$36,'Code List'!$D$36,",",'Code List'!$B$37,'Code List'!$D$37,",",'Code List'!$B$38,"""",H394,"""",",",'Code List'!$B$39,"""",I394,"""",",",'Code List'!$B$40,"""",J394,"""",",",'Code List'!$B$41,"""",K394,"""",",",'Code List'!$B$42,"""",L394,"""",",",'Code List'!$B$43,"""",M394,"""",",",'Code List'!$B$44,"""",N394,"""",",",'Code List'!$B$45,"""",O394,"""",",",'Code List'!$B$46,"""",P394,"""",",",'Code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List'!$B$59,"""",T394,"""","}"),"")</f>
        <v/>
      </c>
    </row>
    <row r="395" spans="1:25" x14ac:dyDescent="0.25">
      <c r="A395" s="162" t="str">
        <f>IF(AND($A388="YES",E388=$E$1),"YES","NO")</f>
        <v>NO</v>
      </c>
      <c r="C395" t="s">
        <v>259</v>
      </c>
      <c r="D395" s="12" t="str">
        <f>D394</f>
        <v>7G</v>
      </c>
      <c r="E395" t="s">
        <v>259</v>
      </c>
      <c r="G395" s="171">
        <f>F388</f>
        <v>0</v>
      </c>
      <c r="H395">
        <f>ROUND(B388,$O$1)</f>
        <v>522.80999999999995</v>
      </c>
      <c r="I395">
        <f>ROUND(B388+'Slide Measurements'!$D$1,$O$1)</f>
        <v>599.26</v>
      </c>
      <c r="J395">
        <f>C388</f>
        <v>251.42999999999998</v>
      </c>
      <c r="K395">
        <f>C388+'Slide Measurements'!$D$2</f>
        <v>278.83</v>
      </c>
      <c r="L395" s="5" t="str">
        <f>'Expanded Base Data'!$L386</f>
        <v/>
      </c>
      <c r="M395" s="5" t="str">
        <f>'Expanded Base Data'!$K386</f>
        <v/>
      </c>
      <c r="N395">
        <f t="shared" si="337"/>
        <v>76.45</v>
      </c>
      <c r="O395">
        <f t="shared" si="338"/>
        <v>27.4</v>
      </c>
      <c r="P395" s="5" t="e">
        <f>ROUND((L395-M395),$O$1)</f>
        <v>#VALUE!</v>
      </c>
      <c r="Q395">
        <f>'Code List'!$C$70</f>
        <v>11</v>
      </c>
      <c r="R395">
        <f>'Code List'!$D$70</f>
        <v>19</v>
      </c>
      <c r="S395" t="e">
        <f>IF(P395=0,"1",ROUND((P395/$K$1)+$M$1,0))</f>
        <v>#VALUE!</v>
      </c>
      <c r="T395" t="e">
        <f>Q395*R395*S395</f>
        <v>#VALUE!</v>
      </c>
      <c r="U395" t="str">
        <f>IF(A395="YES",CONCATENATE(G395,"_",'Program Page'!$C$4,'Program Page'!$C$5,"_",D395,"_",E395),"")</f>
        <v/>
      </c>
      <c r="V395" t="str">
        <f>IF(U395="","",CONCATENATE(U395,"_"))</f>
        <v/>
      </c>
      <c r="W395" t="str">
        <f>IF(A395="YES",CONCATENATE("{",'Code List'!$B$4,'Code List'!$D$4,",",'Code List'!$B$5,'Code List'!$D$5,",",'Code List'!$B$6,"""",U395,"""",",",'Code List'!$B$7,'Code List'!$D$7,",",'Code List'!$B$8,'Code List'!$D$8,",",'Code List'!$B$9,'Code List'!$D$9,",",'Code List'!$B$10,'Code List'!$D$10,",",'Code List'!$B$11,"""",V395,"""",",",'Code List'!$B$12,"""",H395,"""",",",'Code List'!$B$13,"""",I395,"""",",",'Code List'!$B$14,"""",J395,"""",",",'Code List'!$B$15,"""",K395,"""",",",'Code List'!$B$16,"""",L395,"""",",",'Code List'!$B$17,"""",M395,"""",",",'Code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395" s="167" t="str">
        <f>IF(A395="YES",CONCATENATE("{",'Code List'!$B$31,"""",U395,"""",",",'Code List'!$B$32,'Code List'!$D$32,",",'Code List'!$B$33,'Code List'!$D$33,",",'Code List'!$B$34,'Code List'!$D$34,",",'Code List'!$B$35,'Code List'!$D$35,",",'Code List'!$B$36,'Code List'!$D$36,",",'Code List'!$B$37,'Code List'!$D$37,",",'Code List'!$B$38,"""",H395,"""",",",'Code List'!$B$39,"""",I395,"""",",",'Code List'!$B$40,"""",J395,"""",",",'Code List'!$B$41,"""",K395,"""",",",'Code List'!$B$42,"""",L395,"""",",",'Code List'!$B$43,"""",M395,"""",",",'Code List'!$B$44,"""",N395,"""",",",'Code List'!$B$45,"""",O395,"""",",",'Code List'!$B$46,"""",P395,"""",",",'Code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List'!$B$59,"""",T395,"""","}"),"")</f>
        <v/>
      </c>
    </row>
    <row r="396" spans="1:25" ht="18.75" x14ac:dyDescent="0.3">
      <c r="A396" s="35" t="str">
        <f>IF(OR(E396=$C$1,E396=$D$1,E396=$E$1),"YES","NO")</f>
        <v>NO</v>
      </c>
      <c r="B396" s="35">
        <f>'Expanded Base Data'!D394</f>
        <v>1.71</v>
      </c>
      <c r="C396" s="35">
        <f>'Expanded Base Data'!E394</f>
        <v>288.23</v>
      </c>
      <c r="D396" s="36" t="str">
        <f>'Expanded Base Data'!B394</f>
        <v>8A</v>
      </c>
      <c r="E396" s="35">
        <f>'Expanded Base Data'!C394</f>
        <v>0</v>
      </c>
      <c r="F396" s="35">
        <f>'Expanded Base Data'!M394</f>
        <v>0</v>
      </c>
      <c r="G396" s="170">
        <f>F396</f>
        <v>0</v>
      </c>
      <c r="Y396" s="167" t="str">
        <f>""</f>
        <v/>
      </c>
    </row>
    <row r="397" spans="1:25" x14ac:dyDescent="0.25">
      <c r="A397" t="str">
        <f>IF(AND($A396="YES",E396=$C$1),"YES","NO")</f>
        <v>NO</v>
      </c>
      <c r="C397" t="s">
        <v>6</v>
      </c>
      <c r="D397" s="12" t="str">
        <f>D396</f>
        <v>8A</v>
      </c>
      <c r="E397" t="s">
        <v>6</v>
      </c>
      <c r="F397" t="s">
        <v>198</v>
      </c>
      <c r="G397" s="171">
        <f>F396</f>
        <v>0</v>
      </c>
      <c r="H397">
        <f>IF('Expanded Base Data'!N394="",ROUND(B396+'Slide Measurements'!$D$11,$O$1),B396+'Expanded Base Data'!N394)</f>
        <v>34.71</v>
      </c>
      <c r="I397">
        <f>IF('Expanded Base Data'!O394="",ROUND(B396+'Slide Measurements'!$D$12,$O$1),B396+'Expanded Base Data'!O394)</f>
        <v>43.31</v>
      </c>
      <c r="J397">
        <f>IF('Expanded Base Data'!P394="",C396+'Slide Measurements'!$E$13,C396+'Expanded Base Data'!P394)</f>
        <v>296.93</v>
      </c>
      <c r="K397">
        <f>IF('Expanded Base Data'!Q394="",C396+'Slide Measurements'!$E$14,C396+'Expanded Base Data'!Q394)</f>
        <v>305.53000000000003</v>
      </c>
      <c r="L397" s="5" t="str">
        <f>'Expanded Base Data'!$L394</f>
        <v/>
      </c>
      <c r="M397" s="5" t="str">
        <f>'Expanded Base Data'!$K394</f>
        <v/>
      </c>
      <c r="N397">
        <f>ROUND((I397-H397),$O$1)</f>
        <v>8.6</v>
      </c>
      <c r="O397">
        <f>ROUND((K397-J397),$O$1)</f>
        <v>8.6</v>
      </c>
      <c r="P397" s="5" t="e">
        <f>ROUND((L397-M397),$O$1)</f>
        <v>#VALUE!</v>
      </c>
      <c r="Q397">
        <f>'Code List'!$C$62</f>
        <v>5</v>
      </c>
      <c r="R397">
        <f>F398+'Code List'!$G$63</f>
        <v>2</v>
      </c>
      <c r="S397" t="e">
        <f>IF(P397=0,"1",ROUND((P397/$K$1)+$M$1,0))</f>
        <v>#VALUE!</v>
      </c>
      <c r="T397" t="e">
        <f>Q397*R397*S397</f>
        <v>#VALUE!</v>
      </c>
      <c r="U397" t="str">
        <f>IF(A397="YES",CONCATENATE(G397,"_",'Program Page'!$C$4,'Program Page'!$C$5,"_",D397,"_",E397),"")</f>
        <v/>
      </c>
      <c r="V397" t="str">
        <f>IF(U397="","",CONCATENATE(U397,"_"))</f>
        <v/>
      </c>
      <c r="W397" t="str">
        <f>IF(A397="YES",CONCATENATE("{",'Code List'!$B$4,'Code List'!$D$4,",",'Code List'!$B$5,'Code List'!$D$5,",",'Code List'!$B$6,"""",U397,"""",",",'Code List'!$B$7,'Code List'!$D$7,",",'Code List'!$B$8,'Code List'!$D$8,",",'Code List'!$B$9,'Code List'!$D$9,",",'Code List'!$B$10,'Code List'!$D$10,",",'Code List'!$B$11,"""",V397,"""",",",'Code List'!$B$12,"""",H397,"""",",",'Code List'!$B$13,"""",I397,"""",",",'Code List'!$B$14,"""",J397,"""",",",'Code List'!$B$15,"""",K397,"""",",",'Code List'!$B$16,"""",L397,"""",",",'Code List'!$B$17,"""",M397,"""",",",'Code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97" s="167" t="str">
        <f>IF(A397="YES",CONCATENATE("{",'Code List'!$B$31,"""",U397,"""",",",'Code List'!$B$32,'Code List'!$D$32,",",'Code List'!$B$33,'Code List'!$D$33,",",'Code List'!$B$34,'Code List'!$D$34,",",'Code List'!$B$35,'Code List'!$D$35,",",'Code List'!$B$36,'Code List'!$D$36,",",'Code List'!$B$37,'Code List'!$D$37,",",'Code List'!$B$38,"""",H397,"""",",",'Code List'!$B$39,"""",I397,"""",",",'Code List'!$B$40,"""",J397,"""",",",'Code List'!$B$41,"""",K397,"""",",",'Code List'!$B$42,"""",L397,"""",",",'Code List'!$B$43,"""",M397,"""",",",'Code List'!$B$44,"""",N397,"""",",",'Code List'!$B$45,"""",O397,"""",",",'Code List'!$B$46,"""",P397,"""",",",'Code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List'!$B$59,"""",T397,"""","}"),"")</f>
        <v/>
      </c>
    </row>
    <row r="398" spans="1:25" x14ac:dyDescent="0.25">
      <c r="A398" t="str">
        <f>IF(AND($A396="YES",E396=$D$1,F398&gt;0),"YES","NO")</f>
        <v>NO</v>
      </c>
      <c r="C398" t="s">
        <v>5</v>
      </c>
      <c r="D398" s="12" t="str">
        <f t="shared" ref="D398:D402" si="343">D397</f>
        <v>8A</v>
      </c>
      <c r="E398" t="s">
        <v>188</v>
      </c>
      <c r="F398">
        <f>'Expanded Base Data'!F394</f>
        <v>0</v>
      </c>
      <c r="G398" s="171">
        <f>F396</f>
        <v>0</v>
      </c>
      <c r="H398">
        <f>ROUND(B396+'Slide Measurements'!$D$17,$O$1)</f>
        <v>27.11</v>
      </c>
      <c r="I398">
        <f>ROUND(H398+(F398*'Slide Measurements'!$D$21),$O$1)</f>
        <v>27.11</v>
      </c>
      <c r="J398">
        <f>C396+'Slide Measurements'!$E$17</f>
        <v>292.53000000000003</v>
      </c>
      <c r="K398">
        <f>J398+($I$1*'Slide Measurements'!$E$23-'Slide Measurements'!$E$23)</f>
        <v>294.38000000000005</v>
      </c>
      <c r="L398" s="5" t="str">
        <f>'Expanded Base Data'!$L394</f>
        <v/>
      </c>
      <c r="M398" s="5" t="str">
        <f>'Expanded Base Data'!$K394</f>
        <v/>
      </c>
      <c r="N398">
        <f t="shared" ref="N398:N403" si="344">ROUND((I398-H398),$O$1)</f>
        <v>0</v>
      </c>
      <c r="O398">
        <f t="shared" ref="O398:O403" si="345">ROUND((K398-J398),$O$1)</f>
        <v>1.85</v>
      </c>
      <c r="P398" s="5" t="e">
        <f t="shared" ref="P398:P402" si="346">ROUND((L398-M398),$O$1)</f>
        <v>#VALUE!</v>
      </c>
      <c r="Q398">
        <f>'Code List'!$C$63</f>
        <v>3</v>
      </c>
      <c r="R398">
        <f>F399+'Code List'!$G$63</f>
        <v>2</v>
      </c>
      <c r="S398" t="e">
        <f t="shared" ref="S398:S402" si="347">IF(P398=0,"1",ROUND((P398/$K$1)+$M$1,0))</f>
        <v>#VALUE!</v>
      </c>
      <c r="T398" t="e">
        <f>Q398*R398*S398</f>
        <v>#VALUE!</v>
      </c>
      <c r="U398" t="str">
        <f>IF(A398="YES",CONCATENATE(G398,"_",'Program Page'!$C$4,'Program Page'!$C$5,"_",D398,"_",E398),"")</f>
        <v/>
      </c>
      <c r="V398" t="str">
        <f t="shared" ref="V398:V402" si="348">IF(U398="","",CONCATENATE(U398,"_"))</f>
        <v/>
      </c>
      <c r="W398" t="str">
        <f>IF(A398="YES",CONCATENATE("{",'Code List'!$B$4,'Code List'!$D$4,",",'Code List'!$B$5,'Code List'!$D$5,",",'Code List'!$B$6,"""",U398,"""",",",'Code List'!$B$7,'Code List'!$D$7,",",'Code List'!$B$8,'Code List'!$D$8,",",'Code List'!$B$9,'Code List'!$D$9,",",'Code List'!$B$10,'Code List'!$D$10,",",'Code List'!$B$11,"""",V398,"""",",",'Code List'!$B$12,"""",H398,"""",",",'Code List'!$B$13,"""",I398,"""",",",'Code List'!$B$14,"""",J398,"""",",",'Code List'!$B$15,"""",K398,"""",",",'Code List'!$B$16,"""",L398,"""",",",'Code List'!$B$17,"""",M398,"""",",",'Code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98" s="167" t="str">
        <f>IF(A398="YES",CONCATENATE("{",'Code List'!$B$31,"""",U398,"""",",",'Code List'!$B$32,'Code List'!$D$32,",",'Code List'!$B$33,'Code List'!$D$33,",",'Code List'!$B$34,'Code List'!$D$34,",",'Code List'!$B$35,'Code List'!$D$35,",",'Code List'!$B$36,'Code List'!$D$36,",",'Code List'!$B$37,'Code List'!$D$37,",",'Code List'!$B$38,"""",H398,"""",",",'Code List'!$B$39,"""",I398,"""",",",'Code List'!$B$40,"""",J398,"""",",",'Code List'!$B$41,"""",K398,"""",",",'Code List'!$B$42,"""",L398,"""",",",'Code List'!$B$43,"""",M398,"""",",",'Code List'!$B$44,"""",N398,"""",",",'Code List'!$B$45,"""",O398,"""",",",'Code List'!$B$46,"""",P398,"""",",",'Code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List'!$B$59,"""",T398,"""","}"),"")</f>
        <v/>
      </c>
    </row>
    <row r="399" spans="1:25" x14ac:dyDescent="0.25">
      <c r="A399" t="str">
        <f>IF(AND($A396="YES",E396=$D$1,F399&gt;0),"YES","NO")</f>
        <v>NO</v>
      </c>
      <c r="C399" t="s">
        <v>5</v>
      </c>
      <c r="D399" s="12" t="str">
        <f t="shared" si="343"/>
        <v>8A</v>
      </c>
      <c r="E399" t="s">
        <v>189</v>
      </c>
      <c r="F399">
        <f>'Expanded Base Data'!G394</f>
        <v>0</v>
      </c>
      <c r="G399" s="171">
        <f>F396</f>
        <v>0</v>
      </c>
      <c r="H399">
        <f>ROUND(B396+'Slide Measurements'!$D$17,$O$1)</f>
        <v>27.11</v>
      </c>
      <c r="I399">
        <f>ROUND(H399+(F399*'Slide Measurements'!$D$21),$O$1)</f>
        <v>27.11</v>
      </c>
      <c r="J399">
        <f>K398</f>
        <v>294.38000000000005</v>
      </c>
      <c r="K399">
        <f>J399+($I$1*'Slide Measurements'!$E$23-'Slide Measurements'!$E$23)</f>
        <v>296.23000000000008</v>
      </c>
      <c r="L399" s="5" t="str">
        <f>'Expanded Base Data'!$L394</f>
        <v/>
      </c>
      <c r="M399" s="5" t="str">
        <f>'Expanded Base Data'!$K394</f>
        <v/>
      </c>
      <c r="N399">
        <f t="shared" si="344"/>
        <v>0</v>
      </c>
      <c r="O399">
        <f t="shared" si="345"/>
        <v>1.85</v>
      </c>
      <c r="P399" s="5" t="e">
        <f t="shared" si="346"/>
        <v>#VALUE!</v>
      </c>
      <c r="Q399">
        <f>'Code List'!$C$63</f>
        <v>3</v>
      </c>
      <c r="R399">
        <f>F400+'Code List'!$G$63</f>
        <v>2</v>
      </c>
      <c r="S399" t="e">
        <f t="shared" si="347"/>
        <v>#VALUE!</v>
      </c>
      <c r="T399" t="e">
        <f t="shared" ref="T399:T402" si="349">Q399*R399*S399</f>
        <v>#VALUE!</v>
      </c>
      <c r="U399" t="str">
        <f>IF(A399="YES",CONCATENATE(G399,"_",'Program Page'!$C$4,'Program Page'!$C$5,"_",D399,"_",E399),"")</f>
        <v/>
      </c>
      <c r="V399" t="str">
        <f t="shared" si="348"/>
        <v/>
      </c>
      <c r="W399" t="str">
        <f>IF(A399="YES",CONCATENATE("{",'Code List'!$B$4,'Code List'!$D$4,",",'Code List'!$B$5,'Code List'!$D$5,",",'Code List'!$B$6,"""",U399,"""",",",'Code List'!$B$7,'Code List'!$D$7,",",'Code List'!$B$8,'Code List'!$D$8,",",'Code List'!$B$9,'Code List'!$D$9,",",'Code List'!$B$10,'Code List'!$D$10,",",'Code List'!$B$11,"""",V399,"""",",",'Code List'!$B$12,"""",H399,"""",",",'Code List'!$B$13,"""",I399,"""",",",'Code List'!$B$14,"""",J399,"""",",",'Code List'!$B$15,"""",K399,"""",",",'Code List'!$B$16,"""",L399,"""",",",'Code List'!$B$17,"""",M399,"""",",",'Code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399" s="167" t="str">
        <f>IF(A399="YES",CONCATENATE("{",'Code List'!$B$31,"""",U399,"""",",",'Code List'!$B$32,'Code List'!$D$32,",",'Code List'!$B$33,'Code List'!$D$33,",",'Code List'!$B$34,'Code List'!$D$34,",",'Code List'!$B$35,'Code List'!$D$35,",",'Code List'!$B$36,'Code List'!$D$36,",",'Code List'!$B$37,'Code List'!$D$37,",",'Code List'!$B$38,"""",H399,"""",",",'Code List'!$B$39,"""",I399,"""",",",'Code List'!$B$40,"""",J399,"""",",",'Code List'!$B$41,"""",K399,"""",",",'Code List'!$B$42,"""",L399,"""",",",'Code List'!$B$43,"""",M399,"""",",",'Code List'!$B$44,"""",N399,"""",",",'Code List'!$B$45,"""",O399,"""",",",'Code List'!$B$46,"""",P399,"""",",",'Code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List'!$B$59,"""",T399,"""","}"),"")</f>
        <v/>
      </c>
    </row>
    <row r="400" spans="1:25" x14ac:dyDescent="0.25">
      <c r="A400" t="str">
        <f>IF(AND($A396="YES",E396=$D$1,F400&gt;0),"YES","NO")</f>
        <v>NO</v>
      </c>
      <c r="C400" t="s">
        <v>5</v>
      </c>
      <c r="D400" s="12" t="str">
        <f t="shared" si="343"/>
        <v>8A</v>
      </c>
      <c r="E400" t="s">
        <v>190</v>
      </c>
      <c r="F400">
        <f>'Expanded Base Data'!H394</f>
        <v>0</v>
      </c>
      <c r="G400" s="171">
        <f>F396</f>
        <v>0</v>
      </c>
      <c r="H400">
        <f>ROUND(B396+'Slide Measurements'!$D$17,$O$1)</f>
        <v>27.11</v>
      </c>
      <c r="I400">
        <f>ROUND(H400+(F400*'Slide Measurements'!$D$21),$O$1)</f>
        <v>27.11</v>
      </c>
      <c r="J400">
        <f>K399</f>
        <v>296.23000000000008</v>
      </c>
      <c r="K400">
        <f>J400+($I$1*'Slide Measurements'!$E$23-'Slide Measurements'!$E$23)</f>
        <v>298.0800000000001</v>
      </c>
      <c r="L400" s="5" t="str">
        <f>'Expanded Base Data'!$L394</f>
        <v/>
      </c>
      <c r="M400" s="5" t="str">
        <f>'Expanded Base Data'!$K394</f>
        <v/>
      </c>
      <c r="N400">
        <f t="shared" si="344"/>
        <v>0</v>
      </c>
      <c r="O400">
        <f t="shared" si="345"/>
        <v>1.85</v>
      </c>
      <c r="P400" s="5" t="e">
        <f t="shared" si="346"/>
        <v>#VALUE!</v>
      </c>
      <c r="Q400">
        <f>'Code List'!$C$63</f>
        <v>3</v>
      </c>
      <c r="R400">
        <f>F401+'Code List'!$G$63</f>
        <v>2</v>
      </c>
      <c r="S400" t="e">
        <f t="shared" si="347"/>
        <v>#VALUE!</v>
      </c>
      <c r="T400" t="e">
        <f t="shared" si="349"/>
        <v>#VALUE!</v>
      </c>
      <c r="U400" t="str">
        <f>IF(A400="YES",CONCATENATE(G400,"_",'Program Page'!$C$4,'Program Page'!$C$5,"_",D400,"_",E400),"")</f>
        <v/>
      </c>
      <c r="V400" t="str">
        <f t="shared" si="348"/>
        <v/>
      </c>
      <c r="W400" t="str">
        <f>IF(A400="YES",CONCATENATE("{",'Code List'!$B$4,'Code List'!$D$4,",",'Code List'!$B$5,'Code List'!$D$5,",",'Code List'!$B$6,"""",U400,"""",",",'Code List'!$B$7,'Code List'!$D$7,",",'Code List'!$B$8,'Code List'!$D$8,",",'Code List'!$B$9,'Code List'!$D$9,",",'Code List'!$B$10,'Code List'!$D$10,",",'Code List'!$B$11,"""",V400,"""",",",'Code List'!$B$12,"""",H400,"""",",",'Code List'!$B$13,"""",I400,"""",",",'Code List'!$B$14,"""",J400,"""",",",'Code List'!$B$15,"""",K400,"""",",",'Code List'!$B$16,"""",L400,"""",",",'Code List'!$B$17,"""",M400,"""",",",'Code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00" s="167" t="str">
        <f>IF(A400="YES",CONCATENATE("{",'Code List'!$B$31,"""",U400,"""",",",'Code List'!$B$32,'Code List'!$D$32,",",'Code List'!$B$33,'Code List'!$D$33,",",'Code List'!$B$34,'Code List'!$D$34,",",'Code List'!$B$35,'Code List'!$D$35,",",'Code List'!$B$36,'Code List'!$D$36,",",'Code List'!$B$37,'Code List'!$D$37,",",'Code List'!$B$38,"""",H400,"""",",",'Code List'!$B$39,"""",I400,"""",",",'Code List'!$B$40,"""",J400,"""",",",'Code List'!$B$41,"""",K400,"""",",",'Code List'!$B$42,"""",L400,"""",",",'Code List'!$B$43,"""",M400,"""",",",'Code List'!$B$44,"""",N400,"""",",",'Code List'!$B$45,"""",O400,"""",",",'Code List'!$B$46,"""",P400,"""",",",'Code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List'!$B$59,"""",T400,"""","}"),"")</f>
        <v/>
      </c>
    </row>
    <row r="401" spans="1:25" x14ac:dyDescent="0.25">
      <c r="A401" t="str">
        <f>IF(AND($A396="YES",E396=$D$1,F401&gt;0),"YES","NO")</f>
        <v>NO</v>
      </c>
      <c r="C401" t="s">
        <v>5</v>
      </c>
      <c r="D401" s="12" t="str">
        <f t="shared" si="343"/>
        <v>8A</v>
      </c>
      <c r="E401" t="s">
        <v>191</v>
      </c>
      <c r="F401">
        <f>'Expanded Base Data'!I394</f>
        <v>0</v>
      </c>
      <c r="G401" s="171">
        <f>F396</f>
        <v>0</v>
      </c>
      <c r="H401">
        <f>ROUND(B396+'Slide Measurements'!$D$17,$O$1)</f>
        <v>27.11</v>
      </c>
      <c r="I401">
        <f>ROUND(H401+(F401*'Slide Measurements'!$D$21),$O$1)</f>
        <v>27.11</v>
      </c>
      <c r="J401">
        <f>K400</f>
        <v>298.0800000000001</v>
      </c>
      <c r="K401">
        <f>J401+($I$1*'Slide Measurements'!$E$23-'Slide Measurements'!$E$23)</f>
        <v>299.93000000000012</v>
      </c>
      <c r="L401" s="5" t="str">
        <f>'Expanded Base Data'!$L394</f>
        <v/>
      </c>
      <c r="M401" s="5" t="str">
        <f>'Expanded Base Data'!$K394</f>
        <v/>
      </c>
      <c r="N401">
        <f t="shared" si="344"/>
        <v>0</v>
      </c>
      <c r="O401">
        <f t="shared" si="345"/>
        <v>1.85</v>
      </c>
      <c r="P401" s="5" t="e">
        <f t="shared" si="346"/>
        <v>#VALUE!</v>
      </c>
      <c r="Q401">
        <f>'Code List'!$C$63</f>
        <v>3</v>
      </c>
      <c r="R401">
        <f>F402+'Code List'!$G$63</f>
        <v>2</v>
      </c>
      <c r="S401" t="e">
        <f t="shared" si="347"/>
        <v>#VALUE!</v>
      </c>
      <c r="T401" t="e">
        <f t="shared" si="349"/>
        <v>#VALUE!</v>
      </c>
      <c r="U401" t="str">
        <f>IF(A401="YES",CONCATENATE(G401,"_",'Program Page'!$C$4,'Program Page'!$C$5,"_",D401,"_",E401),"")</f>
        <v/>
      </c>
      <c r="V401" t="str">
        <f t="shared" si="348"/>
        <v/>
      </c>
      <c r="W401" t="str">
        <f>IF(A401="YES",CONCATENATE("{",'Code List'!$B$4,'Code List'!$D$4,",",'Code List'!$B$5,'Code List'!$D$5,",",'Code List'!$B$6,"""",U401,"""",",",'Code List'!$B$7,'Code List'!$D$7,",",'Code List'!$B$8,'Code List'!$D$8,",",'Code List'!$B$9,'Code List'!$D$9,",",'Code List'!$B$10,'Code List'!$D$10,",",'Code List'!$B$11,"""",V401,"""",",",'Code List'!$B$12,"""",H401,"""",",",'Code List'!$B$13,"""",I401,"""",",",'Code List'!$B$14,"""",J401,"""",",",'Code List'!$B$15,"""",K401,"""",",",'Code List'!$B$16,"""",L401,"""",",",'Code List'!$B$17,"""",M401,"""",",",'Code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01" s="167" t="str">
        <f>IF(A401="YES",CONCATENATE("{",'Code List'!$B$31,"""",U401,"""",",",'Code List'!$B$32,'Code List'!$D$32,",",'Code List'!$B$33,'Code List'!$D$33,",",'Code List'!$B$34,'Code List'!$D$34,",",'Code List'!$B$35,'Code List'!$D$35,",",'Code List'!$B$36,'Code List'!$D$36,",",'Code List'!$B$37,'Code List'!$D$37,",",'Code List'!$B$38,"""",H401,"""",",",'Code List'!$B$39,"""",I401,"""",",",'Code List'!$B$40,"""",J401,"""",",",'Code List'!$B$41,"""",K401,"""",",",'Code List'!$B$42,"""",L401,"""",",",'Code List'!$B$43,"""",M401,"""",",",'Code List'!$B$44,"""",N401,"""",",",'Code List'!$B$45,"""",O401,"""",",",'Code List'!$B$46,"""",P401,"""",",",'Code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List'!$B$59,"""",T401,"""","}"),"")</f>
        <v/>
      </c>
    </row>
    <row r="402" spans="1:25" x14ac:dyDescent="0.25">
      <c r="A402" t="str">
        <f>IF(AND($A396="YES",E396=$D$1,F402&gt;0),"YES","NO")</f>
        <v>NO</v>
      </c>
      <c r="C402" t="s">
        <v>5</v>
      </c>
      <c r="D402" s="12" t="str">
        <f t="shared" si="343"/>
        <v>8A</v>
      </c>
      <c r="E402" t="s">
        <v>196</v>
      </c>
      <c r="F402">
        <f>'Expanded Base Data'!J394</f>
        <v>0</v>
      </c>
      <c r="G402" s="171">
        <f>F396</f>
        <v>0</v>
      </c>
      <c r="H402">
        <f>ROUND(B396+'Slide Measurements'!$D$17,$O$1)</f>
        <v>27.11</v>
      </c>
      <c r="I402">
        <f>ROUND(H402+(F402*'Slide Measurements'!$D$21),$O$1)</f>
        <v>27.11</v>
      </c>
      <c r="J402">
        <f>K401</f>
        <v>299.93000000000012</v>
      </c>
      <c r="K402">
        <f>J402+($I$1*'Slide Measurements'!$E$23-'Slide Measurements'!$E$23)</f>
        <v>301.78000000000014</v>
      </c>
      <c r="L402" s="5" t="str">
        <f>'Expanded Base Data'!$L394</f>
        <v/>
      </c>
      <c r="M402" s="5" t="str">
        <f>'Expanded Base Data'!$K394</f>
        <v/>
      </c>
      <c r="N402">
        <f t="shared" si="344"/>
        <v>0</v>
      </c>
      <c r="O402">
        <f t="shared" si="345"/>
        <v>1.85</v>
      </c>
      <c r="P402" s="5" t="e">
        <f t="shared" si="346"/>
        <v>#VALUE!</v>
      </c>
      <c r="Q402">
        <f>'Code List'!$C$63</f>
        <v>3</v>
      </c>
      <c r="R402">
        <f>F403+'Code List'!$G$63</f>
        <v>2</v>
      </c>
      <c r="S402" t="e">
        <f t="shared" si="347"/>
        <v>#VALUE!</v>
      </c>
      <c r="T402" t="e">
        <f t="shared" si="349"/>
        <v>#VALUE!</v>
      </c>
      <c r="U402" t="str">
        <f>IF(A402="YES",CONCATENATE(G402,"_",'Program Page'!$C$4,'Program Page'!$C$5,"_",D402,"_",E402),"")</f>
        <v/>
      </c>
      <c r="V402" t="str">
        <f t="shared" si="348"/>
        <v/>
      </c>
      <c r="W402" t="str">
        <f>IF(A402="YES",CONCATENATE("{",'Code List'!$B$4,'Code List'!$D$4,",",'Code List'!$B$5,'Code List'!$D$5,",",'Code List'!$B$6,"""",U402,"""",",",'Code List'!$B$7,'Code List'!$D$7,",",'Code List'!$B$8,'Code List'!$D$8,",",'Code List'!$B$9,'Code List'!$D$9,",",'Code List'!$B$10,'Code List'!$D$10,",",'Code List'!$B$11,"""",V402,"""",",",'Code List'!$B$12,"""",H402,"""",",",'Code List'!$B$13,"""",I402,"""",",",'Code List'!$B$14,"""",J402,"""",",",'Code List'!$B$15,"""",K402,"""",",",'Code List'!$B$16,"""",L402,"""",",",'Code List'!$B$17,"""",M402,"""",",",'Code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02" s="167" t="str">
        <f>IF(A402="YES",CONCATENATE("{",'Code List'!$B$31,"""",U402,"""",",",'Code List'!$B$32,'Code List'!$D$32,",",'Code List'!$B$33,'Code List'!$D$33,",",'Code List'!$B$34,'Code List'!$D$34,",",'Code List'!$B$35,'Code List'!$D$35,",",'Code List'!$B$36,'Code List'!$D$36,",",'Code List'!$B$37,'Code List'!$D$37,",",'Code List'!$B$38,"""",H402,"""",",",'Code List'!$B$39,"""",I402,"""",",",'Code List'!$B$40,"""",J402,"""",",",'Code List'!$B$41,"""",K402,"""",",",'Code List'!$B$42,"""",L402,"""",",",'Code List'!$B$43,"""",M402,"""",",",'Code List'!$B$44,"""",N402,"""",",",'Code List'!$B$45,"""",O402,"""",",",'Code List'!$B$46,"""",P402,"""",",",'Code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List'!$B$59,"""",T402,"""","}"),"")</f>
        <v/>
      </c>
    </row>
    <row r="403" spans="1:25" x14ac:dyDescent="0.25">
      <c r="A403" s="162" t="str">
        <f>IF(AND($A396="YES",E396=$E$1),"YES","NO")</f>
        <v>NO</v>
      </c>
      <c r="C403" t="s">
        <v>259</v>
      </c>
      <c r="D403" s="12" t="str">
        <f>D402</f>
        <v>8A</v>
      </c>
      <c r="E403" t="s">
        <v>259</v>
      </c>
      <c r="G403" s="171">
        <f>F396</f>
        <v>0</v>
      </c>
      <c r="H403">
        <f>ROUND(B396,$O$1)</f>
        <v>1.71</v>
      </c>
      <c r="I403">
        <f>ROUND(B396+'Slide Measurements'!$D$1,$O$1)</f>
        <v>78.16</v>
      </c>
      <c r="J403">
        <f>C396</f>
        <v>288.23</v>
      </c>
      <c r="K403">
        <f>C396+'Slide Measurements'!$D$2</f>
        <v>315.63</v>
      </c>
      <c r="L403" s="5" t="str">
        <f>'Expanded Base Data'!$L394</f>
        <v/>
      </c>
      <c r="M403" s="5" t="str">
        <f>'Expanded Base Data'!$K394</f>
        <v/>
      </c>
      <c r="N403">
        <f t="shared" si="344"/>
        <v>76.45</v>
      </c>
      <c r="O403">
        <f t="shared" si="345"/>
        <v>27.4</v>
      </c>
      <c r="P403" s="5" t="e">
        <f>ROUND((L403-M403),$O$1)</f>
        <v>#VALUE!</v>
      </c>
      <c r="Q403">
        <f>'Code List'!$C$70</f>
        <v>11</v>
      </c>
      <c r="R403">
        <f>'Code List'!$D$70</f>
        <v>19</v>
      </c>
      <c r="S403" t="e">
        <f>IF(P403=0,"1",ROUND((P403/$K$1)+$M$1,0))</f>
        <v>#VALUE!</v>
      </c>
      <c r="T403" t="e">
        <f>Q403*R403*S403</f>
        <v>#VALUE!</v>
      </c>
      <c r="U403" t="str">
        <f>IF(A403="YES",CONCATENATE(G403,"_",'Program Page'!$C$4,'Program Page'!$C$5,"_",D403,"_",E403),"")</f>
        <v/>
      </c>
      <c r="V403" t="str">
        <f>IF(U403="","",CONCATENATE(U403,"_"))</f>
        <v/>
      </c>
      <c r="W403" t="str">
        <f>IF(A403="YES",CONCATENATE("{",'Code List'!$B$4,'Code List'!$D$4,",",'Code List'!$B$5,'Code List'!$D$5,",",'Code List'!$B$6,"""",U403,"""",",",'Code List'!$B$7,'Code List'!$D$7,",",'Code List'!$B$8,'Code List'!$D$8,",",'Code List'!$B$9,'Code List'!$D$9,",",'Code List'!$B$10,'Code List'!$D$10,",",'Code List'!$B$11,"""",V403,"""",",",'Code List'!$B$12,"""",H403,"""",",",'Code List'!$B$13,"""",I403,"""",",",'Code List'!$B$14,"""",J403,"""",",",'Code List'!$B$15,"""",K403,"""",",",'Code List'!$B$16,"""",L403,"""",",",'Code List'!$B$17,"""",M403,"""",",",'Code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403" s="167" t="str">
        <f>IF(A403="YES",CONCATENATE("{",'Code List'!$B$31,"""",U403,"""",",",'Code List'!$B$32,'Code List'!$D$32,",",'Code List'!$B$33,'Code List'!$D$33,",",'Code List'!$B$34,'Code List'!$D$34,",",'Code List'!$B$35,'Code List'!$D$35,",",'Code List'!$B$36,'Code List'!$D$36,",",'Code List'!$B$37,'Code List'!$D$37,",",'Code List'!$B$38,"""",H403,"""",",",'Code List'!$B$39,"""",I403,"""",",",'Code List'!$B$40,"""",J403,"""",",",'Code List'!$B$41,"""",K403,"""",",",'Code List'!$B$42,"""",L403,"""",",",'Code List'!$B$43,"""",M403,"""",",",'Code List'!$B$44,"""",N403,"""",",",'Code List'!$B$45,"""",O403,"""",",",'Code List'!$B$46,"""",P403,"""",",",'Code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List'!$B$59,"""",T403,"""","}"),"")</f>
        <v/>
      </c>
    </row>
    <row r="404" spans="1:25" ht="18.75" x14ac:dyDescent="0.3">
      <c r="A404" s="35" t="str">
        <f>IF(OR(E404=$C$1,E404=$D$1,E404=$E$1),"YES","NO")</f>
        <v>NO</v>
      </c>
      <c r="B404" s="35">
        <f>'Expanded Base Data'!D402</f>
        <v>89.31</v>
      </c>
      <c r="C404" s="35">
        <f>'Expanded Base Data'!E402</f>
        <v>288.23</v>
      </c>
      <c r="D404" s="36" t="str">
        <f>'Expanded Base Data'!B402</f>
        <v>8B</v>
      </c>
      <c r="E404" s="35">
        <f>'Expanded Base Data'!C402</f>
        <v>0</v>
      </c>
      <c r="F404" s="35">
        <f>'Expanded Base Data'!M402</f>
        <v>0</v>
      </c>
      <c r="G404" s="170">
        <f>F404</f>
        <v>0</v>
      </c>
      <c r="Y404" s="167" t="str">
        <f>""</f>
        <v/>
      </c>
    </row>
    <row r="405" spans="1:25" x14ac:dyDescent="0.25">
      <c r="A405" t="str">
        <f>IF(AND($A404="YES",E404=$C$1),"YES","NO")</f>
        <v>NO</v>
      </c>
      <c r="C405" t="s">
        <v>6</v>
      </c>
      <c r="D405" s="12" t="str">
        <f>D404</f>
        <v>8B</v>
      </c>
      <c r="E405" t="s">
        <v>6</v>
      </c>
      <c r="F405" t="s">
        <v>198</v>
      </c>
      <c r="G405" s="171">
        <f>F404</f>
        <v>0</v>
      </c>
      <c r="H405">
        <f>IF('Expanded Base Data'!N402="",ROUND(B404+'Slide Measurements'!$D$11,$O$1),B404+'Expanded Base Data'!N402)</f>
        <v>122.31</v>
      </c>
      <c r="I405">
        <f>IF('Expanded Base Data'!O402="",ROUND(B404+'Slide Measurements'!$D$12,$O$1),B404+'Expanded Base Data'!O402)</f>
        <v>130.91</v>
      </c>
      <c r="J405">
        <f>IF('Expanded Base Data'!P402="",C404+'Slide Measurements'!$E$13,C404+'Expanded Base Data'!P402)</f>
        <v>296.93</v>
      </c>
      <c r="K405">
        <f>IF('Expanded Base Data'!Q402="",C404+'Slide Measurements'!$E$14,C404+'Expanded Base Data'!Q402)</f>
        <v>305.53000000000003</v>
      </c>
      <c r="L405" s="5" t="str">
        <f>'Expanded Base Data'!$L402</f>
        <v/>
      </c>
      <c r="M405" s="5" t="str">
        <f>'Expanded Base Data'!$K402</f>
        <v/>
      </c>
      <c r="N405">
        <f>ROUND((I405-H405),$O$1)</f>
        <v>8.6</v>
      </c>
      <c r="O405">
        <f>ROUND((K405-J405),$O$1)</f>
        <v>8.6</v>
      </c>
      <c r="P405" s="5" t="e">
        <f>ROUND((L405-M405),$O$1)</f>
        <v>#VALUE!</v>
      </c>
      <c r="Q405">
        <f>'Code List'!$C$62</f>
        <v>5</v>
      </c>
      <c r="R405">
        <f>F406+'Code List'!$G$63</f>
        <v>2</v>
      </c>
      <c r="S405" t="e">
        <f>IF(P405=0,"1",ROUND((P405/$K$1)+$M$1,0))</f>
        <v>#VALUE!</v>
      </c>
      <c r="T405" t="e">
        <f>Q405*R405*S405</f>
        <v>#VALUE!</v>
      </c>
      <c r="U405" t="str">
        <f>IF(A405="YES",CONCATENATE(G405,"_",'Program Page'!$C$4,'Program Page'!$C$5,"_",D405,"_",E405),"")</f>
        <v/>
      </c>
      <c r="V405" t="str">
        <f>IF(U405="","",CONCATENATE(U405,"_"))</f>
        <v/>
      </c>
      <c r="W405" t="str">
        <f>IF(A405="YES",CONCATENATE("{",'Code List'!$B$4,'Code List'!$D$4,",",'Code List'!$B$5,'Code List'!$D$5,",",'Code List'!$B$6,"""",U405,"""",",",'Code List'!$B$7,'Code List'!$D$7,",",'Code List'!$B$8,'Code List'!$D$8,",",'Code List'!$B$9,'Code List'!$D$9,",",'Code List'!$B$10,'Code List'!$D$10,",",'Code List'!$B$11,"""",V405,"""",",",'Code List'!$B$12,"""",H405,"""",",",'Code List'!$B$13,"""",I405,"""",",",'Code List'!$B$14,"""",J405,"""",",",'Code List'!$B$15,"""",K405,"""",",",'Code List'!$B$16,"""",L405,"""",",",'Code List'!$B$17,"""",M405,"""",",",'Code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05" s="167" t="str">
        <f>IF(A405="YES",CONCATENATE("{",'Code List'!$B$31,"""",U405,"""",",",'Code List'!$B$32,'Code List'!$D$32,",",'Code List'!$B$33,'Code List'!$D$33,",",'Code List'!$B$34,'Code List'!$D$34,",",'Code List'!$B$35,'Code List'!$D$35,",",'Code List'!$B$36,'Code List'!$D$36,",",'Code List'!$B$37,'Code List'!$D$37,",",'Code List'!$B$38,"""",H405,"""",",",'Code List'!$B$39,"""",I405,"""",",",'Code List'!$B$40,"""",J405,"""",",",'Code List'!$B$41,"""",K405,"""",",",'Code List'!$B$42,"""",L405,"""",",",'Code List'!$B$43,"""",M405,"""",",",'Code List'!$B$44,"""",N405,"""",",",'Code List'!$B$45,"""",O405,"""",",",'Code List'!$B$46,"""",P405,"""",",",'Code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List'!$B$59,"""",T405,"""","}"),"")</f>
        <v/>
      </c>
    </row>
    <row r="406" spans="1:25" x14ac:dyDescent="0.25">
      <c r="A406" t="str">
        <f>IF(AND($A404="YES",E404=$D$1,F406&gt;0),"YES","NO")</f>
        <v>NO</v>
      </c>
      <c r="C406" t="s">
        <v>5</v>
      </c>
      <c r="D406" s="12" t="str">
        <f t="shared" ref="D406:D410" si="350">D405</f>
        <v>8B</v>
      </c>
      <c r="E406" t="s">
        <v>188</v>
      </c>
      <c r="F406">
        <f>'Expanded Base Data'!F402</f>
        <v>0</v>
      </c>
      <c r="G406" s="171">
        <f>F404</f>
        <v>0</v>
      </c>
      <c r="H406">
        <f>ROUND(B404+'Slide Measurements'!$D$17,$O$1)</f>
        <v>114.71</v>
      </c>
      <c r="I406">
        <f>ROUND(H406+(F406*'Slide Measurements'!$D$21),$O$1)</f>
        <v>114.71</v>
      </c>
      <c r="J406">
        <f>C404+'Slide Measurements'!$E$17</f>
        <v>292.53000000000003</v>
      </c>
      <c r="K406">
        <f>J406+($I$1*'Slide Measurements'!$E$23-'Slide Measurements'!$E$23)</f>
        <v>294.38000000000005</v>
      </c>
      <c r="L406" s="5" t="str">
        <f>'Expanded Base Data'!$L402</f>
        <v/>
      </c>
      <c r="M406" s="5" t="str">
        <f>'Expanded Base Data'!$K402</f>
        <v/>
      </c>
      <c r="N406">
        <f t="shared" ref="N406:N411" si="351">ROUND((I406-H406),$O$1)</f>
        <v>0</v>
      </c>
      <c r="O406">
        <f t="shared" ref="O406:O411" si="352">ROUND((K406-J406),$O$1)</f>
        <v>1.85</v>
      </c>
      <c r="P406" s="5" t="e">
        <f t="shared" ref="P406:P410" si="353">ROUND((L406-M406),$O$1)</f>
        <v>#VALUE!</v>
      </c>
      <c r="Q406">
        <f>'Code List'!$C$63</f>
        <v>3</v>
      </c>
      <c r="R406">
        <f>F407+'Code List'!$G$63</f>
        <v>2</v>
      </c>
      <c r="S406" t="e">
        <f t="shared" ref="S406:S410" si="354">IF(P406=0,"1",ROUND((P406/$K$1)+$M$1,0))</f>
        <v>#VALUE!</v>
      </c>
      <c r="T406" t="e">
        <f>Q406*R406*S406</f>
        <v>#VALUE!</v>
      </c>
      <c r="U406" t="str">
        <f>IF(A406="YES",CONCATENATE(G406,"_",'Program Page'!$C$4,'Program Page'!$C$5,"_",D406,"_",E406),"")</f>
        <v/>
      </c>
      <c r="V406" t="str">
        <f t="shared" ref="V406:V410" si="355">IF(U406="","",CONCATENATE(U406,"_"))</f>
        <v/>
      </c>
      <c r="W406" t="str">
        <f>IF(A406="YES",CONCATENATE("{",'Code List'!$B$4,'Code List'!$D$4,",",'Code List'!$B$5,'Code List'!$D$5,",",'Code List'!$B$6,"""",U406,"""",",",'Code List'!$B$7,'Code List'!$D$7,",",'Code List'!$B$8,'Code List'!$D$8,",",'Code List'!$B$9,'Code List'!$D$9,",",'Code List'!$B$10,'Code List'!$D$10,",",'Code List'!$B$11,"""",V406,"""",",",'Code List'!$B$12,"""",H406,"""",",",'Code List'!$B$13,"""",I406,"""",",",'Code List'!$B$14,"""",J406,"""",",",'Code List'!$B$15,"""",K406,"""",",",'Code List'!$B$16,"""",L406,"""",",",'Code List'!$B$17,"""",M406,"""",",",'Code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06" s="167" t="str">
        <f>IF(A406="YES",CONCATENATE("{",'Code List'!$B$31,"""",U406,"""",",",'Code List'!$B$32,'Code List'!$D$32,",",'Code List'!$B$33,'Code List'!$D$33,",",'Code List'!$B$34,'Code List'!$D$34,",",'Code List'!$B$35,'Code List'!$D$35,",",'Code List'!$B$36,'Code List'!$D$36,",",'Code List'!$B$37,'Code List'!$D$37,",",'Code List'!$B$38,"""",H406,"""",",",'Code List'!$B$39,"""",I406,"""",",",'Code List'!$B$40,"""",J406,"""",",",'Code List'!$B$41,"""",K406,"""",",",'Code List'!$B$42,"""",L406,"""",",",'Code List'!$B$43,"""",M406,"""",",",'Code List'!$B$44,"""",N406,"""",",",'Code List'!$B$45,"""",O406,"""",",",'Code List'!$B$46,"""",P406,"""",",",'Code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List'!$B$59,"""",T406,"""","}"),"")</f>
        <v/>
      </c>
    </row>
    <row r="407" spans="1:25" x14ac:dyDescent="0.25">
      <c r="A407" t="str">
        <f>IF(AND($A404="YES",E404=$D$1,F407&gt;0),"YES","NO")</f>
        <v>NO</v>
      </c>
      <c r="C407" t="s">
        <v>5</v>
      </c>
      <c r="D407" s="12" t="str">
        <f t="shared" si="350"/>
        <v>8B</v>
      </c>
      <c r="E407" t="s">
        <v>189</v>
      </c>
      <c r="F407">
        <f>'Expanded Base Data'!G402</f>
        <v>0</v>
      </c>
      <c r="G407" s="171">
        <f>F404</f>
        <v>0</v>
      </c>
      <c r="H407">
        <f>ROUND(B404+'Slide Measurements'!$D$17,$O$1)</f>
        <v>114.71</v>
      </c>
      <c r="I407">
        <f>ROUND(H407+(F407*'Slide Measurements'!$D$21),$O$1)</f>
        <v>114.71</v>
      </c>
      <c r="J407">
        <f>K406</f>
        <v>294.38000000000005</v>
      </c>
      <c r="K407">
        <f>J407+($I$1*'Slide Measurements'!$E$23-'Slide Measurements'!$E$23)</f>
        <v>296.23000000000008</v>
      </c>
      <c r="L407" s="5" t="str">
        <f>'Expanded Base Data'!$L402</f>
        <v/>
      </c>
      <c r="M407" s="5" t="str">
        <f>'Expanded Base Data'!$K402</f>
        <v/>
      </c>
      <c r="N407">
        <f t="shared" si="351"/>
        <v>0</v>
      </c>
      <c r="O407">
        <f t="shared" si="352"/>
        <v>1.85</v>
      </c>
      <c r="P407" s="5" t="e">
        <f t="shared" si="353"/>
        <v>#VALUE!</v>
      </c>
      <c r="Q407">
        <f>'Code List'!$C$63</f>
        <v>3</v>
      </c>
      <c r="R407">
        <f>F408+'Code List'!$G$63</f>
        <v>2</v>
      </c>
      <c r="S407" t="e">
        <f t="shared" si="354"/>
        <v>#VALUE!</v>
      </c>
      <c r="T407" t="e">
        <f t="shared" ref="T407:T410" si="356">Q407*R407*S407</f>
        <v>#VALUE!</v>
      </c>
      <c r="U407" t="str">
        <f>IF(A407="YES",CONCATENATE(G407,"_",'Program Page'!$C$4,'Program Page'!$C$5,"_",D407,"_",E407),"")</f>
        <v/>
      </c>
      <c r="V407" t="str">
        <f t="shared" si="355"/>
        <v/>
      </c>
      <c r="W407" t="str">
        <f>IF(A407="YES",CONCATENATE("{",'Code List'!$B$4,'Code List'!$D$4,",",'Code List'!$B$5,'Code List'!$D$5,",",'Code List'!$B$6,"""",U407,"""",",",'Code List'!$B$7,'Code List'!$D$7,",",'Code List'!$B$8,'Code List'!$D$8,",",'Code List'!$B$9,'Code List'!$D$9,",",'Code List'!$B$10,'Code List'!$D$10,",",'Code List'!$B$11,"""",V407,"""",",",'Code List'!$B$12,"""",H407,"""",",",'Code List'!$B$13,"""",I407,"""",",",'Code List'!$B$14,"""",J407,"""",",",'Code List'!$B$15,"""",K407,"""",",",'Code List'!$B$16,"""",L407,"""",",",'Code List'!$B$17,"""",M407,"""",",",'Code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07" s="167" t="str">
        <f>IF(A407="YES",CONCATENATE("{",'Code List'!$B$31,"""",U407,"""",",",'Code List'!$B$32,'Code List'!$D$32,",",'Code List'!$B$33,'Code List'!$D$33,",",'Code List'!$B$34,'Code List'!$D$34,",",'Code List'!$B$35,'Code List'!$D$35,",",'Code List'!$B$36,'Code List'!$D$36,",",'Code List'!$B$37,'Code List'!$D$37,",",'Code List'!$B$38,"""",H407,"""",",",'Code List'!$B$39,"""",I407,"""",",",'Code List'!$B$40,"""",J407,"""",",",'Code List'!$B$41,"""",K407,"""",",",'Code List'!$B$42,"""",L407,"""",",",'Code List'!$B$43,"""",M407,"""",",",'Code List'!$B$44,"""",N407,"""",",",'Code List'!$B$45,"""",O407,"""",",",'Code List'!$B$46,"""",P407,"""",",",'Code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List'!$B$59,"""",T407,"""","}"),"")</f>
        <v/>
      </c>
    </row>
    <row r="408" spans="1:25" x14ac:dyDescent="0.25">
      <c r="A408" t="str">
        <f>IF(AND($A404="YES",E404=$D$1,F408&gt;0),"YES","NO")</f>
        <v>NO</v>
      </c>
      <c r="C408" t="s">
        <v>5</v>
      </c>
      <c r="D408" s="12" t="str">
        <f t="shared" si="350"/>
        <v>8B</v>
      </c>
      <c r="E408" t="s">
        <v>190</v>
      </c>
      <c r="F408">
        <f>'Expanded Base Data'!H402</f>
        <v>0</v>
      </c>
      <c r="G408" s="171">
        <f>F404</f>
        <v>0</v>
      </c>
      <c r="H408">
        <f>ROUND(B404+'Slide Measurements'!$D$17,$O$1)</f>
        <v>114.71</v>
      </c>
      <c r="I408">
        <f>ROUND(H408+(F408*'Slide Measurements'!$D$21),$O$1)</f>
        <v>114.71</v>
      </c>
      <c r="J408">
        <f>K407</f>
        <v>296.23000000000008</v>
      </c>
      <c r="K408">
        <f>J408+($I$1*'Slide Measurements'!$E$23-'Slide Measurements'!$E$23)</f>
        <v>298.0800000000001</v>
      </c>
      <c r="L408" s="5" t="str">
        <f>'Expanded Base Data'!$L402</f>
        <v/>
      </c>
      <c r="M408" s="5" t="str">
        <f>'Expanded Base Data'!$K402</f>
        <v/>
      </c>
      <c r="N408">
        <f t="shared" si="351"/>
        <v>0</v>
      </c>
      <c r="O408">
        <f t="shared" si="352"/>
        <v>1.85</v>
      </c>
      <c r="P408" s="5" t="e">
        <f t="shared" si="353"/>
        <v>#VALUE!</v>
      </c>
      <c r="Q408">
        <f>'Code List'!$C$63</f>
        <v>3</v>
      </c>
      <c r="R408">
        <f>F409+'Code List'!$G$63</f>
        <v>2</v>
      </c>
      <c r="S408" t="e">
        <f t="shared" si="354"/>
        <v>#VALUE!</v>
      </c>
      <c r="T408" t="e">
        <f t="shared" si="356"/>
        <v>#VALUE!</v>
      </c>
      <c r="U408" t="str">
        <f>IF(A408="YES",CONCATENATE(G408,"_",'Program Page'!$C$4,'Program Page'!$C$5,"_",D408,"_",E408),"")</f>
        <v/>
      </c>
      <c r="V408" t="str">
        <f t="shared" si="355"/>
        <v/>
      </c>
      <c r="W408" t="str">
        <f>IF(A408="YES",CONCATENATE("{",'Code List'!$B$4,'Code List'!$D$4,",",'Code List'!$B$5,'Code List'!$D$5,",",'Code List'!$B$6,"""",U408,"""",",",'Code List'!$B$7,'Code List'!$D$7,",",'Code List'!$B$8,'Code List'!$D$8,",",'Code List'!$B$9,'Code List'!$D$9,",",'Code List'!$B$10,'Code List'!$D$10,",",'Code List'!$B$11,"""",V408,"""",",",'Code List'!$B$12,"""",H408,"""",",",'Code List'!$B$13,"""",I408,"""",",",'Code List'!$B$14,"""",J408,"""",",",'Code List'!$B$15,"""",K408,"""",",",'Code List'!$B$16,"""",L408,"""",",",'Code List'!$B$17,"""",M408,"""",",",'Code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08" s="167" t="str">
        <f>IF(A408="YES",CONCATENATE("{",'Code List'!$B$31,"""",U408,"""",",",'Code List'!$B$32,'Code List'!$D$32,",",'Code List'!$B$33,'Code List'!$D$33,",",'Code List'!$B$34,'Code List'!$D$34,",",'Code List'!$B$35,'Code List'!$D$35,",",'Code List'!$B$36,'Code List'!$D$36,",",'Code List'!$B$37,'Code List'!$D$37,",",'Code List'!$B$38,"""",H408,"""",",",'Code List'!$B$39,"""",I408,"""",",",'Code List'!$B$40,"""",J408,"""",",",'Code List'!$B$41,"""",K408,"""",",",'Code List'!$B$42,"""",L408,"""",",",'Code List'!$B$43,"""",M408,"""",",",'Code List'!$B$44,"""",N408,"""",",",'Code List'!$B$45,"""",O408,"""",",",'Code List'!$B$46,"""",P408,"""",",",'Code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List'!$B$59,"""",T408,"""","}"),"")</f>
        <v/>
      </c>
    </row>
    <row r="409" spans="1:25" x14ac:dyDescent="0.25">
      <c r="A409" t="str">
        <f>IF(AND($A404="YES",E404=$D$1,F409&gt;0),"YES","NO")</f>
        <v>NO</v>
      </c>
      <c r="C409" t="s">
        <v>5</v>
      </c>
      <c r="D409" s="12" t="str">
        <f t="shared" si="350"/>
        <v>8B</v>
      </c>
      <c r="E409" t="s">
        <v>191</v>
      </c>
      <c r="F409">
        <f>'Expanded Base Data'!I402</f>
        <v>0</v>
      </c>
      <c r="G409" s="171">
        <f>F404</f>
        <v>0</v>
      </c>
      <c r="H409">
        <f>ROUND(B404+'Slide Measurements'!$D$17,$O$1)</f>
        <v>114.71</v>
      </c>
      <c r="I409">
        <f>ROUND(H409+(F409*'Slide Measurements'!$D$21),$O$1)</f>
        <v>114.71</v>
      </c>
      <c r="J409">
        <f>K408</f>
        <v>298.0800000000001</v>
      </c>
      <c r="K409">
        <f>J409+($I$1*'Slide Measurements'!$E$23-'Slide Measurements'!$E$23)</f>
        <v>299.93000000000012</v>
      </c>
      <c r="L409" s="5" t="str">
        <f>'Expanded Base Data'!$L402</f>
        <v/>
      </c>
      <c r="M409" s="5" t="str">
        <f>'Expanded Base Data'!$K402</f>
        <v/>
      </c>
      <c r="N409">
        <f t="shared" si="351"/>
        <v>0</v>
      </c>
      <c r="O409">
        <f t="shared" si="352"/>
        <v>1.85</v>
      </c>
      <c r="P409" s="5" t="e">
        <f t="shared" si="353"/>
        <v>#VALUE!</v>
      </c>
      <c r="Q409">
        <f>'Code List'!$C$63</f>
        <v>3</v>
      </c>
      <c r="R409">
        <f>F410+'Code List'!$G$63</f>
        <v>2</v>
      </c>
      <c r="S409" t="e">
        <f t="shared" si="354"/>
        <v>#VALUE!</v>
      </c>
      <c r="T409" t="e">
        <f t="shared" si="356"/>
        <v>#VALUE!</v>
      </c>
      <c r="U409" t="str">
        <f>IF(A409="YES",CONCATENATE(G409,"_",'Program Page'!$C$4,'Program Page'!$C$5,"_",D409,"_",E409),"")</f>
        <v/>
      </c>
      <c r="V409" t="str">
        <f t="shared" si="355"/>
        <v/>
      </c>
      <c r="W409" t="str">
        <f>IF(A409="YES",CONCATENATE("{",'Code List'!$B$4,'Code List'!$D$4,",",'Code List'!$B$5,'Code List'!$D$5,",",'Code List'!$B$6,"""",U409,"""",",",'Code List'!$B$7,'Code List'!$D$7,",",'Code List'!$B$8,'Code List'!$D$8,",",'Code List'!$B$9,'Code List'!$D$9,",",'Code List'!$B$10,'Code List'!$D$10,",",'Code List'!$B$11,"""",V409,"""",",",'Code List'!$B$12,"""",H409,"""",",",'Code List'!$B$13,"""",I409,"""",",",'Code List'!$B$14,"""",J409,"""",",",'Code List'!$B$15,"""",K409,"""",",",'Code List'!$B$16,"""",L409,"""",",",'Code List'!$B$17,"""",M409,"""",",",'Code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09" s="167" t="str">
        <f>IF(A409="YES",CONCATENATE("{",'Code List'!$B$31,"""",U409,"""",",",'Code List'!$B$32,'Code List'!$D$32,",",'Code List'!$B$33,'Code List'!$D$33,",",'Code List'!$B$34,'Code List'!$D$34,",",'Code List'!$B$35,'Code List'!$D$35,",",'Code List'!$B$36,'Code List'!$D$36,",",'Code List'!$B$37,'Code List'!$D$37,",",'Code List'!$B$38,"""",H409,"""",",",'Code List'!$B$39,"""",I409,"""",",",'Code List'!$B$40,"""",J409,"""",",",'Code List'!$B$41,"""",K409,"""",",",'Code List'!$B$42,"""",L409,"""",",",'Code List'!$B$43,"""",M409,"""",",",'Code List'!$B$44,"""",N409,"""",",",'Code List'!$B$45,"""",O409,"""",",",'Code List'!$B$46,"""",P409,"""",",",'Code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List'!$B$59,"""",T409,"""","}"),"")</f>
        <v/>
      </c>
    </row>
    <row r="410" spans="1:25" x14ac:dyDescent="0.25">
      <c r="A410" t="str">
        <f>IF(AND($A404="YES",E404=$D$1,F410&gt;0),"YES","NO")</f>
        <v>NO</v>
      </c>
      <c r="C410" t="s">
        <v>5</v>
      </c>
      <c r="D410" s="12" t="str">
        <f t="shared" si="350"/>
        <v>8B</v>
      </c>
      <c r="E410" t="s">
        <v>196</v>
      </c>
      <c r="F410">
        <f>'Expanded Base Data'!J402</f>
        <v>0</v>
      </c>
      <c r="G410" s="171">
        <f>F404</f>
        <v>0</v>
      </c>
      <c r="H410">
        <f>ROUND(B404+'Slide Measurements'!$D$17,$O$1)</f>
        <v>114.71</v>
      </c>
      <c r="I410">
        <f>ROUND(H410+(F410*'Slide Measurements'!$D$21),$O$1)</f>
        <v>114.71</v>
      </c>
      <c r="J410">
        <f>K409</f>
        <v>299.93000000000012</v>
      </c>
      <c r="K410">
        <f>J410+($I$1*'Slide Measurements'!$E$23-'Slide Measurements'!$E$23)</f>
        <v>301.78000000000014</v>
      </c>
      <c r="L410" s="5" t="str">
        <f>'Expanded Base Data'!$L402</f>
        <v/>
      </c>
      <c r="M410" s="5" t="str">
        <f>'Expanded Base Data'!$K402</f>
        <v/>
      </c>
      <c r="N410">
        <f t="shared" si="351"/>
        <v>0</v>
      </c>
      <c r="O410">
        <f t="shared" si="352"/>
        <v>1.85</v>
      </c>
      <c r="P410" s="5" t="e">
        <f t="shared" si="353"/>
        <v>#VALUE!</v>
      </c>
      <c r="Q410">
        <f>'Code List'!$C$63</f>
        <v>3</v>
      </c>
      <c r="R410">
        <f>F411+'Code List'!$G$63</f>
        <v>2</v>
      </c>
      <c r="S410" t="e">
        <f t="shared" si="354"/>
        <v>#VALUE!</v>
      </c>
      <c r="T410" t="e">
        <f t="shared" si="356"/>
        <v>#VALUE!</v>
      </c>
      <c r="U410" t="str">
        <f>IF(A410="YES",CONCATENATE(G410,"_",'Program Page'!$C$4,'Program Page'!$C$5,"_",D410,"_",E410),"")</f>
        <v/>
      </c>
      <c r="V410" t="str">
        <f t="shared" si="355"/>
        <v/>
      </c>
      <c r="W410" t="str">
        <f>IF(A410="YES",CONCATENATE("{",'Code List'!$B$4,'Code List'!$D$4,",",'Code List'!$B$5,'Code List'!$D$5,",",'Code List'!$B$6,"""",U410,"""",",",'Code List'!$B$7,'Code List'!$D$7,",",'Code List'!$B$8,'Code List'!$D$8,",",'Code List'!$B$9,'Code List'!$D$9,",",'Code List'!$B$10,'Code List'!$D$10,",",'Code List'!$B$11,"""",V410,"""",",",'Code List'!$B$12,"""",H410,"""",",",'Code List'!$B$13,"""",I410,"""",",",'Code List'!$B$14,"""",J410,"""",",",'Code List'!$B$15,"""",K410,"""",",",'Code List'!$B$16,"""",L410,"""",",",'Code List'!$B$17,"""",M410,"""",",",'Code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10" s="167" t="str">
        <f>IF(A410="YES",CONCATENATE("{",'Code List'!$B$31,"""",U410,"""",",",'Code List'!$B$32,'Code List'!$D$32,",",'Code List'!$B$33,'Code List'!$D$33,",",'Code List'!$B$34,'Code List'!$D$34,",",'Code List'!$B$35,'Code List'!$D$35,",",'Code List'!$B$36,'Code List'!$D$36,",",'Code List'!$B$37,'Code List'!$D$37,",",'Code List'!$B$38,"""",H410,"""",",",'Code List'!$B$39,"""",I410,"""",",",'Code List'!$B$40,"""",J410,"""",",",'Code List'!$B$41,"""",K410,"""",",",'Code List'!$B$42,"""",L410,"""",",",'Code List'!$B$43,"""",M410,"""",",",'Code List'!$B$44,"""",N410,"""",",",'Code List'!$B$45,"""",O410,"""",",",'Code List'!$B$46,"""",P410,"""",",",'Code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List'!$B$59,"""",T410,"""","}"),"")</f>
        <v/>
      </c>
    </row>
    <row r="411" spans="1:25" x14ac:dyDescent="0.25">
      <c r="A411" s="162" t="str">
        <f>IF(AND($A404="YES",E404=$E$1),"YES","NO")</f>
        <v>NO</v>
      </c>
      <c r="C411" t="s">
        <v>259</v>
      </c>
      <c r="D411" s="12" t="str">
        <f>D410</f>
        <v>8B</v>
      </c>
      <c r="E411" t="s">
        <v>259</v>
      </c>
      <c r="G411" s="171">
        <f>F404</f>
        <v>0</v>
      </c>
      <c r="H411">
        <f>ROUND(B404,$O$1)</f>
        <v>89.31</v>
      </c>
      <c r="I411">
        <f>ROUND(B404+'Slide Measurements'!$D$1,$O$1)</f>
        <v>165.76</v>
      </c>
      <c r="J411">
        <f>C404</f>
        <v>288.23</v>
      </c>
      <c r="K411">
        <f>C404+'Slide Measurements'!$D$2</f>
        <v>315.63</v>
      </c>
      <c r="L411" s="5" t="str">
        <f>'Expanded Base Data'!$L402</f>
        <v/>
      </c>
      <c r="M411" s="5" t="str">
        <f>'Expanded Base Data'!$K402</f>
        <v/>
      </c>
      <c r="N411">
        <f t="shared" si="351"/>
        <v>76.45</v>
      </c>
      <c r="O411">
        <f t="shared" si="352"/>
        <v>27.4</v>
      </c>
      <c r="P411" s="5" t="e">
        <f>ROUND((L411-M411),$O$1)</f>
        <v>#VALUE!</v>
      </c>
      <c r="Q411">
        <f>'Code List'!$C$70</f>
        <v>11</v>
      </c>
      <c r="R411">
        <f>'Code List'!$D$70</f>
        <v>19</v>
      </c>
      <c r="S411" t="e">
        <f>IF(P411=0,"1",ROUND((P411/$K$1)+$M$1,0))</f>
        <v>#VALUE!</v>
      </c>
      <c r="T411" t="e">
        <f>Q411*R411*S411</f>
        <v>#VALUE!</v>
      </c>
      <c r="U411" t="str">
        <f>IF(A411="YES",CONCATENATE(G411,"_",'Program Page'!$C$4,'Program Page'!$C$5,"_",D411,"_",E411),"")</f>
        <v/>
      </c>
      <c r="V411" t="str">
        <f>IF(U411="","",CONCATENATE(U411,"_"))</f>
        <v/>
      </c>
      <c r="W411" t="str">
        <f>IF(A411="YES",CONCATENATE("{",'Code List'!$B$4,'Code List'!$D$4,",",'Code List'!$B$5,'Code List'!$D$5,",",'Code List'!$B$6,"""",U411,"""",",",'Code List'!$B$7,'Code List'!$D$7,",",'Code List'!$B$8,'Code List'!$D$8,",",'Code List'!$B$9,'Code List'!$D$9,",",'Code List'!$B$10,'Code List'!$D$10,",",'Code List'!$B$11,"""",V411,"""",",",'Code List'!$B$12,"""",H411,"""",",",'Code List'!$B$13,"""",I411,"""",",",'Code List'!$B$14,"""",J411,"""",",",'Code List'!$B$15,"""",K411,"""",",",'Code List'!$B$16,"""",L411,"""",",",'Code List'!$B$17,"""",M411,"""",",",'Code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411" s="167" t="str">
        <f>IF(A411="YES",CONCATENATE("{",'Code List'!$B$31,"""",U411,"""",",",'Code List'!$B$32,'Code List'!$D$32,",",'Code List'!$B$33,'Code List'!$D$33,",",'Code List'!$B$34,'Code List'!$D$34,",",'Code List'!$B$35,'Code List'!$D$35,",",'Code List'!$B$36,'Code List'!$D$36,",",'Code List'!$B$37,'Code List'!$D$37,",",'Code List'!$B$38,"""",H411,"""",",",'Code List'!$B$39,"""",I411,"""",",",'Code List'!$B$40,"""",J411,"""",",",'Code List'!$B$41,"""",K411,"""",",",'Code List'!$B$42,"""",L411,"""",",",'Code List'!$B$43,"""",M411,"""",",",'Code List'!$B$44,"""",N411,"""",",",'Code List'!$B$45,"""",O411,"""",",",'Code List'!$B$46,"""",P411,"""",",",'Code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List'!$B$59,"""",T411,"""","}"),"")</f>
        <v/>
      </c>
    </row>
    <row r="412" spans="1:25" ht="18.75" x14ac:dyDescent="0.3">
      <c r="A412" s="35" t="str">
        <f>IF(OR(E412=$C$1,E412=$D$1,E412=$E$1),"YES","NO")</f>
        <v>NO</v>
      </c>
      <c r="B412" s="35">
        <f>'Expanded Base Data'!D410</f>
        <v>175.91</v>
      </c>
      <c r="C412" s="35">
        <f>'Expanded Base Data'!E410</f>
        <v>288.23</v>
      </c>
      <c r="D412" s="36" t="str">
        <f>'Expanded Base Data'!B410</f>
        <v>8C</v>
      </c>
      <c r="E412" s="35">
        <f>'Expanded Base Data'!C410</f>
        <v>0</v>
      </c>
      <c r="F412" s="35">
        <f>'Expanded Base Data'!M410</f>
        <v>0</v>
      </c>
      <c r="G412" s="170">
        <f>F412</f>
        <v>0</v>
      </c>
      <c r="Y412" s="167" t="str">
        <f>""</f>
        <v/>
      </c>
    </row>
    <row r="413" spans="1:25" x14ac:dyDescent="0.25">
      <c r="A413" t="str">
        <f>IF(AND($A412="YES",E412=$C$1),"YES","NO")</f>
        <v>NO</v>
      </c>
      <c r="C413" t="s">
        <v>6</v>
      </c>
      <c r="D413" s="12" t="str">
        <f>D412</f>
        <v>8C</v>
      </c>
      <c r="E413" t="s">
        <v>6</v>
      </c>
      <c r="F413" t="s">
        <v>198</v>
      </c>
      <c r="G413" s="171">
        <f>F412</f>
        <v>0</v>
      </c>
      <c r="H413">
        <f>IF('Expanded Base Data'!N410="",ROUND(B412+'Slide Measurements'!$D$11,$O$1),B412+'Expanded Base Data'!N410)</f>
        <v>208.91</v>
      </c>
      <c r="I413">
        <f>IF('Expanded Base Data'!O410="",ROUND(B412+'Slide Measurements'!$D$12,$O$1),B412+'Expanded Base Data'!O410)</f>
        <v>217.51</v>
      </c>
      <c r="J413">
        <f>IF('Expanded Base Data'!P410="",C412+'Slide Measurements'!$E$13,C412+'Expanded Base Data'!P410)</f>
        <v>296.93</v>
      </c>
      <c r="K413">
        <f>IF('Expanded Base Data'!Q410="",C412+'Slide Measurements'!$E$14,C412+'Expanded Base Data'!Q410)</f>
        <v>305.53000000000003</v>
      </c>
      <c r="L413" s="5" t="str">
        <f>'Expanded Base Data'!$L410</f>
        <v/>
      </c>
      <c r="M413" s="5" t="str">
        <f>'Expanded Base Data'!$K410</f>
        <v/>
      </c>
      <c r="N413">
        <f>ROUND((I413-H413),$O$1)</f>
        <v>8.6</v>
      </c>
      <c r="O413">
        <f>ROUND((K413-J413),$O$1)</f>
        <v>8.6</v>
      </c>
      <c r="P413" s="5" t="e">
        <f>ROUND((L413-M413),$O$1)</f>
        <v>#VALUE!</v>
      </c>
      <c r="Q413">
        <f>'Code List'!$C$62</f>
        <v>5</v>
      </c>
      <c r="R413">
        <f>F414+'Code List'!$G$63</f>
        <v>2</v>
      </c>
      <c r="S413" t="e">
        <f>IF(P413=0,"1",ROUND((P413/$K$1)+$M$1,0))</f>
        <v>#VALUE!</v>
      </c>
      <c r="T413" t="e">
        <f>Q413*R413*S413</f>
        <v>#VALUE!</v>
      </c>
      <c r="U413" t="str">
        <f>IF(A413="YES",CONCATENATE(G413,"_",'Program Page'!$C$4,'Program Page'!$C$5,"_",D413,"_",E413),"")</f>
        <v/>
      </c>
      <c r="V413" t="str">
        <f>IF(U413="","",CONCATENATE(U413,"_"))</f>
        <v/>
      </c>
      <c r="W413" t="str">
        <f>IF(A413="YES",CONCATENATE("{",'Code List'!$B$4,'Code List'!$D$4,",",'Code List'!$B$5,'Code List'!$D$5,",",'Code List'!$B$6,"""",U413,"""",",",'Code List'!$B$7,'Code List'!$D$7,",",'Code List'!$B$8,'Code List'!$D$8,",",'Code List'!$B$9,'Code List'!$D$9,",",'Code List'!$B$10,'Code List'!$D$10,",",'Code List'!$B$11,"""",V413,"""",",",'Code List'!$B$12,"""",H413,"""",",",'Code List'!$B$13,"""",I413,"""",",",'Code List'!$B$14,"""",J413,"""",",",'Code List'!$B$15,"""",K413,"""",",",'Code List'!$B$16,"""",L413,"""",",",'Code List'!$B$17,"""",M413,"""",",",'Code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13" s="167" t="str">
        <f>IF(A413="YES",CONCATENATE("{",'Code List'!$B$31,"""",U413,"""",",",'Code List'!$B$32,'Code List'!$D$32,",",'Code List'!$B$33,'Code List'!$D$33,",",'Code List'!$B$34,'Code List'!$D$34,",",'Code List'!$B$35,'Code List'!$D$35,",",'Code List'!$B$36,'Code List'!$D$36,",",'Code List'!$B$37,'Code List'!$D$37,",",'Code List'!$B$38,"""",H413,"""",",",'Code List'!$B$39,"""",I413,"""",",",'Code List'!$B$40,"""",J413,"""",",",'Code List'!$B$41,"""",K413,"""",",",'Code List'!$B$42,"""",L413,"""",",",'Code List'!$B$43,"""",M413,"""",",",'Code List'!$B$44,"""",N413,"""",",",'Code List'!$B$45,"""",O413,"""",",",'Code List'!$B$46,"""",P413,"""",",",'Code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List'!$B$59,"""",T413,"""","}"),"")</f>
        <v/>
      </c>
    </row>
    <row r="414" spans="1:25" x14ac:dyDescent="0.25">
      <c r="A414" t="str">
        <f>IF(AND($A412="YES",E412=$D$1,F414&gt;0),"YES","NO")</f>
        <v>NO</v>
      </c>
      <c r="C414" t="s">
        <v>5</v>
      </c>
      <c r="D414" s="12" t="str">
        <f t="shared" ref="D414:D418" si="357">D413</f>
        <v>8C</v>
      </c>
      <c r="E414" t="s">
        <v>188</v>
      </c>
      <c r="F414">
        <f>'Expanded Base Data'!F410</f>
        <v>0</v>
      </c>
      <c r="G414" s="171">
        <f>F412</f>
        <v>0</v>
      </c>
      <c r="H414">
        <f>ROUND(B412+'Slide Measurements'!$D$17,$O$1)</f>
        <v>201.31</v>
      </c>
      <c r="I414">
        <f>ROUND(H414+(F414*'Slide Measurements'!$D$21),$O$1)</f>
        <v>201.31</v>
      </c>
      <c r="J414">
        <f>C412+'Slide Measurements'!$E$17</f>
        <v>292.53000000000003</v>
      </c>
      <c r="K414">
        <f>J414+($I$1*'Slide Measurements'!$E$23-'Slide Measurements'!$E$23)</f>
        <v>294.38000000000005</v>
      </c>
      <c r="L414" s="5" t="str">
        <f>'Expanded Base Data'!$L410</f>
        <v/>
      </c>
      <c r="M414" s="5" t="str">
        <f>'Expanded Base Data'!$K410</f>
        <v/>
      </c>
      <c r="N414">
        <f t="shared" ref="N414:N419" si="358">ROUND((I414-H414),$O$1)</f>
        <v>0</v>
      </c>
      <c r="O414">
        <f t="shared" ref="O414:O419" si="359">ROUND((K414-J414),$O$1)</f>
        <v>1.85</v>
      </c>
      <c r="P414" s="5" t="e">
        <f t="shared" ref="P414:P418" si="360">ROUND((L414-M414),$O$1)</f>
        <v>#VALUE!</v>
      </c>
      <c r="Q414">
        <f>'Code List'!$C$63</f>
        <v>3</v>
      </c>
      <c r="R414">
        <f>F415+'Code List'!$G$63</f>
        <v>2</v>
      </c>
      <c r="S414" t="e">
        <f t="shared" ref="S414:S418" si="361">IF(P414=0,"1",ROUND((P414/$K$1)+$M$1,0))</f>
        <v>#VALUE!</v>
      </c>
      <c r="T414" t="e">
        <f>Q414*R414*S414</f>
        <v>#VALUE!</v>
      </c>
      <c r="U414" t="str">
        <f>IF(A414="YES",CONCATENATE(G414,"_",'Program Page'!$C$4,'Program Page'!$C$5,"_",D414,"_",E414),"")</f>
        <v/>
      </c>
      <c r="V414" t="str">
        <f t="shared" ref="V414:V418" si="362">IF(U414="","",CONCATENATE(U414,"_"))</f>
        <v/>
      </c>
      <c r="W414" t="str">
        <f>IF(A414="YES",CONCATENATE("{",'Code List'!$B$4,'Code List'!$D$4,",",'Code List'!$B$5,'Code List'!$D$5,",",'Code List'!$B$6,"""",U414,"""",",",'Code List'!$B$7,'Code List'!$D$7,",",'Code List'!$B$8,'Code List'!$D$8,",",'Code List'!$B$9,'Code List'!$D$9,",",'Code List'!$B$10,'Code List'!$D$10,",",'Code List'!$B$11,"""",V414,"""",",",'Code List'!$B$12,"""",H414,"""",",",'Code List'!$B$13,"""",I414,"""",",",'Code List'!$B$14,"""",J414,"""",",",'Code List'!$B$15,"""",K414,"""",",",'Code List'!$B$16,"""",L414,"""",",",'Code List'!$B$17,"""",M414,"""",",",'Code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14" s="167" t="str">
        <f>IF(A414="YES",CONCATENATE("{",'Code List'!$B$31,"""",U414,"""",",",'Code List'!$B$32,'Code List'!$D$32,",",'Code List'!$B$33,'Code List'!$D$33,",",'Code List'!$B$34,'Code List'!$D$34,",",'Code List'!$B$35,'Code List'!$D$35,",",'Code List'!$B$36,'Code List'!$D$36,",",'Code List'!$B$37,'Code List'!$D$37,",",'Code List'!$B$38,"""",H414,"""",",",'Code List'!$B$39,"""",I414,"""",",",'Code List'!$B$40,"""",J414,"""",",",'Code List'!$B$41,"""",K414,"""",",",'Code List'!$B$42,"""",L414,"""",",",'Code List'!$B$43,"""",M414,"""",",",'Code List'!$B$44,"""",N414,"""",",",'Code List'!$B$45,"""",O414,"""",",",'Code List'!$B$46,"""",P414,"""",",",'Code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List'!$B$59,"""",T414,"""","}"),"")</f>
        <v/>
      </c>
    </row>
    <row r="415" spans="1:25" x14ac:dyDescent="0.25">
      <c r="A415" t="str">
        <f>IF(AND($A412="YES",E412=$D$1,F415&gt;0),"YES","NO")</f>
        <v>NO</v>
      </c>
      <c r="C415" t="s">
        <v>5</v>
      </c>
      <c r="D415" s="12" t="str">
        <f t="shared" si="357"/>
        <v>8C</v>
      </c>
      <c r="E415" t="s">
        <v>189</v>
      </c>
      <c r="F415">
        <f>'Expanded Base Data'!G410</f>
        <v>0</v>
      </c>
      <c r="G415" s="171">
        <f>F412</f>
        <v>0</v>
      </c>
      <c r="H415">
        <f>ROUND(B412+'Slide Measurements'!$D$17,$O$1)</f>
        <v>201.31</v>
      </c>
      <c r="I415">
        <f>ROUND(H415+(F415*'Slide Measurements'!$D$21),$O$1)</f>
        <v>201.31</v>
      </c>
      <c r="J415">
        <f>K414</f>
        <v>294.38000000000005</v>
      </c>
      <c r="K415">
        <f>J415+($I$1*'Slide Measurements'!$E$23-'Slide Measurements'!$E$23)</f>
        <v>296.23000000000008</v>
      </c>
      <c r="L415" s="5" t="str">
        <f>'Expanded Base Data'!$L410</f>
        <v/>
      </c>
      <c r="M415" s="5" t="str">
        <f>'Expanded Base Data'!$K410</f>
        <v/>
      </c>
      <c r="N415">
        <f t="shared" si="358"/>
        <v>0</v>
      </c>
      <c r="O415">
        <f t="shared" si="359"/>
        <v>1.85</v>
      </c>
      <c r="P415" s="5" t="e">
        <f t="shared" si="360"/>
        <v>#VALUE!</v>
      </c>
      <c r="Q415">
        <f>'Code List'!$C$63</f>
        <v>3</v>
      </c>
      <c r="R415">
        <f>F416+'Code List'!$G$63</f>
        <v>2</v>
      </c>
      <c r="S415" t="e">
        <f t="shared" si="361"/>
        <v>#VALUE!</v>
      </c>
      <c r="T415" t="e">
        <f t="shared" ref="T415:T418" si="363">Q415*R415*S415</f>
        <v>#VALUE!</v>
      </c>
      <c r="U415" t="str">
        <f>IF(A415="YES",CONCATENATE(G415,"_",'Program Page'!$C$4,'Program Page'!$C$5,"_",D415,"_",E415),"")</f>
        <v/>
      </c>
      <c r="V415" t="str">
        <f t="shared" si="362"/>
        <v/>
      </c>
      <c r="W415" t="str">
        <f>IF(A415="YES",CONCATENATE("{",'Code List'!$B$4,'Code List'!$D$4,",",'Code List'!$B$5,'Code List'!$D$5,",",'Code List'!$B$6,"""",U415,"""",",",'Code List'!$B$7,'Code List'!$D$7,",",'Code List'!$B$8,'Code List'!$D$8,",",'Code List'!$B$9,'Code List'!$D$9,",",'Code List'!$B$10,'Code List'!$D$10,",",'Code List'!$B$11,"""",V415,"""",",",'Code List'!$B$12,"""",H415,"""",",",'Code List'!$B$13,"""",I415,"""",",",'Code List'!$B$14,"""",J415,"""",",",'Code List'!$B$15,"""",K415,"""",",",'Code List'!$B$16,"""",L415,"""",",",'Code List'!$B$17,"""",M415,"""",",",'Code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15" s="167" t="str">
        <f>IF(A415="YES",CONCATENATE("{",'Code List'!$B$31,"""",U415,"""",",",'Code List'!$B$32,'Code List'!$D$32,",",'Code List'!$B$33,'Code List'!$D$33,",",'Code List'!$B$34,'Code List'!$D$34,",",'Code List'!$B$35,'Code List'!$D$35,",",'Code List'!$B$36,'Code List'!$D$36,",",'Code List'!$B$37,'Code List'!$D$37,",",'Code List'!$B$38,"""",H415,"""",",",'Code List'!$B$39,"""",I415,"""",",",'Code List'!$B$40,"""",J415,"""",",",'Code List'!$B$41,"""",K415,"""",",",'Code List'!$B$42,"""",L415,"""",",",'Code List'!$B$43,"""",M415,"""",",",'Code List'!$B$44,"""",N415,"""",",",'Code List'!$B$45,"""",O415,"""",",",'Code List'!$B$46,"""",P415,"""",",",'Code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List'!$B$59,"""",T415,"""","}"),"")</f>
        <v/>
      </c>
    </row>
    <row r="416" spans="1:25" x14ac:dyDescent="0.25">
      <c r="A416" t="str">
        <f>IF(AND($A412="YES",E412=$D$1,F416&gt;0),"YES","NO")</f>
        <v>NO</v>
      </c>
      <c r="C416" t="s">
        <v>5</v>
      </c>
      <c r="D416" s="12" t="str">
        <f t="shared" si="357"/>
        <v>8C</v>
      </c>
      <c r="E416" t="s">
        <v>190</v>
      </c>
      <c r="F416">
        <f>'Expanded Base Data'!H410</f>
        <v>0</v>
      </c>
      <c r="G416" s="171">
        <f>F412</f>
        <v>0</v>
      </c>
      <c r="H416">
        <f>ROUND(B412+'Slide Measurements'!$D$17,$O$1)</f>
        <v>201.31</v>
      </c>
      <c r="I416">
        <f>ROUND(H416+(F416*'Slide Measurements'!$D$21),$O$1)</f>
        <v>201.31</v>
      </c>
      <c r="J416">
        <f>K415</f>
        <v>296.23000000000008</v>
      </c>
      <c r="K416">
        <f>J416+($I$1*'Slide Measurements'!$E$23-'Slide Measurements'!$E$23)</f>
        <v>298.0800000000001</v>
      </c>
      <c r="L416" s="5" t="str">
        <f>'Expanded Base Data'!$L410</f>
        <v/>
      </c>
      <c r="M416" s="5" t="str">
        <f>'Expanded Base Data'!$K410</f>
        <v/>
      </c>
      <c r="N416">
        <f t="shared" si="358"/>
        <v>0</v>
      </c>
      <c r="O416">
        <f t="shared" si="359"/>
        <v>1.85</v>
      </c>
      <c r="P416" s="5" t="e">
        <f t="shared" si="360"/>
        <v>#VALUE!</v>
      </c>
      <c r="Q416">
        <f>'Code List'!$C$63</f>
        <v>3</v>
      </c>
      <c r="R416">
        <f>F417+'Code List'!$G$63</f>
        <v>2</v>
      </c>
      <c r="S416" t="e">
        <f t="shared" si="361"/>
        <v>#VALUE!</v>
      </c>
      <c r="T416" t="e">
        <f t="shared" si="363"/>
        <v>#VALUE!</v>
      </c>
      <c r="U416" t="str">
        <f>IF(A416="YES",CONCATENATE(G416,"_",'Program Page'!$C$4,'Program Page'!$C$5,"_",D416,"_",E416),"")</f>
        <v/>
      </c>
      <c r="V416" t="str">
        <f t="shared" si="362"/>
        <v/>
      </c>
      <c r="W416" t="str">
        <f>IF(A416="YES",CONCATENATE("{",'Code List'!$B$4,'Code List'!$D$4,",",'Code List'!$B$5,'Code List'!$D$5,",",'Code List'!$B$6,"""",U416,"""",",",'Code List'!$B$7,'Code List'!$D$7,",",'Code List'!$B$8,'Code List'!$D$8,",",'Code List'!$B$9,'Code List'!$D$9,",",'Code List'!$B$10,'Code List'!$D$10,",",'Code List'!$B$11,"""",V416,"""",",",'Code List'!$B$12,"""",H416,"""",",",'Code List'!$B$13,"""",I416,"""",",",'Code List'!$B$14,"""",J416,"""",",",'Code List'!$B$15,"""",K416,"""",",",'Code List'!$B$16,"""",L416,"""",",",'Code List'!$B$17,"""",M416,"""",",",'Code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16" s="167" t="str">
        <f>IF(A416="YES",CONCATENATE("{",'Code List'!$B$31,"""",U416,"""",",",'Code List'!$B$32,'Code List'!$D$32,",",'Code List'!$B$33,'Code List'!$D$33,",",'Code List'!$B$34,'Code List'!$D$34,",",'Code List'!$B$35,'Code List'!$D$35,",",'Code List'!$B$36,'Code List'!$D$36,",",'Code List'!$B$37,'Code List'!$D$37,",",'Code List'!$B$38,"""",H416,"""",",",'Code List'!$B$39,"""",I416,"""",",",'Code List'!$B$40,"""",J416,"""",",",'Code List'!$B$41,"""",K416,"""",",",'Code List'!$B$42,"""",L416,"""",",",'Code List'!$B$43,"""",M416,"""",",",'Code List'!$B$44,"""",N416,"""",",",'Code List'!$B$45,"""",O416,"""",",",'Code List'!$B$46,"""",P416,"""",",",'Code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List'!$B$59,"""",T416,"""","}"),"")</f>
        <v/>
      </c>
    </row>
    <row r="417" spans="1:25" x14ac:dyDescent="0.25">
      <c r="A417" t="str">
        <f>IF(AND($A412="YES",E412=$D$1,F417&gt;0),"YES","NO")</f>
        <v>NO</v>
      </c>
      <c r="C417" t="s">
        <v>5</v>
      </c>
      <c r="D417" s="12" t="str">
        <f t="shared" si="357"/>
        <v>8C</v>
      </c>
      <c r="E417" t="s">
        <v>191</v>
      </c>
      <c r="F417">
        <f>'Expanded Base Data'!I410</f>
        <v>0</v>
      </c>
      <c r="G417" s="171">
        <f>F412</f>
        <v>0</v>
      </c>
      <c r="H417">
        <f>ROUND(B412+'Slide Measurements'!$D$17,$O$1)</f>
        <v>201.31</v>
      </c>
      <c r="I417">
        <f>ROUND(H417+(F417*'Slide Measurements'!$D$21),$O$1)</f>
        <v>201.31</v>
      </c>
      <c r="J417">
        <f>K416</f>
        <v>298.0800000000001</v>
      </c>
      <c r="K417">
        <f>J417+($I$1*'Slide Measurements'!$E$23-'Slide Measurements'!$E$23)</f>
        <v>299.93000000000012</v>
      </c>
      <c r="L417" s="5" t="str">
        <f>'Expanded Base Data'!$L410</f>
        <v/>
      </c>
      <c r="M417" s="5" t="str">
        <f>'Expanded Base Data'!$K410</f>
        <v/>
      </c>
      <c r="N417">
        <f t="shared" si="358"/>
        <v>0</v>
      </c>
      <c r="O417">
        <f t="shared" si="359"/>
        <v>1.85</v>
      </c>
      <c r="P417" s="5" t="e">
        <f t="shared" si="360"/>
        <v>#VALUE!</v>
      </c>
      <c r="Q417">
        <f>'Code List'!$C$63</f>
        <v>3</v>
      </c>
      <c r="R417">
        <f>F418+'Code List'!$G$63</f>
        <v>2</v>
      </c>
      <c r="S417" t="e">
        <f t="shared" si="361"/>
        <v>#VALUE!</v>
      </c>
      <c r="T417" t="e">
        <f t="shared" si="363"/>
        <v>#VALUE!</v>
      </c>
      <c r="U417" t="str">
        <f>IF(A417="YES",CONCATENATE(G417,"_",'Program Page'!$C$4,'Program Page'!$C$5,"_",D417,"_",E417),"")</f>
        <v/>
      </c>
      <c r="V417" t="str">
        <f t="shared" si="362"/>
        <v/>
      </c>
      <c r="W417" t="str">
        <f>IF(A417="YES",CONCATENATE("{",'Code List'!$B$4,'Code List'!$D$4,",",'Code List'!$B$5,'Code List'!$D$5,",",'Code List'!$B$6,"""",U417,"""",",",'Code List'!$B$7,'Code List'!$D$7,",",'Code List'!$B$8,'Code List'!$D$8,",",'Code List'!$B$9,'Code List'!$D$9,",",'Code List'!$B$10,'Code List'!$D$10,",",'Code List'!$B$11,"""",V417,"""",",",'Code List'!$B$12,"""",H417,"""",",",'Code List'!$B$13,"""",I417,"""",",",'Code List'!$B$14,"""",J417,"""",",",'Code List'!$B$15,"""",K417,"""",",",'Code List'!$B$16,"""",L417,"""",",",'Code List'!$B$17,"""",M417,"""",",",'Code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17" s="167" t="str">
        <f>IF(A417="YES",CONCATENATE("{",'Code List'!$B$31,"""",U417,"""",",",'Code List'!$B$32,'Code List'!$D$32,",",'Code List'!$B$33,'Code List'!$D$33,",",'Code List'!$B$34,'Code List'!$D$34,",",'Code List'!$B$35,'Code List'!$D$35,",",'Code List'!$B$36,'Code List'!$D$36,",",'Code List'!$B$37,'Code List'!$D$37,",",'Code List'!$B$38,"""",H417,"""",",",'Code List'!$B$39,"""",I417,"""",",",'Code List'!$B$40,"""",J417,"""",",",'Code List'!$B$41,"""",K417,"""",",",'Code List'!$B$42,"""",L417,"""",",",'Code List'!$B$43,"""",M417,"""",",",'Code List'!$B$44,"""",N417,"""",",",'Code List'!$B$45,"""",O417,"""",",",'Code List'!$B$46,"""",P417,"""",",",'Code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List'!$B$59,"""",T417,"""","}"),"")</f>
        <v/>
      </c>
    </row>
    <row r="418" spans="1:25" x14ac:dyDescent="0.25">
      <c r="A418" t="str">
        <f>IF(AND($A412="YES",E412=$D$1,F418&gt;0),"YES","NO")</f>
        <v>NO</v>
      </c>
      <c r="C418" t="s">
        <v>5</v>
      </c>
      <c r="D418" s="12" t="str">
        <f t="shared" si="357"/>
        <v>8C</v>
      </c>
      <c r="E418" t="s">
        <v>196</v>
      </c>
      <c r="F418">
        <f>'Expanded Base Data'!J410</f>
        <v>0</v>
      </c>
      <c r="G418" s="171">
        <f>F412</f>
        <v>0</v>
      </c>
      <c r="H418">
        <f>ROUND(B412+'Slide Measurements'!$D$17,$O$1)</f>
        <v>201.31</v>
      </c>
      <c r="I418">
        <f>ROUND(H418+(F418*'Slide Measurements'!$D$21),$O$1)</f>
        <v>201.31</v>
      </c>
      <c r="J418">
        <f>K417</f>
        <v>299.93000000000012</v>
      </c>
      <c r="K418">
        <f>J418+($I$1*'Slide Measurements'!$E$23-'Slide Measurements'!$E$23)</f>
        <v>301.78000000000014</v>
      </c>
      <c r="L418" s="5" t="str">
        <f>'Expanded Base Data'!$L410</f>
        <v/>
      </c>
      <c r="M418" s="5" t="str">
        <f>'Expanded Base Data'!$K410</f>
        <v/>
      </c>
      <c r="N418">
        <f t="shared" si="358"/>
        <v>0</v>
      </c>
      <c r="O418">
        <f t="shared" si="359"/>
        <v>1.85</v>
      </c>
      <c r="P418" s="5" t="e">
        <f t="shared" si="360"/>
        <v>#VALUE!</v>
      </c>
      <c r="Q418">
        <f>'Code List'!$C$63</f>
        <v>3</v>
      </c>
      <c r="R418">
        <f>F419+'Code List'!$G$63</f>
        <v>2</v>
      </c>
      <c r="S418" t="e">
        <f t="shared" si="361"/>
        <v>#VALUE!</v>
      </c>
      <c r="T418" t="e">
        <f t="shared" si="363"/>
        <v>#VALUE!</v>
      </c>
      <c r="U418" t="str">
        <f>IF(A418="YES",CONCATENATE(G418,"_",'Program Page'!$C$4,'Program Page'!$C$5,"_",D418,"_",E418),"")</f>
        <v/>
      </c>
      <c r="V418" t="str">
        <f t="shared" si="362"/>
        <v/>
      </c>
      <c r="W418" t="str">
        <f>IF(A418="YES",CONCATENATE("{",'Code List'!$B$4,'Code List'!$D$4,",",'Code List'!$B$5,'Code List'!$D$5,",",'Code List'!$B$6,"""",U418,"""",",",'Code List'!$B$7,'Code List'!$D$7,",",'Code List'!$B$8,'Code List'!$D$8,",",'Code List'!$B$9,'Code List'!$D$9,",",'Code List'!$B$10,'Code List'!$D$10,",",'Code List'!$B$11,"""",V418,"""",",",'Code List'!$B$12,"""",H418,"""",",",'Code List'!$B$13,"""",I418,"""",",",'Code List'!$B$14,"""",J418,"""",",",'Code List'!$B$15,"""",K418,"""",",",'Code List'!$B$16,"""",L418,"""",",",'Code List'!$B$17,"""",M418,"""",",",'Code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18" s="167" t="str">
        <f>IF(A418="YES",CONCATENATE("{",'Code List'!$B$31,"""",U418,"""",",",'Code List'!$B$32,'Code List'!$D$32,",",'Code List'!$B$33,'Code List'!$D$33,",",'Code List'!$B$34,'Code List'!$D$34,",",'Code List'!$B$35,'Code List'!$D$35,",",'Code List'!$B$36,'Code List'!$D$36,",",'Code List'!$B$37,'Code List'!$D$37,",",'Code List'!$B$38,"""",H418,"""",",",'Code List'!$B$39,"""",I418,"""",",",'Code List'!$B$40,"""",J418,"""",",",'Code List'!$B$41,"""",K418,"""",",",'Code List'!$B$42,"""",L418,"""",",",'Code List'!$B$43,"""",M418,"""",",",'Code List'!$B$44,"""",N418,"""",",",'Code List'!$B$45,"""",O418,"""",",",'Code List'!$B$46,"""",P418,"""",",",'Code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List'!$B$59,"""",T418,"""","}"),"")</f>
        <v/>
      </c>
    </row>
    <row r="419" spans="1:25" x14ac:dyDescent="0.25">
      <c r="A419" s="162" t="str">
        <f>IF(AND($A412="YES",E412=$E$1),"YES","NO")</f>
        <v>NO</v>
      </c>
      <c r="C419" t="s">
        <v>259</v>
      </c>
      <c r="D419" s="12" t="str">
        <f>D418</f>
        <v>8C</v>
      </c>
      <c r="E419" t="s">
        <v>259</v>
      </c>
      <c r="G419" s="171">
        <f>F412</f>
        <v>0</v>
      </c>
      <c r="H419">
        <f>ROUND(B412,$O$1)</f>
        <v>175.91</v>
      </c>
      <c r="I419">
        <f>ROUND(B412+'Slide Measurements'!$D$1,$O$1)</f>
        <v>252.36</v>
      </c>
      <c r="J419">
        <f>C412</f>
        <v>288.23</v>
      </c>
      <c r="K419">
        <f>C412+'Slide Measurements'!$D$2</f>
        <v>315.63</v>
      </c>
      <c r="L419" s="5" t="str">
        <f>'Expanded Base Data'!$L410</f>
        <v/>
      </c>
      <c r="M419" s="5" t="str">
        <f>'Expanded Base Data'!$K410</f>
        <v/>
      </c>
      <c r="N419">
        <f t="shared" si="358"/>
        <v>76.45</v>
      </c>
      <c r="O419">
        <f t="shared" si="359"/>
        <v>27.4</v>
      </c>
      <c r="P419" s="5" t="e">
        <f>ROUND((L419-M419),$O$1)</f>
        <v>#VALUE!</v>
      </c>
      <c r="Q419">
        <f>'Code List'!$C$70</f>
        <v>11</v>
      </c>
      <c r="R419">
        <f>'Code List'!$D$70</f>
        <v>19</v>
      </c>
      <c r="S419" t="e">
        <f>IF(P419=0,"1",ROUND((P419/$K$1)+$M$1,0))</f>
        <v>#VALUE!</v>
      </c>
      <c r="T419" t="e">
        <f>Q419*R419*S419</f>
        <v>#VALUE!</v>
      </c>
      <c r="U419" t="str">
        <f>IF(A419="YES",CONCATENATE(G419,"_",'Program Page'!$C$4,'Program Page'!$C$5,"_",D419,"_",E419),"")</f>
        <v/>
      </c>
      <c r="V419" t="str">
        <f>IF(U419="","",CONCATENATE(U419,"_"))</f>
        <v/>
      </c>
      <c r="W419" t="str">
        <f>IF(A419="YES",CONCATENATE("{",'Code List'!$B$4,'Code List'!$D$4,",",'Code List'!$B$5,'Code List'!$D$5,",",'Code List'!$B$6,"""",U419,"""",",",'Code List'!$B$7,'Code List'!$D$7,",",'Code List'!$B$8,'Code List'!$D$8,",",'Code List'!$B$9,'Code List'!$D$9,",",'Code List'!$B$10,'Code List'!$D$10,",",'Code List'!$B$11,"""",V419,"""",",",'Code List'!$B$12,"""",H419,"""",",",'Code List'!$B$13,"""",I419,"""",",",'Code List'!$B$14,"""",J419,"""",",",'Code List'!$B$15,"""",K419,"""",",",'Code List'!$B$16,"""",L419,"""",",",'Code List'!$B$17,"""",M419,"""",",",'Code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419" s="167" t="str">
        <f>IF(A419="YES",CONCATENATE("{",'Code List'!$B$31,"""",U419,"""",",",'Code List'!$B$32,'Code List'!$D$32,",",'Code List'!$B$33,'Code List'!$D$33,",",'Code List'!$B$34,'Code List'!$D$34,",",'Code List'!$B$35,'Code List'!$D$35,",",'Code List'!$B$36,'Code List'!$D$36,",",'Code List'!$B$37,'Code List'!$D$37,",",'Code List'!$B$38,"""",H419,"""",",",'Code List'!$B$39,"""",I419,"""",",",'Code List'!$B$40,"""",J419,"""",",",'Code List'!$B$41,"""",K419,"""",",",'Code List'!$B$42,"""",L419,"""",",",'Code List'!$B$43,"""",M419,"""",",",'Code List'!$B$44,"""",N419,"""",",",'Code List'!$B$45,"""",O419,"""",",",'Code List'!$B$46,"""",P419,"""",",",'Code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List'!$B$59,"""",T419,"""","}"),"")</f>
        <v/>
      </c>
    </row>
    <row r="420" spans="1:25" ht="18.75" x14ac:dyDescent="0.3">
      <c r="A420" s="35" t="str">
        <f>IF(OR(E420=$C$1,E420=$D$1,E420=$E$1),"YES","NO")</f>
        <v>NO</v>
      </c>
      <c r="B420" s="35">
        <f>'Expanded Base Data'!D418</f>
        <v>262.91000000000003</v>
      </c>
      <c r="C420" s="35">
        <f>'Expanded Base Data'!E418</f>
        <v>288.23</v>
      </c>
      <c r="D420" s="36" t="str">
        <f>'Expanded Base Data'!B418</f>
        <v>8D</v>
      </c>
      <c r="E420" s="35">
        <f>'Expanded Base Data'!C418</f>
        <v>0</v>
      </c>
      <c r="F420" s="35">
        <f>'Expanded Base Data'!M418</f>
        <v>0</v>
      </c>
      <c r="G420" s="170">
        <f>F420</f>
        <v>0</v>
      </c>
      <c r="Y420" s="167" t="str">
        <f>""</f>
        <v/>
      </c>
    </row>
    <row r="421" spans="1:25" x14ac:dyDescent="0.25">
      <c r="A421" t="str">
        <f>IF(AND($A420="YES",E420=$C$1),"YES","NO")</f>
        <v>NO</v>
      </c>
      <c r="C421" t="s">
        <v>6</v>
      </c>
      <c r="D421" s="12" t="str">
        <f>D420</f>
        <v>8D</v>
      </c>
      <c r="E421" t="s">
        <v>6</v>
      </c>
      <c r="F421" t="s">
        <v>198</v>
      </c>
      <c r="G421" s="171">
        <f>F420</f>
        <v>0</v>
      </c>
      <c r="H421">
        <f>IF('Expanded Base Data'!N418="",ROUND(B420+'Slide Measurements'!$D$11,$O$1),B420+'Expanded Base Data'!N418)</f>
        <v>295.91000000000003</v>
      </c>
      <c r="I421">
        <f>IF('Expanded Base Data'!O418="",ROUND(B420+'Slide Measurements'!$D$12,$O$1),B420+'Expanded Base Data'!O418)</f>
        <v>304.51</v>
      </c>
      <c r="J421">
        <f>IF('Expanded Base Data'!P418="",C420+'Slide Measurements'!$E$13,C420+'Expanded Base Data'!P418)</f>
        <v>296.93</v>
      </c>
      <c r="K421">
        <f>IF('Expanded Base Data'!Q418="",C420+'Slide Measurements'!$E$14,C420+'Expanded Base Data'!Q418)</f>
        <v>305.53000000000003</v>
      </c>
      <c r="L421" s="5" t="str">
        <f>'Expanded Base Data'!$L418</f>
        <v/>
      </c>
      <c r="M421" s="5" t="str">
        <f>'Expanded Base Data'!$K418</f>
        <v/>
      </c>
      <c r="N421">
        <f>ROUND((I421-H421),$O$1)</f>
        <v>8.6</v>
      </c>
      <c r="O421">
        <f>ROUND((K421-J421),$O$1)</f>
        <v>8.6</v>
      </c>
      <c r="P421" s="5" t="e">
        <f>ROUND((L421-M421),$O$1)</f>
        <v>#VALUE!</v>
      </c>
      <c r="Q421">
        <f>'Code List'!$C$62</f>
        <v>5</v>
      </c>
      <c r="R421">
        <f>F422+'Code List'!$G$63</f>
        <v>2</v>
      </c>
      <c r="S421" t="e">
        <f>IF(P421=0,"1",ROUND((P421/$K$1)+$M$1,0))</f>
        <v>#VALUE!</v>
      </c>
      <c r="T421" t="e">
        <f>Q421*R421*S421</f>
        <v>#VALUE!</v>
      </c>
      <c r="U421" t="str">
        <f>IF(A421="YES",CONCATENATE(G421,"_",'Program Page'!$C$4,'Program Page'!$C$5,"_",D421,"_",E421),"")</f>
        <v/>
      </c>
      <c r="V421" t="str">
        <f>IF(U421="","",CONCATENATE(U421,"_"))</f>
        <v/>
      </c>
      <c r="W421" t="str">
        <f>IF(A421="YES",CONCATENATE("{",'Code List'!$B$4,'Code List'!$D$4,",",'Code List'!$B$5,'Code List'!$D$5,",",'Code List'!$B$6,"""",U421,"""",",",'Code List'!$B$7,'Code List'!$D$7,",",'Code List'!$B$8,'Code List'!$D$8,",",'Code List'!$B$9,'Code List'!$D$9,",",'Code List'!$B$10,'Code List'!$D$10,",",'Code List'!$B$11,"""",V421,"""",",",'Code List'!$B$12,"""",H421,"""",",",'Code List'!$B$13,"""",I421,"""",",",'Code List'!$B$14,"""",J421,"""",",",'Code List'!$B$15,"""",K421,"""",",",'Code List'!$B$16,"""",L421,"""",",",'Code List'!$B$17,"""",M421,"""",",",'Code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21" s="167" t="str">
        <f>IF(A421="YES",CONCATENATE("{",'Code List'!$B$31,"""",U421,"""",",",'Code List'!$B$32,'Code List'!$D$32,",",'Code List'!$B$33,'Code List'!$D$33,",",'Code List'!$B$34,'Code List'!$D$34,",",'Code List'!$B$35,'Code List'!$D$35,",",'Code List'!$B$36,'Code List'!$D$36,",",'Code List'!$B$37,'Code List'!$D$37,",",'Code List'!$B$38,"""",H421,"""",",",'Code List'!$B$39,"""",I421,"""",",",'Code List'!$B$40,"""",J421,"""",",",'Code List'!$B$41,"""",K421,"""",",",'Code List'!$B$42,"""",L421,"""",",",'Code List'!$B$43,"""",M421,"""",",",'Code List'!$B$44,"""",N421,"""",",",'Code List'!$B$45,"""",O421,"""",",",'Code List'!$B$46,"""",P421,"""",",",'Code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List'!$B$59,"""",T421,"""","}"),"")</f>
        <v/>
      </c>
    </row>
    <row r="422" spans="1:25" x14ac:dyDescent="0.25">
      <c r="A422" t="str">
        <f>IF(AND($A420="YES",E420=$D$1,F422&gt;0),"YES","NO")</f>
        <v>NO</v>
      </c>
      <c r="C422" t="s">
        <v>5</v>
      </c>
      <c r="D422" s="12" t="str">
        <f t="shared" ref="D422:D426" si="364">D421</f>
        <v>8D</v>
      </c>
      <c r="E422" t="s">
        <v>188</v>
      </c>
      <c r="F422">
        <f>'Expanded Base Data'!F418</f>
        <v>0</v>
      </c>
      <c r="G422" s="171">
        <f>F420</f>
        <v>0</v>
      </c>
      <c r="H422">
        <f>ROUND(B420+'Slide Measurements'!$D$17,$O$1)</f>
        <v>288.31</v>
      </c>
      <c r="I422">
        <f>ROUND(H422+(F422*'Slide Measurements'!$D$21),$O$1)</f>
        <v>288.31</v>
      </c>
      <c r="J422">
        <f>C420+'Slide Measurements'!$E$17</f>
        <v>292.53000000000003</v>
      </c>
      <c r="K422">
        <f>J422+($I$1*'Slide Measurements'!$E$23-'Slide Measurements'!$E$23)</f>
        <v>294.38000000000005</v>
      </c>
      <c r="L422" s="5" t="str">
        <f>'Expanded Base Data'!$L418</f>
        <v/>
      </c>
      <c r="M422" s="5" t="str">
        <f>'Expanded Base Data'!$K418</f>
        <v/>
      </c>
      <c r="N422">
        <f t="shared" ref="N422:N427" si="365">ROUND((I422-H422),$O$1)</f>
        <v>0</v>
      </c>
      <c r="O422">
        <f t="shared" ref="O422:O427" si="366">ROUND((K422-J422),$O$1)</f>
        <v>1.85</v>
      </c>
      <c r="P422" s="5" t="e">
        <f t="shared" ref="P422:P426" si="367">ROUND((L422-M422),$O$1)</f>
        <v>#VALUE!</v>
      </c>
      <c r="Q422">
        <f>'Code List'!$C$63</f>
        <v>3</v>
      </c>
      <c r="R422">
        <f>F423+'Code List'!$G$63</f>
        <v>2</v>
      </c>
      <c r="S422" t="e">
        <f t="shared" ref="S422:S426" si="368">IF(P422=0,"1",ROUND((P422/$K$1)+$M$1,0))</f>
        <v>#VALUE!</v>
      </c>
      <c r="T422" t="e">
        <f>Q422*R422*S422</f>
        <v>#VALUE!</v>
      </c>
      <c r="U422" t="str">
        <f>IF(A422="YES",CONCATENATE(G422,"_",'Program Page'!$C$4,'Program Page'!$C$5,"_",D422,"_",E422),"")</f>
        <v/>
      </c>
      <c r="V422" t="str">
        <f t="shared" ref="V422:V426" si="369">IF(U422="","",CONCATENATE(U422,"_"))</f>
        <v/>
      </c>
      <c r="W422" t="str">
        <f>IF(A422="YES",CONCATENATE("{",'Code List'!$B$4,'Code List'!$D$4,",",'Code List'!$B$5,'Code List'!$D$5,",",'Code List'!$B$6,"""",U422,"""",",",'Code List'!$B$7,'Code List'!$D$7,",",'Code List'!$B$8,'Code List'!$D$8,",",'Code List'!$B$9,'Code List'!$D$9,",",'Code List'!$B$10,'Code List'!$D$10,",",'Code List'!$B$11,"""",V422,"""",",",'Code List'!$B$12,"""",H422,"""",",",'Code List'!$B$13,"""",I422,"""",",",'Code List'!$B$14,"""",J422,"""",",",'Code List'!$B$15,"""",K422,"""",",",'Code List'!$B$16,"""",L422,"""",",",'Code List'!$B$17,"""",M422,"""",",",'Code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22" s="167" t="str">
        <f>IF(A422="YES",CONCATENATE("{",'Code List'!$B$31,"""",U422,"""",",",'Code List'!$B$32,'Code List'!$D$32,",",'Code List'!$B$33,'Code List'!$D$33,",",'Code List'!$B$34,'Code List'!$D$34,",",'Code List'!$B$35,'Code List'!$D$35,",",'Code List'!$B$36,'Code List'!$D$36,",",'Code List'!$B$37,'Code List'!$D$37,",",'Code List'!$B$38,"""",H422,"""",",",'Code List'!$B$39,"""",I422,"""",",",'Code List'!$B$40,"""",J422,"""",",",'Code List'!$B$41,"""",K422,"""",",",'Code List'!$B$42,"""",L422,"""",",",'Code List'!$B$43,"""",M422,"""",",",'Code List'!$B$44,"""",N422,"""",",",'Code List'!$B$45,"""",O422,"""",",",'Code List'!$B$46,"""",P422,"""",",",'Code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List'!$B$59,"""",T422,"""","}"),"")</f>
        <v/>
      </c>
    </row>
    <row r="423" spans="1:25" x14ac:dyDescent="0.25">
      <c r="A423" t="str">
        <f>IF(AND($A420="YES",E420=$D$1,F423&gt;0),"YES","NO")</f>
        <v>NO</v>
      </c>
      <c r="C423" t="s">
        <v>5</v>
      </c>
      <c r="D423" s="12" t="str">
        <f t="shared" si="364"/>
        <v>8D</v>
      </c>
      <c r="E423" t="s">
        <v>189</v>
      </c>
      <c r="F423">
        <f>'Expanded Base Data'!G418</f>
        <v>0</v>
      </c>
      <c r="G423" s="171">
        <f>F420</f>
        <v>0</v>
      </c>
      <c r="H423">
        <f>ROUND(B420+'Slide Measurements'!$D$17,$O$1)</f>
        <v>288.31</v>
      </c>
      <c r="I423">
        <f>ROUND(H423+(F423*'Slide Measurements'!$D$21),$O$1)</f>
        <v>288.31</v>
      </c>
      <c r="J423">
        <f>K422</f>
        <v>294.38000000000005</v>
      </c>
      <c r="K423">
        <f>J423+($I$1*'Slide Measurements'!$E$23-'Slide Measurements'!$E$23)</f>
        <v>296.23000000000008</v>
      </c>
      <c r="L423" s="5" t="str">
        <f>'Expanded Base Data'!$L418</f>
        <v/>
      </c>
      <c r="M423" s="5" t="str">
        <f>'Expanded Base Data'!$K418</f>
        <v/>
      </c>
      <c r="N423">
        <f t="shared" si="365"/>
        <v>0</v>
      </c>
      <c r="O423">
        <f t="shared" si="366"/>
        <v>1.85</v>
      </c>
      <c r="P423" s="5" t="e">
        <f t="shared" si="367"/>
        <v>#VALUE!</v>
      </c>
      <c r="Q423">
        <f>'Code List'!$C$63</f>
        <v>3</v>
      </c>
      <c r="R423">
        <f>F424+'Code List'!$G$63</f>
        <v>2</v>
      </c>
      <c r="S423" t="e">
        <f t="shared" si="368"/>
        <v>#VALUE!</v>
      </c>
      <c r="T423" t="e">
        <f t="shared" ref="T423:T426" si="370">Q423*R423*S423</f>
        <v>#VALUE!</v>
      </c>
      <c r="U423" t="str">
        <f>IF(A423="YES",CONCATENATE(G423,"_",'Program Page'!$C$4,'Program Page'!$C$5,"_",D423,"_",E423),"")</f>
        <v/>
      </c>
      <c r="V423" t="str">
        <f t="shared" si="369"/>
        <v/>
      </c>
      <c r="W423" t="str">
        <f>IF(A423="YES",CONCATENATE("{",'Code List'!$B$4,'Code List'!$D$4,",",'Code List'!$B$5,'Code List'!$D$5,",",'Code List'!$B$6,"""",U423,"""",",",'Code List'!$B$7,'Code List'!$D$7,",",'Code List'!$B$8,'Code List'!$D$8,",",'Code List'!$B$9,'Code List'!$D$9,",",'Code List'!$B$10,'Code List'!$D$10,",",'Code List'!$B$11,"""",V423,"""",",",'Code List'!$B$12,"""",H423,"""",",",'Code List'!$B$13,"""",I423,"""",",",'Code List'!$B$14,"""",J423,"""",",",'Code List'!$B$15,"""",K423,"""",",",'Code List'!$B$16,"""",L423,"""",",",'Code List'!$B$17,"""",M423,"""",",",'Code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23" s="167" t="str">
        <f>IF(A423="YES",CONCATENATE("{",'Code List'!$B$31,"""",U423,"""",",",'Code List'!$B$32,'Code List'!$D$32,",",'Code List'!$B$33,'Code List'!$D$33,",",'Code List'!$B$34,'Code List'!$D$34,",",'Code List'!$B$35,'Code List'!$D$35,",",'Code List'!$B$36,'Code List'!$D$36,",",'Code List'!$B$37,'Code List'!$D$37,",",'Code List'!$B$38,"""",H423,"""",",",'Code List'!$B$39,"""",I423,"""",",",'Code List'!$B$40,"""",J423,"""",",",'Code List'!$B$41,"""",K423,"""",",",'Code List'!$B$42,"""",L423,"""",",",'Code List'!$B$43,"""",M423,"""",",",'Code List'!$B$44,"""",N423,"""",",",'Code List'!$B$45,"""",O423,"""",",",'Code List'!$B$46,"""",P423,"""",",",'Code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List'!$B$59,"""",T423,"""","}"),"")</f>
        <v/>
      </c>
    </row>
    <row r="424" spans="1:25" x14ac:dyDescent="0.25">
      <c r="A424" t="str">
        <f>IF(AND($A420="YES",E420=$D$1,F424&gt;0),"YES","NO")</f>
        <v>NO</v>
      </c>
      <c r="C424" t="s">
        <v>5</v>
      </c>
      <c r="D424" s="12" t="str">
        <f t="shared" si="364"/>
        <v>8D</v>
      </c>
      <c r="E424" t="s">
        <v>190</v>
      </c>
      <c r="F424">
        <f>'Expanded Base Data'!H418</f>
        <v>0</v>
      </c>
      <c r="G424" s="171">
        <f>F420</f>
        <v>0</v>
      </c>
      <c r="H424">
        <f>ROUND(B420+'Slide Measurements'!$D$17,$O$1)</f>
        <v>288.31</v>
      </c>
      <c r="I424">
        <f>ROUND(H424+(F424*'Slide Measurements'!$D$21),$O$1)</f>
        <v>288.31</v>
      </c>
      <c r="J424">
        <f>K423</f>
        <v>296.23000000000008</v>
      </c>
      <c r="K424">
        <f>J424+($I$1*'Slide Measurements'!$E$23-'Slide Measurements'!$E$23)</f>
        <v>298.0800000000001</v>
      </c>
      <c r="L424" s="5" t="str">
        <f>'Expanded Base Data'!$L418</f>
        <v/>
      </c>
      <c r="M424" s="5" t="str">
        <f>'Expanded Base Data'!$K418</f>
        <v/>
      </c>
      <c r="N424">
        <f t="shared" si="365"/>
        <v>0</v>
      </c>
      <c r="O424">
        <f t="shared" si="366"/>
        <v>1.85</v>
      </c>
      <c r="P424" s="5" t="e">
        <f t="shared" si="367"/>
        <v>#VALUE!</v>
      </c>
      <c r="Q424">
        <f>'Code List'!$C$63</f>
        <v>3</v>
      </c>
      <c r="R424">
        <f>F425+'Code List'!$G$63</f>
        <v>2</v>
      </c>
      <c r="S424" t="e">
        <f t="shared" si="368"/>
        <v>#VALUE!</v>
      </c>
      <c r="T424" t="e">
        <f t="shared" si="370"/>
        <v>#VALUE!</v>
      </c>
      <c r="U424" t="str">
        <f>IF(A424="YES",CONCATENATE(G424,"_",'Program Page'!$C$4,'Program Page'!$C$5,"_",D424,"_",E424),"")</f>
        <v/>
      </c>
      <c r="V424" t="str">
        <f t="shared" si="369"/>
        <v/>
      </c>
      <c r="W424" t="str">
        <f>IF(A424="YES",CONCATENATE("{",'Code List'!$B$4,'Code List'!$D$4,",",'Code List'!$B$5,'Code List'!$D$5,",",'Code List'!$B$6,"""",U424,"""",",",'Code List'!$B$7,'Code List'!$D$7,",",'Code List'!$B$8,'Code List'!$D$8,",",'Code List'!$B$9,'Code List'!$D$9,",",'Code List'!$B$10,'Code List'!$D$10,",",'Code List'!$B$11,"""",V424,"""",",",'Code List'!$B$12,"""",H424,"""",",",'Code List'!$B$13,"""",I424,"""",",",'Code List'!$B$14,"""",J424,"""",",",'Code List'!$B$15,"""",K424,"""",",",'Code List'!$B$16,"""",L424,"""",",",'Code List'!$B$17,"""",M424,"""",",",'Code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24" s="167" t="str">
        <f>IF(A424="YES",CONCATENATE("{",'Code List'!$B$31,"""",U424,"""",",",'Code List'!$B$32,'Code List'!$D$32,",",'Code List'!$B$33,'Code List'!$D$33,",",'Code List'!$B$34,'Code List'!$D$34,",",'Code List'!$B$35,'Code List'!$D$35,",",'Code List'!$B$36,'Code List'!$D$36,",",'Code List'!$B$37,'Code List'!$D$37,",",'Code List'!$B$38,"""",H424,"""",",",'Code List'!$B$39,"""",I424,"""",",",'Code List'!$B$40,"""",J424,"""",",",'Code List'!$B$41,"""",K424,"""",",",'Code List'!$B$42,"""",L424,"""",",",'Code List'!$B$43,"""",M424,"""",",",'Code List'!$B$44,"""",N424,"""",",",'Code List'!$B$45,"""",O424,"""",",",'Code List'!$B$46,"""",P424,"""",",",'Code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List'!$B$59,"""",T424,"""","}"),"")</f>
        <v/>
      </c>
    </row>
    <row r="425" spans="1:25" x14ac:dyDescent="0.25">
      <c r="A425" t="str">
        <f>IF(AND($A420="YES",E420=$D$1,F425&gt;0),"YES","NO")</f>
        <v>NO</v>
      </c>
      <c r="C425" t="s">
        <v>5</v>
      </c>
      <c r="D425" s="12" t="str">
        <f t="shared" si="364"/>
        <v>8D</v>
      </c>
      <c r="E425" t="s">
        <v>191</v>
      </c>
      <c r="F425">
        <f>'Expanded Base Data'!I418</f>
        <v>0</v>
      </c>
      <c r="G425" s="171">
        <f>F420</f>
        <v>0</v>
      </c>
      <c r="H425">
        <f>ROUND(B420+'Slide Measurements'!$D$17,$O$1)</f>
        <v>288.31</v>
      </c>
      <c r="I425">
        <f>ROUND(H425+(F425*'Slide Measurements'!$D$21),$O$1)</f>
        <v>288.31</v>
      </c>
      <c r="J425">
        <f>K424</f>
        <v>298.0800000000001</v>
      </c>
      <c r="K425">
        <f>J425+($I$1*'Slide Measurements'!$E$23-'Slide Measurements'!$E$23)</f>
        <v>299.93000000000012</v>
      </c>
      <c r="L425" s="5" t="str">
        <f>'Expanded Base Data'!$L418</f>
        <v/>
      </c>
      <c r="M425" s="5" t="str">
        <f>'Expanded Base Data'!$K418</f>
        <v/>
      </c>
      <c r="N425">
        <f t="shared" si="365"/>
        <v>0</v>
      </c>
      <c r="O425">
        <f t="shared" si="366"/>
        <v>1.85</v>
      </c>
      <c r="P425" s="5" t="e">
        <f t="shared" si="367"/>
        <v>#VALUE!</v>
      </c>
      <c r="Q425">
        <f>'Code List'!$C$63</f>
        <v>3</v>
      </c>
      <c r="R425">
        <f>F426+'Code List'!$G$63</f>
        <v>2</v>
      </c>
      <c r="S425" t="e">
        <f t="shared" si="368"/>
        <v>#VALUE!</v>
      </c>
      <c r="T425" t="e">
        <f t="shared" si="370"/>
        <v>#VALUE!</v>
      </c>
      <c r="U425" t="str">
        <f>IF(A425="YES",CONCATENATE(G425,"_",'Program Page'!$C$4,'Program Page'!$C$5,"_",D425,"_",E425),"")</f>
        <v/>
      </c>
      <c r="V425" t="str">
        <f t="shared" si="369"/>
        <v/>
      </c>
      <c r="W425" t="str">
        <f>IF(A425="YES",CONCATENATE("{",'Code List'!$B$4,'Code List'!$D$4,",",'Code List'!$B$5,'Code List'!$D$5,",",'Code List'!$B$6,"""",U425,"""",",",'Code List'!$B$7,'Code List'!$D$7,",",'Code List'!$B$8,'Code List'!$D$8,",",'Code List'!$B$9,'Code List'!$D$9,",",'Code List'!$B$10,'Code List'!$D$10,",",'Code List'!$B$11,"""",V425,"""",",",'Code List'!$B$12,"""",H425,"""",",",'Code List'!$B$13,"""",I425,"""",",",'Code List'!$B$14,"""",J425,"""",",",'Code List'!$B$15,"""",K425,"""",",",'Code List'!$B$16,"""",L425,"""",",",'Code List'!$B$17,"""",M425,"""",",",'Code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25" s="167" t="str">
        <f>IF(A425="YES",CONCATENATE("{",'Code List'!$B$31,"""",U425,"""",",",'Code List'!$B$32,'Code List'!$D$32,",",'Code List'!$B$33,'Code List'!$D$33,",",'Code List'!$B$34,'Code List'!$D$34,",",'Code List'!$B$35,'Code List'!$D$35,",",'Code List'!$B$36,'Code List'!$D$36,",",'Code List'!$B$37,'Code List'!$D$37,",",'Code List'!$B$38,"""",H425,"""",",",'Code List'!$B$39,"""",I425,"""",",",'Code List'!$B$40,"""",J425,"""",",",'Code List'!$B$41,"""",K425,"""",",",'Code List'!$B$42,"""",L425,"""",",",'Code List'!$B$43,"""",M425,"""",",",'Code List'!$B$44,"""",N425,"""",",",'Code List'!$B$45,"""",O425,"""",",",'Code List'!$B$46,"""",P425,"""",",",'Code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List'!$B$59,"""",T425,"""","}"),"")</f>
        <v/>
      </c>
    </row>
    <row r="426" spans="1:25" x14ac:dyDescent="0.25">
      <c r="A426" t="str">
        <f>IF(AND($A420="YES",E420=$D$1,F426&gt;0),"YES","NO")</f>
        <v>NO</v>
      </c>
      <c r="C426" t="s">
        <v>5</v>
      </c>
      <c r="D426" s="12" t="str">
        <f t="shared" si="364"/>
        <v>8D</v>
      </c>
      <c r="E426" t="s">
        <v>196</v>
      </c>
      <c r="F426">
        <f>'Expanded Base Data'!J418</f>
        <v>0</v>
      </c>
      <c r="G426" s="171">
        <f>F420</f>
        <v>0</v>
      </c>
      <c r="H426">
        <f>ROUND(B420+'Slide Measurements'!$D$17,$O$1)</f>
        <v>288.31</v>
      </c>
      <c r="I426">
        <f>ROUND(H426+(F426*'Slide Measurements'!$D$21),$O$1)</f>
        <v>288.31</v>
      </c>
      <c r="J426">
        <f>K425</f>
        <v>299.93000000000012</v>
      </c>
      <c r="K426">
        <f>J426+($I$1*'Slide Measurements'!$E$23-'Slide Measurements'!$E$23)</f>
        <v>301.78000000000014</v>
      </c>
      <c r="L426" s="5" t="str">
        <f>'Expanded Base Data'!$L418</f>
        <v/>
      </c>
      <c r="M426" s="5" t="str">
        <f>'Expanded Base Data'!$K418</f>
        <v/>
      </c>
      <c r="N426">
        <f t="shared" si="365"/>
        <v>0</v>
      </c>
      <c r="O426">
        <f t="shared" si="366"/>
        <v>1.85</v>
      </c>
      <c r="P426" s="5" t="e">
        <f t="shared" si="367"/>
        <v>#VALUE!</v>
      </c>
      <c r="Q426">
        <f>'Code List'!$C$63</f>
        <v>3</v>
      </c>
      <c r="R426">
        <f>F427+'Code List'!$G$63</f>
        <v>2</v>
      </c>
      <c r="S426" t="e">
        <f t="shared" si="368"/>
        <v>#VALUE!</v>
      </c>
      <c r="T426" t="e">
        <f t="shared" si="370"/>
        <v>#VALUE!</v>
      </c>
      <c r="U426" t="str">
        <f>IF(A426="YES",CONCATENATE(G426,"_",'Program Page'!$C$4,'Program Page'!$C$5,"_",D426,"_",E426),"")</f>
        <v/>
      </c>
      <c r="V426" t="str">
        <f t="shared" si="369"/>
        <v/>
      </c>
      <c r="W426" t="str">
        <f>IF(A426="YES",CONCATENATE("{",'Code List'!$B$4,'Code List'!$D$4,",",'Code List'!$B$5,'Code List'!$D$5,",",'Code List'!$B$6,"""",U426,"""",",",'Code List'!$B$7,'Code List'!$D$7,",",'Code List'!$B$8,'Code List'!$D$8,",",'Code List'!$B$9,'Code List'!$D$9,",",'Code List'!$B$10,'Code List'!$D$10,",",'Code List'!$B$11,"""",V426,"""",",",'Code List'!$B$12,"""",H426,"""",",",'Code List'!$B$13,"""",I426,"""",",",'Code List'!$B$14,"""",J426,"""",",",'Code List'!$B$15,"""",K426,"""",",",'Code List'!$B$16,"""",L426,"""",",",'Code List'!$B$17,"""",M426,"""",",",'Code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26" s="167" t="str">
        <f>IF(A426="YES",CONCATENATE("{",'Code List'!$B$31,"""",U426,"""",",",'Code List'!$B$32,'Code List'!$D$32,",",'Code List'!$B$33,'Code List'!$D$33,",",'Code List'!$B$34,'Code List'!$D$34,",",'Code List'!$B$35,'Code List'!$D$35,",",'Code List'!$B$36,'Code List'!$D$36,",",'Code List'!$B$37,'Code List'!$D$37,",",'Code List'!$B$38,"""",H426,"""",",",'Code List'!$B$39,"""",I426,"""",",",'Code List'!$B$40,"""",J426,"""",",",'Code List'!$B$41,"""",K426,"""",",",'Code List'!$B$42,"""",L426,"""",",",'Code List'!$B$43,"""",M426,"""",",",'Code List'!$B$44,"""",N426,"""",",",'Code List'!$B$45,"""",O426,"""",",",'Code List'!$B$46,"""",P426,"""",",",'Code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List'!$B$59,"""",T426,"""","}"),"")</f>
        <v/>
      </c>
    </row>
    <row r="427" spans="1:25" x14ac:dyDescent="0.25">
      <c r="A427" s="162" t="str">
        <f>IF(AND($A420="YES",E420=$E$1),"YES","NO")</f>
        <v>NO</v>
      </c>
      <c r="C427" t="s">
        <v>259</v>
      </c>
      <c r="D427" s="12" t="str">
        <f>D426</f>
        <v>8D</v>
      </c>
      <c r="E427" t="s">
        <v>259</v>
      </c>
      <c r="G427" s="171">
        <f>F420</f>
        <v>0</v>
      </c>
      <c r="H427">
        <f>ROUND(B420,$O$1)</f>
        <v>262.91000000000003</v>
      </c>
      <c r="I427">
        <f>ROUND(B420+'Slide Measurements'!$D$1,$O$1)</f>
        <v>339.36</v>
      </c>
      <c r="J427">
        <f>C420</f>
        <v>288.23</v>
      </c>
      <c r="K427">
        <f>C420+'Slide Measurements'!$D$2</f>
        <v>315.63</v>
      </c>
      <c r="L427" s="5" t="str">
        <f>'Expanded Base Data'!$L418</f>
        <v/>
      </c>
      <c r="M427" s="5" t="str">
        <f>'Expanded Base Data'!$K418</f>
        <v/>
      </c>
      <c r="N427">
        <f t="shared" si="365"/>
        <v>76.45</v>
      </c>
      <c r="O427">
        <f t="shared" si="366"/>
        <v>27.4</v>
      </c>
      <c r="P427" s="5" t="e">
        <f>ROUND((L427-M427),$O$1)</f>
        <v>#VALUE!</v>
      </c>
      <c r="Q427">
        <f>'Code List'!$C$70</f>
        <v>11</v>
      </c>
      <c r="R427">
        <f>'Code List'!$D$70</f>
        <v>19</v>
      </c>
      <c r="S427" t="e">
        <f>IF(P427=0,"1",ROUND((P427/$K$1)+$M$1,0))</f>
        <v>#VALUE!</v>
      </c>
      <c r="T427" t="e">
        <f>Q427*R427*S427</f>
        <v>#VALUE!</v>
      </c>
      <c r="U427" t="str">
        <f>IF(A427="YES",CONCATENATE(G427,"_",'Program Page'!$C$4,'Program Page'!$C$5,"_",D427,"_",E427),"")</f>
        <v/>
      </c>
      <c r="V427" t="str">
        <f>IF(U427="","",CONCATENATE(U427,"_"))</f>
        <v/>
      </c>
      <c r="W427" t="str">
        <f>IF(A427="YES",CONCATENATE("{",'Code List'!$B$4,'Code List'!$D$4,",",'Code List'!$B$5,'Code List'!$D$5,",",'Code List'!$B$6,"""",U427,"""",",",'Code List'!$B$7,'Code List'!$D$7,",",'Code List'!$B$8,'Code List'!$D$8,",",'Code List'!$B$9,'Code List'!$D$9,",",'Code List'!$B$10,'Code List'!$D$10,",",'Code List'!$B$11,"""",V427,"""",",",'Code List'!$B$12,"""",H427,"""",",",'Code List'!$B$13,"""",I427,"""",",",'Code List'!$B$14,"""",J427,"""",",",'Code List'!$B$15,"""",K427,"""",",",'Code List'!$B$16,"""",L427,"""",",",'Code List'!$B$17,"""",M427,"""",",",'Code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427" s="167" t="str">
        <f>IF(A427="YES",CONCATENATE("{",'Code List'!$B$31,"""",U427,"""",",",'Code List'!$B$32,'Code List'!$D$32,",",'Code List'!$B$33,'Code List'!$D$33,",",'Code List'!$B$34,'Code List'!$D$34,",",'Code List'!$B$35,'Code List'!$D$35,",",'Code List'!$B$36,'Code List'!$D$36,",",'Code List'!$B$37,'Code List'!$D$37,",",'Code List'!$B$38,"""",H427,"""",",",'Code List'!$B$39,"""",I427,"""",",",'Code List'!$B$40,"""",J427,"""",",",'Code List'!$B$41,"""",K427,"""",",",'Code List'!$B$42,"""",L427,"""",",",'Code List'!$B$43,"""",M427,"""",",",'Code List'!$B$44,"""",N427,"""",",",'Code List'!$B$45,"""",O427,"""",",",'Code List'!$B$46,"""",P427,"""",",",'Code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List'!$B$59,"""",T427,"""","}"),"")</f>
        <v/>
      </c>
    </row>
    <row r="428" spans="1:25" ht="18.75" x14ac:dyDescent="0.3">
      <c r="A428" s="35" t="str">
        <f>IF(OR(E428=$C$1,E428=$D$1,E428=$E$1),"YES","NO")</f>
        <v>NO</v>
      </c>
      <c r="B428" s="35">
        <f>'Expanded Base Data'!D426</f>
        <v>349.31</v>
      </c>
      <c r="C428" s="35">
        <f>'Expanded Base Data'!E426</f>
        <v>288.23</v>
      </c>
      <c r="D428" s="36" t="str">
        <f>'Expanded Base Data'!B426</f>
        <v>8E</v>
      </c>
      <c r="E428" s="35">
        <f>'Expanded Base Data'!C426</f>
        <v>0</v>
      </c>
      <c r="F428" s="35">
        <f>'Expanded Base Data'!M426</f>
        <v>0</v>
      </c>
      <c r="G428" s="170">
        <f>F428</f>
        <v>0</v>
      </c>
      <c r="Y428" s="167" t="str">
        <f>""</f>
        <v/>
      </c>
    </row>
    <row r="429" spans="1:25" x14ac:dyDescent="0.25">
      <c r="A429" t="str">
        <f>IF(AND($A428="YES",E428=$C$1),"YES","NO")</f>
        <v>NO</v>
      </c>
      <c r="C429" t="s">
        <v>6</v>
      </c>
      <c r="D429" s="12" t="str">
        <f>D428</f>
        <v>8E</v>
      </c>
      <c r="E429" t="s">
        <v>6</v>
      </c>
      <c r="F429" t="s">
        <v>198</v>
      </c>
      <c r="G429" s="171">
        <f>F428</f>
        <v>0</v>
      </c>
      <c r="H429">
        <f>IF('Expanded Base Data'!N426="",ROUND(B428+'Slide Measurements'!$D$11,$O$1),B428+'Expanded Base Data'!N426)</f>
        <v>382.31</v>
      </c>
      <c r="I429">
        <f>IF('Expanded Base Data'!O426="",ROUND(B428+'Slide Measurements'!$D$12,$O$1),B428+'Expanded Base Data'!O426)</f>
        <v>390.91</v>
      </c>
      <c r="J429">
        <f>IF('Expanded Base Data'!P426="",C428+'Slide Measurements'!$E$13,C428+'Expanded Base Data'!P426)</f>
        <v>296.93</v>
      </c>
      <c r="K429">
        <f>IF('Expanded Base Data'!Q426="",C428+'Slide Measurements'!$E$14,C428+'Expanded Base Data'!Q426)</f>
        <v>305.53000000000003</v>
      </c>
      <c r="L429" s="5" t="str">
        <f>'Expanded Base Data'!$L426</f>
        <v/>
      </c>
      <c r="M429" s="5" t="str">
        <f>'Expanded Base Data'!$K426</f>
        <v/>
      </c>
      <c r="N429">
        <f>ROUND((I429-H429),$O$1)</f>
        <v>8.6</v>
      </c>
      <c r="O429">
        <f>ROUND((K429-J429),$O$1)</f>
        <v>8.6</v>
      </c>
      <c r="P429" s="5" t="e">
        <f>ROUND((L429-M429),$O$1)</f>
        <v>#VALUE!</v>
      </c>
      <c r="Q429">
        <f>'Code List'!$C$62</f>
        <v>5</v>
      </c>
      <c r="R429">
        <f>F430+'Code List'!$G$63</f>
        <v>2</v>
      </c>
      <c r="S429" t="e">
        <f>IF(P429=0,"1",ROUND((P429/$K$1)+$M$1,0))</f>
        <v>#VALUE!</v>
      </c>
      <c r="T429" t="e">
        <f>Q429*R429*S429</f>
        <v>#VALUE!</v>
      </c>
      <c r="U429" t="str">
        <f>IF(A429="YES",CONCATENATE(G429,"_",'Program Page'!$C$4,'Program Page'!$C$5,"_",D429,"_",E429),"")</f>
        <v/>
      </c>
      <c r="V429" t="str">
        <f>IF(U429="","",CONCATENATE(U429,"_"))</f>
        <v/>
      </c>
      <c r="W429" t="str">
        <f>IF(A429="YES",CONCATENATE("{",'Code List'!$B$4,'Code List'!$D$4,",",'Code List'!$B$5,'Code List'!$D$5,",",'Code List'!$B$6,"""",U429,"""",",",'Code List'!$B$7,'Code List'!$D$7,",",'Code List'!$B$8,'Code List'!$D$8,",",'Code List'!$B$9,'Code List'!$D$9,",",'Code List'!$B$10,'Code List'!$D$10,",",'Code List'!$B$11,"""",V429,"""",",",'Code List'!$B$12,"""",H429,"""",",",'Code List'!$B$13,"""",I429,"""",",",'Code List'!$B$14,"""",J429,"""",",",'Code List'!$B$15,"""",K429,"""",",",'Code List'!$B$16,"""",L429,"""",",",'Code List'!$B$17,"""",M429,"""",",",'Code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29" s="167" t="str">
        <f>IF(A429="YES",CONCATENATE("{",'Code List'!$B$31,"""",U429,"""",",",'Code List'!$B$32,'Code List'!$D$32,",",'Code List'!$B$33,'Code List'!$D$33,",",'Code List'!$B$34,'Code List'!$D$34,",",'Code List'!$B$35,'Code List'!$D$35,",",'Code List'!$B$36,'Code List'!$D$36,",",'Code List'!$B$37,'Code List'!$D$37,",",'Code List'!$B$38,"""",H429,"""",",",'Code List'!$B$39,"""",I429,"""",",",'Code List'!$B$40,"""",J429,"""",",",'Code List'!$B$41,"""",K429,"""",",",'Code List'!$B$42,"""",L429,"""",",",'Code List'!$B$43,"""",M429,"""",",",'Code List'!$B$44,"""",N429,"""",",",'Code List'!$B$45,"""",O429,"""",",",'Code List'!$B$46,"""",P429,"""",",",'Code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List'!$B$59,"""",T429,"""","}"),"")</f>
        <v/>
      </c>
    </row>
    <row r="430" spans="1:25" x14ac:dyDescent="0.25">
      <c r="A430" t="str">
        <f>IF(AND($A428="YES",E428=$D$1,F430&gt;0),"YES","NO")</f>
        <v>NO</v>
      </c>
      <c r="C430" t="s">
        <v>5</v>
      </c>
      <c r="D430" s="12" t="str">
        <f t="shared" ref="D430:D434" si="371">D429</f>
        <v>8E</v>
      </c>
      <c r="E430" t="s">
        <v>188</v>
      </c>
      <c r="F430">
        <f>'Expanded Base Data'!F426</f>
        <v>0</v>
      </c>
      <c r="G430" s="171">
        <f>F428</f>
        <v>0</v>
      </c>
      <c r="H430">
        <f>ROUND(B428+'Slide Measurements'!$D$17,$O$1)</f>
        <v>374.71</v>
      </c>
      <c r="I430">
        <f>ROUND(H430+(F430*'Slide Measurements'!$D$21),$O$1)</f>
        <v>374.71</v>
      </c>
      <c r="J430">
        <f>C428+'Slide Measurements'!$E$17</f>
        <v>292.53000000000003</v>
      </c>
      <c r="K430">
        <f>J430+($I$1*'Slide Measurements'!$E$23-'Slide Measurements'!$E$23)</f>
        <v>294.38000000000005</v>
      </c>
      <c r="L430" s="5" t="str">
        <f>'Expanded Base Data'!$L426</f>
        <v/>
      </c>
      <c r="M430" s="5" t="str">
        <f>'Expanded Base Data'!$K426</f>
        <v/>
      </c>
      <c r="N430">
        <f t="shared" ref="N430:N435" si="372">ROUND((I430-H430),$O$1)</f>
        <v>0</v>
      </c>
      <c r="O430">
        <f t="shared" ref="O430:O435" si="373">ROUND((K430-J430),$O$1)</f>
        <v>1.85</v>
      </c>
      <c r="P430" s="5" t="e">
        <f t="shared" ref="P430:P434" si="374">ROUND((L430-M430),$O$1)</f>
        <v>#VALUE!</v>
      </c>
      <c r="Q430">
        <f>'Code List'!$C$63</f>
        <v>3</v>
      </c>
      <c r="R430">
        <f>F431+'Code List'!$G$63</f>
        <v>2</v>
      </c>
      <c r="S430" t="e">
        <f t="shared" ref="S430:S434" si="375">IF(P430=0,"1",ROUND((P430/$K$1)+$M$1,0))</f>
        <v>#VALUE!</v>
      </c>
      <c r="T430" t="e">
        <f>Q430*R430*S430</f>
        <v>#VALUE!</v>
      </c>
      <c r="U430" t="str">
        <f>IF(A430="YES",CONCATENATE(G430,"_",'Program Page'!$C$4,'Program Page'!$C$5,"_",D430,"_",E430),"")</f>
        <v/>
      </c>
      <c r="V430" t="str">
        <f t="shared" ref="V430:V434" si="376">IF(U430="","",CONCATENATE(U430,"_"))</f>
        <v/>
      </c>
      <c r="W430" t="str">
        <f>IF(A430="YES",CONCATENATE("{",'Code List'!$B$4,'Code List'!$D$4,",",'Code List'!$B$5,'Code List'!$D$5,",",'Code List'!$B$6,"""",U430,"""",",",'Code List'!$B$7,'Code List'!$D$7,",",'Code List'!$B$8,'Code List'!$D$8,",",'Code List'!$B$9,'Code List'!$D$9,",",'Code List'!$B$10,'Code List'!$D$10,",",'Code List'!$B$11,"""",V430,"""",",",'Code List'!$B$12,"""",H430,"""",",",'Code List'!$B$13,"""",I430,"""",",",'Code List'!$B$14,"""",J430,"""",",",'Code List'!$B$15,"""",K430,"""",",",'Code List'!$B$16,"""",L430,"""",",",'Code List'!$B$17,"""",M430,"""",",",'Code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30" s="167" t="str">
        <f>IF(A430="YES",CONCATENATE("{",'Code List'!$B$31,"""",U430,"""",",",'Code List'!$B$32,'Code List'!$D$32,",",'Code List'!$B$33,'Code List'!$D$33,",",'Code List'!$B$34,'Code List'!$D$34,",",'Code List'!$B$35,'Code List'!$D$35,",",'Code List'!$B$36,'Code List'!$D$36,",",'Code List'!$B$37,'Code List'!$D$37,",",'Code List'!$B$38,"""",H430,"""",",",'Code List'!$B$39,"""",I430,"""",",",'Code List'!$B$40,"""",J430,"""",",",'Code List'!$B$41,"""",K430,"""",",",'Code List'!$B$42,"""",L430,"""",",",'Code List'!$B$43,"""",M430,"""",",",'Code List'!$B$44,"""",N430,"""",",",'Code List'!$B$45,"""",O430,"""",",",'Code List'!$B$46,"""",P430,"""",",",'Code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List'!$B$59,"""",T430,"""","}"),"")</f>
        <v/>
      </c>
    </row>
    <row r="431" spans="1:25" x14ac:dyDescent="0.25">
      <c r="A431" t="str">
        <f>IF(AND($A428="YES",E428=$D$1,F431&gt;0),"YES","NO")</f>
        <v>NO</v>
      </c>
      <c r="C431" t="s">
        <v>5</v>
      </c>
      <c r="D431" s="12" t="str">
        <f t="shared" si="371"/>
        <v>8E</v>
      </c>
      <c r="E431" t="s">
        <v>189</v>
      </c>
      <c r="F431">
        <f>'Expanded Base Data'!G426</f>
        <v>0</v>
      </c>
      <c r="G431" s="171">
        <f>F428</f>
        <v>0</v>
      </c>
      <c r="H431">
        <f>ROUND(B428+'Slide Measurements'!$D$17,$O$1)</f>
        <v>374.71</v>
      </c>
      <c r="I431">
        <f>ROUND(H431+(F431*'Slide Measurements'!$D$21),$O$1)</f>
        <v>374.71</v>
      </c>
      <c r="J431">
        <f>K430</f>
        <v>294.38000000000005</v>
      </c>
      <c r="K431">
        <f>J431+($I$1*'Slide Measurements'!$E$23-'Slide Measurements'!$E$23)</f>
        <v>296.23000000000008</v>
      </c>
      <c r="L431" s="5" t="str">
        <f>'Expanded Base Data'!$L426</f>
        <v/>
      </c>
      <c r="M431" s="5" t="str">
        <f>'Expanded Base Data'!$K426</f>
        <v/>
      </c>
      <c r="N431">
        <f t="shared" si="372"/>
        <v>0</v>
      </c>
      <c r="O431">
        <f t="shared" si="373"/>
        <v>1.85</v>
      </c>
      <c r="P431" s="5" t="e">
        <f t="shared" si="374"/>
        <v>#VALUE!</v>
      </c>
      <c r="Q431">
        <f>'Code List'!$C$63</f>
        <v>3</v>
      </c>
      <c r="R431">
        <f>F432+'Code List'!$G$63</f>
        <v>2</v>
      </c>
      <c r="S431" t="e">
        <f t="shared" si="375"/>
        <v>#VALUE!</v>
      </c>
      <c r="T431" t="e">
        <f t="shared" ref="T431:T434" si="377">Q431*R431*S431</f>
        <v>#VALUE!</v>
      </c>
      <c r="U431" t="str">
        <f>IF(A431="YES",CONCATENATE(G431,"_",'Program Page'!$C$4,'Program Page'!$C$5,"_",D431,"_",E431),"")</f>
        <v/>
      </c>
      <c r="V431" t="str">
        <f t="shared" si="376"/>
        <v/>
      </c>
      <c r="W431" t="str">
        <f>IF(A431="YES",CONCATENATE("{",'Code List'!$B$4,'Code List'!$D$4,",",'Code List'!$B$5,'Code List'!$D$5,",",'Code List'!$B$6,"""",U431,"""",",",'Code List'!$B$7,'Code List'!$D$7,",",'Code List'!$B$8,'Code List'!$D$8,",",'Code List'!$B$9,'Code List'!$D$9,",",'Code List'!$B$10,'Code List'!$D$10,",",'Code List'!$B$11,"""",V431,"""",",",'Code List'!$B$12,"""",H431,"""",",",'Code List'!$B$13,"""",I431,"""",",",'Code List'!$B$14,"""",J431,"""",",",'Code List'!$B$15,"""",K431,"""",",",'Code List'!$B$16,"""",L431,"""",",",'Code List'!$B$17,"""",M431,"""",",",'Code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31" s="167" t="str">
        <f>IF(A431="YES",CONCATENATE("{",'Code List'!$B$31,"""",U431,"""",",",'Code List'!$B$32,'Code List'!$D$32,",",'Code List'!$B$33,'Code List'!$D$33,",",'Code List'!$B$34,'Code List'!$D$34,",",'Code List'!$B$35,'Code List'!$D$35,",",'Code List'!$B$36,'Code List'!$D$36,",",'Code List'!$B$37,'Code List'!$D$37,",",'Code List'!$B$38,"""",H431,"""",",",'Code List'!$B$39,"""",I431,"""",",",'Code List'!$B$40,"""",J431,"""",",",'Code List'!$B$41,"""",K431,"""",",",'Code List'!$B$42,"""",L431,"""",",",'Code List'!$B$43,"""",M431,"""",",",'Code List'!$B$44,"""",N431,"""",",",'Code List'!$B$45,"""",O431,"""",",",'Code List'!$B$46,"""",P431,"""",",",'Code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List'!$B$59,"""",T431,"""","}"),"")</f>
        <v/>
      </c>
    </row>
    <row r="432" spans="1:25" x14ac:dyDescent="0.25">
      <c r="A432" t="str">
        <f>IF(AND($A428="YES",E428=$D$1,F432&gt;0),"YES","NO")</f>
        <v>NO</v>
      </c>
      <c r="C432" t="s">
        <v>5</v>
      </c>
      <c r="D432" s="12" t="str">
        <f t="shared" si="371"/>
        <v>8E</v>
      </c>
      <c r="E432" t="s">
        <v>190</v>
      </c>
      <c r="F432">
        <f>'Expanded Base Data'!H426</f>
        <v>0</v>
      </c>
      <c r="G432" s="171">
        <f>F428</f>
        <v>0</v>
      </c>
      <c r="H432">
        <f>ROUND(B428+'Slide Measurements'!$D$17,$O$1)</f>
        <v>374.71</v>
      </c>
      <c r="I432">
        <f>ROUND(H432+(F432*'Slide Measurements'!$D$21),$O$1)</f>
        <v>374.71</v>
      </c>
      <c r="J432">
        <f>K431</f>
        <v>296.23000000000008</v>
      </c>
      <c r="K432">
        <f>J432+($I$1*'Slide Measurements'!$E$23-'Slide Measurements'!$E$23)</f>
        <v>298.0800000000001</v>
      </c>
      <c r="L432" s="5" t="str">
        <f>'Expanded Base Data'!$L426</f>
        <v/>
      </c>
      <c r="M432" s="5" t="str">
        <f>'Expanded Base Data'!$K426</f>
        <v/>
      </c>
      <c r="N432">
        <f t="shared" si="372"/>
        <v>0</v>
      </c>
      <c r="O432">
        <f t="shared" si="373"/>
        <v>1.85</v>
      </c>
      <c r="P432" s="5" t="e">
        <f t="shared" si="374"/>
        <v>#VALUE!</v>
      </c>
      <c r="Q432">
        <f>'Code List'!$C$63</f>
        <v>3</v>
      </c>
      <c r="R432">
        <f>F433+'Code List'!$G$63</f>
        <v>2</v>
      </c>
      <c r="S432" t="e">
        <f t="shared" si="375"/>
        <v>#VALUE!</v>
      </c>
      <c r="T432" t="e">
        <f t="shared" si="377"/>
        <v>#VALUE!</v>
      </c>
      <c r="U432" t="str">
        <f>IF(A432="YES",CONCATENATE(G432,"_",'Program Page'!$C$4,'Program Page'!$C$5,"_",D432,"_",E432),"")</f>
        <v/>
      </c>
      <c r="V432" t="str">
        <f t="shared" si="376"/>
        <v/>
      </c>
      <c r="W432" t="str">
        <f>IF(A432="YES",CONCATENATE("{",'Code List'!$B$4,'Code List'!$D$4,",",'Code List'!$B$5,'Code List'!$D$5,",",'Code List'!$B$6,"""",U432,"""",",",'Code List'!$B$7,'Code List'!$D$7,",",'Code List'!$B$8,'Code List'!$D$8,",",'Code List'!$B$9,'Code List'!$D$9,",",'Code List'!$B$10,'Code List'!$D$10,",",'Code List'!$B$11,"""",V432,"""",",",'Code List'!$B$12,"""",H432,"""",",",'Code List'!$B$13,"""",I432,"""",",",'Code List'!$B$14,"""",J432,"""",",",'Code List'!$B$15,"""",K432,"""",",",'Code List'!$B$16,"""",L432,"""",",",'Code List'!$B$17,"""",M432,"""",",",'Code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32" s="167" t="str">
        <f>IF(A432="YES",CONCATENATE("{",'Code List'!$B$31,"""",U432,"""",",",'Code List'!$B$32,'Code List'!$D$32,",",'Code List'!$B$33,'Code List'!$D$33,",",'Code List'!$B$34,'Code List'!$D$34,",",'Code List'!$B$35,'Code List'!$D$35,",",'Code List'!$B$36,'Code List'!$D$36,",",'Code List'!$B$37,'Code List'!$D$37,",",'Code List'!$B$38,"""",H432,"""",",",'Code List'!$B$39,"""",I432,"""",",",'Code List'!$B$40,"""",J432,"""",",",'Code List'!$B$41,"""",K432,"""",",",'Code List'!$B$42,"""",L432,"""",",",'Code List'!$B$43,"""",M432,"""",",",'Code List'!$B$44,"""",N432,"""",",",'Code List'!$B$45,"""",O432,"""",",",'Code List'!$B$46,"""",P432,"""",",",'Code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List'!$B$59,"""",T432,"""","}"),"")</f>
        <v/>
      </c>
    </row>
    <row r="433" spans="1:25" x14ac:dyDescent="0.25">
      <c r="A433" t="str">
        <f>IF(AND($A428="YES",E428=$D$1,F433&gt;0),"YES","NO")</f>
        <v>NO</v>
      </c>
      <c r="C433" t="s">
        <v>5</v>
      </c>
      <c r="D433" s="12" t="str">
        <f t="shared" si="371"/>
        <v>8E</v>
      </c>
      <c r="E433" t="s">
        <v>191</v>
      </c>
      <c r="F433">
        <f>'Expanded Base Data'!I426</f>
        <v>0</v>
      </c>
      <c r="G433" s="171">
        <f>F428</f>
        <v>0</v>
      </c>
      <c r="H433">
        <f>ROUND(B428+'Slide Measurements'!$D$17,$O$1)</f>
        <v>374.71</v>
      </c>
      <c r="I433">
        <f>ROUND(H433+(F433*'Slide Measurements'!$D$21),$O$1)</f>
        <v>374.71</v>
      </c>
      <c r="J433">
        <f>K432</f>
        <v>298.0800000000001</v>
      </c>
      <c r="K433">
        <f>J433+($I$1*'Slide Measurements'!$E$23-'Slide Measurements'!$E$23)</f>
        <v>299.93000000000012</v>
      </c>
      <c r="L433" s="5" t="str">
        <f>'Expanded Base Data'!$L426</f>
        <v/>
      </c>
      <c r="M433" s="5" t="str">
        <f>'Expanded Base Data'!$K426</f>
        <v/>
      </c>
      <c r="N433">
        <f t="shared" si="372"/>
        <v>0</v>
      </c>
      <c r="O433">
        <f t="shared" si="373"/>
        <v>1.85</v>
      </c>
      <c r="P433" s="5" t="e">
        <f t="shared" si="374"/>
        <v>#VALUE!</v>
      </c>
      <c r="Q433">
        <f>'Code List'!$C$63</f>
        <v>3</v>
      </c>
      <c r="R433">
        <f>F434+'Code List'!$G$63</f>
        <v>2</v>
      </c>
      <c r="S433" t="e">
        <f t="shared" si="375"/>
        <v>#VALUE!</v>
      </c>
      <c r="T433" t="e">
        <f t="shared" si="377"/>
        <v>#VALUE!</v>
      </c>
      <c r="U433" t="str">
        <f>IF(A433="YES",CONCATENATE(G433,"_",'Program Page'!$C$4,'Program Page'!$C$5,"_",D433,"_",E433),"")</f>
        <v/>
      </c>
      <c r="V433" t="str">
        <f t="shared" si="376"/>
        <v/>
      </c>
      <c r="W433" t="str">
        <f>IF(A433="YES",CONCATENATE("{",'Code List'!$B$4,'Code List'!$D$4,",",'Code List'!$B$5,'Code List'!$D$5,",",'Code List'!$B$6,"""",U433,"""",",",'Code List'!$B$7,'Code List'!$D$7,",",'Code List'!$B$8,'Code List'!$D$8,",",'Code List'!$B$9,'Code List'!$D$9,",",'Code List'!$B$10,'Code List'!$D$10,",",'Code List'!$B$11,"""",V433,"""",",",'Code List'!$B$12,"""",H433,"""",",",'Code List'!$B$13,"""",I433,"""",",",'Code List'!$B$14,"""",J433,"""",",",'Code List'!$B$15,"""",K433,"""",",",'Code List'!$B$16,"""",L433,"""",",",'Code List'!$B$17,"""",M433,"""",",",'Code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33" s="167" t="str">
        <f>IF(A433="YES",CONCATENATE("{",'Code List'!$B$31,"""",U433,"""",",",'Code List'!$B$32,'Code List'!$D$32,",",'Code List'!$B$33,'Code List'!$D$33,",",'Code List'!$B$34,'Code List'!$D$34,",",'Code List'!$B$35,'Code List'!$D$35,",",'Code List'!$B$36,'Code List'!$D$36,",",'Code List'!$B$37,'Code List'!$D$37,",",'Code List'!$B$38,"""",H433,"""",",",'Code List'!$B$39,"""",I433,"""",",",'Code List'!$B$40,"""",J433,"""",",",'Code List'!$B$41,"""",K433,"""",",",'Code List'!$B$42,"""",L433,"""",",",'Code List'!$B$43,"""",M433,"""",",",'Code List'!$B$44,"""",N433,"""",",",'Code List'!$B$45,"""",O433,"""",",",'Code List'!$B$46,"""",P433,"""",",",'Code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List'!$B$59,"""",T433,"""","}"),"")</f>
        <v/>
      </c>
    </row>
    <row r="434" spans="1:25" x14ac:dyDescent="0.25">
      <c r="A434" t="str">
        <f>IF(AND($A428="YES",E428=$D$1,F434&gt;0),"YES","NO")</f>
        <v>NO</v>
      </c>
      <c r="C434" t="s">
        <v>5</v>
      </c>
      <c r="D434" s="12" t="str">
        <f t="shared" si="371"/>
        <v>8E</v>
      </c>
      <c r="E434" t="s">
        <v>196</v>
      </c>
      <c r="F434">
        <f>'Expanded Base Data'!J426</f>
        <v>0</v>
      </c>
      <c r="G434" s="171">
        <f>F428</f>
        <v>0</v>
      </c>
      <c r="H434">
        <f>ROUND(B428+'Slide Measurements'!$D$17,$O$1)</f>
        <v>374.71</v>
      </c>
      <c r="I434">
        <f>ROUND(H434+(F434*'Slide Measurements'!$D$21),$O$1)</f>
        <v>374.71</v>
      </c>
      <c r="J434">
        <f>K433</f>
        <v>299.93000000000012</v>
      </c>
      <c r="K434">
        <f>J434+($I$1*'Slide Measurements'!$E$23-'Slide Measurements'!$E$23)</f>
        <v>301.78000000000014</v>
      </c>
      <c r="L434" s="5" t="str">
        <f>'Expanded Base Data'!$L426</f>
        <v/>
      </c>
      <c r="M434" s="5" t="str">
        <f>'Expanded Base Data'!$K426</f>
        <v/>
      </c>
      <c r="N434">
        <f t="shared" si="372"/>
        <v>0</v>
      </c>
      <c r="O434">
        <f t="shared" si="373"/>
        <v>1.85</v>
      </c>
      <c r="P434" s="5" t="e">
        <f t="shared" si="374"/>
        <v>#VALUE!</v>
      </c>
      <c r="Q434">
        <f>'Code List'!$C$63</f>
        <v>3</v>
      </c>
      <c r="R434">
        <f>F435+'Code List'!$G$63</f>
        <v>2</v>
      </c>
      <c r="S434" t="e">
        <f t="shared" si="375"/>
        <v>#VALUE!</v>
      </c>
      <c r="T434" t="e">
        <f t="shared" si="377"/>
        <v>#VALUE!</v>
      </c>
      <c r="U434" t="str">
        <f>IF(A434="YES",CONCATENATE(G434,"_",'Program Page'!$C$4,'Program Page'!$C$5,"_",D434,"_",E434),"")</f>
        <v/>
      </c>
      <c r="V434" t="str">
        <f t="shared" si="376"/>
        <v/>
      </c>
      <c r="W434" t="str">
        <f>IF(A434="YES",CONCATENATE("{",'Code List'!$B$4,'Code List'!$D$4,",",'Code List'!$B$5,'Code List'!$D$5,",",'Code List'!$B$6,"""",U434,"""",",",'Code List'!$B$7,'Code List'!$D$7,",",'Code List'!$B$8,'Code List'!$D$8,",",'Code List'!$B$9,'Code List'!$D$9,",",'Code List'!$B$10,'Code List'!$D$10,",",'Code List'!$B$11,"""",V434,"""",",",'Code List'!$B$12,"""",H434,"""",",",'Code List'!$B$13,"""",I434,"""",",",'Code List'!$B$14,"""",J434,"""",",",'Code List'!$B$15,"""",K434,"""",",",'Code List'!$B$16,"""",L434,"""",",",'Code List'!$B$17,"""",M434,"""",",",'Code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34" s="167" t="str">
        <f>IF(A434="YES",CONCATENATE("{",'Code List'!$B$31,"""",U434,"""",",",'Code List'!$B$32,'Code List'!$D$32,",",'Code List'!$B$33,'Code List'!$D$33,",",'Code List'!$B$34,'Code List'!$D$34,",",'Code List'!$B$35,'Code List'!$D$35,",",'Code List'!$B$36,'Code List'!$D$36,",",'Code List'!$B$37,'Code List'!$D$37,",",'Code List'!$B$38,"""",H434,"""",",",'Code List'!$B$39,"""",I434,"""",",",'Code List'!$B$40,"""",J434,"""",",",'Code List'!$B$41,"""",K434,"""",",",'Code List'!$B$42,"""",L434,"""",",",'Code List'!$B$43,"""",M434,"""",",",'Code List'!$B$44,"""",N434,"""",",",'Code List'!$B$45,"""",O434,"""",",",'Code List'!$B$46,"""",P434,"""",",",'Code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List'!$B$59,"""",T434,"""","}"),"")</f>
        <v/>
      </c>
    </row>
    <row r="435" spans="1:25" x14ac:dyDescent="0.25">
      <c r="A435" s="162" t="str">
        <f>IF(AND($A428="YES",E428=$E$1),"YES","NO")</f>
        <v>NO</v>
      </c>
      <c r="C435" t="s">
        <v>259</v>
      </c>
      <c r="D435" s="12" t="str">
        <f>D434</f>
        <v>8E</v>
      </c>
      <c r="E435" t="s">
        <v>259</v>
      </c>
      <c r="G435" s="171">
        <f>F428</f>
        <v>0</v>
      </c>
      <c r="H435">
        <f>ROUND(B428,$O$1)</f>
        <v>349.31</v>
      </c>
      <c r="I435">
        <f>ROUND(B428+'Slide Measurements'!$D$1,$O$1)</f>
        <v>425.76</v>
      </c>
      <c r="J435">
        <f>C428</f>
        <v>288.23</v>
      </c>
      <c r="K435">
        <f>C428+'Slide Measurements'!$D$2</f>
        <v>315.63</v>
      </c>
      <c r="L435" s="5" t="str">
        <f>'Expanded Base Data'!$L426</f>
        <v/>
      </c>
      <c r="M435" s="5" t="str">
        <f>'Expanded Base Data'!$K426</f>
        <v/>
      </c>
      <c r="N435">
        <f t="shared" si="372"/>
        <v>76.45</v>
      </c>
      <c r="O435">
        <f t="shared" si="373"/>
        <v>27.4</v>
      </c>
      <c r="P435" s="5" t="e">
        <f>ROUND((L435-M435),$O$1)</f>
        <v>#VALUE!</v>
      </c>
      <c r="Q435">
        <f>'Code List'!$C$70</f>
        <v>11</v>
      </c>
      <c r="R435">
        <f>'Code List'!$D$70</f>
        <v>19</v>
      </c>
      <c r="S435" t="e">
        <f>IF(P435=0,"1",ROUND((P435/$K$1)+$M$1,0))</f>
        <v>#VALUE!</v>
      </c>
      <c r="T435" t="e">
        <f>Q435*R435*S435</f>
        <v>#VALUE!</v>
      </c>
      <c r="U435" t="str">
        <f>IF(A435="YES",CONCATENATE(G435,"_",'Program Page'!$C$4,'Program Page'!$C$5,"_",D435,"_",E435),"")</f>
        <v/>
      </c>
      <c r="V435" t="str">
        <f>IF(U435="","",CONCATENATE(U435,"_"))</f>
        <v/>
      </c>
      <c r="W435" t="str">
        <f>IF(A435="YES",CONCATENATE("{",'Code List'!$B$4,'Code List'!$D$4,",",'Code List'!$B$5,'Code List'!$D$5,",",'Code List'!$B$6,"""",U435,"""",",",'Code List'!$B$7,'Code List'!$D$7,",",'Code List'!$B$8,'Code List'!$D$8,",",'Code List'!$B$9,'Code List'!$D$9,",",'Code List'!$B$10,'Code List'!$D$10,",",'Code List'!$B$11,"""",V435,"""",",",'Code List'!$B$12,"""",H435,"""",",",'Code List'!$B$13,"""",I435,"""",",",'Code List'!$B$14,"""",J435,"""",",",'Code List'!$B$15,"""",K435,"""",",",'Code List'!$B$16,"""",L435,"""",",",'Code List'!$B$17,"""",M435,"""",",",'Code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435" s="167" t="str">
        <f>IF(A435="YES",CONCATENATE("{",'Code List'!$B$31,"""",U435,"""",",",'Code List'!$B$32,'Code List'!$D$32,",",'Code List'!$B$33,'Code List'!$D$33,",",'Code List'!$B$34,'Code List'!$D$34,",",'Code List'!$B$35,'Code List'!$D$35,",",'Code List'!$B$36,'Code List'!$D$36,",",'Code List'!$B$37,'Code List'!$D$37,",",'Code List'!$B$38,"""",H435,"""",",",'Code List'!$B$39,"""",I435,"""",",",'Code List'!$B$40,"""",J435,"""",",",'Code List'!$B$41,"""",K435,"""",",",'Code List'!$B$42,"""",L435,"""",",",'Code List'!$B$43,"""",M435,"""",",",'Code List'!$B$44,"""",N435,"""",",",'Code List'!$B$45,"""",O435,"""",",",'Code List'!$B$46,"""",P435,"""",",",'Code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List'!$B$59,"""",T435,"""","}"),"")</f>
        <v/>
      </c>
    </row>
    <row r="436" spans="1:25" ht="18.75" x14ac:dyDescent="0.3">
      <c r="A436" s="35" t="str">
        <f>IF(OR(E436=$C$1,E436=$D$1,E436=$E$1),"YES","NO")</f>
        <v>NO</v>
      </c>
      <c r="B436" s="35">
        <f>'Expanded Base Data'!D434</f>
        <v>435.91</v>
      </c>
      <c r="C436" s="35">
        <f>'Expanded Base Data'!E434</f>
        <v>288.23</v>
      </c>
      <c r="D436" s="36" t="str">
        <f>'Expanded Base Data'!B434</f>
        <v>8F</v>
      </c>
      <c r="E436" s="35">
        <f>'Expanded Base Data'!C434</f>
        <v>0</v>
      </c>
      <c r="F436" s="35">
        <f>'Expanded Base Data'!M434</f>
        <v>0</v>
      </c>
      <c r="G436" s="170">
        <f>F436</f>
        <v>0</v>
      </c>
      <c r="Y436" s="167" t="str">
        <f>""</f>
        <v/>
      </c>
    </row>
    <row r="437" spans="1:25" x14ac:dyDescent="0.25">
      <c r="A437" t="str">
        <f>IF(AND($A436="YES",E436=$C$1),"YES","NO")</f>
        <v>NO</v>
      </c>
      <c r="C437" t="s">
        <v>6</v>
      </c>
      <c r="D437" s="12" t="str">
        <f>D436</f>
        <v>8F</v>
      </c>
      <c r="E437" t="s">
        <v>6</v>
      </c>
      <c r="F437" t="s">
        <v>198</v>
      </c>
      <c r="G437" s="171">
        <f>F436</f>
        <v>0</v>
      </c>
      <c r="H437">
        <f>IF('Expanded Base Data'!N434="",ROUND(B436+'Slide Measurements'!$D$11,$O$1),B436+'Expanded Base Data'!N434)</f>
        <v>468.91</v>
      </c>
      <c r="I437">
        <f>IF('Expanded Base Data'!O434="",ROUND(B436+'Slide Measurements'!$D$12,$O$1),B436+'Expanded Base Data'!O434)</f>
        <v>477.51</v>
      </c>
      <c r="J437">
        <f>IF('Expanded Base Data'!P434="",C436+'Slide Measurements'!$E$13,C436+'Expanded Base Data'!P434)</f>
        <v>296.93</v>
      </c>
      <c r="K437">
        <f>IF('Expanded Base Data'!Q434="",C436+'Slide Measurements'!$E$14,C436+'Expanded Base Data'!Q434)</f>
        <v>305.53000000000003</v>
      </c>
      <c r="L437" s="5" t="str">
        <f>'Expanded Base Data'!$L434</f>
        <v/>
      </c>
      <c r="M437" s="5" t="str">
        <f>'Expanded Base Data'!$K434</f>
        <v/>
      </c>
      <c r="N437">
        <f>ROUND((I437-H437),$O$1)</f>
        <v>8.6</v>
      </c>
      <c r="O437">
        <f>ROUND((K437-J437),$O$1)</f>
        <v>8.6</v>
      </c>
      <c r="P437" s="5" t="e">
        <f>ROUND((L437-M437),$O$1)</f>
        <v>#VALUE!</v>
      </c>
      <c r="Q437">
        <f>'Code List'!$C$62</f>
        <v>5</v>
      </c>
      <c r="R437">
        <f>F438+'Code List'!$G$63</f>
        <v>2</v>
      </c>
      <c r="S437" t="e">
        <f>IF(P437=0,"1",ROUND((P437/$K$1)+$M$1,0))</f>
        <v>#VALUE!</v>
      </c>
      <c r="T437" t="e">
        <f>Q437*R437*S437</f>
        <v>#VALUE!</v>
      </c>
      <c r="U437" t="str">
        <f>IF(A437="YES",CONCATENATE(G437,"_",'Program Page'!$C$4,'Program Page'!$C$5,"_",D437,"_",E437),"")</f>
        <v/>
      </c>
      <c r="V437" t="str">
        <f>IF(U437="","",CONCATENATE(U437,"_"))</f>
        <v/>
      </c>
      <c r="W437" t="str">
        <f>IF(A437="YES",CONCATENATE("{",'Code List'!$B$4,'Code List'!$D$4,",",'Code List'!$B$5,'Code List'!$D$5,",",'Code List'!$B$6,"""",U437,"""",",",'Code List'!$B$7,'Code List'!$D$7,",",'Code List'!$B$8,'Code List'!$D$8,",",'Code List'!$B$9,'Code List'!$D$9,",",'Code List'!$B$10,'Code List'!$D$10,",",'Code List'!$B$11,"""",V437,"""",",",'Code List'!$B$12,"""",H437,"""",",",'Code List'!$B$13,"""",I437,"""",",",'Code List'!$B$14,"""",J437,"""",",",'Code List'!$B$15,"""",K437,"""",",",'Code List'!$B$16,"""",L437,"""",",",'Code List'!$B$17,"""",M437,"""",",",'Code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37" s="167" t="str">
        <f>IF(A437="YES",CONCATENATE("{",'Code List'!$B$31,"""",U437,"""",",",'Code List'!$B$32,'Code List'!$D$32,",",'Code List'!$B$33,'Code List'!$D$33,",",'Code List'!$B$34,'Code List'!$D$34,",",'Code List'!$B$35,'Code List'!$D$35,",",'Code List'!$B$36,'Code List'!$D$36,",",'Code List'!$B$37,'Code List'!$D$37,",",'Code List'!$B$38,"""",H437,"""",",",'Code List'!$B$39,"""",I437,"""",",",'Code List'!$B$40,"""",J437,"""",",",'Code List'!$B$41,"""",K437,"""",",",'Code List'!$B$42,"""",L437,"""",",",'Code List'!$B$43,"""",M437,"""",",",'Code List'!$B$44,"""",N437,"""",",",'Code List'!$B$45,"""",O437,"""",",",'Code List'!$B$46,"""",P437,"""",",",'Code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List'!$B$59,"""",T437,"""","}"),"")</f>
        <v/>
      </c>
    </row>
    <row r="438" spans="1:25" x14ac:dyDescent="0.25">
      <c r="A438" t="str">
        <f>IF(AND($A436="YES",E436=$D$1,F438&gt;0),"YES","NO")</f>
        <v>NO</v>
      </c>
      <c r="C438" t="s">
        <v>5</v>
      </c>
      <c r="D438" s="12" t="str">
        <f t="shared" ref="D438:D442" si="378">D437</f>
        <v>8F</v>
      </c>
      <c r="E438" t="s">
        <v>188</v>
      </c>
      <c r="F438">
        <f>'Expanded Base Data'!F434</f>
        <v>0</v>
      </c>
      <c r="G438" s="171">
        <f>F436</f>
        <v>0</v>
      </c>
      <c r="H438">
        <f>ROUND(B436+'Slide Measurements'!$D$17,$O$1)</f>
        <v>461.31</v>
      </c>
      <c r="I438">
        <f>ROUND(H438+(F438*'Slide Measurements'!$D$21),$O$1)</f>
        <v>461.31</v>
      </c>
      <c r="J438">
        <f>C436+'Slide Measurements'!$E$17</f>
        <v>292.53000000000003</v>
      </c>
      <c r="K438">
        <f>J438+($I$1*'Slide Measurements'!$E$23-'Slide Measurements'!$E$23)</f>
        <v>294.38000000000005</v>
      </c>
      <c r="L438" s="5" t="str">
        <f>'Expanded Base Data'!$L434</f>
        <v/>
      </c>
      <c r="M438" s="5" t="str">
        <f>'Expanded Base Data'!$K434</f>
        <v/>
      </c>
      <c r="N438">
        <f t="shared" ref="N438:N443" si="379">ROUND((I438-H438),$O$1)</f>
        <v>0</v>
      </c>
      <c r="O438">
        <f t="shared" ref="O438:O443" si="380">ROUND((K438-J438),$O$1)</f>
        <v>1.85</v>
      </c>
      <c r="P438" s="5" t="e">
        <f t="shared" ref="P438:P442" si="381">ROUND((L438-M438),$O$1)</f>
        <v>#VALUE!</v>
      </c>
      <c r="Q438">
        <f>'Code List'!$C$63</f>
        <v>3</v>
      </c>
      <c r="R438">
        <f>F439+'Code List'!$G$63</f>
        <v>2</v>
      </c>
      <c r="S438" t="e">
        <f t="shared" ref="S438:S442" si="382">IF(P438=0,"1",ROUND((P438/$K$1)+$M$1,0))</f>
        <v>#VALUE!</v>
      </c>
      <c r="T438" t="e">
        <f>Q438*R438*S438</f>
        <v>#VALUE!</v>
      </c>
      <c r="U438" t="str">
        <f>IF(A438="YES",CONCATENATE(G438,"_",'Program Page'!$C$4,'Program Page'!$C$5,"_",D438,"_",E438),"")</f>
        <v/>
      </c>
      <c r="V438" t="str">
        <f t="shared" ref="V438:V442" si="383">IF(U438="","",CONCATENATE(U438,"_"))</f>
        <v/>
      </c>
      <c r="W438" t="str">
        <f>IF(A438="YES",CONCATENATE("{",'Code List'!$B$4,'Code List'!$D$4,",",'Code List'!$B$5,'Code List'!$D$5,",",'Code List'!$B$6,"""",U438,"""",",",'Code List'!$B$7,'Code List'!$D$7,",",'Code List'!$B$8,'Code List'!$D$8,",",'Code List'!$B$9,'Code List'!$D$9,",",'Code List'!$B$10,'Code List'!$D$10,",",'Code List'!$B$11,"""",V438,"""",",",'Code List'!$B$12,"""",H438,"""",",",'Code List'!$B$13,"""",I438,"""",",",'Code List'!$B$14,"""",J438,"""",",",'Code List'!$B$15,"""",K438,"""",",",'Code List'!$B$16,"""",L438,"""",",",'Code List'!$B$17,"""",M438,"""",",",'Code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38" s="167" t="str">
        <f>IF(A438="YES",CONCATENATE("{",'Code List'!$B$31,"""",U438,"""",",",'Code List'!$B$32,'Code List'!$D$32,",",'Code List'!$B$33,'Code List'!$D$33,",",'Code List'!$B$34,'Code List'!$D$34,",",'Code List'!$B$35,'Code List'!$D$35,",",'Code List'!$B$36,'Code List'!$D$36,",",'Code List'!$B$37,'Code List'!$D$37,",",'Code List'!$B$38,"""",H438,"""",",",'Code List'!$B$39,"""",I438,"""",",",'Code List'!$B$40,"""",J438,"""",",",'Code List'!$B$41,"""",K438,"""",",",'Code List'!$B$42,"""",L438,"""",",",'Code List'!$B$43,"""",M438,"""",",",'Code List'!$B$44,"""",N438,"""",",",'Code List'!$B$45,"""",O438,"""",",",'Code List'!$B$46,"""",P438,"""",",",'Code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List'!$B$59,"""",T438,"""","}"),"")</f>
        <v/>
      </c>
    </row>
    <row r="439" spans="1:25" x14ac:dyDescent="0.25">
      <c r="A439" t="str">
        <f>IF(AND($A436="YES",E436=$D$1,F439&gt;0),"YES","NO")</f>
        <v>NO</v>
      </c>
      <c r="C439" t="s">
        <v>5</v>
      </c>
      <c r="D439" s="12" t="str">
        <f t="shared" si="378"/>
        <v>8F</v>
      </c>
      <c r="E439" t="s">
        <v>189</v>
      </c>
      <c r="F439">
        <f>'Expanded Base Data'!G434</f>
        <v>0</v>
      </c>
      <c r="G439" s="171">
        <f>F436</f>
        <v>0</v>
      </c>
      <c r="H439">
        <f>ROUND(B436+'Slide Measurements'!$D$17,$O$1)</f>
        <v>461.31</v>
      </c>
      <c r="I439">
        <f>ROUND(H439+(F439*'Slide Measurements'!$D$21),$O$1)</f>
        <v>461.31</v>
      </c>
      <c r="J439">
        <f>K438</f>
        <v>294.38000000000005</v>
      </c>
      <c r="K439">
        <f>J439+($I$1*'Slide Measurements'!$E$23-'Slide Measurements'!$E$23)</f>
        <v>296.23000000000008</v>
      </c>
      <c r="L439" s="5" t="str">
        <f>'Expanded Base Data'!$L434</f>
        <v/>
      </c>
      <c r="M439" s="5" t="str">
        <f>'Expanded Base Data'!$K434</f>
        <v/>
      </c>
      <c r="N439">
        <f t="shared" si="379"/>
        <v>0</v>
      </c>
      <c r="O439">
        <f t="shared" si="380"/>
        <v>1.85</v>
      </c>
      <c r="P439" s="5" t="e">
        <f t="shared" si="381"/>
        <v>#VALUE!</v>
      </c>
      <c r="Q439">
        <f>'Code List'!$C$63</f>
        <v>3</v>
      </c>
      <c r="R439">
        <f>F440+'Code List'!$G$63</f>
        <v>2</v>
      </c>
      <c r="S439" t="e">
        <f t="shared" si="382"/>
        <v>#VALUE!</v>
      </c>
      <c r="T439" t="e">
        <f t="shared" ref="T439:T442" si="384">Q439*R439*S439</f>
        <v>#VALUE!</v>
      </c>
      <c r="U439" t="str">
        <f>IF(A439="YES",CONCATENATE(G439,"_",'Program Page'!$C$4,'Program Page'!$C$5,"_",D439,"_",E439),"")</f>
        <v/>
      </c>
      <c r="V439" t="str">
        <f t="shared" si="383"/>
        <v/>
      </c>
      <c r="W439" t="str">
        <f>IF(A439="YES",CONCATENATE("{",'Code List'!$B$4,'Code List'!$D$4,",",'Code List'!$B$5,'Code List'!$D$5,",",'Code List'!$B$6,"""",U439,"""",",",'Code List'!$B$7,'Code List'!$D$7,",",'Code List'!$B$8,'Code List'!$D$8,",",'Code List'!$B$9,'Code List'!$D$9,",",'Code List'!$B$10,'Code List'!$D$10,",",'Code List'!$B$11,"""",V439,"""",",",'Code List'!$B$12,"""",H439,"""",",",'Code List'!$B$13,"""",I439,"""",",",'Code List'!$B$14,"""",J439,"""",",",'Code List'!$B$15,"""",K439,"""",",",'Code List'!$B$16,"""",L439,"""",",",'Code List'!$B$17,"""",M439,"""",",",'Code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39" s="167" t="str">
        <f>IF(A439="YES",CONCATENATE("{",'Code List'!$B$31,"""",U439,"""",",",'Code List'!$B$32,'Code List'!$D$32,",",'Code List'!$B$33,'Code List'!$D$33,",",'Code List'!$B$34,'Code List'!$D$34,",",'Code List'!$B$35,'Code List'!$D$35,",",'Code List'!$B$36,'Code List'!$D$36,",",'Code List'!$B$37,'Code List'!$D$37,",",'Code List'!$B$38,"""",H439,"""",",",'Code List'!$B$39,"""",I439,"""",",",'Code List'!$B$40,"""",J439,"""",",",'Code List'!$B$41,"""",K439,"""",",",'Code List'!$B$42,"""",L439,"""",",",'Code List'!$B$43,"""",M439,"""",",",'Code List'!$B$44,"""",N439,"""",",",'Code List'!$B$45,"""",O439,"""",",",'Code List'!$B$46,"""",P439,"""",",",'Code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List'!$B$59,"""",T439,"""","}"),"")</f>
        <v/>
      </c>
    </row>
    <row r="440" spans="1:25" x14ac:dyDescent="0.25">
      <c r="A440" t="str">
        <f>IF(AND($A436="YES",E436=$D$1,F440&gt;0),"YES","NO")</f>
        <v>NO</v>
      </c>
      <c r="C440" t="s">
        <v>5</v>
      </c>
      <c r="D440" s="12" t="str">
        <f t="shared" si="378"/>
        <v>8F</v>
      </c>
      <c r="E440" t="s">
        <v>190</v>
      </c>
      <c r="F440">
        <f>'Expanded Base Data'!H434</f>
        <v>0</v>
      </c>
      <c r="G440" s="171">
        <f>F436</f>
        <v>0</v>
      </c>
      <c r="H440">
        <f>ROUND(B436+'Slide Measurements'!$D$17,$O$1)</f>
        <v>461.31</v>
      </c>
      <c r="I440">
        <f>ROUND(H440+(F440*'Slide Measurements'!$D$21),$O$1)</f>
        <v>461.31</v>
      </c>
      <c r="J440">
        <f>K439</f>
        <v>296.23000000000008</v>
      </c>
      <c r="K440">
        <f>J440+($I$1*'Slide Measurements'!$E$23-'Slide Measurements'!$E$23)</f>
        <v>298.0800000000001</v>
      </c>
      <c r="L440" s="5" t="str">
        <f>'Expanded Base Data'!$L434</f>
        <v/>
      </c>
      <c r="M440" s="5" t="str">
        <f>'Expanded Base Data'!$K434</f>
        <v/>
      </c>
      <c r="N440">
        <f t="shared" si="379"/>
        <v>0</v>
      </c>
      <c r="O440">
        <f t="shared" si="380"/>
        <v>1.85</v>
      </c>
      <c r="P440" s="5" t="e">
        <f t="shared" si="381"/>
        <v>#VALUE!</v>
      </c>
      <c r="Q440">
        <f>'Code List'!$C$63</f>
        <v>3</v>
      </c>
      <c r="R440">
        <f>F441+'Code List'!$G$63</f>
        <v>2</v>
      </c>
      <c r="S440" t="e">
        <f t="shared" si="382"/>
        <v>#VALUE!</v>
      </c>
      <c r="T440" t="e">
        <f t="shared" si="384"/>
        <v>#VALUE!</v>
      </c>
      <c r="U440" t="str">
        <f>IF(A440="YES",CONCATENATE(G440,"_",'Program Page'!$C$4,'Program Page'!$C$5,"_",D440,"_",E440),"")</f>
        <v/>
      </c>
      <c r="V440" t="str">
        <f t="shared" si="383"/>
        <v/>
      </c>
      <c r="W440" t="str">
        <f>IF(A440="YES",CONCATENATE("{",'Code List'!$B$4,'Code List'!$D$4,",",'Code List'!$B$5,'Code List'!$D$5,",",'Code List'!$B$6,"""",U440,"""",",",'Code List'!$B$7,'Code List'!$D$7,",",'Code List'!$B$8,'Code List'!$D$8,",",'Code List'!$B$9,'Code List'!$D$9,",",'Code List'!$B$10,'Code List'!$D$10,",",'Code List'!$B$11,"""",V440,"""",",",'Code List'!$B$12,"""",H440,"""",",",'Code List'!$B$13,"""",I440,"""",",",'Code List'!$B$14,"""",J440,"""",",",'Code List'!$B$15,"""",K440,"""",",",'Code List'!$B$16,"""",L440,"""",",",'Code List'!$B$17,"""",M440,"""",",",'Code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40" s="167" t="str">
        <f>IF(A440="YES",CONCATENATE("{",'Code List'!$B$31,"""",U440,"""",",",'Code List'!$B$32,'Code List'!$D$32,",",'Code List'!$B$33,'Code List'!$D$33,",",'Code List'!$B$34,'Code List'!$D$34,",",'Code List'!$B$35,'Code List'!$D$35,",",'Code List'!$B$36,'Code List'!$D$36,",",'Code List'!$B$37,'Code List'!$D$37,",",'Code List'!$B$38,"""",H440,"""",",",'Code List'!$B$39,"""",I440,"""",",",'Code List'!$B$40,"""",J440,"""",",",'Code List'!$B$41,"""",K440,"""",",",'Code List'!$B$42,"""",L440,"""",",",'Code List'!$B$43,"""",M440,"""",",",'Code List'!$B$44,"""",N440,"""",",",'Code List'!$B$45,"""",O440,"""",",",'Code List'!$B$46,"""",P440,"""",",",'Code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List'!$B$59,"""",T440,"""","}"),"")</f>
        <v/>
      </c>
    </row>
    <row r="441" spans="1:25" x14ac:dyDescent="0.25">
      <c r="A441" t="str">
        <f>IF(AND($A436="YES",E436=$D$1,F441&gt;0),"YES","NO")</f>
        <v>NO</v>
      </c>
      <c r="C441" t="s">
        <v>5</v>
      </c>
      <c r="D441" s="12" t="str">
        <f t="shared" si="378"/>
        <v>8F</v>
      </c>
      <c r="E441" t="s">
        <v>191</v>
      </c>
      <c r="F441">
        <f>'Expanded Base Data'!I434</f>
        <v>0</v>
      </c>
      <c r="G441" s="171">
        <f>F436</f>
        <v>0</v>
      </c>
      <c r="H441">
        <f>ROUND(B436+'Slide Measurements'!$D$17,$O$1)</f>
        <v>461.31</v>
      </c>
      <c r="I441">
        <f>ROUND(H441+(F441*'Slide Measurements'!$D$21),$O$1)</f>
        <v>461.31</v>
      </c>
      <c r="J441">
        <f>K440</f>
        <v>298.0800000000001</v>
      </c>
      <c r="K441">
        <f>J441+($I$1*'Slide Measurements'!$E$23-'Slide Measurements'!$E$23)</f>
        <v>299.93000000000012</v>
      </c>
      <c r="L441" s="5" t="str">
        <f>'Expanded Base Data'!$L434</f>
        <v/>
      </c>
      <c r="M441" s="5" t="str">
        <f>'Expanded Base Data'!$K434</f>
        <v/>
      </c>
      <c r="N441">
        <f t="shared" si="379"/>
        <v>0</v>
      </c>
      <c r="O441">
        <f t="shared" si="380"/>
        <v>1.85</v>
      </c>
      <c r="P441" s="5" t="e">
        <f t="shared" si="381"/>
        <v>#VALUE!</v>
      </c>
      <c r="Q441">
        <f>'Code List'!$C$63</f>
        <v>3</v>
      </c>
      <c r="R441">
        <f>F442+'Code List'!$G$63</f>
        <v>2</v>
      </c>
      <c r="S441" t="e">
        <f t="shared" si="382"/>
        <v>#VALUE!</v>
      </c>
      <c r="T441" t="e">
        <f t="shared" si="384"/>
        <v>#VALUE!</v>
      </c>
      <c r="U441" t="str">
        <f>IF(A441="YES",CONCATENATE(G441,"_",'Program Page'!$C$4,'Program Page'!$C$5,"_",D441,"_",E441),"")</f>
        <v/>
      </c>
      <c r="V441" t="str">
        <f t="shared" si="383"/>
        <v/>
      </c>
      <c r="W441" t="str">
        <f>IF(A441="YES",CONCATENATE("{",'Code List'!$B$4,'Code List'!$D$4,",",'Code List'!$B$5,'Code List'!$D$5,",",'Code List'!$B$6,"""",U441,"""",",",'Code List'!$B$7,'Code List'!$D$7,",",'Code List'!$B$8,'Code List'!$D$8,",",'Code List'!$B$9,'Code List'!$D$9,",",'Code List'!$B$10,'Code List'!$D$10,",",'Code List'!$B$11,"""",V441,"""",",",'Code List'!$B$12,"""",H441,"""",",",'Code List'!$B$13,"""",I441,"""",",",'Code List'!$B$14,"""",J441,"""",",",'Code List'!$B$15,"""",K441,"""",",",'Code List'!$B$16,"""",L441,"""",",",'Code List'!$B$17,"""",M441,"""",",",'Code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41" s="167" t="str">
        <f>IF(A441="YES",CONCATENATE("{",'Code List'!$B$31,"""",U441,"""",",",'Code List'!$B$32,'Code List'!$D$32,",",'Code List'!$B$33,'Code List'!$D$33,",",'Code List'!$B$34,'Code List'!$D$34,",",'Code List'!$B$35,'Code List'!$D$35,",",'Code List'!$B$36,'Code List'!$D$36,",",'Code List'!$B$37,'Code List'!$D$37,",",'Code List'!$B$38,"""",H441,"""",",",'Code List'!$B$39,"""",I441,"""",",",'Code List'!$B$40,"""",J441,"""",",",'Code List'!$B$41,"""",K441,"""",",",'Code List'!$B$42,"""",L441,"""",",",'Code List'!$B$43,"""",M441,"""",",",'Code List'!$B$44,"""",N441,"""",",",'Code List'!$B$45,"""",O441,"""",",",'Code List'!$B$46,"""",P441,"""",",",'Code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List'!$B$59,"""",T441,"""","}"),"")</f>
        <v/>
      </c>
    </row>
    <row r="442" spans="1:25" x14ac:dyDescent="0.25">
      <c r="A442" t="str">
        <f>IF(AND($A436="YES",E436=$D$1,F442&gt;0),"YES","NO")</f>
        <v>NO</v>
      </c>
      <c r="C442" t="s">
        <v>5</v>
      </c>
      <c r="D442" s="12" t="str">
        <f t="shared" si="378"/>
        <v>8F</v>
      </c>
      <c r="E442" t="s">
        <v>196</v>
      </c>
      <c r="F442">
        <f>'Expanded Base Data'!J434</f>
        <v>0</v>
      </c>
      <c r="G442" s="171">
        <f>F436</f>
        <v>0</v>
      </c>
      <c r="H442">
        <f>ROUND(B436+'Slide Measurements'!$D$17,$O$1)</f>
        <v>461.31</v>
      </c>
      <c r="I442">
        <f>ROUND(H442+(F442*'Slide Measurements'!$D$21),$O$1)</f>
        <v>461.31</v>
      </c>
      <c r="J442">
        <f>K441</f>
        <v>299.93000000000012</v>
      </c>
      <c r="K442">
        <f>J442+($I$1*'Slide Measurements'!$E$23-'Slide Measurements'!$E$23)</f>
        <v>301.78000000000014</v>
      </c>
      <c r="L442" s="5" t="str">
        <f>'Expanded Base Data'!$L434</f>
        <v/>
      </c>
      <c r="M442" s="5" t="str">
        <f>'Expanded Base Data'!$K434</f>
        <v/>
      </c>
      <c r="N442">
        <f t="shared" si="379"/>
        <v>0</v>
      </c>
      <c r="O442">
        <f t="shared" si="380"/>
        <v>1.85</v>
      </c>
      <c r="P442" s="5" t="e">
        <f t="shared" si="381"/>
        <v>#VALUE!</v>
      </c>
      <c r="Q442">
        <f>'Code List'!$C$63</f>
        <v>3</v>
      </c>
      <c r="R442">
        <f>F443+'Code List'!$G$63</f>
        <v>2</v>
      </c>
      <c r="S442" t="e">
        <f t="shared" si="382"/>
        <v>#VALUE!</v>
      </c>
      <c r="T442" t="e">
        <f t="shared" si="384"/>
        <v>#VALUE!</v>
      </c>
      <c r="U442" t="str">
        <f>IF(A442="YES",CONCATENATE(G442,"_",'Program Page'!$C$4,'Program Page'!$C$5,"_",D442,"_",E442),"")</f>
        <v/>
      </c>
      <c r="V442" t="str">
        <f t="shared" si="383"/>
        <v/>
      </c>
      <c r="W442" t="str">
        <f>IF(A442="YES",CONCATENATE("{",'Code List'!$B$4,'Code List'!$D$4,",",'Code List'!$B$5,'Code List'!$D$5,",",'Code List'!$B$6,"""",U442,"""",",",'Code List'!$B$7,'Code List'!$D$7,",",'Code List'!$B$8,'Code List'!$D$8,",",'Code List'!$B$9,'Code List'!$D$9,",",'Code List'!$B$10,'Code List'!$D$10,",",'Code List'!$B$11,"""",V442,"""",",",'Code List'!$B$12,"""",H442,"""",",",'Code List'!$B$13,"""",I442,"""",",",'Code List'!$B$14,"""",J442,"""",",",'Code List'!$B$15,"""",K442,"""",",",'Code List'!$B$16,"""",L442,"""",",",'Code List'!$B$17,"""",M442,"""",",",'Code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42" s="167" t="str">
        <f>IF(A442="YES",CONCATENATE("{",'Code List'!$B$31,"""",U442,"""",",",'Code List'!$B$32,'Code List'!$D$32,",",'Code List'!$B$33,'Code List'!$D$33,",",'Code List'!$B$34,'Code List'!$D$34,",",'Code List'!$B$35,'Code List'!$D$35,",",'Code List'!$B$36,'Code List'!$D$36,",",'Code List'!$B$37,'Code List'!$D$37,",",'Code List'!$B$38,"""",H442,"""",",",'Code List'!$B$39,"""",I442,"""",",",'Code List'!$B$40,"""",J442,"""",",",'Code List'!$B$41,"""",K442,"""",",",'Code List'!$B$42,"""",L442,"""",",",'Code List'!$B$43,"""",M442,"""",",",'Code List'!$B$44,"""",N442,"""",",",'Code List'!$B$45,"""",O442,"""",",",'Code List'!$B$46,"""",P442,"""",",",'Code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List'!$B$59,"""",T442,"""","}"),"")</f>
        <v/>
      </c>
    </row>
    <row r="443" spans="1:25" x14ac:dyDescent="0.25">
      <c r="A443" s="162" t="str">
        <f>IF(AND($A436="YES",E436=$E$1),"YES","NO")</f>
        <v>NO</v>
      </c>
      <c r="C443" t="s">
        <v>259</v>
      </c>
      <c r="D443" s="12" t="str">
        <f>D442</f>
        <v>8F</v>
      </c>
      <c r="E443" t="s">
        <v>259</v>
      </c>
      <c r="G443" s="171">
        <f>F436</f>
        <v>0</v>
      </c>
      <c r="H443">
        <f>ROUND(B436,$O$1)</f>
        <v>435.91</v>
      </c>
      <c r="I443">
        <f>ROUND(B436+'Slide Measurements'!$D$1,$O$1)</f>
        <v>512.36</v>
      </c>
      <c r="J443">
        <f>C436</f>
        <v>288.23</v>
      </c>
      <c r="K443">
        <f>C436+'Slide Measurements'!$D$2</f>
        <v>315.63</v>
      </c>
      <c r="L443" s="5" t="str">
        <f>'Expanded Base Data'!$L434</f>
        <v/>
      </c>
      <c r="M443" s="5" t="str">
        <f>'Expanded Base Data'!$K434</f>
        <v/>
      </c>
      <c r="N443">
        <f t="shared" si="379"/>
        <v>76.45</v>
      </c>
      <c r="O443">
        <f t="shared" si="380"/>
        <v>27.4</v>
      </c>
      <c r="P443" s="5" t="e">
        <f>ROUND((L443-M443),$O$1)</f>
        <v>#VALUE!</v>
      </c>
      <c r="Q443">
        <f>'Code List'!$C$70</f>
        <v>11</v>
      </c>
      <c r="R443">
        <f>'Code List'!$D$70</f>
        <v>19</v>
      </c>
      <c r="S443" t="e">
        <f>IF(P443=0,"1",ROUND((P443/$K$1)+$M$1,0))</f>
        <v>#VALUE!</v>
      </c>
      <c r="T443" t="e">
        <f>Q443*R443*S443</f>
        <v>#VALUE!</v>
      </c>
      <c r="U443" t="str">
        <f>IF(A443="YES",CONCATENATE(G443,"_",'Program Page'!$C$4,'Program Page'!$C$5,"_",D443,"_",E443),"")</f>
        <v/>
      </c>
      <c r="V443" t="str">
        <f>IF(U443="","",CONCATENATE(U443,"_"))</f>
        <v/>
      </c>
      <c r="W443" t="str">
        <f>IF(A443="YES",CONCATENATE("{",'Code List'!$B$4,'Code List'!$D$4,",",'Code List'!$B$5,'Code List'!$D$5,",",'Code List'!$B$6,"""",U443,"""",",",'Code List'!$B$7,'Code List'!$D$7,",",'Code List'!$B$8,'Code List'!$D$8,",",'Code List'!$B$9,'Code List'!$D$9,",",'Code List'!$B$10,'Code List'!$D$10,",",'Code List'!$B$11,"""",V443,"""",",",'Code List'!$B$12,"""",H443,"""",",",'Code List'!$B$13,"""",I443,"""",",",'Code List'!$B$14,"""",J443,"""",",",'Code List'!$B$15,"""",K443,"""",",",'Code List'!$B$16,"""",L443,"""",",",'Code List'!$B$17,"""",M443,"""",",",'Code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443" s="167" t="str">
        <f>IF(A443="YES",CONCATENATE("{",'Code List'!$B$31,"""",U443,"""",",",'Code List'!$B$32,'Code List'!$D$32,",",'Code List'!$B$33,'Code List'!$D$33,",",'Code List'!$B$34,'Code List'!$D$34,",",'Code List'!$B$35,'Code List'!$D$35,",",'Code List'!$B$36,'Code List'!$D$36,",",'Code List'!$B$37,'Code List'!$D$37,",",'Code List'!$B$38,"""",H443,"""",",",'Code List'!$B$39,"""",I443,"""",",",'Code List'!$B$40,"""",J443,"""",",",'Code List'!$B$41,"""",K443,"""",",",'Code List'!$B$42,"""",L443,"""",",",'Code List'!$B$43,"""",M443,"""",",",'Code List'!$B$44,"""",N443,"""",",",'Code List'!$B$45,"""",O443,"""",",",'Code List'!$B$46,"""",P443,"""",",",'Code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List'!$B$59,"""",T443,"""","}"),"")</f>
        <v/>
      </c>
    </row>
    <row r="444" spans="1:25" ht="18.75" x14ac:dyDescent="0.3">
      <c r="A444" s="35" t="str">
        <f>IF(OR(E444=$C$1,E444=$D$1,E444=$E$1),"YES","NO")</f>
        <v>NO</v>
      </c>
      <c r="B444" s="35">
        <f>'Expanded Base Data'!D442</f>
        <v>522.81000000000006</v>
      </c>
      <c r="C444" s="35">
        <f>'Expanded Base Data'!E442</f>
        <v>288.23</v>
      </c>
      <c r="D444" s="36" t="str">
        <f>'Expanded Base Data'!B442</f>
        <v>8G</v>
      </c>
      <c r="E444" s="35">
        <f>'Expanded Base Data'!C442</f>
        <v>0</v>
      </c>
      <c r="F444" s="35">
        <f>'Expanded Base Data'!M442</f>
        <v>0</v>
      </c>
      <c r="G444" s="170">
        <f>F444</f>
        <v>0</v>
      </c>
      <c r="Y444" s="167" t="str">
        <f>""</f>
        <v/>
      </c>
    </row>
    <row r="445" spans="1:25" x14ac:dyDescent="0.25">
      <c r="A445" t="str">
        <f>IF(AND($A444="YES",E444=$C$1),"YES","NO")</f>
        <v>NO</v>
      </c>
      <c r="C445" t="s">
        <v>6</v>
      </c>
      <c r="D445" s="12" t="str">
        <f>D444</f>
        <v>8G</v>
      </c>
      <c r="E445" t="s">
        <v>6</v>
      </c>
      <c r="F445" t="s">
        <v>198</v>
      </c>
      <c r="G445" s="171">
        <f>F444</f>
        <v>0</v>
      </c>
      <c r="H445">
        <f>IF('Expanded Base Data'!N442="",ROUND(B444+'Slide Measurements'!$D$11,$O$1),B444+'Expanded Base Data'!N442)</f>
        <v>555.80999999999995</v>
      </c>
      <c r="I445">
        <f>IF('Expanded Base Data'!O442="",ROUND(B444+'Slide Measurements'!$D$12,$O$1),B444+'Expanded Base Data'!O442)</f>
        <v>564.41</v>
      </c>
      <c r="J445">
        <f>IF('Expanded Base Data'!P442="",C444+'Slide Measurements'!$E$13,C444+'Expanded Base Data'!P442)</f>
        <v>296.93</v>
      </c>
      <c r="K445">
        <f>IF('Expanded Base Data'!Q442="",C444+'Slide Measurements'!$E$14,C444+'Expanded Base Data'!Q442)</f>
        <v>305.53000000000003</v>
      </c>
      <c r="L445" s="5" t="str">
        <f>'Expanded Base Data'!$L442</f>
        <v/>
      </c>
      <c r="M445" s="5" t="str">
        <f>'Expanded Base Data'!$K442</f>
        <v/>
      </c>
      <c r="N445">
        <f>ROUND((I445-H445),$O$1)</f>
        <v>8.6</v>
      </c>
      <c r="O445">
        <f>ROUND((K445-J445),$O$1)</f>
        <v>8.6</v>
      </c>
      <c r="P445" s="5" t="e">
        <f>ROUND((L445-M445),$O$1)</f>
        <v>#VALUE!</v>
      </c>
      <c r="Q445">
        <f>'Code List'!$C$62</f>
        <v>5</v>
      </c>
      <c r="R445">
        <f>F446+'Code List'!$G$63</f>
        <v>2</v>
      </c>
      <c r="S445" t="e">
        <f>IF(P445=0,"1",ROUND((P445/$K$1)+$M$1,0))</f>
        <v>#VALUE!</v>
      </c>
      <c r="T445" t="e">
        <f>Q445*R445*S445</f>
        <v>#VALUE!</v>
      </c>
      <c r="U445" t="str">
        <f>IF(A445="YES",CONCATENATE(G445,"_",'Program Page'!$C$4,'Program Page'!$C$5,"_",D445,"_",E445),"")</f>
        <v/>
      </c>
      <c r="V445" t="str">
        <f>IF(U445="","",CONCATENATE(U445,"_"))</f>
        <v/>
      </c>
      <c r="W445" t="str">
        <f>IF(A445="YES",CONCATENATE("{",'Code List'!$B$4,'Code List'!$D$4,",",'Code List'!$B$5,'Code List'!$D$5,",",'Code List'!$B$6,"""",U445,"""",",",'Code List'!$B$7,'Code List'!$D$7,",",'Code List'!$B$8,'Code List'!$D$8,",",'Code List'!$B$9,'Code List'!$D$9,",",'Code List'!$B$10,'Code List'!$D$10,",",'Code List'!$B$11,"""",V445,"""",",",'Code List'!$B$12,"""",H445,"""",",",'Code List'!$B$13,"""",I445,"""",",",'Code List'!$B$14,"""",J445,"""",",",'Code List'!$B$15,"""",K445,"""",",",'Code List'!$B$16,"""",L445,"""",",",'Code List'!$B$17,"""",M445,"""",",",'Code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45" s="167" t="str">
        <f>IF(A445="YES",CONCATENATE("{",'Code List'!$B$31,"""",U445,"""",",",'Code List'!$B$32,'Code List'!$D$32,",",'Code List'!$B$33,'Code List'!$D$33,",",'Code List'!$B$34,'Code List'!$D$34,",",'Code List'!$B$35,'Code List'!$D$35,",",'Code List'!$B$36,'Code List'!$D$36,",",'Code List'!$B$37,'Code List'!$D$37,",",'Code List'!$B$38,"""",H445,"""",",",'Code List'!$B$39,"""",I445,"""",",",'Code List'!$B$40,"""",J445,"""",",",'Code List'!$B$41,"""",K445,"""",",",'Code List'!$B$42,"""",L445,"""",",",'Code List'!$B$43,"""",M445,"""",",",'Code List'!$B$44,"""",N445,"""",",",'Code List'!$B$45,"""",O445,"""",",",'Code List'!$B$46,"""",P445,"""",",",'Code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List'!$B$59,"""",T445,"""","}"),"")</f>
        <v/>
      </c>
    </row>
    <row r="446" spans="1:25" x14ac:dyDescent="0.25">
      <c r="A446" t="str">
        <f>IF(AND($A444="YES",E444=$D$1,F446&gt;0),"YES","NO")</f>
        <v>NO</v>
      </c>
      <c r="C446" t="s">
        <v>5</v>
      </c>
      <c r="D446" s="12" t="str">
        <f t="shared" ref="D446:D450" si="385">D445</f>
        <v>8G</v>
      </c>
      <c r="E446" t="s">
        <v>188</v>
      </c>
      <c r="F446">
        <f>'Expanded Base Data'!F442</f>
        <v>0</v>
      </c>
      <c r="G446" s="171">
        <f>F444</f>
        <v>0</v>
      </c>
      <c r="H446">
        <f>ROUND(B444+'Slide Measurements'!$D$17,$O$1)</f>
        <v>548.21</v>
      </c>
      <c r="I446">
        <f>ROUND(H446+(F446*'Slide Measurements'!$D$21),$O$1)</f>
        <v>548.21</v>
      </c>
      <c r="J446">
        <f>C444+'Slide Measurements'!$E$17</f>
        <v>292.53000000000003</v>
      </c>
      <c r="K446">
        <f>J446+($I$1*'Slide Measurements'!$E$23-'Slide Measurements'!$E$23)</f>
        <v>294.38000000000005</v>
      </c>
      <c r="L446" s="5" t="str">
        <f>'Expanded Base Data'!$L442</f>
        <v/>
      </c>
      <c r="M446" s="5" t="str">
        <f>'Expanded Base Data'!$K442</f>
        <v/>
      </c>
      <c r="N446">
        <f t="shared" ref="N446:N451" si="386">ROUND((I446-H446),$O$1)</f>
        <v>0</v>
      </c>
      <c r="O446">
        <f t="shared" ref="O446:O451" si="387">ROUND((K446-J446),$O$1)</f>
        <v>1.85</v>
      </c>
      <c r="P446" s="5" t="e">
        <f t="shared" ref="P446:P450" si="388">ROUND((L446-M446),$O$1)</f>
        <v>#VALUE!</v>
      </c>
      <c r="Q446">
        <f>'Code List'!$C$63</f>
        <v>3</v>
      </c>
      <c r="R446">
        <f>F447+'Code List'!$G$63</f>
        <v>2</v>
      </c>
      <c r="S446" t="e">
        <f t="shared" ref="S446:S450" si="389">IF(P446=0,"1",ROUND((P446/$K$1)+$M$1,0))</f>
        <v>#VALUE!</v>
      </c>
      <c r="T446" t="e">
        <f>Q446*R446*S446</f>
        <v>#VALUE!</v>
      </c>
      <c r="U446" t="str">
        <f>IF(A446="YES",CONCATENATE(G446,"_",'Program Page'!$C$4,'Program Page'!$C$5,"_",D446,"_",E446),"")</f>
        <v/>
      </c>
      <c r="V446" t="str">
        <f t="shared" ref="V446:V450" si="390">IF(U446="","",CONCATENATE(U446,"_"))</f>
        <v/>
      </c>
      <c r="W446" t="str">
        <f>IF(A446="YES",CONCATENATE("{",'Code List'!$B$4,'Code List'!$D$4,",",'Code List'!$B$5,'Code List'!$D$5,",",'Code List'!$B$6,"""",U446,"""",",",'Code List'!$B$7,'Code List'!$D$7,",",'Code List'!$B$8,'Code List'!$D$8,",",'Code List'!$B$9,'Code List'!$D$9,",",'Code List'!$B$10,'Code List'!$D$10,",",'Code List'!$B$11,"""",V446,"""",",",'Code List'!$B$12,"""",H446,"""",",",'Code List'!$B$13,"""",I446,"""",",",'Code List'!$B$14,"""",J446,"""",",",'Code List'!$B$15,"""",K446,"""",",",'Code List'!$B$16,"""",L446,"""",",",'Code List'!$B$17,"""",M446,"""",",",'Code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46" s="167" t="str">
        <f>IF(A446="YES",CONCATENATE("{",'Code List'!$B$31,"""",U446,"""",",",'Code List'!$B$32,'Code List'!$D$32,",",'Code List'!$B$33,'Code List'!$D$33,",",'Code List'!$B$34,'Code List'!$D$34,",",'Code List'!$B$35,'Code List'!$D$35,",",'Code List'!$B$36,'Code List'!$D$36,",",'Code List'!$B$37,'Code List'!$D$37,",",'Code List'!$B$38,"""",H446,"""",",",'Code List'!$B$39,"""",I446,"""",",",'Code List'!$B$40,"""",J446,"""",",",'Code List'!$B$41,"""",K446,"""",",",'Code List'!$B$42,"""",L446,"""",",",'Code List'!$B$43,"""",M446,"""",",",'Code List'!$B$44,"""",N446,"""",",",'Code List'!$B$45,"""",O446,"""",",",'Code List'!$B$46,"""",P446,"""",",",'Code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List'!$B$59,"""",T446,"""","}"),"")</f>
        <v/>
      </c>
    </row>
    <row r="447" spans="1:25" x14ac:dyDescent="0.25">
      <c r="A447" t="str">
        <f>IF(AND($A444="YES",E444=$D$1,F447&gt;0),"YES","NO")</f>
        <v>NO</v>
      </c>
      <c r="C447" t="s">
        <v>5</v>
      </c>
      <c r="D447" s="12" t="str">
        <f t="shared" si="385"/>
        <v>8G</v>
      </c>
      <c r="E447" t="s">
        <v>189</v>
      </c>
      <c r="F447">
        <f>'Expanded Base Data'!G442</f>
        <v>0</v>
      </c>
      <c r="G447" s="171">
        <f>F444</f>
        <v>0</v>
      </c>
      <c r="H447">
        <f>ROUND(B444+'Slide Measurements'!$D$17,$O$1)</f>
        <v>548.21</v>
      </c>
      <c r="I447">
        <f>ROUND(H447+(F447*'Slide Measurements'!$D$21),$O$1)</f>
        <v>548.21</v>
      </c>
      <c r="J447">
        <f>K446</f>
        <v>294.38000000000005</v>
      </c>
      <c r="K447">
        <f>J447+($I$1*'Slide Measurements'!$E$23-'Slide Measurements'!$E$23)</f>
        <v>296.23000000000008</v>
      </c>
      <c r="L447" s="5" t="str">
        <f>'Expanded Base Data'!$L442</f>
        <v/>
      </c>
      <c r="M447" s="5" t="str">
        <f>'Expanded Base Data'!$K442</f>
        <v/>
      </c>
      <c r="N447">
        <f t="shared" si="386"/>
        <v>0</v>
      </c>
      <c r="O447">
        <f t="shared" si="387"/>
        <v>1.85</v>
      </c>
      <c r="P447" s="5" t="e">
        <f t="shared" si="388"/>
        <v>#VALUE!</v>
      </c>
      <c r="Q447">
        <f>'Code List'!$C$63</f>
        <v>3</v>
      </c>
      <c r="R447">
        <f>F448+'Code List'!$G$63</f>
        <v>2</v>
      </c>
      <c r="S447" t="e">
        <f t="shared" si="389"/>
        <v>#VALUE!</v>
      </c>
      <c r="T447" t="e">
        <f t="shared" ref="T447:T450" si="391">Q447*R447*S447</f>
        <v>#VALUE!</v>
      </c>
      <c r="U447" t="str">
        <f>IF(A447="YES",CONCATENATE(G447,"_",'Program Page'!$C$4,'Program Page'!$C$5,"_",D447,"_",E447),"")</f>
        <v/>
      </c>
      <c r="V447" t="str">
        <f t="shared" si="390"/>
        <v/>
      </c>
      <c r="W447" t="str">
        <f>IF(A447="YES",CONCATENATE("{",'Code List'!$B$4,'Code List'!$D$4,",",'Code List'!$B$5,'Code List'!$D$5,",",'Code List'!$B$6,"""",U447,"""",",",'Code List'!$B$7,'Code List'!$D$7,",",'Code List'!$B$8,'Code List'!$D$8,",",'Code List'!$B$9,'Code List'!$D$9,",",'Code List'!$B$10,'Code List'!$D$10,",",'Code List'!$B$11,"""",V447,"""",",",'Code List'!$B$12,"""",H447,"""",",",'Code List'!$B$13,"""",I447,"""",",",'Code List'!$B$14,"""",J447,"""",",",'Code List'!$B$15,"""",K447,"""",",",'Code List'!$B$16,"""",L447,"""",",",'Code List'!$B$17,"""",M447,"""",",",'Code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47" s="167" t="str">
        <f>IF(A447="YES",CONCATENATE("{",'Code List'!$B$31,"""",U447,"""",",",'Code List'!$B$32,'Code List'!$D$32,",",'Code List'!$B$33,'Code List'!$D$33,",",'Code List'!$B$34,'Code List'!$D$34,",",'Code List'!$B$35,'Code List'!$D$35,",",'Code List'!$B$36,'Code List'!$D$36,",",'Code List'!$B$37,'Code List'!$D$37,",",'Code List'!$B$38,"""",H447,"""",",",'Code List'!$B$39,"""",I447,"""",",",'Code List'!$B$40,"""",J447,"""",",",'Code List'!$B$41,"""",K447,"""",",",'Code List'!$B$42,"""",L447,"""",",",'Code List'!$B$43,"""",M447,"""",",",'Code List'!$B$44,"""",N447,"""",",",'Code List'!$B$45,"""",O447,"""",",",'Code List'!$B$46,"""",P447,"""",",",'Code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List'!$B$59,"""",T447,"""","}"),"")</f>
        <v/>
      </c>
    </row>
    <row r="448" spans="1:25" x14ac:dyDescent="0.25">
      <c r="A448" t="str">
        <f>IF(AND($A444="YES",E444=$D$1,F448&gt;0),"YES","NO")</f>
        <v>NO</v>
      </c>
      <c r="C448" t="s">
        <v>5</v>
      </c>
      <c r="D448" s="12" t="str">
        <f t="shared" si="385"/>
        <v>8G</v>
      </c>
      <c r="E448" t="s">
        <v>190</v>
      </c>
      <c r="F448">
        <f>'Expanded Base Data'!H442</f>
        <v>0</v>
      </c>
      <c r="G448" s="171">
        <f>F444</f>
        <v>0</v>
      </c>
      <c r="H448">
        <f>ROUND(B444+'Slide Measurements'!$D$17,$O$1)</f>
        <v>548.21</v>
      </c>
      <c r="I448">
        <f>ROUND(H448+(F448*'Slide Measurements'!$D$21),$O$1)</f>
        <v>548.21</v>
      </c>
      <c r="J448">
        <f>K447</f>
        <v>296.23000000000008</v>
      </c>
      <c r="K448">
        <f>J448+($I$1*'Slide Measurements'!$E$23-'Slide Measurements'!$E$23)</f>
        <v>298.0800000000001</v>
      </c>
      <c r="L448" s="5" t="str">
        <f>'Expanded Base Data'!$L442</f>
        <v/>
      </c>
      <c r="M448" s="5" t="str">
        <f>'Expanded Base Data'!$K442</f>
        <v/>
      </c>
      <c r="N448">
        <f t="shared" si="386"/>
        <v>0</v>
      </c>
      <c r="O448">
        <f t="shared" si="387"/>
        <v>1.85</v>
      </c>
      <c r="P448" s="5" t="e">
        <f t="shared" si="388"/>
        <v>#VALUE!</v>
      </c>
      <c r="Q448">
        <f>'Code List'!$C$63</f>
        <v>3</v>
      </c>
      <c r="R448">
        <f>F449+'Code List'!$G$63</f>
        <v>2</v>
      </c>
      <c r="S448" t="e">
        <f t="shared" si="389"/>
        <v>#VALUE!</v>
      </c>
      <c r="T448" t="e">
        <f t="shared" si="391"/>
        <v>#VALUE!</v>
      </c>
      <c r="U448" t="str">
        <f>IF(A448="YES",CONCATENATE(G448,"_",'Program Page'!$C$4,'Program Page'!$C$5,"_",D448,"_",E448),"")</f>
        <v/>
      </c>
      <c r="V448" t="str">
        <f t="shared" si="390"/>
        <v/>
      </c>
      <c r="W448" t="str">
        <f>IF(A448="YES",CONCATENATE("{",'Code List'!$B$4,'Code List'!$D$4,",",'Code List'!$B$5,'Code List'!$D$5,",",'Code List'!$B$6,"""",U448,"""",",",'Code List'!$B$7,'Code List'!$D$7,",",'Code List'!$B$8,'Code List'!$D$8,",",'Code List'!$B$9,'Code List'!$D$9,",",'Code List'!$B$10,'Code List'!$D$10,",",'Code List'!$B$11,"""",V448,"""",",",'Code List'!$B$12,"""",H448,"""",",",'Code List'!$B$13,"""",I448,"""",",",'Code List'!$B$14,"""",J448,"""",",",'Code List'!$B$15,"""",K448,"""",",",'Code List'!$B$16,"""",L448,"""",",",'Code List'!$B$17,"""",M448,"""",",",'Code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48" s="167" t="str">
        <f>IF(A448="YES",CONCATENATE("{",'Code List'!$B$31,"""",U448,"""",",",'Code List'!$B$32,'Code List'!$D$32,",",'Code List'!$B$33,'Code List'!$D$33,",",'Code List'!$B$34,'Code List'!$D$34,",",'Code List'!$B$35,'Code List'!$D$35,",",'Code List'!$B$36,'Code List'!$D$36,",",'Code List'!$B$37,'Code List'!$D$37,",",'Code List'!$B$38,"""",H448,"""",",",'Code List'!$B$39,"""",I448,"""",",",'Code List'!$B$40,"""",J448,"""",",",'Code List'!$B$41,"""",K448,"""",",",'Code List'!$B$42,"""",L448,"""",",",'Code List'!$B$43,"""",M448,"""",",",'Code List'!$B$44,"""",N448,"""",",",'Code List'!$B$45,"""",O448,"""",",",'Code List'!$B$46,"""",P448,"""",",",'Code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List'!$B$59,"""",T448,"""","}"),"")</f>
        <v/>
      </c>
    </row>
    <row r="449" spans="1:25" x14ac:dyDescent="0.25">
      <c r="A449" t="str">
        <f>IF(AND($A444="YES",E444=$D$1,F449&gt;0),"YES","NO")</f>
        <v>NO</v>
      </c>
      <c r="C449" t="s">
        <v>5</v>
      </c>
      <c r="D449" s="12" t="str">
        <f t="shared" si="385"/>
        <v>8G</v>
      </c>
      <c r="E449" t="s">
        <v>191</v>
      </c>
      <c r="F449">
        <f>'Expanded Base Data'!I442</f>
        <v>0</v>
      </c>
      <c r="G449" s="171">
        <f>F444</f>
        <v>0</v>
      </c>
      <c r="H449">
        <f>ROUND(B444+'Slide Measurements'!$D$17,$O$1)</f>
        <v>548.21</v>
      </c>
      <c r="I449">
        <f>ROUND(H449+(F449*'Slide Measurements'!$D$21),$O$1)</f>
        <v>548.21</v>
      </c>
      <c r="J449">
        <f>K448</f>
        <v>298.0800000000001</v>
      </c>
      <c r="K449">
        <f>J449+($I$1*'Slide Measurements'!$E$23-'Slide Measurements'!$E$23)</f>
        <v>299.93000000000012</v>
      </c>
      <c r="L449" s="5" t="str">
        <f>'Expanded Base Data'!$L442</f>
        <v/>
      </c>
      <c r="M449" s="5" t="str">
        <f>'Expanded Base Data'!$K442</f>
        <v/>
      </c>
      <c r="N449">
        <f t="shared" si="386"/>
        <v>0</v>
      </c>
      <c r="O449">
        <f t="shared" si="387"/>
        <v>1.85</v>
      </c>
      <c r="P449" s="5" t="e">
        <f t="shared" si="388"/>
        <v>#VALUE!</v>
      </c>
      <c r="Q449">
        <f>'Code List'!$C$63</f>
        <v>3</v>
      </c>
      <c r="R449">
        <f>F450+'Code List'!$G$63</f>
        <v>2</v>
      </c>
      <c r="S449" t="e">
        <f t="shared" si="389"/>
        <v>#VALUE!</v>
      </c>
      <c r="T449" t="e">
        <f t="shared" si="391"/>
        <v>#VALUE!</v>
      </c>
      <c r="U449" t="str">
        <f>IF(A449="YES",CONCATENATE(G449,"_",'Program Page'!$C$4,'Program Page'!$C$5,"_",D449,"_",E449),"")</f>
        <v/>
      </c>
      <c r="V449" t="str">
        <f t="shared" si="390"/>
        <v/>
      </c>
      <c r="W449" t="str">
        <f>IF(A449="YES",CONCATENATE("{",'Code List'!$B$4,'Code List'!$D$4,",",'Code List'!$B$5,'Code List'!$D$5,",",'Code List'!$B$6,"""",U449,"""",",",'Code List'!$B$7,'Code List'!$D$7,",",'Code List'!$B$8,'Code List'!$D$8,",",'Code List'!$B$9,'Code List'!$D$9,",",'Code List'!$B$10,'Code List'!$D$10,",",'Code List'!$B$11,"""",V449,"""",",",'Code List'!$B$12,"""",H449,"""",",",'Code List'!$B$13,"""",I449,"""",",",'Code List'!$B$14,"""",J449,"""",",",'Code List'!$B$15,"""",K449,"""",",",'Code List'!$B$16,"""",L449,"""",",",'Code List'!$B$17,"""",M449,"""",",",'Code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49" s="167" t="str">
        <f>IF(A449="YES",CONCATENATE("{",'Code List'!$B$31,"""",U449,"""",",",'Code List'!$B$32,'Code List'!$D$32,",",'Code List'!$B$33,'Code List'!$D$33,",",'Code List'!$B$34,'Code List'!$D$34,",",'Code List'!$B$35,'Code List'!$D$35,",",'Code List'!$B$36,'Code List'!$D$36,",",'Code List'!$B$37,'Code List'!$D$37,",",'Code List'!$B$38,"""",H449,"""",",",'Code List'!$B$39,"""",I449,"""",",",'Code List'!$B$40,"""",J449,"""",",",'Code List'!$B$41,"""",K449,"""",",",'Code List'!$B$42,"""",L449,"""",",",'Code List'!$B$43,"""",M449,"""",",",'Code List'!$B$44,"""",N449,"""",",",'Code List'!$B$45,"""",O449,"""",",",'Code List'!$B$46,"""",P449,"""",",",'Code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List'!$B$59,"""",T449,"""","}"),"")</f>
        <v/>
      </c>
    </row>
    <row r="450" spans="1:25" x14ac:dyDescent="0.25">
      <c r="A450" t="str">
        <f>IF(AND($A444="YES",E444=$D$1,F450&gt;0),"YES","NO")</f>
        <v>NO</v>
      </c>
      <c r="C450" t="s">
        <v>5</v>
      </c>
      <c r="D450" s="12" t="str">
        <f t="shared" si="385"/>
        <v>8G</v>
      </c>
      <c r="E450" t="s">
        <v>196</v>
      </c>
      <c r="F450">
        <f>'Expanded Base Data'!J442</f>
        <v>0</v>
      </c>
      <c r="G450" s="171">
        <f>F444</f>
        <v>0</v>
      </c>
      <c r="H450">
        <f>ROUND(B444+'Slide Measurements'!$D$17,$O$1)</f>
        <v>548.21</v>
      </c>
      <c r="I450">
        <f>ROUND(H450+(F450*'Slide Measurements'!$D$21),$O$1)</f>
        <v>548.21</v>
      </c>
      <c r="J450">
        <f>K449</f>
        <v>299.93000000000012</v>
      </c>
      <c r="K450">
        <f>J450+($I$1*'Slide Measurements'!$E$23-'Slide Measurements'!$E$23)</f>
        <v>301.78000000000014</v>
      </c>
      <c r="L450" s="5" t="str">
        <f>'Expanded Base Data'!$L442</f>
        <v/>
      </c>
      <c r="M450" s="5" t="str">
        <f>'Expanded Base Data'!$K442</f>
        <v/>
      </c>
      <c r="N450">
        <f t="shared" si="386"/>
        <v>0</v>
      </c>
      <c r="O450">
        <f t="shared" si="387"/>
        <v>1.85</v>
      </c>
      <c r="P450" s="5" t="e">
        <f t="shared" si="388"/>
        <v>#VALUE!</v>
      </c>
      <c r="Q450">
        <f>'Code List'!$C$63</f>
        <v>3</v>
      </c>
      <c r="R450">
        <f>F451+'Code List'!$G$63</f>
        <v>2</v>
      </c>
      <c r="S450" t="e">
        <f t="shared" si="389"/>
        <v>#VALUE!</v>
      </c>
      <c r="T450" t="e">
        <f t="shared" si="391"/>
        <v>#VALUE!</v>
      </c>
      <c r="U450" t="str">
        <f>IF(A450="YES",CONCATENATE(G450,"_",'Program Page'!$C$4,'Program Page'!$C$5,"_",D450,"_",E450),"")</f>
        <v/>
      </c>
      <c r="V450" t="str">
        <f t="shared" si="390"/>
        <v/>
      </c>
      <c r="W450" t="str">
        <f>IF(A450="YES",CONCATENATE("{",'Code List'!$B$4,'Code List'!$D$4,",",'Code List'!$B$5,'Code List'!$D$5,",",'Code List'!$B$6,"""",U450,"""",",",'Code List'!$B$7,'Code List'!$D$7,",",'Code List'!$B$8,'Code List'!$D$8,",",'Code List'!$B$9,'Code List'!$D$9,",",'Code List'!$B$10,'Code List'!$D$10,",",'Code List'!$B$11,"""",V450,"""",",",'Code List'!$B$12,"""",H450,"""",",",'Code List'!$B$13,"""",I450,"""",",",'Code List'!$B$14,"""",J450,"""",",",'Code List'!$B$15,"""",K450,"""",",",'Code List'!$B$16,"""",L450,"""",",",'Code List'!$B$17,"""",M450,"""",",",'Code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50" s="167" t="str">
        <f>IF(A450="YES",CONCATENATE("{",'Code List'!$B$31,"""",U450,"""",",",'Code List'!$B$32,'Code List'!$D$32,",",'Code List'!$B$33,'Code List'!$D$33,",",'Code List'!$B$34,'Code List'!$D$34,",",'Code List'!$B$35,'Code List'!$D$35,",",'Code List'!$B$36,'Code List'!$D$36,",",'Code List'!$B$37,'Code List'!$D$37,",",'Code List'!$B$38,"""",H450,"""",",",'Code List'!$B$39,"""",I450,"""",",",'Code List'!$B$40,"""",J450,"""",",",'Code List'!$B$41,"""",K450,"""",",",'Code List'!$B$42,"""",L450,"""",",",'Code List'!$B$43,"""",M450,"""",",",'Code List'!$B$44,"""",N450,"""",",",'Code List'!$B$45,"""",O450,"""",",",'Code List'!$B$46,"""",P450,"""",",",'Code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List'!$B$59,"""",T450,"""","}"),"")</f>
        <v/>
      </c>
    </row>
    <row r="451" spans="1:25" x14ac:dyDescent="0.25">
      <c r="A451" s="162" t="str">
        <f>IF(AND($A444="YES",E444=$E$1),"YES","NO")</f>
        <v>NO</v>
      </c>
      <c r="C451" t="s">
        <v>259</v>
      </c>
      <c r="D451" s="12" t="str">
        <f>D450</f>
        <v>8G</v>
      </c>
      <c r="E451" t="s">
        <v>259</v>
      </c>
      <c r="G451" s="171">
        <f>F444</f>
        <v>0</v>
      </c>
      <c r="H451">
        <f>ROUND(B444,$O$1)</f>
        <v>522.80999999999995</v>
      </c>
      <c r="I451">
        <f>ROUND(B444+'Slide Measurements'!$D$1,$O$1)</f>
        <v>599.26</v>
      </c>
      <c r="J451">
        <f>C444</f>
        <v>288.23</v>
      </c>
      <c r="K451">
        <f>C444+'Slide Measurements'!$D$2</f>
        <v>315.63</v>
      </c>
      <c r="L451" s="5" t="str">
        <f>'Expanded Base Data'!$L442</f>
        <v/>
      </c>
      <c r="M451" s="5" t="str">
        <f>'Expanded Base Data'!$K442</f>
        <v/>
      </c>
      <c r="N451">
        <f t="shared" si="386"/>
        <v>76.45</v>
      </c>
      <c r="O451">
        <f t="shared" si="387"/>
        <v>27.4</v>
      </c>
      <c r="P451" s="5" t="e">
        <f>ROUND((L451-M451),$O$1)</f>
        <v>#VALUE!</v>
      </c>
      <c r="Q451">
        <f>'Code List'!$C$70</f>
        <v>11</v>
      </c>
      <c r="R451">
        <f>'Code List'!$D$70</f>
        <v>19</v>
      </c>
      <c r="S451" t="e">
        <f>IF(P451=0,"1",ROUND((P451/$K$1)+$M$1,0))</f>
        <v>#VALUE!</v>
      </c>
      <c r="T451" t="e">
        <f>Q451*R451*S451</f>
        <v>#VALUE!</v>
      </c>
      <c r="U451" t="str">
        <f>IF(A451="YES",CONCATENATE(G451,"_",'Program Page'!$C$4,'Program Page'!$C$5,"_",D451,"_",E451),"")</f>
        <v/>
      </c>
      <c r="V451" t="str">
        <f>IF(U451="","",CONCATENATE(U451,"_"))</f>
        <v/>
      </c>
      <c r="W451" t="str">
        <f>IF(A451="YES",CONCATENATE("{",'Code List'!$B$4,'Code List'!$D$4,",",'Code List'!$B$5,'Code List'!$D$5,",",'Code List'!$B$6,"""",U451,"""",",",'Code List'!$B$7,'Code List'!$D$7,",",'Code List'!$B$8,'Code List'!$D$8,",",'Code List'!$B$9,'Code List'!$D$9,",",'Code List'!$B$10,'Code List'!$D$10,",",'Code List'!$B$11,"""",V451,"""",",",'Code List'!$B$12,"""",H451,"""",",",'Code List'!$B$13,"""",I451,"""",",",'Code List'!$B$14,"""",J451,"""",",",'Code List'!$B$15,"""",K451,"""",",",'Code List'!$B$16,"""",L451,"""",",",'Code List'!$B$17,"""",M451,"""",",",'Code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451" s="167" t="str">
        <f>IF(A451="YES",CONCATENATE("{",'Code List'!$B$31,"""",U451,"""",",",'Code List'!$B$32,'Code List'!$D$32,",",'Code List'!$B$33,'Code List'!$D$33,",",'Code List'!$B$34,'Code List'!$D$34,",",'Code List'!$B$35,'Code List'!$D$35,",",'Code List'!$B$36,'Code List'!$D$36,",",'Code List'!$B$37,'Code List'!$D$37,",",'Code List'!$B$38,"""",H451,"""",",",'Code List'!$B$39,"""",I451,"""",",",'Code List'!$B$40,"""",J451,"""",",",'Code List'!$B$41,"""",K451,"""",",",'Code List'!$B$42,"""",L451,"""",",",'Code List'!$B$43,"""",M451,"""",",",'Code List'!$B$44,"""",N451,"""",",",'Code List'!$B$45,"""",O451,"""",",",'Code List'!$B$46,"""",P451,"""",",",'Code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List'!$B$59,"""",T451,"""","}"),"")</f>
        <v/>
      </c>
    </row>
    <row r="452" spans="1:25" ht="18.75" x14ac:dyDescent="0.3">
      <c r="A452" s="35" t="str">
        <f>IF(OR(E452=$C$1,E452=$D$1,E452=$E$1),"YES","NO")</f>
        <v>NO</v>
      </c>
      <c r="B452" s="35">
        <f>'Expanded Base Data'!D450</f>
        <v>1.71</v>
      </c>
      <c r="C452" s="35">
        <f>'Expanded Base Data'!E450</f>
        <v>324.72000000000003</v>
      </c>
      <c r="D452" s="36" t="str">
        <f>'Expanded Base Data'!B450</f>
        <v>9A</v>
      </c>
      <c r="E452" s="35">
        <f>'Expanded Base Data'!C450</f>
        <v>0</v>
      </c>
      <c r="F452" s="35">
        <f>'Expanded Base Data'!M450</f>
        <v>0</v>
      </c>
      <c r="G452" s="170">
        <f>F452</f>
        <v>0</v>
      </c>
      <c r="Y452" s="167" t="str">
        <f>""</f>
        <v/>
      </c>
    </row>
    <row r="453" spans="1:25" x14ac:dyDescent="0.25">
      <c r="A453" t="str">
        <f>IF(AND($A452="YES",E452=$C$1),"YES","NO")</f>
        <v>NO</v>
      </c>
      <c r="C453" t="s">
        <v>6</v>
      </c>
      <c r="D453" s="12" t="str">
        <f>D452</f>
        <v>9A</v>
      </c>
      <c r="E453" t="s">
        <v>6</v>
      </c>
      <c r="F453" t="s">
        <v>198</v>
      </c>
      <c r="G453" s="171">
        <f>F452</f>
        <v>0</v>
      </c>
      <c r="H453">
        <f>IF('Expanded Base Data'!N450="",ROUND(B452+'Slide Measurements'!$D$11,$O$1),B452+'Expanded Base Data'!N450)</f>
        <v>34.71</v>
      </c>
      <c r="I453">
        <f>IF('Expanded Base Data'!O450="",ROUND(B452+'Slide Measurements'!$D$12,$O$1),B452+'Expanded Base Data'!O450)</f>
        <v>43.31</v>
      </c>
      <c r="J453">
        <f>IF('Expanded Base Data'!P450="",C452+'Slide Measurements'!$E$13,C452+'Expanded Base Data'!P450)</f>
        <v>333.42</v>
      </c>
      <c r="K453">
        <f>IF('Expanded Base Data'!Q450="",C452+'Slide Measurements'!$E$14,C452+'Expanded Base Data'!Q450)</f>
        <v>342.02000000000004</v>
      </c>
      <c r="L453" s="5" t="str">
        <f>'Expanded Base Data'!$L450</f>
        <v/>
      </c>
      <c r="M453" s="5" t="str">
        <f>'Expanded Base Data'!$K450</f>
        <v/>
      </c>
      <c r="N453">
        <f>ROUND((I453-H453),$O$1)</f>
        <v>8.6</v>
      </c>
      <c r="O453">
        <f>ROUND((K453-J453),$O$1)</f>
        <v>8.6</v>
      </c>
      <c r="P453" s="5" t="e">
        <f>ROUND((L453-M453),$O$1)</f>
        <v>#VALUE!</v>
      </c>
      <c r="Q453">
        <f>'Code List'!$C$62</f>
        <v>5</v>
      </c>
      <c r="R453">
        <f>F454+'Code List'!$G$63</f>
        <v>2</v>
      </c>
      <c r="S453" t="e">
        <f>IF(P453=0,"1",ROUND((P453/$K$1)+$M$1,0))</f>
        <v>#VALUE!</v>
      </c>
      <c r="T453" t="e">
        <f>Q453*R453*S453</f>
        <v>#VALUE!</v>
      </c>
      <c r="U453" t="str">
        <f>IF(A453="YES",CONCATENATE(G453,"_",'Program Page'!$C$4,'Program Page'!$C$5,"_",D453,"_",E453),"")</f>
        <v/>
      </c>
      <c r="V453" t="str">
        <f>IF(U453="","",CONCATENATE(U453,"_"))</f>
        <v/>
      </c>
      <c r="W453" t="str">
        <f>IF(A453="YES",CONCATENATE("{",'Code List'!$B$4,'Code List'!$D$4,",",'Code List'!$B$5,'Code List'!$D$5,",",'Code List'!$B$6,"""",U453,"""",",",'Code List'!$B$7,'Code List'!$D$7,",",'Code List'!$B$8,'Code List'!$D$8,",",'Code List'!$B$9,'Code List'!$D$9,",",'Code List'!$B$10,'Code List'!$D$10,",",'Code List'!$B$11,"""",V453,"""",",",'Code List'!$B$12,"""",H453,"""",",",'Code List'!$B$13,"""",I453,"""",",",'Code List'!$B$14,"""",J453,"""",",",'Code List'!$B$15,"""",K453,"""",",",'Code List'!$B$16,"""",L453,"""",",",'Code List'!$B$17,"""",M453,"""",",",'Code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53" s="167" t="str">
        <f>IF(A453="YES",CONCATENATE("{",'Code List'!$B$31,"""",U453,"""",",",'Code List'!$B$32,'Code List'!$D$32,",",'Code List'!$B$33,'Code List'!$D$33,",",'Code List'!$B$34,'Code List'!$D$34,",",'Code List'!$B$35,'Code List'!$D$35,",",'Code List'!$B$36,'Code List'!$D$36,",",'Code List'!$B$37,'Code List'!$D$37,",",'Code List'!$B$38,"""",H453,"""",",",'Code List'!$B$39,"""",I453,"""",",",'Code List'!$B$40,"""",J453,"""",",",'Code List'!$B$41,"""",K453,"""",",",'Code List'!$B$42,"""",L453,"""",",",'Code List'!$B$43,"""",M453,"""",",",'Code List'!$B$44,"""",N453,"""",",",'Code List'!$B$45,"""",O453,"""",",",'Code List'!$B$46,"""",P453,"""",",",'Code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List'!$B$59,"""",T453,"""","}"),"")</f>
        <v/>
      </c>
    </row>
    <row r="454" spans="1:25" x14ac:dyDescent="0.25">
      <c r="A454" t="str">
        <f>IF(AND($A452="YES",E452=$D$1,F454&gt;0),"YES","NO")</f>
        <v>NO</v>
      </c>
      <c r="C454" t="s">
        <v>5</v>
      </c>
      <c r="D454" s="12" t="str">
        <f t="shared" ref="D454:D458" si="392">D453</f>
        <v>9A</v>
      </c>
      <c r="E454" t="s">
        <v>188</v>
      </c>
      <c r="F454">
        <f>'Expanded Base Data'!F450</f>
        <v>0</v>
      </c>
      <c r="G454" s="171">
        <f>F452</f>
        <v>0</v>
      </c>
      <c r="H454">
        <f>ROUND(B452+'Slide Measurements'!$D$17,$O$1)</f>
        <v>27.11</v>
      </c>
      <c r="I454">
        <f>ROUND(H454+(F454*'Slide Measurements'!$D$21),$O$1)</f>
        <v>27.11</v>
      </c>
      <c r="J454">
        <f>C452+'Slide Measurements'!$E$17</f>
        <v>329.02000000000004</v>
      </c>
      <c r="K454">
        <f>J454+($I$1*'Slide Measurements'!$E$23-'Slide Measurements'!$E$23)</f>
        <v>330.87000000000006</v>
      </c>
      <c r="L454" s="5" t="str">
        <f>'Expanded Base Data'!$L450</f>
        <v/>
      </c>
      <c r="M454" s="5" t="str">
        <f>'Expanded Base Data'!$K450</f>
        <v/>
      </c>
      <c r="N454">
        <f t="shared" ref="N454:N459" si="393">ROUND((I454-H454),$O$1)</f>
        <v>0</v>
      </c>
      <c r="O454">
        <f t="shared" ref="O454:O459" si="394">ROUND((K454-J454),$O$1)</f>
        <v>1.85</v>
      </c>
      <c r="P454" s="5" t="e">
        <f t="shared" ref="P454:P458" si="395">ROUND((L454-M454),$O$1)</f>
        <v>#VALUE!</v>
      </c>
      <c r="Q454">
        <f>'Code List'!$C$63</f>
        <v>3</v>
      </c>
      <c r="R454">
        <f>F455+'Code List'!$G$63</f>
        <v>2</v>
      </c>
      <c r="S454" t="e">
        <f t="shared" ref="S454:S458" si="396">IF(P454=0,"1",ROUND((P454/$K$1)+$M$1,0))</f>
        <v>#VALUE!</v>
      </c>
      <c r="T454" t="e">
        <f>Q454*R454*S454</f>
        <v>#VALUE!</v>
      </c>
      <c r="U454" t="str">
        <f>IF(A454="YES",CONCATENATE(G454,"_",'Program Page'!$C$4,'Program Page'!$C$5,"_",D454,"_",E454),"")</f>
        <v/>
      </c>
      <c r="V454" t="str">
        <f t="shared" ref="V454:V458" si="397">IF(U454="","",CONCATENATE(U454,"_"))</f>
        <v/>
      </c>
      <c r="W454" t="str">
        <f>IF(A454="YES",CONCATENATE("{",'Code List'!$B$4,'Code List'!$D$4,",",'Code List'!$B$5,'Code List'!$D$5,",",'Code List'!$B$6,"""",U454,"""",",",'Code List'!$B$7,'Code List'!$D$7,",",'Code List'!$B$8,'Code List'!$D$8,",",'Code List'!$B$9,'Code List'!$D$9,",",'Code List'!$B$10,'Code List'!$D$10,",",'Code List'!$B$11,"""",V454,"""",",",'Code List'!$B$12,"""",H454,"""",",",'Code List'!$B$13,"""",I454,"""",",",'Code List'!$B$14,"""",J454,"""",",",'Code List'!$B$15,"""",K454,"""",",",'Code List'!$B$16,"""",L454,"""",",",'Code List'!$B$17,"""",M454,"""",",",'Code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54" s="167" t="str">
        <f>IF(A454="YES",CONCATENATE("{",'Code List'!$B$31,"""",U454,"""",",",'Code List'!$B$32,'Code List'!$D$32,",",'Code List'!$B$33,'Code List'!$D$33,",",'Code List'!$B$34,'Code List'!$D$34,",",'Code List'!$B$35,'Code List'!$D$35,",",'Code List'!$B$36,'Code List'!$D$36,",",'Code List'!$B$37,'Code List'!$D$37,",",'Code List'!$B$38,"""",H454,"""",",",'Code List'!$B$39,"""",I454,"""",",",'Code List'!$B$40,"""",J454,"""",",",'Code List'!$B$41,"""",K454,"""",",",'Code List'!$B$42,"""",L454,"""",",",'Code List'!$B$43,"""",M454,"""",",",'Code List'!$B$44,"""",N454,"""",",",'Code List'!$B$45,"""",O454,"""",",",'Code List'!$B$46,"""",P454,"""",",",'Code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List'!$B$59,"""",T454,"""","}"),"")</f>
        <v/>
      </c>
    </row>
    <row r="455" spans="1:25" x14ac:dyDescent="0.25">
      <c r="A455" t="str">
        <f>IF(AND($A452="YES",E452=$D$1,F455&gt;0),"YES","NO")</f>
        <v>NO</v>
      </c>
      <c r="C455" t="s">
        <v>5</v>
      </c>
      <c r="D455" s="12" t="str">
        <f t="shared" si="392"/>
        <v>9A</v>
      </c>
      <c r="E455" t="s">
        <v>189</v>
      </c>
      <c r="F455">
        <f>'Expanded Base Data'!G450</f>
        <v>0</v>
      </c>
      <c r="G455" s="171">
        <f>F452</f>
        <v>0</v>
      </c>
      <c r="H455">
        <f>ROUND(B452+'Slide Measurements'!$D$17,$O$1)</f>
        <v>27.11</v>
      </c>
      <c r="I455">
        <f>ROUND(H455+(F455*'Slide Measurements'!$D$21),$O$1)</f>
        <v>27.11</v>
      </c>
      <c r="J455">
        <f>K454</f>
        <v>330.87000000000006</v>
      </c>
      <c r="K455">
        <f>J455+($I$1*'Slide Measurements'!$E$23-'Slide Measurements'!$E$23)</f>
        <v>332.72000000000008</v>
      </c>
      <c r="L455" s="5" t="str">
        <f>'Expanded Base Data'!$L450</f>
        <v/>
      </c>
      <c r="M455" s="5" t="str">
        <f>'Expanded Base Data'!$K450</f>
        <v/>
      </c>
      <c r="N455">
        <f t="shared" si="393"/>
        <v>0</v>
      </c>
      <c r="O455">
        <f t="shared" si="394"/>
        <v>1.85</v>
      </c>
      <c r="P455" s="5" t="e">
        <f t="shared" si="395"/>
        <v>#VALUE!</v>
      </c>
      <c r="Q455">
        <f>'Code List'!$C$63</f>
        <v>3</v>
      </c>
      <c r="R455">
        <f>F456+'Code List'!$G$63</f>
        <v>2</v>
      </c>
      <c r="S455" t="e">
        <f t="shared" si="396"/>
        <v>#VALUE!</v>
      </c>
      <c r="T455" t="e">
        <f t="shared" ref="T455:T458" si="398">Q455*R455*S455</f>
        <v>#VALUE!</v>
      </c>
      <c r="U455" t="str">
        <f>IF(A455="YES",CONCATENATE(G455,"_",'Program Page'!$C$4,'Program Page'!$C$5,"_",D455,"_",E455),"")</f>
        <v/>
      </c>
      <c r="V455" t="str">
        <f t="shared" si="397"/>
        <v/>
      </c>
      <c r="W455" t="str">
        <f>IF(A455="YES",CONCATENATE("{",'Code List'!$B$4,'Code List'!$D$4,",",'Code List'!$B$5,'Code List'!$D$5,",",'Code List'!$B$6,"""",U455,"""",",",'Code List'!$B$7,'Code List'!$D$7,",",'Code List'!$B$8,'Code List'!$D$8,",",'Code List'!$B$9,'Code List'!$D$9,",",'Code List'!$B$10,'Code List'!$D$10,",",'Code List'!$B$11,"""",V455,"""",",",'Code List'!$B$12,"""",H455,"""",",",'Code List'!$B$13,"""",I455,"""",",",'Code List'!$B$14,"""",J455,"""",",",'Code List'!$B$15,"""",K455,"""",",",'Code List'!$B$16,"""",L455,"""",",",'Code List'!$B$17,"""",M455,"""",",",'Code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55" s="167" t="str">
        <f>IF(A455="YES",CONCATENATE("{",'Code List'!$B$31,"""",U455,"""",",",'Code List'!$B$32,'Code List'!$D$32,",",'Code List'!$B$33,'Code List'!$D$33,",",'Code List'!$B$34,'Code List'!$D$34,",",'Code List'!$B$35,'Code List'!$D$35,",",'Code List'!$B$36,'Code List'!$D$36,",",'Code List'!$B$37,'Code List'!$D$37,",",'Code List'!$B$38,"""",H455,"""",",",'Code List'!$B$39,"""",I455,"""",",",'Code List'!$B$40,"""",J455,"""",",",'Code List'!$B$41,"""",K455,"""",",",'Code List'!$B$42,"""",L455,"""",",",'Code List'!$B$43,"""",M455,"""",",",'Code List'!$B$44,"""",N455,"""",",",'Code List'!$B$45,"""",O455,"""",",",'Code List'!$B$46,"""",P455,"""",",",'Code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List'!$B$59,"""",T455,"""","}"),"")</f>
        <v/>
      </c>
    </row>
    <row r="456" spans="1:25" x14ac:dyDescent="0.25">
      <c r="A456" t="str">
        <f>IF(AND($A452="YES",E452=$D$1,F456&gt;0),"YES","NO")</f>
        <v>NO</v>
      </c>
      <c r="C456" t="s">
        <v>5</v>
      </c>
      <c r="D456" s="12" t="str">
        <f t="shared" si="392"/>
        <v>9A</v>
      </c>
      <c r="E456" t="s">
        <v>190</v>
      </c>
      <c r="F456">
        <f>'Expanded Base Data'!H450</f>
        <v>0</v>
      </c>
      <c r="G456" s="171">
        <f>F452</f>
        <v>0</v>
      </c>
      <c r="H456">
        <f>ROUND(B452+'Slide Measurements'!$D$17,$O$1)</f>
        <v>27.11</v>
      </c>
      <c r="I456">
        <f>ROUND(H456+(F456*'Slide Measurements'!$D$21),$O$1)</f>
        <v>27.11</v>
      </c>
      <c r="J456">
        <f>K455</f>
        <v>332.72000000000008</v>
      </c>
      <c r="K456">
        <f>J456+($I$1*'Slide Measurements'!$E$23-'Slide Measurements'!$E$23)</f>
        <v>334.57000000000011</v>
      </c>
      <c r="L456" s="5" t="str">
        <f>'Expanded Base Data'!$L450</f>
        <v/>
      </c>
      <c r="M456" s="5" t="str">
        <f>'Expanded Base Data'!$K450</f>
        <v/>
      </c>
      <c r="N456">
        <f t="shared" si="393"/>
        <v>0</v>
      </c>
      <c r="O456">
        <f t="shared" si="394"/>
        <v>1.85</v>
      </c>
      <c r="P456" s="5" t="e">
        <f t="shared" si="395"/>
        <v>#VALUE!</v>
      </c>
      <c r="Q456">
        <f>'Code List'!$C$63</f>
        <v>3</v>
      </c>
      <c r="R456">
        <f>F457+'Code List'!$G$63</f>
        <v>2</v>
      </c>
      <c r="S456" t="e">
        <f t="shared" si="396"/>
        <v>#VALUE!</v>
      </c>
      <c r="T456" t="e">
        <f t="shared" si="398"/>
        <v>#VALUE!</v>
      </c>
      <c r="U456" t="str">
        <f>IF(A456="YES",CONCATENATE(G456,"_",'Program Page'!$C$4,'Program Page'!$C$5,"_",D456,"_",E456),"")</f>
        <v/>
      </c>
      <c r="V456" t="str">
        <f t="shared" si="397"/>
        <v/>
      </c>
      <c r="W456" t="str">
        <f>IF(A456="YES",CONCATENATE("{",'Code List'!$B$4,'Code List'!$D$4,",",'Code List'!$B$5,'Code List'!$D$5,",",'Code List'!$B$6,"""",U456,"""",",",'Code List'!$B$7,'Code List'!$D$7,",",'Code List'!$B$8,'Code List'!$D$8,",",'Code List'!$B$9,'Code List'!$D$9,",",'Code List'!$B$10,'Code List'!$D$10,",",'Code List'!$B$11,"""",V456,"""",",",'Code List'!$B$12,"""",H456,"""",",",'Code List'!$B$13,"""",I456,"""",",",'Code List'!$B$14,"""",J456,"""",",",'Code List'!$B$15,"""",K456,"""",",",'Code List'!$B$16,"""",L456,"""",",",'Code List'!$B$17,"""",M456,"""",",",'Code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56" s="167" t="str">
        <f>IF(A456="YES",CONCATENATE("{",'Code List'!$B$31,"""",U456,"""",",",'Code List'!$B$32,'Code List'!$D$32,",",'Code List'!$B$33,'Code List'!$D$33,",",'Code List'!$B$34,'Code List'!$D$34,",",'Code List'!$B$35,'Code List'!$D$35,",",'Code List'!$B$36,'Code List'!$D$36,",",'Code List'!$B$37,'Code List'!$D$37,",",'Code List'!$B$38,"""",H456,"""",",",'Code List'!$B$39,"""",I456,"""",",",'Code List'!$B$40,"""",J456,"""",",",'Code List'!$B$41,"""",K456,"""",",",'Code List'!$B$42,"""",L456,"""",",",'Code List'!$B$43,"""",M456,"""",",",'Code List'!$B$44,"""",N456,"""",",",'Code List'!$B$45,"""",O456,"""",",",'Code List'!$B$46,"""",P456,"""",",",'Code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List'!$B$59,"""",T456,"""","}"),"")</f>
        <v/>
      </c>
    </row>
    <row r="457" spans="1:25" x14ac:dyDescent="0.25">
      <c r="A457" t="str">
        <f>IF(AND($A452="YES",E452=$D$1,F457&gt;0),"YES","NO")</f>
        <v>NO</v>
      </c>
      <c r="C457" t="s">
        <v>5</v>
      </c>
      <c r="D457" s="12" t="str">
        <f t="shared" si="392"/>
        <v>9A</v>
      </c>
      <c r="E457" t="s">
        <v>191</v>
      </c>
      <c r="F457">
        <f>'Expanded Base Data'!I450</f>
        <v>0</v>
      </c>
      <c r="G457" s="171">
        <f>F452</f>
        <v>0</v>
      </c>
      <c r="H457">
        <f>ROUND(B452+'Slide Measurements'!$D$17,$O$1)</f>
        <v>27.11</v>
      </c>
      <c r="I457">
        <f>ROUND(H457+(F457*'Slide Measurements'!$D$21),$O$1)</f>
        <v>27.11</v>
      </c>
      <c r="J457">
        <f>K456</f>
        <v>334.57000000000011</v>
      </c>
      <c r="K457">
        <f>J457+($I$1*'Slide Measurements'!$E$23-'Slide Measurements'!$E$23)</f>
        <v>336.42000000000013</v>
      </c>
      <c r="L457" s="5" t="str">
        <f>'Expanded Base Data'!$L450</f>
        <v/>
      </c>
      <c r="M457" s="5" t="str">
        <f>'Expanded Base Data'!$K450</f>
        <v/>
      </c>
      <c r="N457">
        <f t="shared" si="393"/>
        <v>0</v>
      </c>
      <c r="O457">
        <f t="shared" si="394"/>
        <v>1.85</v>
      </c>
      <c r="P457" s="5" t="e">
        <f t="shared" si="395"/>
        <v>#VALUE!</v>
      </c>
      <c r="Q457">
        <f>'Code List'!$C$63</f>
        <v>3</v>
      </c>
      <c r="R457">
        <f>F458+'Code List'!$G$63</f>
        <v>2</v>
      </c>
      <c r="S457" t="e">
        <f t="shared" si="396"/>
        <v>#VALUE!</v>
      </c>
      <c r="T457" t="e">
        <f t="shared" si="398"/>
        <v>#VALUE!</v>
      </c>
      <c r="U457" t="str">
        <f>IF(A457="YES",CONCATENATE(G457,"_",'Program Page'!$C$4,'Program Page'!$C$5,"_",D457,"_",E457),"")</f>
        <v/>
      </c>
      <c r="V457" t="str">
        <f t="shared" si="397"/>
        <v/>
      </c>
      <c r="W457" t="str">
        <f>IF(A457="YES",CONCATENATE("{",'Code List'!$B$4,'Code List'!$D$4,",",'Code List'!$B$5,'Code List'!$D$5,",",'Code List'!$B$6,"""",U457,"""",",",'Code List'!$B$7,'Code List'!$D$7,",",'Code List'!$B$8,'Code List'!$D$8,",",'Code List'!$B$9,'Code List'!$D$9,",",'Code List'!$B$10,'Code List'!$D$10,",",'Code List'!$B$11,"""",V457,"""",",",'Code List'!$B$12,"""",H457,"""",",",'Code List'!$B$13,"""",I457,"""",",",'Code List'!$B$14,"""",J457,"""",",",'Code List'!$B$15,"""",K457,"""",",",'Code List'!$B$16,"""",L457,"""",",",'Code List'!$B$17,"""",M457,"""",",",'Code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57" s="167" t="str">
        <f>IF(A457="YES",CONCATENATE("{",'Code List'!$B$31,"""",U457,"""",",",'Code List'!$B$32,'Code List'!$D$32,",",'Code List'!$B$33,'Code List'!$D$33,",",'Code List'!$B$34,'Code List'!$D$34,",",'Code List'!$B$35,'Code List'!$D$35,",",'Code List'!$B$36,'Code List'!$D$36,",",'Code List'!$B$37,'Code List'!$D$37,",",'Code List'!$B$38,"""",H457,"""",",",'Code List'!$B$39,"""",I457,"""",",",'Code List'!$B$40,"""",J457,"""",",",'Code List'!$B$41,"""",K457,"""",",",'Code List'!$B$42,"""",L457,"""",",",'Code List'!$B$43,"""",M457,"""",",",'Code List'!$B$44,"""",N457,"""",",",'Code List'!$B$45,"""",O457,"""",",",'Code List'!$B$46,"""",P457,"""",",",'Code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List'!$B$59,"""",T457,"""","}"),"")</f>
        <v/>
      </c>
    </row>
    <row r="458" spans="1:25" x14ac:dyDescent="0.25">
      <c r="A458" t="str">
        <f>IF(AND($A452="YES",E452=$D$1,F458&gt;0),"YES","NO")</f>
        <v>NO</v>
      </c>
      <c r="C458" t="s">
        <v>5</v>
      </c>
      <c r="D458" s="12" t="str">
        <f t="shared" si="392"/>
        <v>9A</v>
      </c>
      <c r="E458" t="s">
        <v>196</v>
      </c>
      <c r="F458">
        <f>'Expanded Base Data'!J450</f>
        <v>0</v>
      </c>
      <c r="G458" s="171">
        <f>F452</f>
        <v>0</v>
      </c>
      <c r="H458">
        <f>ROUND(B452+'Slide Measurements'!$D$17,$O$1)</f>
        <v>27.11</v>
      </c>
      <c r="I458">
        <f>ROUND(H458+(F458*'Slide Measurements'!$D$21),$O$1)</f>
        <v>27.11</v>
      </c>
      <c r="J458">
        <f>K457</f>
        <v>336.42000000000013</v>
      </c>
      <c r="K458">
        <f>J458+($I$1*'Slide Measurements'!$E$23-'Slide Measurements'!$E$23)</f>
        <v>338.27000000000015</v>
      </c>
      <c r="L458" s="5" t="str">
        <f>'Expanded Base Data'!$L450</f>
        <v/>
      </c>
      <c r="M458" s="5" t="str">
        <f>'Expanded Base Data'!$K450</f>
        <v/>
      </c>
      <c r="N458">
        <f t="shared" si="393"/>
        <v>0</v>
      </c>
      <c r="O458">
        <f t="shared" si="394"/>
        <v>1.85</v>
      </c>
      <c r="P458" s="5" t="e">
        <f t="shared" si="395"/>
        <v>#VALUE!</v>
      </c>
      <c r="Q458">
        <f>'Code List'!$C$63</f>
        <v>3</v>
      </c>
      <c r="R458">
        <f>F459+'Code List'!$G$63</f>
        <v>2</v>
      </c>
      <c r="S458" t="e">
        <f t="shared" si="396"/>
        <v>#VALUE!</v>
      </c>
      <c r="T458" t="e">
        <f t="shared" si="398"/>
        <v>#VALUE!</v>
      </c>
      <c r="U458" t="str">
        <f>IF(A458="YES",CONCATENATE(G458,"_",'Program Page'!$C$4,'Program Page'!$C$5,"_",D458,"_",E458),"")</f>
        <v/>
      </c>
      <c r="V458" t="str">
        <f t="shared" si="397"/>
        <v/>
      </c>
      <c r="W458" t="str">
        <f>IF(A458="YES",CONCATENATE("{",'Code List'!$B$4,'Code List'!$D$4,",",'Code List'!$B$5,'Code List'!$D$5,",",'Code List'!$B$6,"""",U458,"""",",",'Code List'!$B$7,'Code List'!$D$7,",",'Code List'!$B$8,'Code List'!$D$8,",",'Code List'!$B$9,'Code List'!$D$9,",",'Code List'!$B$10,'Code List'!$D$10,",",'Code List'!$B$11,"""",V458,"""",",",'Code List'!$B$12,"""",H458,"""",",",'Code List'!$B$13,"""",I458,"""",",",'Code List'!$B$14,"""",J458,"""",",",'Code List'!$B$15,"""",K458,"""",",",'Code List'!$B$16,"""",L458,"""",",",'Code List'!$B$17,"""",M458,"""",",",'Code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58" s="167" t="str">
        <f>IF(A458="YES",CONCATENATE("{",'Code List'!$B$31,"""",U458,"""",",",'Code List'!$B$32,'Code List'!$D$32,",",'Code List'!$B$33,'Code List'!$D$33,",",'Code List'!$B$34,'Code List'!$D$34,",",'Code List'!$B$35,'Code List'!$D$35,",",'Code List'!$B$36,'Code List'!$D$36,",",'Code List'!$B$37,'Code List'!$D$37,",",'Code List'!$B$38,"""",H458,"""",",",'Code List'!$B$39,"""",I458,"""",",",'Code List'!$B$40,"""",J458,"""",",",'Code List'!$B$41,"""",K458,"""",",",'Code List'!$B$42,"""",L458,"""",",",'Code List'!$B$43,"""",M458,"""",",",'Code List'!$B$44,"""",N458,"""",",",'Code List'!$B$45,"""",O458,"""",",",'Code List'!$B$46,"""",P458,"""",",",'Code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List'!$B$59,"""",T458,"""","}"),"")</f>
        <v/>
      </c>
    </row>
    <row r="459" spans="1:25" x14ac:dyDescent="0.25">
      <c r="A459" s="162" t="str">
        <f>IF(AND($A452="YES",E452=$E$1),"YES","NO")</f>
        <v>NO</v>
      </c>
      <c r="C459" t="s">
        <v>259</v>
      </c>
      <c r="D459" s="12" t="str">
        <f>D458</f>
        <v>9A</v>
      </c>
      <c r="E459" t="s">
        <v>259</v>
      </c>
      <c r="G459" s="171">
        <f>F452</f>
        <v>0</v>
      </c>
      <c r="H459">
        <f>ROUND(B452,$O$1)</f>
        <v>1.71</v>
      </c>
      <c r="I459">
        <f>ROUND(B452+'Slide Measurements'!$D$1,$O$1)</f>
        <v>78.16</v>
      </c>
      <c r="J459">
        <f>C452</f>
        <v>324.72000000000003</v>
      </c>
      <c r="K459">
        <f>C452+'Slide Measurements'!$D$2</f>
        <v>352.12</v>
      </c>
      <c r="L459" s="5" t="str">
        <f>'Expanded Base Data'!$L450</f>
        <v/>
      </c>
      <c r="M459" s="5" t="str">
        <f>'Expanded Base Data'!$K450</f>
        <v/>
      </c>
      <c r="N459">
        <f t="shared" si="393"/>
        <v>76.45</v>
      </c>
      <c r="O459">
        <f t="shared" si="394"/>
        <v>27.4</v>
      </c>
      <c r="P459" s="5" t="e">
        <f>ROUND((L459-M459),$O$1)</f>
        <v>#VALUE!</v>
      </c>
      <c r="Q459">
        <f>'Code List'!$C$70</f>
        <v>11</v>
      </c>
      <c r="R459">
        <f>'Code List'!$D$70</f>
        <v>19</v>
      </c>
      <c r="S459" t="e">
        <f>IF(P459=0,"1",ROUND((P459/$K$1)+$M$1,0))</f>
        <v>#VALUE!</v>
      </c>
      <c r="T459" t="e">
        <f>Q459*R459*S459</f>
        <v>#VALUE!</v>
      </c>
      <c r="U459" t="str">
        <f>IF(A459="YES",CONCATENATE(G459,"_",'Program Page'!$C$4,'Program Page'!$C$5,"_",D459,"_",E459),"")</f>
        <v/>
      </c>
      <c r="V459" t="str">
        <f>IF(U459="","",CONCATENATE(U459,"_"))</f>
        <v/>
      </c>
      <c r="W459" t="str">
        <f>IF(A459="YES",CONCATENATE("{",'Code List'!$B$4,'Code List'!$D$4,",",'Code List'!$B$5,'Code List'!$D$5,",",'Code List'!$B$6,"""",U459,"""",",",'Code List'!$B$7,'Code List'!$D$7,",",'Code List'!$B$8,'Code List'!$D$8,",",'Code List'!$B$9,'Code List'!$D$9,",",'Code List'!$B$10,'Code List'!$D$10,",",'Code List'!$B$11,"""",V459,"""",",",'Code List'!$B$12,"""",H459,"""",",",'Code List'!$B$13,"""",I459,"""",",",'Code List'!$B$14,"""",J459,"""",",",'Code List'!$B$15,"""",K459,"""",",",'Code List'!$B$16,"""",L459,"""",",",'Code List'!$B$17,"""",M459,"""",",",'Code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459" s="167" t="str">
        <f>IF(A459="YES",CONCATENATE("{",'Code List'!$B$31,"""",U459,"""",",",'Code List'!$B$32,'Code List'!$D$32,",",'Code List'!$B$33,'Code List'!$D$33,",",'Code List'!$B$34,'Code List'!$D$34,",",'Code List'!$B$35,'Code List'!$D$35,",",'Code List'!$B$36,'Code List'!$D$36,",",'Code List'!$B$37,'Code List'!$D$37,",",'Code List'!$B$38,"""",H459,"""",",",'Code List'!$B$39,"""",I459,"""",",",'Code List'!$B$40,"""",J459,"""",",",'Code List'!$B$41,"""",K459,"""",",",'Code List'!$B$42,"""",L459,"""",",",'Code List'!$B$43,"""",M459,"""",",",'Code List'!$B$44,"""",N459,"""",",",'Code List'!$B$45,"""",O459,"""",",",'Code List'!$B$46,"""",P459,"""",",",'Code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List'!$B$59,"""",T459,"""","}"),"")</f>
        <v/>
      </c>
    </row>
    <row r="460" spans="1:25" ht="18.75" x14ac:dyDescent="0.3">
      <c r="A460" s="35" t="str">
        <f>IF(OR(E460=$C$1,E460=$D$1,E460=$E$1),"YES","NO")</f>
        <v>NO</v>
      </c>
      <c r="B460" s="35">
        <f>'Expanded Base Data'!D458</f>
        <v>89.31</v>
      </c>
      <c r="C460" s="35">
        <f>'Expanded Base Data'!E458</f>
        <v>324.72000000000003</v>
      </c>
      <c r="D460" s="36" t="str">
        <f>'Expanded Base Data'!B458</f>
        <v>9B</v>
      </c>
      <c r="E460" s="35">
        <f>'Expanded Base Data'!C458</f>
        <v>0</v>
      </c>
      <c r="F460" s="35">
        <f>'Expanded Base Data'!M458</f>
        <v>0</v>
      </c>
      <c r="G460" s="170">
        <f>F460</f>
        <v>0</v>
      </c>
      <c r="Y460" s="167" t="str">
        <f>""</f>
        <v/>
      </c>
    </row>
    <row r="461" spans="1:25" x14ac:dyDescent="0.25">
      <c r="A461" t="str">
        <f>IF(AND($A460="YES",E460=$C$1),"YES","NO")</f>
        <v>NO</v>
      </c>
      <c r="C461" t="s">
        <v>6</v>
      </c>
      <c r="D461" s="12" t="str">
        <f>D460</f>
        <v>9B</v>
      </c>
      <c r="E461" t="s">
        <v>6</v>
      </c>
      <c r="F461" t="s">
        <v>198</v>
      </c>
      <c r="G461" s="171">
        <f>F460</f>
        <v>0</v>
      </c>
      <c r="H461">
        <f>IF('Expanded Base Data'!N458="",ROUND(B460+'Slide Measurements'!$D$11,$O$1),B460+'Expanded Base Data'!N458)</f>
        <v>122.31</v>
      </c>
      <c r="I461">
        <f>IF('Expanded Base Data'!O458="",ROUND(B460+'Slide Measurements'!$D$12,$O$1),B460+'Expanded Base Data'!O458)</f>
        <v>130.91</v>
      </c>
      <c r="J461">
        <f>IF('Expanded Base Data'!P458="",C460+'Slide Measurements'!$E$13,C460+'Expanded Base Data'!P458)</f>
        <v>333.42</v>
      </c>
      <c r="K461">
        <f>IF('Expanded Base Data'!Q458="",C460+'Slide Measurements'!$E$14,C460+'Expanded Base Data'!Q458)</f>
        <v>342.02000000000004</v>
      </c>
      <c r="L461" s="5" t="str">
        <f>'Expanded Base Data'!$L458</f>
        <v/>
      </c>
      <c r="M461" s="5" t="str">
        <f>'Expanded Base Data'!$K458</f>
        <v/>
      </c>
      <c r="N461">
        <f>ROUND((I461-H461),$O$1)</f>
        <v>8.6</v>
      </c>
      <c r="O461">
        <f>ROUND((K461-J461),$O$1)</f>
        <v>8.6</v>
      </c>
      <c r="P461" s="5" t="e">
        <f>ROUND((L461-M461),$O$1)</f>
        <v>#VALUE!</v>
      </c>
      <c r="Q461">
        <f>'Code List'!$C$62</f>
        <v>5</v>
      </c>
      <c r="R461">
        <f>F462+'Code List'!$G$63</f>
        <v>2</v>
      </c>
      <c r="S461" t="e">
        <f>IF(P461=0,"1",ROUND((P461/$K$1)+$M$1,0))</f>
        <v>#VALUE!</v>
      </c>
      <c r="T461" t="e">
        <f>Q461*R461*S461</f>
        <v>#VALUE!</v>
      </c>
      <c r="U461" t="str">
        <f>IF(A461="YES",CONCATENATE(G461,"_",'Program Page'!$C$4,'Program Page'!$C$5,"_",D461,"_",E461),"")</f>
        <v/>
      </c>
      <c r="V461" t="str">
        <f>IF(U461="","",CONCATENATE(U461,"_"))</f>
        <v/>
      </c>
      <c r="W461" t="str">
        <f>IF(A461="YES",CONCATENATE("{",'Code List'!$B$4,'Code List'!$D$4,",",'Code List'!$B$5,'Code List'!$D$5,",",'Code List'!$B$6,"""",U461,"""",",",'Code List'!$B$7,'Code List'!$D$7,",",'Code List'!$B$8,'Code List'!$D$8,",",'Code List'!$B$9,'Code List'!$D$9,",",'Code List'!$B$10,'Code List'!$D$10,",",'Code List'!$B$11,"""",V461,"""",",",'Code List'!$B$12,"""",H461,"""",",",'Code List'!$B$13,"""",I461,"""",",",'Code List'!$B$14,"""",J461,"""",",",'Code List'!$B$15,"""",K461,"""",",",'Code List'!$B$16,"""",L461,"""",",",'Code List'!$B$17,"""",M461,"""",",",'Code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61" s="167" t="str">
        <f>IF(A461="YES",CONCATENATE("{",'Code List'!$B$31,"""",U461,"""",",",'Code List'!$B$32,'Code List'!$D$32,",",'Code List'!$B$33,'Code List'!$D$33,",",'Code List'!$B$34,'Code List'!$D$34,",",'Code List'!$B$35,'Code List'!$D$35,",",'Code List'!$B$36,'Code List'!$D$36,",",'Code List'!$B$37,'Code List'!$D$37,",",'Code List'!$B$38,"""",H461,"""",",",'Code List'!$B$39,"""",I461,"""",",",'Code List'!$B$40,"""",J461,"""",",",'Code List'!$B$41,"""",K461,"""",",",'Code List'!$B$42,"""",L461,"""",",",'Code List'!$B$43,"""",M461,"""",",",'Code List'!$B$44,"""",N461,"""",",",'Code List'!$B$45,"""",O461,"""",",",'Code List'!$B$46,"""",P461,"""",",",'Code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List'!$B$59,"""",T461,"""","}"),"")</f>
        <v/>
      </c>
    </row>
    <row r="462" spans="1:25" x14ac:dyDescent="0.25">
      <c r="A462" t="str">
        <f>IF(AND($A460="YES",E460=$D$1,F462&gt;0),"YES","NO")</f>
        <v>NO</v>
      </c>
      <c r="C462" t="s">
        <v>5</v>
      </c>
      <c r="D462" s="12" t="str">
        <f t="shared" ref="D462:D466" si="399">D461</f>
        <v>9B</v>
      </c>
      <c r="E462" t="s">
        <v>188</v>
      </c>
      <c r="F462">
        <f>'Expanded Base Data'!F458</f>
        <v>0</v>
      </c>
      <c r="G462" s="171">
        <f>F460</f>
        <v>0</v>
      </c>
      <c r="H462">
        <f>ROUND(B460+'Slide Measurements'!$D$17,$O$1)</f>
        <v>114.71</v>
      </c>
      <c r="I462">
        <f>ROUND(H462+(F462*'Slide Measurements'!$D$21),$O$1)</f>
        <v>114.71</v>
      </c>
      <c r="J462">
        <f>C460+'Slide Measurements'!$E$17</f>
        <v>329.02000000000004</v>
      </c>
      <c r="K462">
        <f>J462+($I$1*'Slide Measurements'!$E$23-'Slide Measurements'!$E$23)</f>
        <v>330.87000000000006</v>
      </c>
      <c r="L462" s="5" t="str">
        <f>'Expanded Base Data'!$L458</f>
        <v/>
      </c>
      <c r="M462" s="5" t="str">
        <f>'Expanded Base Data'!$K458</f>
        <v/>
      </c>
      <c r="N462">
        <f t="shared" ref="N462:N467" si="400">ROUND((I462-H462),$O$1)</f>
        <v>0</v>
      </c>
      <c r="O462">
        <f t="shared" ref="O462:O467" si="401">ROUND((K462-J462),$O$1)</f>
        <v>1.85</v>
      </c>
      <c r="P462" s="5" t="e">
        <f t="shared" ref="P462:P466" si="402">ROUND((L462-M462),$O$1)</f>
        <v>#VALUE!</v>
      </c>
      <c r="Q462">
        <f>'Code List'!$C$63</f>
        <v>3</v>
      </c>
      <c r="R462">
        <f>F463+'Code List'!$G$63</f>
        <v>2</v>
      </c>
      <c r="S462" t="e">
        <f t="shared" ref="S462:S466" si="403">IF(P462=0,"1",ROUND((P462/$K$1)+$M$1,0))</f>
        <v>#VALUE!</v>
      </c>
      <c r="T462" t="e">
        <f>Q462*R462*S462</f>
        <v>#VALUE!</v>
      </c>
      <c r="U462" t="str">
        <f>IF(A462="YES",CONCATENATE(G462,"_",'Program Page'!$C$4,'Program Page'!$C$5,"_",D462,"_",E462),"")</f>
        <v/>
      </c>
      <c r="V462" t="str">
        <f t="shared" ref="V462:V466" si="404">IF(U462="","",CONCATENATE(U462,"_"))</f>
        <v/>
      </c>
      <c r="W462" t="str">
        <f>IF(A462="YES",CONCATENATE("{",'Code List'!$B$4,'Code List'!$D$4,",",'Code List'!$B$5,'Code List'!$D$5,",",'Code List'!$B$6,"""",U462,"""",",",'Code List'!$B$7,'Code List'!$D$7,",",'Code List'!$B$8,'Code List'!$D$8,",",'Code List'!$B$9,'Code List'!$D$9,",",'Code List'!$B$10,'Code List'!$D$10,",",'Code List'!$B$11,"""",V462,"""",",",'Code List'!$B$12,"""",H462,"""",",",'Code List'!$B$13,"""",I462,"""",",",'Code List'!$B$14,"""",J462,"""",",",'Code List'!$B$15,"""",K462,"""",",",'Code List'!$B$16,"""",L462,"""",",",'Code List'!$B$17,"""",M462,"""",",",'Code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62" s="167" t="str">
        <f>IF(A462="YES",CONCATENATE("{",'Code List'!$B$31,"""",U462,"""",",",'Code List'!$B$32,'Code List'!$D$32,",",'Code List'!$B$33,'Code List'!$D$33,",",'Code List'!$B$34,'Code List'!$D$34,",",'Code List'!$B$35,'Code List'!$D$35,",",'Code List'!$B$36,'Code List'!$D$36,",",'Code List'!$B$37,'Code List'!$D$37,",",'Code List'!$B$38,"""",H462,"""",",",'Code List'!$B$39,"""",I462,"""",",",'Code List'!$B$40,"""",J462,"""",",",'Code List'!$B$41,"""",K462,"""",",",'Code List'!$B$42,"""",L462,"""",",",'Code List'!$B$43,"""",M462,"""",",",'Code List'!$B$44,"""",N462,"""",",",'Code List'!$B$45,"""",O462,"""",",",'Code List'!$B$46,"""",P462,"""",",",'Code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List'!$B$59,"""",T462,"""","}"),"")</f>
        <v/>
      </c>
    </row>
    <row r="463" spans="1:25" x14ac:dyDescent="0.25">
      <c r="A463" t="str">
        <f>IF(AND($A460="YES",E460=$D$1,F463&gt;0),"YES","NO")</f>
        <v>NO</v>
      </c>
      <c r="C463" t="s">
        <v>5</v>
      </c>
      <c r="D463" s="12" t="str">
        <f t="shared" si="399"/>
        <v>9B</v>
      </c>
      <c r="E463" t="s">
        <v>189</v>
      </c>
      <c r="F463">
        <f>'Expanded Base Data'!G458</f>
        <v>0</v>
      </c>
      <c r="G463" s="171">
        <f>F460</f>
        <v>0</v>
      </c>
      <c r="H463">
        <f>ROUND(B460+'Slide Measurements'!$D$17,$O$1)</f>
        <v>114.71</v>
      </c>
      <c r="I463">
        <f>ROUND(H463+(F463*'Slide Measurements'!$D$21),$O$1)</f>
        <v>114.71</v>
      </c>
      <c r="J463">
        <f>K462</f>
        <v>330.87000000000006</v>
      </c>
      <c r="K463">
        <f>J463+($I$1*'Slide Measurements'!$E$23-'Slide Measurements'!$E$23)</f>
        <v>332.72000000000008</v>
      </c>
      <c r="L463" s="5" t="str">
        <f>'Expanded Base Data'!$L458</f>
        <v/>
      </c>
      <c r="M463" s="5" t="str">
        <f>'Expanded Base Data'!$K458</f>
        <v/>
      </c>
      <c r="N463">
        <f t="shared" si="400"/>
        <v>0</v>
      </c>
      <c r="O463">
        <f t="shared" si="401"/>
        <v>1.85</v>
      </c>
      <c r="P463" s="5" t="e">
        <f t="shared" si="402"/>
        <v>#VALUE!</v>
      </c>
      <c r="Q463">
        <f>'Code List'!$C$63</f>
        <v>3</v>
      </c>
      <c r="R463">
        <f>F464+'Code List'!$G$63</f>
        <v>2</v>
      </c>
      <c r="S463" t="e">
        <f t="shared" si="403"/>
        <v>#VALUE!</v>
      </c>
      <c r="T463" t="e">
        <f t="shared" ref="T463:T466" si="405">Q463*R463*S463</f>
        <v>#VALUE!</v>
      </c>
      <c r="U463" t="str">
        <f>IF(A463="YES",CONCATENATE(G463,"_",'Program Page'!$C$4,'Program Page'!$C$5,"_",D463,"_",E463),"")</f>
        <v/>
      </c>
      <c r="V463" t="str">
        <f t="shared" si="404"/>
        <v/>
      </c>
      <c r="W463" t="str">
        <f>IF(A463="YES",CONCATENATE("{",'Code List'!$B$4,'Code List'!$D$4,",",'Code List'!$B$5,'Code List'!$D$5,",",'Code List'!$B$6,"""",U463,"""",",",'Code List'!$B$7,'Code List'!$D$7,",",'Code List'!$B$8,'Code List'!$D$8,",",'Code List'!$B$9,'Code List'!$D$9,",",'Code List'!$B$10,'Code List'!$D$10,",",'Code List'!$B$11,"""",V463,"""",",",'Code List'!$B$12,"""",H463,"""",",",'Code List'!$B$13,"""",I463,"""",",",'Code List'!$B$14,"""",J463,"""",",",'Code List'!$B$15,"""",K463,"""",",",'Code List'!$B$16,"""",L463,"""",",",'Code List'!$B$17,"""",M463,"""",",",'Code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63" s="167" t="str">
        <f>IF(A463="YES",CONCATENATE("{",'Code List'!$B$31,"""",U463,"""",",",'Code List'!$B$32,'Code List'!$D$32,",",'Code List'!$B$33,'Code List'!$D$33,",",'Code List'!$B$34,'Code List'!$D$34,",",'Code List'!$B$35,'Code List'!$D$35,",",'Code List'!$B$36,'Code List'!$D$36,",",'Code List'!$B$37,'Code List'!$D$37,",",'Code List'!$B$38,"""",H463,"""",",",'Code List'!$B$39,"""",I463,"""",",",'Code List'!$B$40,"""",J463,"""",",",'Code List'!$B$41,"""",K463,"""",",",'Code List'!$B$42,"""",L463,"""",",",'Code List'!$B$43,"""",M463,"""",",",'Code List'!$B$44,"""",N463,"""",",",'Code List'!$B$45,"""",O463,"""",",",'Code List'!$B$46,"""",P463,"""",",",'Code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List'!$B$59,"""",T463,"""","}"),"")</f>
        <v/>
      </c>
    </row>
    <row r="464" spans="1:25" x14ac:dyDescent="0.25">
      <c r="A464" t="str">
        <f>IF(AND($A460="YES",E460=$D$1,F464&gt;0),"YES","NO")</f>
        <v>NO</v>
      </c>
      <c r="C464" t="s">
        <v>5</v>
      </c>
      <c r="D464" s="12" t="str">
        <f t="shared" si="399"/>
        <v>9B</v>
      </c>
      <c r="E464" t="s">
        <v>190</v>
      </c>
      <c r="F464">
        <f>'Expanded Base Data'!H458</f>
        <v>0</v>
      </c>
      <c r="G464" s="171">
        <f>F460</f>
        <v>0</v>
      </c>
      <c r="H464">
        <f>ROUND(B460+'Slide Measurements'!$D$17,$O$1)</f>
        <v>114.71</v>
      </c>
      <c r="I464">
        <f>ROUND(H464+(F464*'Slide Measurements'!$D$21),$O$1)</f>
        <v>114.71</v>
      </c>
      <c r="J464">
        <f>K463</f>
        <v>332.72000000000008</v>
      </c>
      <c r="K464">
        <f>J464+($I$1*'Slide Measurements'!$E$23-'Slide Measurements'!$E$23)</f>
        <v>334.57000000000011</v>
      </c>
      <c r="L464" s="5" t="str">
        <f>'Expanded Base Data'!$L458</f>
        <v/>
      </c>
      <c r="M464" s="5" t="str">
        <f>'Expanded Base Data'!$K458</f>
        <v/>
      </c>
      <c r="N464">
        <f t="shared" si="400"/>
        <v>0</v>
      </c>
      <c r="O464">
        <f t="shared" si="401"/>
        <v>1.85</v>
      </c>
      <c r="P464" s="5" t="e">
        <f t="shared" si="402"/>
        <v>#VALUE!</v>
      </c>
      <c r="Q464">
        <f>'Code List'!$C$63</f>
        <v>3</v>
      </c>
      <c r="R464">
        <f>F465+'Code List'!$G$63</f>
        <v>2</v>
      </c>
      <c r="S464" t="e">
        <f t="shared" si="403"/>
        <v>#VALUE!</v>
      </c>
      <c r="T464" t="e">
        <f t="shared" si="405"/>
        <v>#VALUE!</v>
      </c>
      <c r="U464" t="str">
        <f>IF(A464="YES",CONCATENATE(G464,"_",'Program Page'!$C$4,'Program Page'!$C$5,"_",D464,"_",E464),"")</f>
        <v/>
      </c>
      <c r="V464" t="str">
        <f t="shared" si="404"/>
        <v/>
      </c>
      <c r="W464" t="str">
        <f>IF(A464="YES",CONCATENATE("{",'Code List'!$B$4,'Code List'!$D$4,",",'Code List'!$B$5,'Code List'!$D$5,",",'Code List'!$B$6,"""",U464,"""",",",'Code List'!$B$7,'Code List'!$D$7,",",'Code List'!$B$8,'Code List'!$D$8,",",'Code List'!$B$9,'Code List'!$D$9,",",'Code List'!$B$10,'Code List'!$D$10,",",'Code List'!$B$11,"""",V464,"""",",",'Code List'!$B$12,"""",H464,"""",",",'Code List'!$B$13,"""",I464,"""",",",'Code List'!$B$14,"""",J464,"""",",",'Code List'!$B$15,"""",K464,"""",",",'Code List'!$B$16,"""",L464,"""",",",'Code List'!$B$17,"""",M464,"""",",",'Code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64" s="167" t="str">
        <f>IF(A464="YES",CONCATENATE("{",'Code List'!$B$31,"""",U464,"""",",",'Code List'!$B$32,'Code List'!$D$32,",",'Code List'!$B$33,'Code List'!$D$33,",",'Code List'!$B$34,'Code List'!$D$34,",",'Code List'!$B$35,'Code List'!$D$35,",",'Code List'!$B$36,'Code List'!$D$36,",",'Code List'!$B$37,'Code List'!$D$37,",",'Code List'!$B$38,"""",H464,"""",",",'Code List'!$B$39,"""",I464,"""",",",'Code List'!$B$40,"""",J464,"""",",",'Code List'!$B$41,"""",K464,"""",",",'Code List'!$B$42,"""",L464,"""",",",'Code List'!$B$43,"""",M464,"""",",",'Code List'!$B$44,"""",N464,"""",",",'Code List'!$B$45,"""",O464,"""",",",'Code List'!$B$46,"""",P464,"""",",",'Code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List'!$B$59,"""",T464,"""","}"),"")</f>
        <v/>
      </c>
    </row>
    <row r="465" spans="1:25" x14ac:dyDescent="0.25">
      <c r="A465" t="str">
        <f>IF(AND($A460="YES",E460=$D$1,F465&gt;0),"YES","NO")</f>
        <v>NO</v>
      </c>
      <c r="C465" t="s">
        <v>5</v>
      </c>
      <c r="D465" s="12" t="str">
        <f t="shared" si="399"/>
        <v>9B</v>
      </c>
      <c r="E465" t="s">
        <v>191</v>
      </c>
      <c r="F465">
        <f>'Expanded Base Data'!I458</f>
        <v>0</v>
      </c>
      <c r="G465" s="171">
        <f>F460</f>
        <v>0</v>
      </c>
      <c r="H465">
        <f>ROUND(B460+'Slide Measurements'!$D$17,$O$1)</f>
        <v>114.71</v>
      </c>
      <c r="I465">
        <f>ROUND(H465+(F465*'Slide Measurements'!$D$21),$O$1)</f>
        <v>114.71</v>
      </c>
      <c r="J465">
        <f>K464</f>
        <v>334.57000000000011</v>
      </c>
      <c r="K465">
        <f>J465+($I$1*'Slide Measurements'!$E$23-'Slide Measurements'!$E$23)</f>
        <v>336.42000000000013</v>
      </c>
      <c r="L465" s="5" t="str">
        <f>'Expanded Base Data'!$L458</f>
        <v/>
      </c>
      <c r="M465" s="5" t="str">
        <f>'Expanded Base Data'!$K458</f>
        <v/>
      </c>
      <c r="N465">
        <f t="shared" si="400"/>
        <v>0</v>
      </c>
      <c r="O465">
        <f t="shared" si="401"/>
        <v>1.85</v>
      </c>
      <c r="P465" s="5" t="e">
        <f t="shared" si="402"/>
        <v>#VALUE!</v>
      </c>
      <c r="Q465">
        <f>'Code List'!$C$63</f>
        <v>3</v>
      </c>
      <c r="R465">
        <f>F466+'Code List'!$G$63</f>
        <v>2</v>
      </c>
      <c r="S465" t="e">
        <f t="shared" si="403"/>
        <v>#VALUE!</v>
      </c>
      <c r="T465" t="e">
        <f t="shared" si="405"/>
        <v>#VALUE!</v>
      </c>
      <c r="U465" t="str">
        <f>IF(A465="YES",CONCATENATE(G465,"_",'Program Page'!$C$4,'Program Page'!$C$5,"_",D465,"_",E465),"")</f>
        <v/>
      </c>
      <c r="V465" t="str">
        <f t="shared" si="404"/>
        <v/>
      </c>
      <c r="W465" t="str">
        <f>IF(A465="YES",CONCATENATE("{",'Code List'!$B$4,'Code List'!$D$4,",",'Code List'!$B$5,'Code List'!$D$5,",",'Code List'!$B$6,"""",U465,"""",",",'Code List'!$B$7,'Code List'!$D$7,",",'Code List'!$B$8,'Code List'!$D$8,",",'Code List'!$B$9,'Code List'!$D$9,",",'Code List'!$B$10,'Code List'!$D$10,",",'Code List'!$B$11,"""",V465,"""",",",'Code List'!$B$12,"""",H465,"""",",",'Code List'!$B$13,"""",I465,"""",",",'Code List'!$B$14,"""",J465,"""",",",'Code List'!$B$15,"""",K465,"""",",",'Code List'!$B$16,"""",L465,"""",",",'Code List'!$B$17,"""",M465,"""",",",'Code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65" s="167" t="str">
        <f>IF(A465="YES",CONCATENATE("{",'Code List'!$B$31,"""",U465,"""",",",'Code List'!$B$32,'Code List'!$D$32,",",'Code List'!$B$33,'Code List'!$D$33,",",'Code List'!$B$34,'Code List'!$D$34,",",'Code List'!$B$35,'Code List'!$D$35,",",'Code List'!$B$36,'Code List'!$D$36,",",'Code List'!$B$37,'Code List'!$D$37,",",'Code List'!$B$38,"""",H465,"""",",",'Code List'!$B$39,"""",I465,"""",",",'Code List'!$B$40,"""",J465,"""",",",'Code List'!$B$41,"""",K465,"""",",",'Code List'!$B$42,"""",L465,"""",",",'Code List'!$B$43,"""",M465,"""",",",'Code List'!$B$44,"""",N465,"""",",",'Code List'!$B$45,"""",O465,"""",",",'Code List'!$B$46,"""",P465,"""",",",'Code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List'!$B$59,"""",T465,"""","}"),"")</f>
        <v/>
      </c>
    </row>
    <row r="466" spans="1:25" x14ac:dyDescent="0.25">
      <c r="A466" t="str">
        <f>IF(AND($A460="YES",E460=$D$1,F466&gt;0),"YES","NO")</f>
        <v>NO</v>
      </c>
      <c r="C466" t="s">
        <v>5</v>
      </c>
      <c r="D466" s="12" t="str">
        <f t="shared" si="399"/>
        <v>9B</v>
      </c>
      <c r="E466" t="s">
        <v>196</v>
      </c>
      <c r="F466">
        <f>'Expanded Base Data'!J458</f>
        <v>0</v>
      </c>
      <c r="G466" s="171">
        <f>F460</f>
        <v>0</v>
      </c>
      <c r="H466">
        <f>ROUND(B460+'Slide Measurements'!$D$17,$O$1)</f>
        <v>114.71</v>
      </c>
      <c r="I466">
        <f>ROUND(H466+(F466*'Slide Measurements'!$D$21),$O$1)</f>
        <v>114.71</v>
      </c>
      <c r="J466">
        <f>K465</f>
        <v>336.42000000000013</v>
      </c>
      <c r="K466">
        <f>J466+($I$1*'Slide Measurements'!$E$23-'Slide Measurements'!$E$23)</f>
        <v>338.27000000000015</v>
      </c>
      <c r="L466" s="5" t="str">
        <f>'Expanded Base Data'!$L458</f>
        <v/>
      </c>
      <c r="M466" s="5" t="str">
        <f>'Expanded Base Data'!$K458</f>
        <v/>
      </c>
      <c r="N466">
        <f t="shared" si="400"/>
        <v>0</v>
      </c>
      <c r="O466">
        <f t="shared" si="401"/>
        <v>1.85</v>
      </c>
      <c r="P466" s="5" t="e">
        <f t="shared" si="402"/>
        <v>#VALUE!</v>
      </c>
      <c r="Q466">
        <f>'Code List'!$C$63</f>
        <v>3</v>
      </c>
      <c r="R466">
        <f>F467+'Code List'!$G$63</f>
        <v>2</v>
      </c>
      <c r="S466" t="e">
        <f t="shared" si="403"/>
        <v>#VALUE!</v>
      </c>
      <c r="T466" t="e">
        <f t="shared" si="405"/>
        <v>#VALUE!</v>
      </c>
      <c r="U466" t="str">
        <f>IF(A466="YES",CONCATENATE(G466,"_",'Program Page'!$C$4,'Program Page'!$C$5,"_",D466,"_",E466),"")</f>
        <v/>
      </c>
      <c r="V466" t="str">
        <f t="shared" si="404"/>
        <v/>
      </c>
      <c r="W466" t="str">
        <f>IF(A466="YES",CONCATENATE("{",'Code List'!$B$4,'Code List'!$D$4,",",'Code List'!$B$5,'Code List'!$D$5,",",'Code List'!$B$6,"""",U466,"""",",",'Code List'!$B$7,'Code List'!$D$7,",",'Code List'!$B$8,'Code List'!$D$8,",",'Code List'!$B$9,'Code List'!$D$9,",",'Code List'!$B$10,'Code List'!$D$10,",",'Code List'!$B$11,"""",V466,"""",",",'Code List'!$B$12,"""",H466,"""",",",'Code List'!$B$13,"""",I466,"""",",",'Code List'!$B$14,"""",J466,"""",",",'Code List'!$B$15,"""",K466,"""",",",'Code List'!$B$16,"""",L466,"""",",",'Code List'!$B$17,"""",M466,"""",",",'Code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66" s="167" t="str">
        <f>IF(A466="YES",CONCATENATE("{",'Code List'!$B$31,"""",U466,"""",",",'Code List'!$B$32,'Code List'!$D$32,",",'Code List'!$B$33,'Code List'!$D$33,",",'Code List'!$B$34,'Code List'!$D$34,",",'Code List'!$B$35,'Code List'!$D$35,",",'Code List'!$B$36,'Code List'!$D$36,",",'Code List'!$B$37,'Code List'!$D$37,",",'Code List'!$B$38,"""",H466,"""",",",'Code List'!$B$39,"""",I466,"""",",",'Code List'!$B$40,"""",J466,"""",",",'Code List'!$B$41,"""",K466,"""",",",'Code List'!$B$42,"""",L466,"""",",",'Code List'!$B$43,"""",M466,"""",",",'Code List'!$B$44,"""",N466,"""",",",'Code List'!$B$45,"""",O466,"""",",",'Code List'!$B$46,"""",P466,"""",",",'Code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List'!$B$59,"""",T466,"""","}"),"")</f>
        <v/>
      </c>
    </row>
    <row r="467" spans="1:25" x14ac:dyDescent="0.25">
      <c r="A467" s="162" t="str">
        <f>IF(AND($A460="YES",E460=$E$1),"YES","NO")</f>
        <v>NO</v>
      </c>
      <c r="C467" t="s">
        <v>259</v>
      </c>
      <c r="D467" s="12" t="str">
        <f>D466</f>
        <v>9B</v>
      </c>
      <c r="E467" t="s">
        <v>259</v>
      </c>
      <c r="G467" s="171">
        <f>F460</f>
        <v>0</v>
      </c>
      <c r="H467">
        <f>ROUND(B460,$O$1)</f>
        <v>89.31</v>
      </c>
      <c r="I467">
        <f>ROUND(B460+'Slide Measurements'!$D$1,$O$1)</f>
        <v>165.76</v>
      </c>
      <c r="J467">
        <f>C460</f>
        <v>324.72000000000003</v>
      </c>
      <c r="K467">
        <f>C460+'Slide Measurements'!$D$2</f>
        <v>352.12</v>
      </c>
      <c r="L467" s="5" t="str">
        <f>'Expanded Base Data'!$L458</f>
        <v/>
      </c>
      <c r="M467" s="5" t="str">
        <f>'Expanded Base Data'!$K458</f>
        <v/>
      </c>
      <c r="N467">
        <f t="shared" si="400"/>
        <v>76.45</v>
      </c>
      <c r="O467">
        <f t="shared" si="401"/>
        <v>27.4</v>
      </c>
      <c r="P467" s="5" t="e">
        <f>ROUND((L467-M467),$O$1)</f>
        <v>#VALUE!</v>
      </c>
      <c r="Q467">
        <f>'Code List'!$C$70</f>
        <v>11</v>
      </c>
      <c r="R467">
        <f>'Code List'!$D$70</f>
        <v>19</v>
      </c>
      <c r="S467" t="e">
        <f>IF(P467=0,"1",ROUND((P467/$K$1)+$M$1,0))</f>
        <v>#VALUE!</v>
      </c>
      <c r="T467" t="e">
        <f>Q467*R467*S467</f>
        <v>#VALUE!</v>
      </c>
      <c r="U467" t="str">
        <f>IF(A467="YES",CONCATENATE(G467,"_",'Program Page'!$C$4,'Program Page'!$C$5,"_",D467,"_",E467),"")</f>
        <v/>
      </c>
      <c r="V467" t="str">
        <f>IF(U467="","",CONCATENATE(U467,"_"))</f>
        <v/>
      </c>
      <c r="W467" t="str">
        <f>IF(A467="YES",CONCATENATE("{",'Code List'!$B$4,'Code List'!$D$4,",",'Code List'!$B$5,'Code List'!$D$5,",",'Code List'!$B$6,"""",U467,"""",",",'Code List'!$B$7,'Code List'!$D$7,",",'Code List'!$B$8,'Code List'!$D$8,",",'Code List'!$B$9,'Code List'!$D$9,",",'Code List'!$B$10,'Code List'!$D$10,",",'Code List'!$B$11,"""",V467,"""",",",'Code List'!$B$12,"""",H467,"""",",",'Code List'!$B$13,"""",I467,"""",",",'Code List'!$B$14,"""",J467,"""",",",'Code List'!$B$15,"""",K467,"""",",",'Code List'!$B$16,"""",L467,"""",",",'Code List'!$B$17,"""",M467,"""",",",'Code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467" s="167" t="str">
        <f>IF(A467="YES",CONCATENATE("{",'Code List'!$B$31,"""",U467,"""",",",'Code List'!$B$32,'Code List'!$D$32,",",'Code List'!$B$33,'Code List'!$D$33,",",'Code List'!$B$34,'Code List'!$D$34,",",'Code List'!$B$35,'Code List'!$D$35,",",'Code List'!$B$36,'Code List'!$D$36,",",'Code List'!$B$37,'Code List'!$D$37,",",'Code List'!$B$38,"""",H467,"""",",",'Code List'!$B$39,"""",I467,"""",",",'Code List'!$B$40,"""",J467,"""",",",'Code List'!$B$41,"""",K467,"""",",",'Code List'!$B$42,"""",L467,"""",",",'Code List'!$B$43,"""",M467,"""",",",'Code List'!$B$44,"""",N467,"""",",",'Code List'!$B$45,"""",O467,"""",",",'Code List'!$B$46,"""",P467,"""",",",'Code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List'!$B$59,"""",T467,"""","}"),"")</f>
        <v/>
      </c>
    </row>
    <row r="468" spans="1:25" ht="18.75" x14ac:dyDescent="0.3">
      <c r="A468" s="35" t="str">
        <f>IF(OR(E468=$C$1,E468=$D$1,E468=$E$1),"YES","NO")</f>
        <v>NO</v>
      </c>
      <c r="B468" s="35">
        <f>'Expanded Base Data'!D466</f>
        <v>175.91</v>
      </c>
      <c r="C468" s="35">
        <f>'Expanded Base Data'!E466</f>
        <v>324.72000000000003</v>
      </c>
      <c r="D468" s="36" t="str">
        <f>'Expanded Base Data'!B466</f>
        <v>9C</v>
      </c>
      <c r="E468" s="35">
        <f>'Expanded Base Data'!C466</f>
        <v>0</v>
      </c>
      <c r="F468" s="35">
        <f>'Expanded Base Data'!M466</f>
        <v>0</v>
      </c>
      <c r="G468" s="170">
        <f>F468</f>
        <v>0</v>
      </c>
      <c r="Y468" s="167" t="str">
        <f>""</f>
        <v/>
      </c>
    </row>
    <row r="469" spans="1:25" x14ac:dyDescent="0.25">
      <c r="A469" t="str">
        <f>IF(AND($A468="YES",E468=$C$1),"YES","NO")</f>
        <v>NO</v>
      </c>
      <c r="C469" t="s">
        <v>6</v>
      </c>
      <c r="D469" s="12" t="str">
        <f>D468</f>
        <v>9C</v>
      </c>
      <c r="E469" t="s">
        <v>6</v>
      </c>
      <c r="F469" t="s">
        <v>198</v>
      </c>
      <c r="G469" s="171">
        <f>F468</f>
        <v>0</v>
      </c>
      <c r="H469">
        <f>IF('Expanded Base Data'!N466="",ROUND(B468+'Slide Measurements'!$D$11,$O$1),B468+'Expanded Base Data'!N466)</f>
        <v>208.91</v>
      </c>
      <c r="I469">
        <f>IF('Expanded Base Data'!O466="",ROUND(B468+'Slide Measurements'!$D$12,$O$1),B468+'Expanded Base Data'!O466)</f>
        <v>217.51</v>
      </c>
      <c r="J469">
        <f>IF('Expanded Base Data'!P466="",C468+'Slide Measurements'!$E$13,C468+'Expanded Base Data'!P466)</f>
        <v>333.42</v>
      </c>
      <c r="K469">
        <f>IF('Expanded Base Data'!Q466="",C468+'Slide Measurements'!$E$14,C468+'Expanded Base Data'!Q466)</f>
        <v>342.02000000000004</v>
      </c>
      <c r="L469" s="5" t="str">
        <f>'Expanded Base Data'!$L466</f>
        <v/>
      </c>
      <c r="M469" s="5" t="str">
        <f>'Expanded Base Data'!$K466</f>
        <v/>
      </c>
      <c r="N469">
        <f>ROUND((I469-H469),$O$1)</f>
        <v>8.6</v>
      </c>
      <c r="O469">
        <f>ROUND((K469-J469),$O$1)</f>
        <v>8.6</v>
      </c>
      <c r="P469" s="5" t="e">
        <f>ROUND((L469-M469),$O$1)</f>
        <v>#VALUE!</v>
      </c>
      <c r="Q469">
        <f>'Code List'!$C$62</f>
        <v>5</v>
      </c>
      <c r="R469">
        <f>F470+'Code List'!$G$63</f>
        <v>2</v>
      </c>
      <c r="S469" t="e">
        <f>IF(P469=0,"1",ROUND((P469/$K$1)+$M$1,0))</f>
        <v>#VALUE!</v>
      </c>
      <c r="T469" t="e">
        <f>Q469*R469*S469</f>
        <v>#VALUE!</v>
      </c>
      <c r="U469" t="str">
        <f>IF(A469="YES",CONCATENATE(G469,"_",'Program Page'!$C$4,'Program Page'!$C$5,"_",D469,"_",E469),"")</f>
        <v/>
      </c>
      <c r="V469" t="str">
        <f>IF(U469="","",CONCATENATE(U469,"_"))</f>
        <v/>
      </c>
      <c r="W469" t="str">
        <f>IF(A469="YES",CONCATENATE("{",'Code List'!$B$4,'Code List'!$D$4,",",'Code List'!$B$5,'Code List'!$D$5,",",'Code List'!$B$6,"""",U469,"""",",",'Code List'!$B$7,'Code List'!$D$7,",",'Code List'!$B$8,'Code List'!$D$8,",",'Code List'!$B$9,'Code List'!$D$9,",",'Code List'!$B$10,'Code List'!$D$10,",",'Code List'!$B$11,"""",V469,"""",",",'Code List'!$B$12,"""",H469,"""",",",'Code List'!$B$13,"""",I469,"""",",",'Code List'!$B$14,"""",J469,"""",",",'Code List'!$B$15,"""",K469,"""",",",'Code List'!$B$16,"""",L469,"""",",",'Code List'!$B$17,"""",M469,"""",",",'Code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69" s="167" t="str">
        <f>IF(A469="YES",CONCATENATE("{",'Code List'!$B$31,"""",U469,"""",",",'Code List'!$B$32,'Code List'!$D$32,",",'Code List'!$B$33,'Code List'!$D$33,",",'Code List'!$B$34,'Code List'!$D$34,",",'Code List'!$B$35,'Code List'!$D$35,",",'Code List'!$B$36,'Code List'!$D$36,",",'Code List'!$B$37,'Code List'!$D$37,",",'Code List'!$B$38,"""",H469,"""",",",'Code List'!$B$39,"""",I469,"""",",",'Code List'!$B$40,"""",J469,"""",",",'Code List'!$B$41,"""",K469,"""",",",'Code List'!$B$42,"""",L469,"""",",",'Code List'!$B$43,"""",M469,"""",",",'Code List'!$B$44,"""",N469,"""",",",'Code List'!$B$45,"""",O469,"""",",",'Code List'!$B$46,"""",P469,"""",",",'Code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List'!$B$59,"""",T469,"""","}"),"")</f>
        <v/>
      </c>
    </row>
    <row r="470" spans="1:25" x14ac:dyDescent="0.25">
      <c r="A470" t="str">
        <f>IF(AND($A468="YES",E468=$D$1,F470&gt;0),"YES","NO")</f>
        <v>NO</v>
      </c>
      <c r="C470" t="s">
        <v>5</v>
      </c>
      <c r="D470" s="12" t="str">
        <f t="shared" ref="D470:D474" si="406">D469</f>
        <v>9C</v>
      </c>
      <c r="E470" t="s">
        <v>188</v>
      </c>
      <c r="F470">
        <f>'Expanded Base Data'!F466</f>
        <v>0</v>
      </c>
      <c r="G470" s="171">
        <f>F468</f>
        <v>0</v>
      </c>
      <c r="H470">
        <f>ROUND(B468+'Slide Measurements'!$D$17,$O$1)</f>
        <v>201.31</v>
      </c>
      <c r="I470">
        <f>ROUND(H470+(F470*'Slide Measurements'!$D$21),$O$1)</f>
        <v>201.31</v>
      </c>
      <c r="J470">
        <f>C468+'Slide Measurements'!$E$17</f>
        <v>329.02000000000004</v>
      </c>
      <c r="K470">
        <f>J470+($I$1*'Slide Measurements'!$E$23-'Slide Measurements'!$E$23)</f>
        <v>330.87000000000006</v>
      </c>
      <c r="L470" s="5" t="str">
        <f>'Expanded Base Data'!$L466</f>
        <v/>
      </c>
      <c r="M470" s="5" t="str">
        <f>'Expanded Base Data'!$K466</f>
        <v/>
      </c>
      <c r="N470">
        <f t="shared" ref="N470:N475" si="407">ROUND((I470-H470),$O$1)</f>
        <v>0</v>
      </c>
      <c r="O470">
        <f t="shared" ref="O470:O475" si="408">ROUND((K470-J470),$O$1)</f>
        <v>1.85</v>
      </c>
      <c r="P470" s="5" t="e">
        <f t="shared" ref="P470:P474" si="409">ROUND((L470-M470),$O$1)</f>
        <v>#VALUE!</v>
      </c>
      <c r="Q470">
        <f>'Code List'!$C$63</f>
        <v>3</v>
      </c>
      <c r="R470">
        <f>F471+'Code List'!$G$63</f>
        <v>2</v>
      </c>
      <c r="S470" t="e">
        <f t="shared" ref="S470:S474" si="410">IF(P470=0,"1",ROUND((P470/$K$1)+$M$1,0))</f>
        <v>#VALUE!</v>
      </c>
      <c r="T470" t="e">
        <f>Q470*R470*S470</f>
        <v>#VALUE!</v>
      </c>
      <c r="U470" t="str">
        <f>IF(A470="YES",CONCATENATE(G470,"_",'Program Page'!$C$4,'Program Page'!$C$5,"_",D470,"_",E470),"")</f>
        <v/>
      </c>
      <c r="V470" t="str">
        <f t="shared" ref="V470:V474" si="411">IF(U470="","",CONCATENATE(U470,"_"))</f>
        <v/>
      </c>
      <c r="W470" t="str">
        <f>IF(A470="YES",CONCATENATE("{",'Code List'!$B$4,'Code List'!$D$4,",",'Code List'!$B$5,'Code List'!$D$5,",",'Code List'!$B$6,"""",U470,"""",",",'Code List'!$B$7,'Code List'!$D$7,",",'Code List'!$B$8,'Code List'!$D$8,",",'Code List'!$B$9,'Code List'!$D$9,",",'Code List'!$B$10,'Code List'!$D$10,",",'Code List'!$B$11,"""",V470,"""",",",'Code List'!$B$12,"""",H470,"""",",",'Code List'!$B$13,"""",I470,"""",",",'Code List'!$B$14,"""",J470,"""",",",'Code List'!$B$15,"""",K470,"""",",",'Code List'!$B$16,"""",L470,"""",",",'Code List'!$B$17,"""",M470,"""",",",'Code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70" s="167" t="str">
        <f>IF(A470="YES",CONCATENATE("{",'Code List'!$B$31,"""",U470,"""",",",'Code List'!$B$32,'Code List'!$D$32,",",'Code List'!$B$33,'Code List'!$D$33,",",'Code List'!$B$34,'Code List'!$D$34,",",'Code List'!$B$35,'Code List'!$D$35,",",'Code List'!$B$36,'Code List'!$D$36,",",'Code List'!$B$37,'Code List'!$D$37,",",'Code List'!$B$38,"""",H470,"""",",",'Code List'!$B$39,"""",I470,"""",",",'Code List'!$B$40,"""",J470,"""",",",'Code List'!$B$41,"""",K470,"""",",",'Code List'!$B$42,"""",L470,"""",",",'Code List'!$B$43,"""",M470,"""",",",'Code List'!$B$44,"""",N470,"""",",",'Code List'!$B$45,"""",O470,"""",",",'Code List'!$B$46,"""",P470,"""",",",'Code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List'!$B$59,"""",T470,"""","}"),"")</f>
        <v/>
      </c>
    </row>
    <row r="471" spans="1:25" x14ac:dyDescent="0.25">
      <c r="A471" t="str">
        <f>IF(AND($A468="YES",E468=$D$1,F471&gt;0),"YES","NO")</f>
        <v>NO</v>
      </c>
      <c r="C471" t="s">
        <v>5</v>
      </c>
      <c r="D471" s="12" t="str">
        <f t="shared" si="406"/>
        <v>9C</v>
      </c>
      <c r="E471" t="s">
        <v>189</v>
      </c>
      <c r="F471">
        <f>'Expanded Base Data'!G466</f>
        <v>0</v>
      </c>
      <c r="G471" s="171">
        <f>F468</f>
        <v>0</v>
      </c>
      <c r="H471">
        <f>ROUND(B468+'Slide Measurements'!$D$17,$O$1)</f>
        <v>201.31</v>
      </c>
      <c r="I471">
        <f>ROUND(H471+(F471*'Slide Measurements'!$D$21),$O$1)</f>
        <v>201.31</v>
      </c>
      <c r="J471">
        <f>K470</f>
        <v>330.87000000000006</v>
      </c>
      <c r="K471">
        <f>J471+($I$1*'Slide Measurements'!$E$23-'Slide Measurements'!$E$23)</f>
        <v>332.72000000000008</v>
      </c>
      <c r="L471" s="5" t="str">
        <f>'Expanded Base Data'!$L466</f>
        <v/>
      </c>
      <c r="M471" s="5" t="str">
        <f>'Expanded Base Data'!$K466</f>
        <v/>
      </c>
      <c r="N471">
        <f t="shared" si="407"/>
        <v>0</v>
      </c>
      <c r="O471">
        <f t="shared" si="408"/>
        <v>1.85</v>
      </c>
      <c r="P471" s="5" t="e">
        <f t="shared" si="409"/>
        <v>#VALUE!</v>
      </c>
      <c r="Q471">
        <f>'Code List'!$C$63</f>
        <v>3</v>
      </c>
      <c r="R471">
        <f>F472+'Code List'!$G$63</f>
        <v>2</v>
      </c>
      <c r="S471" t="e">
        <f t="shared" si="410"/>
        <v>#VALUE!</v>
      </c>
      <c r="T471" t="e">
        <f t="shared" ref="T471:T474" si="412">Q471*R471*S471</f>
        <v>#VALUE!</v>
      </c>
      <c r="U471" t="str">
        <f>IF(A471="YES",CONCATENATE(G471,"_",'Program Page'!$C$4,'Program Page'!$C$5,"_",D471,"_",E471),"")</f>
        <v/>
      </c>
      <c r="V471" t="str">
        <f t="shared" si="411"/>
        <v/>
      </c>
      <c r="W471" t="str">
        <f>IF(A471="YES",CONCATENATE("{",'Code List'!$B$4,'Code List'!$D$4,",",'Code List'!$B$5,'Code List'!$D$5,",",'Code List'!$B$6,"""",U471,"""",",",'Code List'!$B$7,'Code List'!$D$7,",",'Code List'!$B$8,'Code List'!$D$8,",",'Code List'!$B$9,'Code List'!$D$9,",",'Code List'!$B$10,'Code List'!$D$10,",",'Code List'!$B$11,"""",V471,"""",",",'Code List'!$B$12,"""",H471,"""",",",'Code List'!$B$13,"""",I471,"""",",",'Code List'!$B$14,"""",J471,"""",",",'Code List'!$B$15,"""",K471,"""",",",'Code List'!$B$16,"""",L471,"""",",",'Code List'!$B$17,"""",M471,"""",",",'Code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71" s="167" t="str">
        <f>IF(A471="YES",CONCATENATE("{",'Code List'!$B$31,"""",U471,"""",",",'Code List'!$B$32,'Code List'!$D$32,",",'Code List'!$B$33,'Code List'!$D$33,",",'Code List'!$B$34,'Code List'!$D$34,",",'Code List'!$B$35,'Code List'!$D$35,",",'Code List'!$B$36,'Code List'!$D$36,",",'Code List'!$B$37,'Code List'!$D$37,",",'Code List'!$B$38,"""",H471,"""",",",'Code List'!$B$39,"""",I471,"""",",",'Code List'!$B$40,"""",J471,"""",",",'Code List'!$B$41,"""",K471,"""",",",'Code List'!$B$42,"""",L471,"""",",",'Code List'!$B$43,"""",M471,"""",",",'Code List'!$B$44,"""",N471,"""",",",'Code List'!$B$45,"""",O471,"""",",",'Code List'!$B$46,"""",P471,"""",",",'Code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List'!$B$59,"""",T471,"""","}"),"")</f>
        <v/>
      </c>
    </row>
    <row r="472" spans="1:25" x14ac:dyDescent="0.25">
      <c r="A472" t="str">
        <f>IF(AND($A468="YES",E468=$D$1,F472&gt;0),"YES","NO")</f>
        <v>NO</v>
      </c>
      <c r="C472" t="s">
        <v>5</v>
      </c>
      <c r="D472" s="12" t="str">
        <f t="shared" si="406"/>
        <v>9C</v>
      </c>
      <c r="E472" t="s">
        <v>190</v>
      </c>
      <c r="F472">
        <f>'Expanded Base Data'!H466</f>
        <v>0</v>
      </c>
      <c r="G472" s="171">
        <f>F468</f>
        <v>0</v>
      </c>
      <c r="H472">
        <f>ROUND(B468+'Slide Measurements'!$D$17,$O$1)</f>
        <v>201.31</v>
      </c>
      <c r="I472">
        <f>ROUND(H472+(F472*'Slide Measurements'!$D$21),$O$1)</f>
        <v>201.31</v>
      </c>
      <c r="J472">
        <f>K471</f>
        <v>332.72000000000008</v>
      </c>
      <c r="K472">
        <f>J472+($I$1*'Slide Measurements'!$E$23-'Slide Measurements'!$E$23)</f>
        <v>334.57000000000011</v>
      </c>
      <c r="L472" s="5" t="str">
        <f>'Expanded Base Data'!$L466</f>
        <v/>
      </c>
      <c r="M472" s="5" t="str">
        <f>'Expanded Base Data'!$K466</f>
        <v/>
      </c>
      <c r="N472">
        <f t="shared" si="407"/>
        <v>0</v>
      </c>
      <c r="O472">
        <f t="shared" si="408"/>
        <v>1.85</v>
      </c>
      <c r="P472" s="5" t="e">
        <f t="shared" si="409"/>
        <v>#VALUE!</v>
      </c>
      <c r="Q472">
        <f>'Code List'!$C$63</f>
        <v>3</v>
      </c>
      <c r="R472">
        <f>F473+'Code List'!$G$63</f>
        <v>2</v>
      </c>
      <c r="S472" t="e">
        <f t="shared" si="410"/>
        <v>#VALUE!</v>
      </c>
      <c r="T472" t="e">
        <f t="shared" si="412"/>
        <v>#VALUE!</v>
      </c>
      <c r="U472" t="str">
        <f>IF(A472="YES",CONCATENATE(G472,"_",'Program Page'!$C$4,'Program Page'!$C$5,"_",D472,"_",E472),"")</f>
        <v/>
      </c>
      <c r="V472" t="str">
        <f t="shared" si="411"/>
        <v/>
      </c>
      <c r="W472" t="str">
        <f>IF(A472="YES",CONCATENATE("{",'Code List'!$B$4,'Code List'!$D$4,",",'Code List'!$B$5,'Code List'!$D$5,",",'Code List'!$B$6,"""",U472,"""",",",'Code List'!$B$7,'Code List'!$D$7,",",'Code List'!$B$8,'Code List'!$D$8,",",'Code List'!$B$9,'Code List'!$D$9,",",'Code List'!$B$10,'Code List'!$D$10,",",'Code List'!$B$11,"""",V472,"""",",",'Code List'!$B$12,"""",H472,"""",",",'Code List'!$B$13,"""",I472,"""",",",'Code List'!$B$14,"""",J472,"""",",",'Code List'!$B$15,"""",K472,"""",",",'Code List'!$B$16,"""",L472,"""",",",'Code List'!$B$17,"""",M472,"""",",",'Code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72" s="167" t="str">
        <f>IF(A472="YES",CONCATENATE("{",'Code List'!$B$31,"""",U472,"""",",",'Code List'!$B$32,'Code List'!$D$32,",",'Code List'!$B$33,'Code List'!$D$33,",",'Code List'!$B$34,'Code List'!$D$34,",",'Code List'!$B$35,'Code List'!$D$35,",",'Code List'!$B$36,'Code List'!$D$36,",",'Code List'!$B$37,'Code List'!$D$37,",",'Code List'!$B$38,"""",H472,"""",",",'Code List'!$B$39,"""",I472,"""",",",'Code List'!$B$40,"""",J472,"""",",",'Code List'!$B$41,"""",K472,"""",",",'Code List'!$B$42,"""",L472,"""",",",'Code List'!$B$43,"""",M472,"""",",",'Code List'!$B$44,"""",N472,"""",",",'Code List'!$B$45,"""",O472,"""",",",'Code List'!$B$46,"""",P472,"""",",",'Code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List'!$B$59,"""",T472,"""","}"),"")</f>
        <v/>
      </c>
    </row>
    <row r="473" spans="1:25" x14ac:dyDescent="0.25">
      <c r="A473" t="str">
        <f>IF(AND($A468="YES",E468=$D$1,F473&gt;0),"YES","NO")</f>
        <v>NO</v>
      </c>
      <c r="C473" t="s">
        <v>5</v>
      </c>
      <c r="D473" s="12" t="str">
        <f t="shared" si="406"/>
        <v>9C</v>
      </c>
      <c r="E473" t="s">
        <v>191</v>
      </c>
      <c r="F473">
        <f>'Expanded Base Data'!I466</f>
        <v>0</v>
      </c>
      <c r="G473" s="171">
        <f>F468</f>
        <v>0</v>
      </c>
      <c r="H473">
        <f>ROUND(B468+'Slide Measurements'!$D$17,$O$1)</f>
        <v>201.31</v>
      </c>
      <c r="I473">
        <f>ROUND(H473+(F473*'Slide Measurements'!$D$21),$O$1)</f>
        <v>201.31</v>
      </c>
      <c r="J473">
        <f>K472</f>
        <v>334.57000000000011</v>
      </c>
      <c r="K473">
        <f>J473+($I$1*'Slide Measurements'!$E$23-'Slide Measurements'!$E$23)</f>
        <v>336.42000000000013</v>
      </c>
      <c r="L473" s="5" t="str">
        <f>'Expanded Base Data'!$L466</f>
        <v/>
      </c>
      <c r="M473" s="5" t="str">
        <f>'Expanded Base Data'!$K466</f>
        <v/>
      </c>
      <c r="N473">
        <f t="shared" si="407"/>
        <v>0</v>
      </c>
      <c r="O473">
        <f t="shared" si="408"/>
        <v>1.85</v>
      </c>
      <c r="P473" s="5" t="e">
        <f t="shared" si="409"/>
        <v>#VALUE!</v>
      </c>
      <c r="Q473">
        <f>'Code List'!$C$63</f>
        <v>3</v>
      </c>
      <c r="R473">
        <f>F474+'Code List'!$G$63</f>
        <v>2</v>
      </c>
      <c r="S473" t="e">
        <f t="shared" si="410"/>
        <v>#VALUE!</v>
      </c>
      <c r="T473" t="e">
        <f t="shared" si="412"/>
        <v>#VALUE!</v>
      </c>
      <c r="U473" t="str">
        <f>IF(A473="YES",CONCATENATE(G473,"_",'Program Page'!$C$4,'Program Page'!$C$5,"_",D473,"_",E473),"")</f>
        <v/>
      </c>
      <c r="V473" t="str">
        <f t="shared" si="411"/>
        <v/>
      </c>
      <c r="W473" t="str">
        <f>IF(A473="YES",CONCATENATE("{",'Code List'!$B$4,'Code List'!$D$4,",",'Code List'!$B$5,'Code List'!$D$5,",",'Code List'!$B$6,"""",U473,"""",",",'Code List'!$B$7,'Code List'!$D$7,",",'Code List'!$B$8,'Code List'!$D$8,",",'Code List'!$B$9,'Code List'!$D$9,",",'Code List'!$B$10,'Code List'!$D$10,",",'Code List'!$B$11,"""",V473,"""",",",'Code List'!$B$12,"""",H473,"""",",",'Code List'!$B$13,"""",I473,"""",",",'Code List'!$B$14,"""",J473,"""",",",'Code List'!$B$15,"""",K473,"""",",",'Code List'!$B$16,"""",L473,"""",",",'Code List'!$B$17,"""",M473,"""",",",'Code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73" s="167" t="str">
        <f>IF(A473="YES",CONCATENATE("{",'Code List'!$B$31,"""",U473,"""",",",'Code List'!$B$32,'Code List'!$D$32,",",'Code List'!$B$33,'Code List'!$D$33,",",'Code List'!$B$34,'Code List'!$D$34,",",'Code List'!$B$35,'Code List'!$D$35,",",'Code List'!$B$36,'Code List'!$D$36,",",'Code List'!$B$37,'Code List'!$D$37,",",'Code List'!$B$38,"""",H473,"""",",",'Code List'!$B$39,"""",I473,"""",",",'Code List'!$B$40,"""",J473,"""",",",'Code List'!$B$41,"""",K473,"""",",",'Code List'!$B$42,"""",L473,"""",",",'Code List'!$B$43,"""",M473,"""",",",'Code List'!$B$44,"""",N473,"""",",",'Code List'!$B$45,"""",O473,"""",",",'Code List'!$B$46,"""",P473,"""",",",'Code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List'!$B$59,"""",T473,"""","}"),"")</f>
        <v/>
      </c>
    </row>
    <row r="474" spans="1:25" x14ac:dyDescent="0.25">
      <c r="A474" t="str">
        <f>IF(AND($A468="YES",E468=$D$1,F474&gt;0),"YES","NO")</f>
        <v>NO</v>
      </c>
      <c r="C474" t="s">
        <v>5</v>
      </c>
      <c r="D474" s="12" t="str">
        <f t="shared" si="406"/>
        <v>9C</v>
      </c>
      <c r="E474" t="s">
        <v>196</v>
      </c>
      <c r="F474">
        <f>'Expanded Base Data'!J466</f>
        <v>0</v>
      </c>
      <c r="G474" s="171">
        <f>F468</f>
        <v>0</v>
      </c>
      <c r="H474">
        <f>ROUND(B468+'Slide Measurements'!$D$17,$O$1)</f>
        <v>201.31</v>
      </c>
      <c r="I474">
        <f>ROUND(H474+(F474*'Slide Measurements'!$D$21),$O$1)</f>
        <v>201.31</v>
      </c>
      <c r="J474">
        <f>K473</f>
        <v>336.42000000000013</v>
      </c>
      <c r="K474">
        <f>J474+($I$1*'Slide Measurements'!$E$23-'Slide Measurements'!$E$23)</f>
        <v>338.27000000000015</v>
      </c>
      <c r="L474" s="5" t="str">
        <f>'Expanded Base Data'!$L466</f>
        <v/>
      </c>
      <c r="M474" s="5" t="str">
        <f>'Expanded Base Data'!$K466</f>
        <v/>
      </c>
      <c r="N474">
        <f t="shared" si="407"/>
        <v>0</v>
      </c>
      <c r="O474">
        <f t="shared" si="408"/>
        <v>1.85</v>
      </c>
      <c r="P474" s="5" t="e">
        <f t="shared" si="409"/>
        <v>#VALUE!</v>
      </c>
      <c r="Q474">
        <f>'Code List'!$C$63</f>
        <v>3</v>
      </c>
      <c r="R474">
        <f>F475+'Code List'!$G$63</f>
        <v>2</v>
      </c>
      <c r="S474" t="e">
        <f t="shared" si="410"/>
        <v>#VALUE!</v>
      </c>
      <c r="T474" t="e">
        <f t="shared" si="412"/>
        <v>#VALUE!</v>
      </c>
      <c r="U474" t="str">
        <f>IF(A474="YES",CONCATENATE(G474,"_",'Program Page'!$C$4,'Program Page'!$C$5,"_",D474,"_",E474),"")</f>
        <v/>
      </c>
      <c r="V474" t="str">
        <f t="shared" si="411"/>
        <v/>
      </c>
      <c r="W474" t="str">
        <f>IF(A474="YES",CONCATENATE("{",'Code List'!$B$4,'Code List'!$D$4,",",'Code List'!$B$5,'Code List'!$D$5,",",'Code List'!$B$6,"""",U474,"""",",",'Code List'!$B$7,'Code List'!$D$7,",",'Code List'!$B$8,'Code List'!$D$8,",",'Code List'!$B$9,'Code List'!$D$9,",",'Code List'!$B$10,'Code List'!$D$10,",",'Code List'!$B$11,"""",V474,"""",",",'Code List'!$B$12,"""",H474,"""",",",'Code List'!$B$13,"""",I474,"""",",",'Code List'!$B$14,"""",J474,"""",",",'Code List'!$B$15,"""",K474,"""",",",'Code List'!$B$16,"""",L474,"""",",",'Code List'!$B$17,"""",M474,"""",",",'Code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74" s="167" t="str">
        <f>IF(A474="YES",CONCATENATE("{",'Code List'!$B$31,"""",U474,"""",",",'Code List'!$B$32,'Code List'!$D$32,",",'Code List'!$B$33,'Code List'!$D$33,",",'Code List'!$B$34,'Code List'!$D$34,",",'Code List'!$B$35,'Code List'!$D$35,",",'Code List'!$B$36,'Code List'!$D$36,",",'Code List'!$B$37,'Code List'!$D$37,",",'Code List'!$B$38,"""",H474,"""",",",'Code List'!$B$39,"""",I474,"""",",",'Code List'!$B$40,"""",J474,"""",",",'Code List'!$B$41,"""",K474,"""",",",'Code List'!$B$42,"""",L474,"""",",",'Code List'!$B$43,"""",M474,"""",",",'Code List'!$B$44,"""",N474,"""",",",'Code List'!$B$45,"""",O474,"""",",",'Code List'!$B$46,"""",P474,"""",",",'Code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List'!$B$59,"""",T474,"""","}"),"")</f>
        <v/>
      </c>
    </row>
    <row r="475" spans="1:25" x14ac:dyDescent="0.25">
      <c r="A475" s="162" t="str">
        <f>IF(AND($A468="YES",E468=$E$1),"YES","NO")</f>
        <v>NO</v>
      </c>
      <c r="C475" t="s">
        <v>259</v>
      </c>
      <c r="D475" s="12" t="str">
        <f>D474</f>
        <v>9C</v>
      </c>
      <c r="E475" t="s">
        <v>259</v>
      </c>
      <c r="G475" s="171">
        <f>F468</f>
        <v>0</v>
      </c>
      <c r="H475">
        <f>ROUND(B468,$O$1)</f>
        <v>175.91</v>
      </c>
      <c r="I475">
        <f>ROUND(B468+'Slide Measurements'!$D$1,$O$1)</f>
        <v>252.36</v>
      </c>
      <c r="J475">
        <f>C468</f>
        <v>324.72000000000003</v>
      </c>
      <c r="K475">
        <f>C468+'Slide Measurements'!$D$2</f>
        <v>352.12</v>
      </c>
      <c r="L475" s="5" t="str">
        <f>'Expanded Base Data'!$L466</f>
        <v/>
      </c>
      <c r="M475" s="5" t="str">
        <f>'Expanded Base Data'!$K466</f>
        <v/>
      </c>
      <c r="N475">
        <f t="shared" si="407"/>
        <v>76.45</v>
      </c>
      <c r="O475">
        <f t="shared" si="408"/>
        <v>27.4</v>
      </c>
      <c r="P475" s="5" t="e">
        <f>ROUND((L475-M475),$O$1)</f>
        <v>#VALUE!</v>
      </c>
      <c r="Q475">
        <f>'Code List'!$C$70</f>
        <v>11</v>
      </c>
      <c r="R475">
        <f>'Code List'!$D$70</f>
        <v>19</v>
      </c>
      <c r="S475" t="e">
        <f>IF(P475=0,"1",ROUND((P475/$K$1)+$M$1,0))</f>
        <v>#VALUE!</v>
      </c>
      <c r="T475" t="e">
        <f>Q475*R475*S475</f>
        <v>#VALUE!</v>
      </c>
      <c r="U475" t="str">
        <f>IF(A475="YES",CONCATENATE(G475,"_",'Program Page'!$C$4,'Program Page'!$C$5,"_",D475,"_",E475),"")</f>
        <v/>
      </c>
      <c r="V475" t="str">
        <f>IF(U475="","",CONCATENATE(U475,"_"))</f>
        <v/>
      </c>
      <c r="W475" t="str">
        <f>IF(A475="YES",CONCATENATE("{",'Code List'!$B$4,'Code List'!$D$4,",",'Code List'!$B$5,'Code List'!$D$5,",",'Code List'!$B$6,"""",U475,"""",",",'Code List'!$B$7,'Code List'!$D$7,",",'Code List'!$B$8,'Code List'!$D$8,",",'Code List'!$B$9,'Code List'!$D$9,",",'Code List'!$B$10,'Code List'!$D$10,",",'Code List'!$B$11,"""",V475,"""",",",'Code List'!$B$12,"""",H475,"""",",",'Code List'!$B$13,"""",I475,"""",",",'Code List'!$B$14,"""",J475,"""",",",'Code List'!$B$15,"""",K475,"""",",",'Code List'!$B$16,"""",L475,"""",",",'Code List'!$B$17,"""",M475,"""",",",'Code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475" s="167" t="str">
        <f>IF(A475="YES",CONCATENATE("{",'Code List'!$B$31,"""",U475,"""",",",'Code List'!$B$32,'Code List'!$D$32,",",'Code List'!$B$33,'Code List'!$D$33,",",'Code List'!$B$34,'Code List'!$D$34,",",'Code List'!$B$35,'Code List'!$D$35,",",'Code List'!$B$36,'Code List'!$D$36,",",'Code List'!$B$37,'Code List'!$D$37,",",'Code List'!$B$38,"""",H475,"""",",",'Code List'!$B$39,"""",I475,"""",",",'Code List'!$B$40,"""",J475,"""",",",'Code List'!$B$41,"""",K475,"""",",",'Code List'!$B$42,"""",L475,"""",",",'Code List'!$B$43,"""",M475,"""",",",'Code List'!$B$44,"""",N475,"""",",",'Code List'!$B$45,"""",O475,"""",",",'Code List'!$B$46,"""",P475,"""",",",'Code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List'!$B$59,"""",T475,"""","}"),"")</f>
        <v/>
      </c>
    </row>
    <row r="476" spans="1:25" ht="18.75" x14ac:dyDescent="0.3">
      <c r="A476" s="35" t="str">
        <f>IF(OR(E476=$C$1,E476=$D$1,E476=$E$1),"YES","NO")</f>
        <v>NO</v>
      </c>
      <c r="B476" s="35">
        <f>'Expanded Base Data'!D474</f>
        <v>262.91000000000003</v>
      </c>
      <c r="C476" s="35">
        <f>'Expanded Base Data'!E474</f>
        <v>324.72000000000003</v>
      </c>
      <c r="D476" s="36" t="str">
        <f>'Expanded Base Data'!B474</f>
        <v>9D</v>
      </c>
      <c r="E476" s="35">
        <f>'Expanded Base Data'!C474</f>
        <v>0</v>
      </c>
      <c r="F476" s="35">
        <f>'Expanded Base Data'!M474</f>
        <v>0</v>
      </c>
      <c r="G476" s="170">
        <f>F476</f>
        <v>0</v>
      </c>
      <c r="Y476" s="167" t="str">
        <f>""</f>
        <v/>
      </c>
    </row>
    <row r="477" spans="1:25" x14ac:dyDescent="0.25">
      <c r="A477" t="str">
        <f>IF(AND($A476="YES",E476=$C$1),"YES","NO")</f>
        <v>NO</v>
      </c>
      <c r="C477" t="s">
        <v>6</v>
      </c>
      <c r="D477" s="12" t="str">
        <f>D476</f>
        <v>9D</v>
      </c>
      <c r="E477" t="s">
        <v>6</v>
      </c>
      <c r="F477" t="s">
        <v>198</v>
      </c>
      <c r="G477" s="171">
        <f>F476</f>
        <v>0</v>
      </c>
      <c r="H477">
        <f>IF('Expanded Base Data'!N474="",ROUND(B476+'Slide Measurements'!$D$11,$O$1),B476+'Expanded Base Data'!N474)</f>
        <v>295.91000000000003</v>
      </c>
      <c r="I477">
        <f>IF('Expanded Base Data'!O474="",ROUND(B476+'Slide Measurements'!$D$12,$O$1),B476+'Expanded Base Data'!O474)</f>
        <v>304.51</v>
      </c>
      <c r="J477">
        <f>IF('Expanded Base Data'!P474="",C476+'Slide Measurements'!$E$13,C476+'Expanded Base Data'!P474)</f>
        <v>333.42</v>
      </c>
      <c r="K477">
        <f>IF('Expanded Base Data'!Q474="",C476+'Slide Measurements'!$E$14,C476+'Expanded Base Data'!Q474)</f>
        <v>342.02000000000004</v>
      </c>
      <c r="L477" s="5" t="str">
        <f>'Expanded Base Data'!$L474</f>
        <v/>
      </c>
      <c r="M477" s="5" t="str">
        <f>'Expanded Base Data'!$K474</f>
        <v/>
      </c>
      <c r="N477">
        <f>ROUND((I477-H477),$O$1)</f>
        <v>8.6</v>
      </c>
      <c r="O477">
        <f>ROUND((K477-J477),$O$1)</f>
        <v>8.6</v>
      </c>
      <c r="P477" s="5" t="e">
        <f>ROUND((L477-M477),$O$1)</f>
        <v>#VALUE!</v>
      </c>
      <c r="Q477">
        <f>'Code List'!$C$62</f>
        <v>5</v>
      </c>
      <c r="R477">
        <f>F478+'Code List'!$G$63</f>
        <v>2</v>
      </c>
      <c r="S477" t="e">
        <f>IF(P477=0,"1",ROUND((P477/$K$1)+$M$1,0))</f>
        <v>#VALUE!</v>
      </c>
      <c r="T477" t="e">
        <f>Q477*R477*S477</f>
        <v>#VALUE!</v>
      </c>
      <c r="U477" t="str">
        <f>IF(A477="YES",CONCATENATE(G477,"_",'Program Page'!$C$4,'Program Page'!$C$5,"_",D477,"_",E477),"")</f>
        <v/>
      </c>
      <c r="V477" t="str">
        <f>IF(U477="","",CONCATENATE(U477,"_"))</f>
        <v/>
      </c>
      <c r="W477" t="str">
        <f>IF(A477="YES",CONCATENATE("{",'Code List'!$B$4,'Code List'!$D$4,",",'Code List'!$B$5,'Code List'!$D$5,",",'Code List'!$B$6,"""",U477,"""",",",'Code List'!$B$7,'Code List'!$D$7,",",'Code List'!$B$8,'Code List'!$D$8,",",'Code List'!$B$9,'Code List'!$D$9,",",'Code List'!$B$10,'Code List'!$D$10,",",'Code List'!$B$11,"""",V477,"""",",",'Code List'!$B$12,"""",H477,"""",",",'Code List'!$B$13,"""",I477,"""",",",'Code List'!$B$14,"""",J477,"""",",",'Code List'!$B$15,"""",K477,"""",",",'Code List'!$B$16,"""",L477,"""",",",'Code List'!$B$17,"""",M477,"""",",",'Code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77" s="167" t="str">
        <f>IF(A477="YES",CONCATENATE("{",'Code List'!$B$31,"""",U477,"""",",",'Code List'!$B$32,'Code List'!$D$32,",",'Code List'!$B$33,'Code List'!$D$33,",",'Code List'!$B$34,'Code List'!$D$34,",",'Code List'!$B$35,'Code List'!$D$35,",",'Code List'!$B$36,'Code List'!$D$36,",",'Code List'!$B$37,'Code List'!$D$37,",",'Code List'!$B$38,"""",H477,"""",",",'Code List'!$B$39,"""",I477,"""",",",'Code List'!$B$40,"""",J477,"""",",",'Code List'!$B$41,"""",K477,"""",",",'Code List'!$B$42,"""",L477,"""",",",'Code List'!$B$43,"""",M477,"""",",",'Code List'!$B$44,"""",N477,"""",",",'Code List'!$B$45,"""",O477,"""",",",'Code List'!$B$46,"""",P477,"""",",",'Code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List'!$B$59,"""",T477,"""","}"),"")</f>
        <v/>
      </c>
    </row>
    <row r="478" spans="1:25" x14ac:dyDescent="0.25">
      <c r="A478" t="str">
        <f>IF(AND($A476="YES",E476=$D$1,F478&gt;0),"YES","NO")</f>
        <v>NO</v>
      </c>
      <c r="C478" t="s">
        <v>5</v>
      </c>
      <c r="D478" s="12" t="str">
        <f t="shared" ref="D478:D482" si="413">D477</f>
        <v>9D</v>
      </c>
      <c r="E478" t="s">
        <v>188</v>
      </c>
      <c r="F478">
        <f>'Expanded Base Data'!F474</f>
        <v>0</v>
      </c>
      <c r="G478" s="171">
        <f>F476</f>
        <v>0</v>
      </c>
      <c r="H478">
        <f>ROUND(B476+'Slide Measurements'!$D$17,$O$1)</f>
        <v>288.31</v>
      </c>
      <c r="I478">
        <f>ROUND(H478+(F478*'Slide Measurements'!$D$21),$O$1)</f>
        <v>288.31</v>
      </c>
      <c r="J478">
        <f>C476+'Slide Measurements'!$E$17</f>
        <v>329.02000000000004</v>
      </c>
      <c r="K478">
        <f>J478+($I$1*'Slide Measurements'!$E$23-'Slide Measurements'!$E$23)</f>
        <v>330.87000000000006</v>
      </c>
      <c r="L478" s="5" t="str">
        <f>'Expanded Base Data'!$L474</f>
        <v/>
      </c>
      <c r="M478" s="5" t="str">
        <f>'Expanded Base Data'!$K474</f>
        <v/>
      </c>
      <c r="N478">
        <f t="shared" ref="N478:N483" si="414">ROUND((I478-H478),$O$1)</f>
        <v>0</v>
      </c>
      <c r="O478">
        <f t="shared" ref="O478:O483" si="415">ROUND((K478-J478),$O$1)</f>
        <v>1.85</v>
      </c>
      <c r="P478" s="5" t="e">
        <f t="shared" ref="P478:P482" si="416">ROUND((L478-M478),$O$1)</f>
        <v>#VALUE!</v>
      </c>
      <c r="Q478">
        <f>'Code List'!$C$63</f>
        <v>3</v>
      </c>
      <c r="R478">
        <f>F479+'Code List'!$G$63</f>
        <v>2</v>
      </c>
      <c r="S478" t="e">
        <f t="shared" ref="S478:S482" si="417">IF(P478=0,"1",ROUND((P478/$K$1)+$M$1,0))</f>
        <v>#VALUE!</v>
      </c>
      <c r="T478" t="e">
        <f>Q478*R478*S478</f>
        <v>#VALUE!</v>
      </c>
      <c r="U478" t="str">
        <f>IF(A478="YES",CONCATENATE(G478,"_",'Program Page'!$C$4,'Program Page'!$C$5,"_",D478,"_",E478),"")</f>
        <v/>
      </c>
      <c r="V478" t="str">
        <f t="shared" ref="V478:V482" si="418">IF(U478="","",CONCATENATE(U478,"_"))</f>
        <v/>
      </c>
      <c r="W478" t="str">
        <f>IF(A478="YES",CONCATENATE("{",'Code List'!$B$4,'Code List'!$D$4,",",'Code List'!$B$5,'Code List'!$D$5,",",'Code List'!$B$6,"""",U478,"""",",",'Code List'!$B$7,'Code List'!$D$7,",",'Code List'!$B$8,'Code List'!$D$8,",",'Code List'!$B$9,'Code List'!$D$9,",",'Code List'!$B$10,'Code List'!$D$10,",",'Code List'!$B$11,"""",V478,"""",",",'Code List'!$B$12,"""",H478,"""",",",'Code List'!$B$13,"""",I478,"""",",",'Code List'!$B$14,"""",J478,"""",",",'Code List'!$B$15,"""",K478,"""",",",'Code List'!$B$16,"""",L478,"""",",",'Code List'!$B$17,"""",M478,"""",",",'Code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78" s="167" t="str">
        <f>IF(A478="YES",CONCATENATE("{",'Code List'!$B$31,"""",U478,"""",",",'Code List'!$B$32,'Code List'!$D$32,",",'Code List'!$B$33,'Code List'!$D$33,",",'Code List'!$B$34,'Code List'!$D$34,",",'Code List'!$B$35,'Code List'!$D$35,",",'Code List'!$B$36,'Code List'!$D$36,",",'Code List'!$B$37,'Code List'!$D$37,",",'Code List'!$B$38,"""",H478,"""",",",'Code List'!$B$39,"""",I478,"""",",",'Code List'!$B$40,"""",J478,"""",",",'Code List'!$B$41,"""",K478,"""",",",'Code List'!$B$42,"""",L478,"""",",",'Code List'!$B$43,"""",M478,"""",",",'Code List'!$B$44,"""",N478,"""",",",'Code List'!$B$45,"""",O478,"""",",",'Code List'!$B$46,"""",P478,"""",",",'Code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List'!$B$59,"""",T478,"""","}"),"")</f>
        <v/>
      </c>
    </row>
    <row r="479" spans="1:25" x14ac:dyDescent="0.25">
      <c r="A479" t="str">
        <f>IF(AND($A476="YES",E476=$D$1,F479&gt;0),"YES","NO")</f>
        <v>NO</v>
      </c>
      <c r="C479" t="s">
        <v>5</v>
      </c>
      <c r="D479" s="12" t="str">
        <f t="shared" si="413"/>
        <v>9D</v>
      </c>
      <c r="E479" t="s">
        <v>189</v>
      </c>
      <c r="F479">
        <f>'Expanded Base Data'!G474</f>
        <v>0</v>
      </c>
      <c r="G479" s="171">
        <f>F476</f>
        <v>0</v>
      </c>
      <c r="H479">
        <f>ROUND(B476+'Slide Measurements'!$D$17,$O$1)</f>
        <v>288.31</v>
      </c>
      <c r="I479">
        <f>ROUND(H479+(F479*'Slide Measurements'!$D$21),$O$1)</f>
        <v>288.31</v>
      </c>
      <c r="J479">
        <f>K478</f>
        <v>330.87000000000006</v>
      </c>
      <c r="K479">
        <f>J479+($I$1*'Slide Measurements'!$E$23-'Slide Measurements'!$E$23)</f>
        <v>332.72000000000008</v>
      </c>
      <c r="L479" s="5" t="str">
        <f>'Expanded Base Data'!$L474</f>
        <v/>
      </c>
      <c r="M479" s="5" t="str">
        <f>'Expanded Base Data'!$K474</f>
        <v/>
      </c>
      <c r="N479">
        <f t="shared" si="414"/>
        <v>0</v>
      </c>
      <c r="O479">
        <f t="shared" si="415"/>
        <v>1.85</v>
      </c>
      <c r="P479" s="5" t="e">
        <f t="shared" si="416"/>
        <v>#VALUE!</v>
      </c>
      <c r="Q479">
        <f>'Code List'!$C$63</f>
        <v>3</v>
      </c>
      <c r="R479">
        <f>F480+'Code List'!$G$63</f>
        <v>2</v>
      </c>
      <c r="S479" t="e">
        <f t="shared" si="417"/>
        <v>#VALUE!</v>
      </c>
      <c r="T479" t="e">
        <f t="shared" ref="T479:T482" si="419">Q479*R479*S479</f>
        <v>#VALUE!</v>
      </c>
      <c r="U479" t="str">
        <f>IF(A479="YES",CONCATENATE(G479,"_",'Program Page'!$C$4,'Program Page'!$C$5,"_",D479,"_",E479),"")</f>
        <v/>
      </c>
      <c r="V479" t="str">
        <f t="shared" si="418"/>
        <v/>
      </c>
      <c r="W479" t="str">
        <f>IF(A479="YES",CONCATENATE("{",'Code List'!$B$4,'Code List'!$D$4,",",'Code List'!$B$5,'Code List'!$D$5,",",'Code List'!$B$6,"""",U479,"""",",",'Code List'!$B$7,'Code List'!$D$7,",",'Code List'!$B$8,'Code List'!$D$8,",",'Code List'!$B$9,'Code List'!$D$9,",",'Code List'!$B$10,'Code List'!$D$10,",",'Code List'!$B$11,"""",V479,"""",",",'Code List'!$B$12,"""",H479,"""",",",'Code List'!$B$13,"""",I479,"""",",",'Code List'!$B$14,"""",J479,"""",",",'Code List'!$B$15,"""",K479,"""",",",'Code List'!$B$16,"""",L479,"""",",",'Code List'!$B$17,"""",M479,"""",",",'Code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79" s="167" t="str">
        <f>IF(A479="YES",CONCATENATE("{",'Code List'!$B$31,"""",U479,"""",",",'Code List'!$B$32,'Code List'!$D$32,",",'Code List'!$B$33,'Code List'!$D$33,",",'Code List'!$B$34,'Code List'!$D$34,",",'Code List'!$B$35,'Code List'!$D$35,",",'Code List'!$B$36,'Code List'!$D$36,",",'Code List'!$B$37,'Code List'!$D$37,",",'Code List'!$B$38,"""",H479,"""",",",'Code List'!$B$39,"""",I479,"""",",",'Code List'!$B$40,"""",J479,"""",",",'Code List'!$B$41,"""",K479,"""",",",'Code List'!$B$42,"""",L479,"""",",",'Code List'!$B$43,"""",M479,"""",",",'Code List'!$B$44,"""",N479,"""",",",'Code List'!$B$45,"""",O479,"""",",",'Code List'!$B$46,"""",P479,"""",",",'Code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List'!$B$59,"""",T479,"""","}"),"")</f>
        <v/>
      </c>
    </row>
    <row r="480" spans="1:25" x14ac:dyDescent="0.25">
      <c r="A480" t="str">
        <f>IF(AND($A476="YES",E476=$D$1,F480&gt;0),"YES","NO")</f>
        <v>NO</v>
      </c>
      <c r="C480" t="s">
        <v>5</v>
      </c>
      <c r="D480" s="12" t="str">
        <f t="shared" si="413"/>
        <v>9D</v>
      </c>
      <c r="E480" t="s">
        <v>190</v>
      </c>
      <c r="F480">
        <f>'Expanded Base Data'!H474</f>
        <v>0</v>
      </c>
      <c r="G480" s="171">
        <f>F476</f>
        <v>0</v>
      </c>
      <c r="H480">
        <f>ROUND(B476+'Slide Measurements'!$D$17,$O$1)</f>
        <v>288.31</v>
      </c>
      <c r="I480">
        <f>ROUND(H480+(F480*'Slide Measurements'!$D$21),$O$1)</f>
        <v>288.31</v>
      </c>
      <c r="J480">
        <f>K479</f>
        <v>332.72000000000008</v>
      </c>
      <c r="K480">
        <f>J480+($I$1*'Slide Measurements'!$E$23-'Slide Measurements'!$E$23)</f>
        <v>334.57000000000011</v>
      </c>
      <c r="L480" s="5" t="str">
        <f>'Expanded Base Data'!$L474</f>
        <v/>
      </c>
      <c r="M480" s="5" t="str">
        <f>'Expanded Base Data'!$K474</f>
        <v/>
      </c>
      <c r="N480">
        <f t="shared" si="414"/>
        <v>0</v>
      </c>
      <c r="O480">
        <f t="shared" si="415"/>
        <v>1.85</v>
      </c>
      <c r="P480" s="5" t="e">
        <f t="shared" si="416"/>
        <v>#VALUE!</v>
      </c>
      <c r="Q480">
        <f>'Code List'!$C$63</f>
        <v>3</v>
      </c>
      <c r="R480">
        <f>F481+'Code List'!$G$63</f>
        <v>2</v>
      </c>
      <c r="S480" t="e">
        <f t="shared" si="417"/>
        <v>#VALUE!</v>
      </c>
      <c r="T480" t="e">
        <f t="shared" si="419"/>
        <v>#VALUE!</v>
      </c>
      <c r="U480" t="str">
        <f>IF(A480="YES",CONCATENATE(G480,"_",'Program Page'!$C$4,'Program Page'!$C$5,"_",D480,"_",E480),"")</f>
        <v/>
      </c>
      <c r="V480" t="str">
        <f t="shared" si="418"/>
        <v/>
      </c>
      <c r="W480" t="str">
        <f>IF(A480="YES",CONCATENATE("{",'Code List'!$B$4,'Code List'!$D$4,",",'Code List'!$B$5,'Code List'!$D$5,",",'Code List'!$B$6,"""",U480,"""",",",'Code List'!$B$7,'Code List'!$D$7,",",'Code List'!$B$8,'Code List'!$D$8,",",'Code List'!$B$9,'Code List'!$D$9,",",'Code List'!$B$10,'Code List'!$D$10,",",'Code List'!$B$11,"""",V480,"""",",",'Code List'!$B$12,"""",H480,"""",",",'Code List'!$B$13,"""",I480,"""",",",'Code List'!$B$14,"""",J480,"""",",",'Code List'!$B$15,"""",K480,"""",",",'Code List'!$B$16,"""",L480,"""",",",'Code List'!$B$17,"""",M480,"""",",",'Code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80" s="167" t="str">
        <f>IF(A480="YES",CONCATENATE("{",'Code List'!$B$31,"""",U480,"""",",",'Code List'!$B$32,'Code List'!$D$32,",",'Code List'!$B$33,'Code List'!$D$33,",",'Code List'!$B$34,'Code List'!$D$34,",",'Code List'!$B$35,'Code List'!$D$35,",",'Code List'!$B$36,'Code List'!$D$36,",",'Code List'!$B$37,'Code List'!$D$37,",",'Code List'!$B$38,"""",H480,"""",",",'Code List'!$B$39,"""",I480,"""",",",'Code List'!$B$40,"""",J480,"""",",",'Code List'!$B$41,"""",K480,"""",",",'Code List'!$B$42,"""",L480,"""",",",'Code List'!$B$43,"""",M480,"""",",",'Code List'!$B$44,"""",N480,"""",",",'Code List'!$B$45,"""",O480,"""",",",'Code List'!$B$46,"""",P480,"""",",",'Code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List'!$B$59,"""",T480,"""","}"),"")</f>
        <v/>
      </c>
    </row>
    <row r="481" spans="1:25" x14ac:dyDescent="0.25">
      <c r="A481" t="str">
        <f>IF(AND($A476="YES",E476=$D$1,F481&gt;0),"YES","NO")</f>
        <v>NO</v>
      </c>
      <c r="C481" t="s">
        <v>5</v>
      </c>
      <c r="D481" s="12" t="str">
        <f t="shared" si="413"/>
        <v>9D</v>
      </c>
      <c r="E481" t="s">
        <v>191</v>
      </c>
      <c r="F481">
        <f>'Expanded Base Data'!I474</f>
        <v>0</v>
      </c>
      <c r="G481" s="171">
        <f>F476</f>
        <v>0</v>
      </c>
      <c r="H481">
        <f>ROUND(B476+'Slide Measurements'!$D$17,$O$1)</f>
        <v>288.31</v>
      </c>
      <c r="I481">
        <f>ROUND(H481+(F481*'Slide Measurements'!$D$21),$O$1)</f>
        <v>288.31</v>
      </c>
      <c r="J481">
        <f>K480</f>
        <v>334.57000000000011</v>
      </c>
      <c r="K481">
        <f>J481+($I$1*'Slide Measurements'!$E$23-'Slide Measurements'!$E$23)</f>
        <v>336.42000000000013</v>
      </c>
      <c r="L481" s="5" t="str">
        <f>'Expanded Base Data'!$L474</f>
        <v/>
      </c>
      <c r="M481" s="5" t="str">
        <f>'Expanded Base Data'!$K474</f>
        <v/>
      </c>
      <c r="N481">
        <f t="shared" si="414"/>
        <v>0</v>
      </c>
      <c r="O481">
        <f t="shared" si="415"/>
        <v>1.85</v>
      </c>
      <c r="P481" s="5" t="e">
        <f t="shared" si="416"/>
        <v>#VALUE!</v>
      </c>
      <c r="Q481">
        <f>'Code List'!$C$63</f>
        <v>3</v>
      </c>
      <c r="R481">
        <f>F482+'Code List'!$G$63</f>
        <v>2</v>
      </c>
      <c r="S481" t="e">
        <f t="shared" si="417"/>
        <v>#VALUE!</v>
      </c>
      <c r="T481" t="e">
        <f t="shared" si="419"/>
        <v>#VALUE!</v>
      </c>
      <c r="U481" t="str">
        <f>IF(A481="YES",CONCATENATE(G481,"_",'Program Page'!$C$4,'Program Page'!$C$5,"_",D481,"_",E481),"")</f>
        <v/>
      </c>
      <c r="V481" t="str">
        <f t="shared" si="418"/>
        <v/>
      </c>
      <c r="W481" t="str">
        <f>IF(A481="YES",CONCATENATE("{",'Code List'!$B$4,'Code List'!$D$4,",",'Code List'!$B$5,'Code List'!$D$5,",",'Code List'!$B$6,"""",U481,"""",",",'Code List'!$B$7,'Code List'!$D$7,",",'Code List'!$B$8,'Code List'!$D$8,",",'Code List'!$B$9,'Code List'!$D$9,",",'Code List'!$B$10,'Code List'!$D$10,",",'Code List'!$B$11,"""",V481,"""",",",'Code List'!$B$12,"""",H481,"""",",",'Code List'!$B$13,"""",I481,"""",",",'Code List'!$B$14,"""",J481,"""",",",'Code List'!$B$15,"""",K481,"""",",",'Code List'!$B$16,"""",L481,"""",",",'Code List'!$B$17,"""",M481,"""",",",'Code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81" s="167" t="str">
        <f>IF(A481="YES",CONCATENATE("{",'Code List'!$B$31,"""",U481,"""",",",'Code List'!$B$32,'Code List'!$D$32,",",'Code List'!$B$33,'Code List'!$D$33,",",'Code List'!$B$34,'Code List'!$D$34,",",'Code List'!$B$35,'Code List'!$D$35,",",'Code List'!$B$36,'Code List'!$D$36,",",'Code List'!$B$37,'Code List'!$D$37,",",'Code List'!$B$38,"""",H481,"""",",",'Code List'!$B$39,"""",I481,"""",",",'Code List'!$B$40,"""",J481,"""",",",'Code List'!$B$41,"""",K481,"""",",",'Code List'!$B$42,"""",L481,"""",",",'Code List'!$B$43,"""",M481,"""",",",'Code List'!$B$44,"""",N481,"""",",",'Code List'!$B$45,"""",O481,"""",",",'Code List'!$B$46,"""",P481,"""",",",'Code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List'!$B$59,"""",T481,"""","}"),"")</f>
        <v/>
      </c>
    </row>
    <row r="482" spans="1:25" x14ac:dyDescent="0.25">
      <c r="A482" t="str">
        <f>IF(AND($A476="YES",E476=$D$1,F482&gt;0),"YES","NO")</f>
        <v>NO</v>
      </c>
      <c r="C482" t="s">
        <v>5</v>
      </c>
      <c r="D482" s="12" t="str">
        <f t="shared" si="413"/>
        <v>9D</v>
      </c>
      <c r="E482" t="s">
        <v>196</v>
      </c>
      <c r="F482">
        <f>'Expanded Base Data'!J474</f>
        <v>0</v>
      </c>
      <c r="G482" s="171">
        <f>F476</f>
        <v>0</v>
      </c>
      <c r="H482">
        <f>ROUND(B476+'Slide Measurements'!$D$17,$O$1)</f>
        <v>288.31</v>
      </c>
      <c r="I482">
        <f>ROUND(H482+(F482*'Slide Measurements'!$D$21),$O$1)</f>
        <v>288.31</v>
      </c>
      <c r="J482">
        <f>K481</f>
        <v>336.42000000000013</v>
      </c>
      <c r="K482">
        <f>J482+($I$1*'Slide Measurements'!$E$23-'Slide Measurements'!$E$23)</f>
        <v>338.27000000000015</v>
      </c>
      <c r="L482" s="5" t="str">
        <f>'Expanded Base Data'!$L474</f>
        <v/>
      </c>
      <c r="M482" s="5" t="str">
        <f>'Expanded Base Data'!$K474</f>
        <v/>
      </c>
      <c r="N482">
        <f t="shared" si="414"/>
        <v>0</v>
      </c>
      <c r="O482">
        <f t="shared" si="415"/>
        <v>1.85</v>
      </c>
      <c r="P482" s="5" t="e">
        <f t="shared" si="416"/>
        <v>#VALUE!</v>
      </c>
      <c r="Q482">
        <f>'Code List'!$C$63</f>
        <v>3</v>
      </c>
      <c r="R482">
        <f>F483+'Code List'!$G$63</f>
        <v>2</v>
      </c>
      <c r="S482" t="e">
        <f t="shared" si="417"/>
        <v>#VALUE!</v>
      </c>
      <c r="T482" t="e">
        <f t="shared" si="419"/>
        <v>#VALUE!</v>
      </c>
      <c r="U482" t="str">
        <f>IF(A482="YES",CONCATENATE(G482,"_",'Program Page'!$C$4,'Program Page'!$C$5,"_",D482,"_",E482),"")</f>
        <v/>
      </c>
      <c r="V482" t="str">
        <f t="shared" si="418"/>
        <v/>
      </c>
      <c r="W482" t="str">
        <f>IF(A482="YES",CONCATENATE("{",'Code List'!$B$4,'Code List'!$D$4,",",'Code List'!$B$5,'Code List'!$D$5,",",'Code List'!$B$6,"""",U482,"""",",",'Code List'!$B$7,'Code List'!$D$7,",",'Code List'!$B$8,'Code List'!$D$8,",",'Code List'!$B$9,'Code List'!$D$9,",",'Code List'!$B$10,'Code List'!$D$10,",",'Code List'!$B$11,"""",V482,"""",",",'Code List'!$B$12,"""",H482,"""",",",'Code List'!$B$13,"""",I482,"""",",",'Code List'!$B$14,"""",J482,"""",",",'Code List'!$B$15,"""",K482,"""",",",'Code List'!$B$16,"""",L482,"""",",",'Code List'!$B$17,"""",M482,"""",",",'Code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82" s="167" t="str">
        <f>IF(A482="YES",CONCATENATE("{",'Code List'!$B$31,"""",U482,"""",",",'Code List'!$B$32,'Code List'!$D$32,",",'Code List'!$B$33,'Code List'!$D$33,",",'Code List'!$B$34,'Code List'!$D$34,",",'Code List'!$B$35,'Code List'!$D$35,",",'Code List'!$B$36,'Code List'!$D$36,",",'Code List'!$B$37,'Code List'!$D$37,",",'Code List'!$B$38,"""",H482,"""",",",'Code List'!$B$39,"""",I482,"""",",",'Code List'!$B$40,"""",J482,"""",",",'Code List'!$B$41,"""",K482,"""",",",'Code List'!$B$42,"""",L482,"""",",",'Code List'!$B$43,"""",M482,"""",",",'Code List'!$B$44,"""",N482,"""",",",'Code List'!$B$45,"""",O482,"""",",",'Code List'!$B$46,"""",P482,"""",",",'Code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List'!$B$59,"""",T482,"""","}"),"")</f>
        <v/>
      </c>
    </row>
    <row r="483" spans="1:25" x14ac:dyDescent="0.25">
      <c r="A483" s="162" t="str">
        <f>IF(AND($A476="YES",E476=$E$1),"YES","NO")</f>
        <v>NO</v>
      </c>
      <c r="C483" t="s">
        <v>259</v>
      </c>
      <c r="D483" s="12" t="str">
        <f>D482</f>
        <v>9D</v>
      </c>
      <c r="E483" t="s">
        <v>259</v>
      </c>
      <c r="G483" s="171">
        <f>F476</f>
        <v>0</v>
      </c>
      <c r="H483">
        <f>ROUND(B476,$O$1)</f>
        <v>262.91000000000003</v>
      </c>
      <c r="I483">
        <f>ROUND(B476+'Slide Measurements'!$D$1,$O$1)</f>
        <v>339.36</v>
      </c>
      <c r="J483">
        <f>C476</f>
        <v>324.72000000000003</v>
      </c>
      <c r="K483">
        <f>C476+'Slide Measurements'!$D$2</f>
        <v>352.12</v>
      </c>
      <c r="L483" s="5" t="str">
        <f>'Expanded Base Data'!$L474</f>
        <v/>
      </c>
      <c r="M483" s="5" t="str">
        <f>'Expanded Base Data'!$K474</f>
        <v/>
      </c>
      <c r="N483">
        <f t="shared" si="414"/>
        <v>76.45</v>
      </c>
      <c r="O483">
        <f t="shared" si="415"/>
        <v>27.4</v>
      </c>
      <c r="P483" s="5" t="e">
        <f>ROUND((L483-M483),$O$1)</f>
        <v>#VALUE!</v>
      </c>
      <c r="Q483">
        <f>'Code List'!$C$70</f>
        <v>11</v>
      </c>
      <c r="R483">
        <f>'Code List'!$D$70</f>
        <v>19</v>
      </c>
      <c r="S483" t="e">
        <f>IF(P483=0,"1",ROUND((P483/$K$1)+$M$1,0))</f>
        <v>#VALUE!</v>
      </c>
      <c r="T483" t="e">
        <f>Q483*R483*S483</f>
        <v>#VALUE!</v>
      </c>
      <c r="U483" t="str">
        <f>IF(A483="YES",CONCATENATE(G483,"_",'Program Page'!$C$4,'Program Page'!$C$5,"_",D483,"_",E483),"")</f>
        <v/>
      </c>
      <c r="V483" t="str">
        <f>IF(U483="","",CONCATENATE(U483,"_"))</f>
        <v/>
      </c>
      <c r="W483" t="str">
        <f>IF(A483="YES",CONCATENATE("{",'Code List'!$B$4,'Code List'!$D$4,",",'Code List'!$B$5,'Code List'!$D$5,",",'Code List'!$B$6,"""",U483,"""",",",'Code List'!$B$7,'Code List'!$D$7,",",'Code List'!$B$8,'Code List'!$D$8,",",'Code List'!$B$9,'Code List'!$D$9,",",'Code List'!$B$10,'Code List'!$D$10,",",'Code List'!$B$11,"""",V483,"""",",",'Code List'!$B$12,"""",H483,"""",",",'Code List'!$B$13,"""",I483,"""",",",'Code List'!$B$14,"""",J483,"""",",",'Code List'!$B$15,"""",K483,"""",",",'Code List'!$B$16,"""",L483,"""",",",'Code List'!$B$17,"""",M483,"""",",",'Code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483" s="167" t="str">
        <f>IF(A483="YES",CONCATENATE("{",'Code List'!$B$31,"""",U483,"""",",",'Code List'!$B$32,'Code List'!$D$32,",",'Code List'!$B$33,'Code List'!$D$33,",",'Code List'!$B$34,'Code List'!$D$34,",",'Code List'!$B$35,'Code List'!$D$35,",",'Code List'!$B$36,'Code List'!$D$36,",",'Code List'!$B$37,'Code List'!$D$37,",",'Code List'!$B$38,"""",H483,"""",",",'Code List'!$B$39,"""",I483,"""",",",'Code List'!$B$40,"""",J483,"""",",",'Code List'!$B$41,"""",K483,"""",",",'Code List'!$B$42,"""",L483,"""",",",'Code List'!$B$43,"""",M483,"""",",",'Code List'!$B$44,"""",N483,"""",",",'Code List'!$B$45,"""",O483,"""",",",'Code List'!$B$46,"""",P483,"""",",",'Code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List'!$B$59,"""",T483,"""","}"),"")</f>
        <v/>
      </c>
    </row>
    <row r="484" spans="1:25" ht="18.75" x14ac:dyDescent="0.3">
      <c r="A484" s="35" t="str">
        <f>IF(OR(E484=$C$1,E484=$D$1,E484=$E$1),"YES","NO")</f>
        <v>NO</v>
      </c>
      <c r="B484" s="35">
        <f>'Expanded Base Data'!D482</f>
        <v>349.31</v>
      </c>
      <c r="C484" s="35">
        <f>'Expanded Base Data'!E482</f>
        <v>324.72000000000003</v>
      </c>
      <c r="D484" s="36" t="str">
        <f>'Expanded Base Data'!B482</f>
        <v>9E</v>
      </c>
      <c r="E484" s="35">
        <f>'Expanded Base Data'!C482</f>
        <v>0</v>
      </c>
      <c r="F484" s="35">
        <f>'Expanded Base Data'!M482</f>
        <v>0</v>
      </c>
      <c r="G484" s="170">
        <f>F484</f>
        <v>0</v>
      </c>
      <c r="Y484" s="167" t="str">
        <f>""</f>
        <v/>
      </c>
    </row>
    <row r="485" spans="1:25" x14ac:dyDescent="0.25">
      <c r="A485" t="str">
        <f>IF(AND($A484="YES",E484=$C$1),"YES","NO")</f>
        <v>NO</v>
      </c>
      <c r="C485" t="s">
        <v>6</v>
      </c>
      <c r="D485" s="12" t="str">
        <f>D484</f>
        <v>9E</v>
      </c>
      <c r="E485" t="s">
        <v>6</v>
      </c>
      <c r="F485" t="s">
        <v>198</v>
      </c>
      <c r="G485" s="171">
        <f>F484</f>
        <v>0</v>
      </c>
      <c r="H485">
        <f>IF('Expanded Base Data'!N482="",ROUND(B484+'Slide Measurements'!$D$11,$O$1),B484+'Expanded Base Data'!N482)</f>
        <v>382.31</v>
      </c>
      <c r="I485">
        <f>IF('Expanded Base Data'!O482="",ROUND(B484+'Slide Measurements'!$D$12,$O$1),B484+'Expanded Base Data'!O482)</f>
        <v>390.91</v>
      </c>
      <c r="J485">
        <f>IF('Expanded Base Data'!P482="",C484+'Slide Measurements'!$E$13,C484+'Expanded Base Data'!P482)</f>
        <v>333.42</v>
      </c>
      <c r="K485">
        <f>IF('Expanded Base Data'!Q482="",C484+'Slide Measurements'!$E$14,C484+'Expanded Base Data'!Q482)</f>
        <v>342.02000000000004</v>
      </c>
      <c r="L485" s="5" t="str">
        <f>'Expanded Base Data'!$L482</f>
        <v/>
      </c>
      <c r="M485" s="5" t="str">
        <f>'Expanded Base Data'!$K482</f>
        <v/>
      </c>
      <c r="N485">
        <f>ROUND((I485-H485),$O$1)</f>
        <v>8.6</v>
      </c>
      <c r="O485">
        <f>ROUND((K485-J485),$O$1)</f>
        <v>8.6</v>
      </c>
      <c r="P485" s="5" t="e">
        <f>ROUND((L485-M485),$O$1)</f>
        <v>#VALUE!</v>
      </c>
      <c r="Q485">
        <f>'Code List'!$C$62</f>
        <v>5</v>
      </c>
      <c r="R485">
        <f>F486+'Code List'!$G$63</f>
        <v>2</v>
      </c>
      <c r="S485" t="e">
        <f>IF(P485=0,"1",ROUND((P485/$K$1)+$M$1,0))</f>
        <v>#VALUE!</v>
      </c>
      <c r="T485" t="e">
        <f>Q485*R485*S485</f>
        <v>#VALUE!</v>
      </c>
      <c r="U485" t="str">
        <f>IF(A485="YES",CONCATENATE(G485,"_",'Program Page'!$C$4,'Program Page'!$C$5,"_",D485,"_",E485),"")</f>
        <v/>
      </c>
      <c r="V485" t="str">
        <f>IF(U485="","",CONCATENATE(U485,"_"))</f>
        <v/>
      </c>
      <c r="W485" t="str">
        <f>IF(A485="YES",CONCATENATE("{",'Code List'!$B$4,'Code List'!$D$4,",",'Code List'!$B$5,'Code List'!$D$5,",",'Code List'!$B$6,"""",U485,"""",",",'Code List'!$B$7,'Code List'!$D$7,",",'Code List'!$B$8,'Code List'!$D$8,",",'Code List'!$B$9,'Code List'!$D$9,",",'Code List'!$B$10,'Code List'!$D$10,",",'Code List'!$B$11,"""",V485,"""",",",'Code List'!$B$12,"""",H485,"""",",",'Code List'!$B$13,"""",I485,"""",",",'Code List'!$B$14,"""",J485,"""",",",'Code List'!$B$15,"""",K485,"""",",",'Code List'!$B$16,"""",L485,"""",",",'Code List'!$B$17,"""",M485,"""",",",'Code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85" s="167" t="str">
        <f>IF(A485="YES",CONCATENATE("{",'Code List'!$B$31,"""",U485,"""",",",'Code List'!$B$32,'Code List'!$D$32,",",'Code List'!$B$33,'Code List'!$D$33,",",'Code List'!$B$34,'Code List'!$D$34,",",'Code List'!$B$35,'Code List'!$D$35,",",'Code List'!$B$36,'Code List'!$D$36,",",'Code List'!$B$37,'Code List'!$D$37,",",'Code List'!$B$38,"""",H485,"""",",",'Code List'!$B$39,"""",I485,"""",",",'Code List'!$B$40,"""",J485,"""",",",'Code List'!$B$41,"""",K485,"""",",",'Code List'!$B$42,"""",L485,"""",",",'Code List'!$B$43,"""",M485,"""",",",'Code List'!$B$44,"""",N485,"""",",",'Code List'!$B$45,"""",O485,"""",",",'Code List'!$B$46,"""",P485,"""",",",'Code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List'!$B$59,"""",T485,"""","}"),"")</f>
        <v/>
      </c>
    </row>
    <row r="486" spans="1:25" x14ac:dyDescent="0.25">
      <c r="A486" t="str">
        <f>IF(AND($A484="YES",E484=$D$1,F486&gt;0),"YES","NO")</f>
        <v>NO</v>
      </c>
      <c r="C486" t="s">
        <v>5</v>
      </c>
      <c r="D486" s="12" t="str">
        <f t="shared" ref="D486:D490" si="420">D485</f>
        <v>9E</v>
      </c>
      <c r="E486" t="s">
        <v>188</v>
      </c>
      <c r="F486">
        <f>'Expanded Base Data'!F482</f>
        <v>0</v>
      </c>
      <c r="G486" s="171">
        <f>F484</f>
        <v>0</v>
      </c>
      <c r="H486">
        <f>ROUND(B484+'Slide Measurements'!$D$17,$O$1)</f>
        <v>374.71</v>
      </c>
      <c r="I486">
        <f>ROUND(H486+(F486*'Slide Measurements'!$D$21),$O$1)</f>
        <v>374.71</v>
      </c>
      <c r="J486">
        <f>C484+'Slide Measurements'!$E$17</f>
        <v>329.02000000000004</v>
      </c>
      <c r="K486">
        <f>J486+($I$1*'Slide Measurements'!$E$23-'Slide Measurements'!$E$23)</f>
        <v>330.87000000000006</v>
      </c>
      <c r="L486" s="5" t="str">
        <f>'Expanded Base Data'!$L482</f>
        <v/>
      </c>
      <c r="M486" s="5" t="str">
        <f>'Expanded Base Data'!$K482</f>
        <v/>
      </c>
      <c r="N486">
        <f t="shared" ref="N486:N491" si="421">ROUND((I486-H486),$O$1)</f>
        <v>0</v>
      </c>
      <c r="O486">
        <f t="shared" ref="O486:O491" si="422">ROUND((K486-J486),$O$1)</f>
        <v>1.85</v>
      </c>
      <c r="P486" s="5" t="e">
        <f t="shared" ref="P486:P490" si="423">ROUND((L486-M486),$O$1)</f>
        <v>#VALUE!</v>
      </c>
      <c r="Q486">
        <f>'Code List'!$C$63</f>
        <v>3</v>
      </c>
      <c r="R486">
        <f>F487+'Code List'!$G$63</f>
        <v>2</v>
      </c>
      <c r="S486" t="e">
        <f t="shared" ref="S486:S490" si="424">IF(P486=0,"1",ROUND((P486/$K$1)+$M$1,0))</f>
        <v>#VALUE!</v>
      </c>
      <c r="T486" t="e">
        <f>Q486*R486*S486</f>
        <v>#VALUE!</v>
      </c>
      <c r="U486" t="str">
        <f>IF(A486="YES",CONCATENATE(G486,"_",'Program Page'!$C$4,'Program Page'!$C$5,"_",D486,"_",E486),"")</f>
        <v/>
      </c>
      <c r="V486" t="str">
        <f t="shared" ref="V486:V490" si="425">IF(U486="","",CONCATENATE(U486,"_"))</f>
        <v/>
      </c>
      <c r="W486" t="str">
        <f>IF(A486="YES",CONCATENATE("{",'Code List'!$B$4,'Code List'!$D$4,",",'Code List'!$B$5,'Code List'!$D$5,",",'Code List'!$B$6,"""",U486,"""",",",'Code List'!$B$7,'Code List'!$D$7,",",'Code List'!$B$8,'Code List'!$D$8,",",'Code List'!$B$9,'Code List'!$D$9,",",'Code List'!$B$10,'Code List'!$D$10,",",'Code List'!$B$11,"""",V486,"""",",",'Code List'!$B$12,"""",H486,"""",",",'Code List'!$B$13,"""",I486,"""",",",'Code List'!$B$14,"""",J486,"""",",",'Code List'!$B$15,"""",K486,"""",",",'Code List'!$B$16,"""",L486,"""",",",'Code List'!$B$17,"""",M486,"""",",",'Code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86" s="167" t="str">
        <f>IF(A486="YES",CONCATENATE("{",'Code List'!$B$31,"""",U486,"""",",",'Code List'!$B$32,'Code List'!$D$32,",",'Code List'!$B$33,'Code List'!$D$33,",",'Code List'!$B$34,'Code List'!$D$34,",",'Code List'!$B$35,'Code List'!$D$35,",",'Code List'!$B$36,'Code List'!$D$36,",",'Code List'!$B$37,'Code List'!$D$37,",",'Code List'!$B$38,"""",H486,"""",",",'Code List'!$B$39,"""",I486,"""",",",'Code List'!$B$40,"""",J486,"""",",",'Code List'!$B$41,"""",K486,"""",",",'Code List'!$B$42,"""",L486,"""",",",'Code List'!$B$43,"""",M486,"""",",",'Code List'!$B$44,"""",N486,"""",",",'Code List'!$B$45,"""",O486,"""",",",'Code List'!$B$46,"""",P486,"""",",",'Code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List'!$B$59,"""",T486,"""","}"),"")</f>
        <v/>
      </c>
    </row>
    <row r="487" spans="1:25" x14ac:dyDescent="0.25">
      <c r="A487" t="str">
        <f>IF(AND($A484="YES",E484=$D$1,F487&gt;0),"YES","NO")</f>
        <v>NO</v>
      </c>
      <c r="C487" t="s">
        <v>5</v>
      </c>
      <c r="D487" s="12" t="str">
        <f t="shared" si="420"/>
        <v>9E</v>
      </c>
      <c r="E487" t="s">
        <v>189</v>
      </c>
      <c r="F487">
        <f>'Expanded Base Data'!G482</f>
        <v>0</v>
      </c>
      <c r="G487" s="171">
        <f>F484</f>
        <v>0</v>
      </c>
      <c r="H487">
        <f>ROUND(B484+'Slide Measurements'!$D$17,$O$1)</f>
        <v>374.71</v>
      </c>
      <c r="I487">
        <f>ROUND(H487+(F487*'Slide Measurements'!$D$21),$O$1)</f>
        <v>374.71</v>
      </c>
      <c r="J487">
        <f>K486</f>
        <v>330.87000000000006</v>
      </c>
      <c r="K487">
        <f>J487+($I$1*'Slide Measurements'!$E$23-'Slide Measurements'!$E$23)</f>
        <v>332.72000000000008</v>
      </c>
      <c r="L487" s="5" t="str">
        <f>'Expanded Base Data'!$L482</f>
        <v/>
      </c>
      <c r="M487" s="5" t="str">
        <f>'Expanded Base Data'!$K482</f>
        <v/>
      </c>
      <c r="N487">
        <f t="shared" si="421"/>
        <v>0</v>
      </c>
      <c r="O487">
        <f t="shared" si="422"/>
        <v>1.85</v>
      </c>
      <c r="P487" s="5" t="e">
        <f t="shared" si="423"/>
        <v>#VALUE!</v>
      </c>
      <c r="Q487">
        <f>'Code List'!$C$63</f>
        <v>3</v>
      </c>
      <c r="R487">
        <f>F488+'Code List'!$G$63</f>
        <v>2</v>
      </c>
      <c r="S487" t="e">
        <f t="shared" si="424"/>
        <v>#VALUE!</v>
      </c>
      <c r="T487" t="e">
        <f t="shared" ref="T487:T490" si="426">Q487*R487*S487</f>
        <v>#VALUE!</v>
      </c>
      <c r="U487" t="str">
        <f>IF(A487="YES",CONCATENATE(G487,"_",'Program Page'!$C$4,'Program Page'!$C$5,"_",D487,"_",E487),"")</f>
        <v/>
      </c>
      <c r="V487" t="str">
        <f t="shared" si="425"/>
        <v/>
      </c>
      <c r="W487" t="str">
        <f>IF(A487="YES",CONCATENATE("{",'Code List'!$B$4,'Code List'!$D$4,",",'Code List'!$B$5,'Code List'!$D$5,",",'Code List'!$B$6,"""",U487,"""",",",'Code List'!$B$7,'Code List'!$D$7,",",'Code List'!$B$8,'Code List'!$D$8,",",'Code List'!$B$9,'Code List'!$D$9,",",'Code List'!$B$10,'Code List'!$D$10,",",'Code List'!$B$11,"""",V487,"""",",",'Code List'!$B$12,"""",H487,"""",",",'Code List'!$B$13,"""",I487,"""",",",'Code List'!$B$14,"""",J487,"""",",",'Code List'!$B$15,"""",K487,"""",",",'Code List'!$B$16,"""",L487,"""",",",'Code List'!$B$17,"""",M487,"""",",",'Code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87" s="167" t="str">
        <f>IF(A487="YES",CONCATENATE("{",'Code List'!$B$31,"""",U487,"""",",",'Code List'!$B$32,'Code List'!$D$32,",",'Code List'!$B$33,'Code List'!$D$33,",",'Code List'!$B$34,'Code List'!$D$34,",",'Code List'!$B$35,'Code List'!$D$35,",",'Code List'!$B$36,'Code List'!$D$36,",",'Code List'!$B$37,'Code List'!$D$37,",",'Code List'!$B$38,"""",H487,"""",",",'Code List'!$B$39,"""",I487,"""",",",'Code List'!$B$40,"""",J487,"""",",",'Code List'!$B$41,"""",K487,"""",",",'Code List'!$B$42,"""",L487,"""",",",'Code List'!$B$43,"""",M487,"""",",",'Code List'!$B$44,"""",N487,"""",",",'Code List'!$B$45,"""",O487,"""",",",'Code List'!$B$46,"""",P487,"""",",",'Code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List'!$B$59,"""",T487,"""","}"),"")</f>
        <v/>
      </c>
    </row>
    <row r="488" spans="1:25" x14ac:dyDescent="0.25">
      <c r="A488" t="str">
        <f>IF(AND($A484="YES",E484=$D$1,F488&gt;0),"YES","NO")</f>
        <v>NO</v>
      </c>
      <c r="C488" t="s">
        <v>5</v>
      </c>
      <c r="D488" s="12" t="str">
        <f t="shared" si="420"/>
        <v>9E</v>
      </c>
      <c r="E488" t="s">
        <v>190</v>
      </c>
      <c r="F488">
        <f>'Expanded Base Data'!H482</f>
        <v>0</v>
      </c>
      <c r="G488" s="171">
        <f>F484</f>
        <v>0</v>
      </c>
      <c r="H488">
        <f>ROUND(B484+'Slide Measurements'!$D$17,$O$1)</f>
        <v>374.71</v>
      </c>
      <c r="I488">
        <f>ROUND(H488+(F488*'Slide Measurements'!$D$21),$O$1)</f>
        <v>374.71</v>
      </c>
      <c r="J488">
        <f>K487</f>
        <v>332.72000000000008</v>
      </c>
      <c r="K488">
        <f>J488+($I$1*'Slide Measurements'!$E$23-'Slide Measurements'!$E$23)</f>
        <v>334.57000000000011</v>
      </c>
      <c r="L488" s="5" t="str">
        <f>'Expanded Base Data'!$L482</f>
        <v/>
      </c>
      <c r="M488" s="5" t="str">
        <f>'Expanded Base Data'!$K482</f>
        <v/>
      </c>
      <c r="N488">
        <f t="shared" si="421"/>
        <v>0</v>
      </c>
      <c r="O488">
        <f t="shared" si="422"/>
        <v>1.85</v>
      </c>
      <c r="P488" s="5" t="e">
        <f t="shared" si="423"/>
        <v>#VALUE!</v>
      </c>
      <c r="Q488">
        <f>'Code List'!$C$63</f>
        <v>3</v>
      </c>
      <c r="R488">
        <f>F489+'Code List'!$G$63</f>
        <v>2</v>
      </c>
      <c r="S488" t="e">
        <f t="shared" si="424"/>
        <v>#VALUE!</v>
      </c>
      <c r="T488" t="e">
        <f t="shared" si="426"/>
        <v>#VALUE!</v>
      </c>
      <c r="U488" t="str">
        <f>IF(A488="YES",CONCATENATE(G488,"_",'Program Page'!$C$4,'Program Page'!$C$5,"_",D488,"_",E488),"")</f>
        <v/>
      </c>
      <c r="V488" t="str">
        <f t="shared" si="425"/>
        <v/>
      </c>
      <c r="W488" t="str">
        <f>IF(A488="YES",CONCATENATE("{",'Code List'!$B$4,'Code List'!$D$4,",",'Code List'!$B$5,'Code List'!$D$5,",",'Code List'!$B$6,"""",U488,"""",",",'Code List'!$B$7,'Code List'!$D$7,",",'Code List'!$B$8,'Code List'!$D$8,",",'Code List'!$B$9,'Code List'!$D$9,",",'Code List'!$B$10,'Code List'!$D$10,",",'Code List'!$B$11,"""",V488,"""",",",'Code List'!$B$12,"""",H488,"""",",",'Code List'!$B$13,"""",I488,"""",",",'Code List'!$B$14,"""",J488,"""",",",'Code List'!$B$15,"""",K488,"""",",",'Code List'!$B$16,"""",L488,"""",",",'Code List'!$B$17,"""",M488,"""",",",'Code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88" s="167" t="str">
        <f>IF(A488="YES",CONCATENATE("{",'Code List'!$B$31,"""",U488,"""",",",'Code List'!$B$32,'Code List'!$D$32,",",'Code List'!$B$33,'Code List'!$D$33,",",'Code List'!$B$34,'Code List'!$D$34,",",'Code List'!$B$35,'Code List'!$D$35,",",'Code List'!$B$36,'Code List'!$D$36,",",'Code List'!$B$37,'Code List'!$D$37,",",'Code List'!$B$38,"""",H488,"""",",",'Code List'!$B$39,"""",I488,"""",",",'Code List'!$B$40,"""",J488,"""",",",'Code List'!$B$41,"""",K488,"""",",",'Code List'!$B$42,"""",L488,"""",",",'Code List'!$B$43,"""",M488,"""",",",'Code List'!$B$44,"""",N488,"""",",",'Code List'!$B$45,"""",O488,"""",",",'Code List'!$B$46,"""",P488,"""",",",'Code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List'!$B$59,"""",T488,"""","}"),"")</f>
        <v/>
      </c>
    </row>
    <row r="489" spans="1:25" x14ac:dyDescent="0.25">
      <c r="A489" t="str">
        <f>IF(AND($A484="YES",E484=$D$1,F489&gt;0),"YES","NO")</f>
        <v>NO</v>
      </c>
      <c r="C489" t="s">
        <v>5</v>
      </c>
      <c r="D489" s="12" t="str">
        <f t="shared" si="420"/>
        <v>9E</v>
      </c>
      <c r="E489" t="s">
        <v>191</v>
      </c>
      <c r="F489">
        <f>'Expanded Base Data'!I482</f>
        <v>0</v>
      </c>
      <c r="G489" s="171">
        <f>F484</f>
        <v>0</v>
      </c>
      <c r="H489">
        <f>ROUND(B484+'Slide Measurements'!$D$17,$O$1)</f>
        <v>374.71</v>
      </c>
      <c r="I489">
        <f>ROUND(H489+(F489*'Slide Measurements'!$D$21),$O$1)</f>
        <v>374.71</v>
      </c>
      <c r="J489">
        <f>K488</f>
        <v>334.57000000000011</v>
      </c>
      <c r="K489">
        <f>J489+($I$1*'Slide Measurements'!$E$23-'Slide Measurements'!$E$23)</f>
        <v>336.42000000000013</v>
      </c>
      <c r="L489" s="5" t="str">
        <f>'Expanded Base Data'!$L482</f>
        <v/>
      </c>
      <c r="M489" s="5" t="str">
        <f>'Expanded Base Data'!$K482</f>
        <v/>
      </c>
      <c r="N489">
        <f t="shared" si="421"/>
        <v>0</v>
      </c>
      <c r="O489">
        <f t="shared" si="422"/>
        <v>1.85</v>
      </c>
      <c r="P489" s="5" t="e">
        <f t="shared" si="423"/>
        <v>#VALUE!</v>
      </c>
      <c r="Q489">
        <f>'Code List'!$C$63</f>
        <v>3</v>
      </c>
      <c r="R489">
        <f>F490+'Code List'!$G$63</f>
        <v>2</v>
      </c>
      <c r="S489" t="e">
        <f t="shared" si="424"/>
        <v>#VALUE!</v>
      </c>
      <c r="T489" t="e">
        <f t="shared" si="426"/>
        <v>#VALUE!</v>
      </c>
      <c r="U489" t="str">
        <f>IF(A489="YES",CONCATENATE(G489,"_",'Program Page'!$C$4,'Program Page'!$C$5,"_",D489,"_",E489),"")</f>
        <v/>
      </c>
      <c r="V489" t="str">
        <f t="shared" si="425"/>
        <v/>
      </c>
      <c r="W489" t="str">
        <f>IF(A489="YES",CONCATENATE("{",'Code List'!$B$4,'Code List'!$D$4,",",'Code List'!$B$5,'Code List'!$D$5,",",'Code List'!$B$6,"""",U489,"""",",",'Code List'!$B$7,'Code List'!$D$7,",",'Code List'!$B$8,'Code List'!$D$8,",",'Code List'!$B$9,'Code List'!$D$9,",",'Code List'!$B$10,'Code List'!$D$10,",",'Code List'!$B$11,"""",V489,"""",",",'Code List'!$B$12,"""",H489,"""",",",'Code List'!$B$13,"""",I489,"""",",",'Code List'!$B$14,"""",J489,"""",",",'Code List'!$B$15,"""",K489,"""",",",'Code List'!$B$16,"""",L489,"""",",",'Code List'!$B$17,"""",M489,"""",",",'Code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89" s="167" t="str">
        <f>IF(A489="YES",CONCATENATE("{",'Code List'!$B$31,"""",U489,"""",",",'Code List'!$B$32,'Code List'!$D$32,",",'Code List'!$B$33,'Code List'!$D$33,",",'Code List'!$B$34,'Code List'!$D$34,",",'Code List'!$B$35,'Code List'!$D$35,",",'Code List'!$B$36,'Code List'!$D$36,",",'Code List'!$B$37,'Code List'!$D$37,",",'Code List'!$B$38,"""",H489,"""",",",'Code List'!$B$39,"""",I489,"""",",",'Code List'!$B$40,"""",J489,"""",",",'Code List'!$B$41,"""",K489,"""",",",'Code List'!$B$42,"""",L489,"""",",",'Code List'!$B$43,"""",M489,"""",",",'Code List'!$B$44,"""",N489,"""",",",'Code List'!$B$45,"""",O489,"""",",",'Code List'!$B$46,"""",P489,"""",",",'Code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List'!$B$59,"""",T489,"""","}"),"")</f>
        <v/>
      </c>
    </row>
    <row r="490" spans="1:25" x14ac:dyDescent="0.25">
      <c r="A490" t="str">
        <f>IF(AND($A484="YES",E484=$D$1,F490&gt;0),"YES","NO")</f>
        <v>NO</v>
      </c>
      <c r="C490" t="s">
        <v>5</v>
      </c>
      <c r="D490" s="12" t="str">
        <f t="shared" si="420"/>
        <v>9E</v>
      </c>
      <c r="E490" t="s">
        <v>196</v>
      </c>
      <c r="F490">
        <f>'Expanded Base Data'!J482</f>
        <v>0</v>
      </c>
      <c r="G490" s="171">
        <f>F484</f>
        <v>0</v>
      </c>
      <c r="H490">
        <f>ROUND(B484+'Slide Measurements'!$D$17,$O$1)</f>
        <v>374.71</v>
      </c>
      <c r="I490">
        <f>ROUND(H490+(F490*'Slide Measurements'!$D$21),$O$1)</f>
        <v>374.71</v>
      </c>
      <c r="J490">
        <f>K489</f>
        <v>336.42000000000013</v>
      </c>
      <c r="K490">
        <f>J490+($I$1*'Slide Measurements'!$E$23-'Slide Measurements'!$E$23)</f>
        <v>338.27000000000015</v>
      </c>
      <c r="L490" s="5" t="str">
        <f>'Expanded Base Data'!$L482</f>
        <v/>
      </c>
      <c r="M490" s="5" t="str">
        <f>'Expanded Base Data'!$K482</f>
        <v/>
      </c>
      <c r="N490">
        <f t="shared" si="421"/>
        <v>0</v>
      </c>
      <c r="O490">
        <f t="shared" si="422"/>
        <v>1.85</v>
      </c>
      <c r="P490" s="5" t="e">
        <f t="shared" si="423"/>
        <v>#VALUE!</v>
      </c>
      <c r="Q490">
        <f>'Code List'!$C$63</f>
        <v>3</v>
      </c>
      <c r="R490">
        <f>F491+'Code List'!$G$63</f>
        <v>2</v>
      </c>
      <c r="S490" t="e">
        <f t="shared" si="424"/>
        <v>#VALUE!</v>
      </c>
      <c r="T490" t="e">
        <f t="shared" si="426"/>
        <v>#VALUE!</v>
      </c>
      <c r="U490" t="str">
        <f>IF(A490="YES",CONCATENATE(G490,"_",'Program Page'!$C$4,'Program Page'!$C$5,"_",D490,"_",E490),"")</f>
        <v/>
      </c>
      <c r="V490" t="str">
        <f t="shared" si="425"/>
        <v/>
      </c>
      <c r="W490" t="str">
        <f>IF(A490="YES",CONCATENATE("{",'Code List'!$B$4,'Code List'!$D$4,",",'Code List'!$B$5,'Code List'!$D$5,",",'Code List'!$B$6,"""",U490,"""",",",'Code List'!$B$7,'Code List'!$D$7,",",'Code List'!$B$8,'Code List'!$D$8,",",'Code List'!$B$9,'Code List'!$D$9,",",'Code List'!$B$10,'Code List'!$D$10,",",'Code List'!$B$11,"""",V490,"""",",",'Code List'!$B$12,"""",H490,"""",",",'Code List'!$B$13,"""",I490,"""",",",'Code List'!$B$14,"""",J490,"""",",",'Code List'!$B$15,"""",K490,"""",",",'Code List'!$B$16,"""",L490,"""",",",'Code List'!$B$17,"""",M490,"""",",",'Code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90" s="167" t="str">
        <f>IF(A490="YES",CONCATENATE("{",'Code List'!$B$31,"""",U490,"""",",",'Code List'!$B$32,'Code List'!$D$32,",",'Code List'!$B$33,'Code List'!$D$33,",",'Code List'!$B$34,'Code List'!$D$34,",",'Code List'!$B$35,'Code List'!$D$35,",",'Code List'!$B$36,'Code List'!$D$36,",",'Code List'!$B$37,'Code List'!$D$37,",",'Code List'!$B$38,"""",H490,"""",",",'Code List'!$B$39,"""",I490,"""",",",'Code List'!$B$40,"""",J490,"""",",",'Code List'!$B$41,"""",K490,"""",",",'Code List'!$B$42,"""",L490,"""",",",'Code List'!$B$43,"""",M490,"""",",",'Code List'!$B$44,"""",N490,"""",",",'Code List'!$B$45,"""",O490,"""",",",'Code List'!$B$46,"""",P490,"""",",",'Code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List'!$B$59,"""",T490,"""","}"),"")</f>
        <v/>
      </c>
    </row>
    <row r="491" spans="1:25" x14ac:dyDescent="0.25">
      <c r="A491" s="162" t="str">
        <f>IF(AND($A484="YES",E484=$E$1),"YES","NO")</f>
        <v>NO</v>
      </c>
      <c r="C491" t="s">
        <v>259</v>
      </c>
      <c r="D491" s="12" t="str">
        <f>D490</f>
        <v>9E</v>
      </c>
      <c r="E491" t="s">
        <v>259</v>
      </c>
      <c r="G491" s="171">
        <f>F484</f>
        <v>0</v>
      </c>
      <c r="H491">
        <f>ROUND(B484,$O$1)</f>
        <v>349.31</v>
      </c>
      <c r="I491">
        <f>ROUND(B484+'Slide Measurements'!$D$1,$O$1)</f>
        <v>425.76</v>
      </c>
      <c r="J491">
        <f>C484</f>
        <v>324.72000000000003</v>
      </c>
      <c r="K491">
        <f>C484+'Slide Measurements'!$D$2</f>
        <v>352.12</v>
      </c>
      <c r="L491" s="5" t="str">
        <f>'Expanded Base Data'!$L482</f>
        <v/>
      </c>
      <c r="M491" s="5" t="str">
        <f>'Expanded Base Data'!$K482</f>
        <v/>
      </c>
      <c r="N491">
        <f t="shared" si="421"/>
        <v>76.45</v>
      </c>
      <c r="O491">
        <f t="shared" si="422"/>
        <v>27.4</v>
      </c>
      <c r="P491" s="5" t="e">
        <f>ROUND((L491-M491),$O$1)</f>
        <v>#VALUE!</v>
      </c>
      <c r="Q491">
        <f>'Code List'!$C$70</f>
        <v>11</v>
      </c>
      <c r="R491">
        <f>'Code List'!$D$70</f>
        <v>19</v>
      </c>
      <c r="S491" t="e">
        <f>IF(P491=0,"1",ROUND((P491/$K$1)+$M$1,0))</f>
        <v>#VALUE!</v>
      </c>
      <c r="T491" t="e">
        <f>Q491*R491*S491</f>
        <v>#VALUE!</v>
      </c>
      <c r="U491" t="str">
        <f>IF(A491="YES",CONCATENATE(G491,"_",'Program Page'!$C$4,'Program Page'!$C$5,"_",D491,"_",E491),"")</f>
        <v/>
      </c>
      <c r="V491" t="str">
        <f>IF(U491="","",CONCATENATE(U491,"_"))</f>
        <v/>
      </c>
      <c r="W491" t="str">
        <f>IF(A491="YES",CONCATENATE("{",'Code List'!$B$4,'Code List'!$D$4,",",'Code List'!$B$5,'Code List'!$D$5,",",'Code List'!$B$6,"""",U491,"""",",",'Code List'!$B$7,'Code List'!$D$7,",",'Code List'!$B$8,'Code List'!$D$8,",",'Code List'!$B$9,'Code List'!$D$9,",",'Code List'!$B$10,'Code List'!$D$10,",",'Code List'!$B$11,"""",V491,"""",",",'Code List'!$B$12,"""",H491,"""",",",'Code List'!$B$13,"""",I491,"""",",",'Code List'!$B$14,"""",J491,"""",",",'Code List'!$B$15,"""",K491,"""",",",'Code List'!$B$16,"""",L491,"""",",",'Code List'!$B$17,"""",M491,"""",",",'Code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491" s="167" t="str">
        <f>IF(A491="YES",CONCATENATE("{",'Code List'!$B$31,"""",U491,"""",",",'Code List'!$B$32,'Code List'!$D$32,",",'Code List'!$B$33,'Code List'!$D$33,",",'Code List'!$B$34,'Code List'!$D$34,",",'Code List'!$B$35,'Code List'!$D$35,",",'Code List'!$B$36,'Code List'!$D$36,",",'Code List'!$B$37,'Code List'!$D$37,",",'Code List'!$B$38,"""",H491,"""",",",'Code List'!$B$39,"""",I491,"""",",",'Code List'!$B$40,"""",J491,"""",",",'Code List'!$B$41,"""",K491,"""",",",'Code List'!$B$42,"""",L491,"""",",",'Code List'!$B$43,"""",M491,"""",",",'Code List'!$B$44,"""",N491,"""",",",'Code List'!$B$45,"""",O491,"""",",",'Code List'!$B$46,"""",P491,"""",",",'Code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List'!$B$59,"""",T491,"""","}"),"")</f>
        <v/>
      </c>
    </row>
    <row r="492" spans="1:25" ht="18.75" x14ac:dyDescent="0.3">
      <c r="A492" s="35" t="str">
        <f>IF(OR(E492=$C$1,E492=$D$1,E492=$E$1),"YES","NO")</f>
        <v>NO</v>
      </c>
      <c r="B492" s="35">
        <f>'Expanded Base Data'!D490</f>
        <v>435.91</v>
      </c>
      <c r="C492" s="35">
        <f>'Expanded Base Data'!E490</f>
        <v>324.72000000000003</v>
      </c>
      <c r="D492" s="36" t="str">
        <f>'Expanded Base Data'!B490</f>
        <v>9F</v>
      </c>
      <c r="E492" s="35">
        <f>'Expanded Base Data'!C490</f>
        <v>0</v>
      </c>
      <c r="F492" s="35">
        <f>'Expanded Base Data'!M490</f>
        <v>0</v>
      </c>
      <c r="G492" s="170">
        <f>F492</f>
        <v>0</v>
      </c>
      <c r="Y492" s="167" t="str">
        <f>""</f>
        <v/>
      </c>
    </row>
    <row r="493" spans="1:25" x14ac:dyDescent="0.25">
      <c r="A493" t="str">
        <f>IF(AND($A492="YES",E492=$C$1),"YES","NO")</f>
        <v>NO</v>
      </c>
      <c r="C493" t="s">
        <v>6</v>
      </c>
      <c r="D493" s="12" t="str">
        <f>D492</f>
        <v>9F</v>
      </c>
      <c r="E493" t="s">
        <v>6</v>
      </c>
      <c r="F493" t="s">
        <v>198</v>
      </c>
      <c r="G493" s="171">
        <f>F492</f>
        <v>0</v>
      </c>
      <c r="H493">
        <f>IF('Expanded Base Data'!N490="",ROUND(B492+'Slide Measurements'!$D$11,$O$1),B492+'Expanded Base Data'!N490)</f>
        <v>468.91</v>
      </c>
      <c r="I493">
        <f>IF('Expanded Base Data'!O490="",ROUND(B492+'Slide Measurements'!$D$12,$O$1),B492+'Expanded Base Data'!O490)</f>
        <v>477.51</v>
      </c>
      <c r="J493">
        <f>IF('Expanded Base Data'!P490="",C492+'Slide Measurements'!$E$13,C492+'Expanded Base Data'!P490)</f>
        <v>333.42</v>
      </c>
      <c r="K493">
        <f>IF('Expanded Base Data'!Q490="",C492+'Slide Measurements'!$E$14,C492+'Expanded Base Data'!Q490)</f>
        <v>342.02000000000004</v>
      </c>
      <c r="L493" s="5" t="str">
        <f>'Expanded Base Data'!$L490</f>
        <v/>
      </c>
      <c r="M493" s="5" t="str">
        <f>'Expanded Base Data'!$K490</f>
        <v/>
      </c>
      <c r="N493">
        <f>ROUND((I493-H493),$O$1)</f>
        <v>8.6</v>
      </c>
      <c r="O493">
        <f>ROUND((K493-J493),$O$1)</f>
        <v>8.6</v>
      </c>
      <c r="P493" s="5" t="e">
        <f>ROUND((L493-M493),$O$1)</f>
        <v>#VALUE!</v>
      </c>
      <c r="Q493">
        <f>'Code List'!$C$62</f>
        <v>5</v>
      </c>
      <c r="R493">
        <f>F494+'Code List'!$G$63</f>
        <v>2</v>
      </c>
      <c r="S493" t="e">
        <f>IF(P493=0,"1",ROUND((P493/$K$1)+$M$1,0))</f>
        <v>#VALUE!</v>
      </c>
      <c r="T493" t="e">
        <f>Q493*R493*S493</f>
        <v>#VALUE!</v>
      </c>
      <c r="U493" t="str">
        <f>IF(A493="YES",CONCATENATE(G493,"_",'Program Page'!$C$4,'Program Page'!$C$5,"_",D493,"_",E493),"")</f>
        <v/>
      </c>
      <c r="V493" t="str">
        <f>IF(U493="","",CONCATENATE(U493,"_"))</f>
        <v/>
      </c>
      <c r="W493" t="str">
        <f>IF(A493="YES",CONCATENATE("{",'Code List'!$B$4,'Code List'!$D$4,",",'Code List'!$B$5,'Code List'!$D$5,",",'Code List'!$B$6,"""",U493,"""",",",'Code List'!$B$7,'Code List'!$D$7,",",'Code List'!$B$8,'Code List'!$D$8,",",'Code List'!$B$9,'Code List'!$D$9,",",'Code List'!$B$10,'Code List'!$D$10,",",'Code List'!$B$11,"""",V493,"""",",",'Code List'!$B$12,"""",H493,"""",",",'Code List'!$B$13,"""",I493,"""",",",'Code List'!$B$14,"""",J493,"""",",",'Code List'!$B$15,"""",K493,"""",",",'Code List'!$B$16,"""",L493,"""",",",'Code List'!$B$17,"""",M493,"""",",",'Code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93" s="167" t="str">
        <f>IF(A493="YES",CONCATENATE("{",'Code List'!$B$31,"""",U493,"""",",",'Code List'!$B$32,'Code List'!$D$32,",",'Code List'!$B$33,'Code List'!$D$33,",",'Code List'!$B$34,'Code List'!$D$34,",",'Code List'!$B$35,'Code List'!$D$35,",",'Code List'!$B$36,'Code List'!$D$36,",",'Code List'!$B$37,'Code List'!$D$37,",",'Code List'!$B$38,"""",H493,"""",",",'Code List'!$B$39,"""",I493,"""",",",'Code List'!$B$40,"""",J493,"""",",",'Code List'!$B$41,"""",K493,"""",",",'Code List'!$B$42,"""",L493,"""",",",'Code List'!$B$43,"""",M493,"""",",",'Code List'!$B$44,"""",N493,"""",",",'Code List'!$B$45,"""",O493,"""",",",'Code List'!$B$46,"""",P493,"""",",",'Code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List'!$B$59,"""",T493,"""","}"),"")</f>
        <v/>
      </c>
    </row>
    <row r="494" spans="1:25" x14ac:dyDescent="0.25">
      <c r="A494" t="str">
        <f>IF(AND($A492="YES",E492=$D$1,F494&gt;0),"YES","NO")</f>
        <v>NO</v>
      </c>
      <c r="C494" t="s">
        <v>5</v>
      </c>
      <c r="D494" s="12" t="str">
        <f t="shared" ref="D494:D498" si="427">D493</f>
        <v>9F</v>
      </c>
      <c r="E494" t="s">
        <v>188</v>
      </c>
      <c r="F494">
        <f>'Expanded Base Data'!F490</f>
        <v>0</v>
      </c>
      <c r="G494" s="171">
        <f>F492</f>
        <v>0</v>
      </c>
      <c r="H494">
        <f>ROUND(B492+'Slide Measurements'!$D$17,$O$1)</f>
        <v>461.31</v>
      </c>
      <c r="I494">
        <f>ROUND(H494+(F494*'Slide Measurements'!$D$21),$O$1)</f>
        <v>461.31</v>
      </c>
      <c r="J494">
        <f>C492+'Slide Measurements'!$E$17</f>
        <v>329.02000000000004</v>
      </c>
      <c r="K494">
        <f>J494+($I$1*'Slide Measurements'!$E$23-'Slide Measurements'!$E$23)</f>
        <v>330.87000000000006</v>
      </c>
      <c r="L494" s="5" t="str">
        <f>'Expanded Base Data'!$L490</f>
        <v/>
      </c>
      <c r="M494" s="5" t="str">
        <f>'Expanded Base Data'!$K490</f>
        <v/>
      </c>
      <c r="N494">
        <f t="shared" ref="N494:N499" si="428">ROUND((I494-H494),$O$1)</f>
        <v>0</v>
      </c>
      <c r="O494">
        <f t="shared" ref="O494:O499" si="429">ROUND((K494-J494),$O$1)</f>
        <v>1.85</v>
      </c>
      <c r="P494" s="5" t="e">
        <f t="shared" ref="P494:P498" si="430">ROUND((L494-M494),$O$1)</f>
        <v>#VALUE!</v>
      </c>
      <c r="Q494">
        <f>'Code List'!$C$63</f>
        <v>3</v>
      </c>
      <c r="R494">
        <f>F495+'Code List'!$G$63</f>
        <v>2</v>
      </c>
      <c r="S494" t="e">
        <f t="shared" ref="S494:S498" si="431">IF(P494=0,"1",ROUND((P494/$K$1)+$M$1,0))</f>
        <v>#VALUE!</v>
      </c>
      <c r="T494" t="e">
        <f>Q494*R494*S494</f>
        <v>#VALUE!</v>
      </c>
      <c r="U494" t="str">
        <f>IF(A494="YES",CONCATENATE(G494,"_",'Program Page'!$C$4,'Program Page'!$C$5,"_",D494,"_",E494),"")</f>
        <v/>
      </c>
      <c r="V494" t="str">
        <f t="shared" ref="V494:V498" si="432">IF(U494="","",CONCATENATE(U494,"_"))</f>
        <v/>
      </c>
      <c r="W494" t="str">
        <f>IF(A494="YES",CONCATENATE("{",'Code List'!$B$4,'Code List'!$D$4,",",'Code List'!$B$5,'Code List'!$D$5,",",'Code List'!$B$6,"""",U494,"""",",",'Code List'!$B$7,'Code List'!$D$7,",",'Code List'!$B$8,'Code List'!$D$8,",",'Code List'!$B$9,'Code List'!$D$9,",",'Code List'!$B$10,'Code List'!$D$10,",",'Code List'!$B$11,"""",V494,"""",",",'Code List'!$B$12,"""",H494,"""",",",'Code List'!$B$13,"""",I494,"""",",",'Code List'!$B$14,"""",J494,"""",",",'Code List'!$B$15,"""",K494,"""",",",'Code List'!$B$16,"""",L494,"""",",",'Code List'!$B$17,"""",M494,"""",",",'Code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94" s="167" t="str">
        <f>IF(A494="YES",CONCATENATE("{",'Code List'!$B$31,"""",U494,"""",",",'Code List'!$B$32,'Code List'!$D$32,",",'Code List'!$B$33,'Code List'!$D$33,",",'Code List'!$B$34,'Code List'!$D$34,",",'Code List'!$B$35,'Code List'!$D$35,",",'Code List'!$B$36,'Code List'!$D$36,",",'Code List'!$B$37,'Code List'!$D$37,",",'Code List'!$B$38,"""",H494,"""",",",'Code List'!$B$39,"""",I494,"""",",",'Code List'!$B$40,"""",J494,"""",",",'Code List'!$B$41,"""",K494,"""",",",'Code List'!$B$42,"""",L494,"""",",",'Code List'!$B$43,"""",M494,"""",",",'Code List'!$B$44,"""",N494,"""",",",'Code List'!$B$45,"""",O494,"""",",",'Code List'!$B$46,"""",P494,"""",",",'Code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List'!$B$59,"""",T494,"""","}"),"")</f>
        <v/>
      </c>
    </row>
    <row r="495" spans="1:25" x14ac:dyDescent="0.25">
      <c r="A495" t="str">
        <f>IF(AND($A492="YES",E492=$D$1,F495&gt;0),"YES","NO")</f>
        <v>NO</v>
      </c>
      <c r="C495" t="s">
        <v>5</v>
      </c>
      <c r="D495" s="12" t="str">
        <f t="shared" si="427"/>
        <v>9F</v>
      </c>
      <c r="E495" t="s">
        <v>189</v>
      </c>
      <c r="F495">
        <f>'Expanded Base Data'!G490</f>
        <v>0</v>
      </c>
      <c r="G495" s="171">
        <f>F492</f>
        <v>0</v>
      </c>
      <c r="H495">
        <f>ROUND(B492+'Slide Measurements'!$D$17,$O$1)</f>
        <v>461.31</v>
      </c>
      <c r="I495">
        <f>ROUND(H495+(F495*'Slide Measurements'!$D$21),$O$1)</f>
        <v>461.31</v>
      </c>
      <c r="J495">
        <f>K494</f>
        <v>330.87000000000006</v>
      </c>
      <c r="K495">
        <f>J495+($I$1*'Slide Measurements'!$E$23-'Slide Measurements'!$E$23)</f>
        <v>332.72000000000008</v>
      </c>
      <c r="L495" s="5" t="str">
        <f>'Expanded Base Data'!$L490</f>
        <v/>
      </c>
      <c r="M495" s="5" t="str">
        <f>'Expanded Base Data'!$K490</f>
        <v/>
      </c>
      <c r="N495">
        <f t="shared" si="428"/>
        <v>0</v>
      </c>
      <c r="O495">
        <f t="shared" si="429"/>
        <v>1.85</v>
      </c>
      <c r="P495" s="5" t="e">
        <f t="shared" si="430"/>
        <v>#VALUE!</v>
      </c>
      <c r="Q495">
        <f>'Code List'!$C$63</f>
        <v>3</v>
      </c>
      <c r="R495">
        <f>F496+'Code List'!$G$63</f>
        <v>2</v>
      </c>
      <c r="S495" t="e">
        <f t="shared" si="431"/>
        <v>#VALUE!</v>
      </c>
      <c r="T495" t="e">
        <f t="shared" ref="T495:T498" si="433">Q495*R495*S495</f>
        <v>#VALUE!</v>
      </c>
      <c r="U495" t="str">
        <f>IF(A495="YES",CONCATENATE(G495,"_",'Program Page'!$C$4,'Program Page'!$C$5,"_",D495,"_",E495),"")</f>
        <v/>
      </c>
      <c r="V495" t="str">
        <f t="shared" si="432"/>
        <v/>
      </c>
      <c r="W495" t="str">
        <f>IF(A495="YES",CONCATENATE("{",'Code List'!$B$4,'Code List'!$D$4,",",'Code List'!$B$5,'Code List'!$D$5,",",'Code List'!$B$6,"""",U495,"""",",",'Code List'!$B$7,'Code List'!$D$7,",",'Code List'!$B$8,'Code List'!$D$8,",",'Code List'!$B$9,'Code List'!$D$9,",",'Code List'!$B$10,'Code List'!$D$10,",",'Code List'!$B$11,"""",V495,"""",",",'Code List'!$B$12,"""",H495,"""",",",'Code List'!$B$13,"""",I495,"""",",",'Code List'!$B$14,"""",J495,"""",",",'Code List'!$B$15,"""",K495,"""",",",'Code List'!$B$16,"""",L495,"""",",",'Code List'!$B$17,"""",M495,"""",",",'Code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95" s="167" t="str">
        <f>IF(A495="YES",CONCATENATE("{",'Code List'!$B$31,"""",U495,"""",",",'Code List'!$B$32,'Code List'!$D$32,",",'Code List'!$B$33,'Code List'!$D$33,",",'Code List'!$B$34,'Code List'!$D$34,",",'Code List'!$B$35,'Code List'!$D$35,",",'Code List'!$B$36,'Code List'!$D$36,",",'Code List'!$B$37,'Code List'!$D$37,",",'Code List'!$B$38,"""",H495,"""",",",'Code List'!$B$39,"""",I495,"""",",",'Code List'!$B$40,"""",J495,"""",",",'Code List'!$B$41,"""",K495,"""",",",'Code List'!$B$42,"""",L495,"""",",",'Code List'!$B$43,"""",M495,"""",",",'Code List'!$B$44,"""",N495,"""",",",'Code List'!$B$45,"""",O495,"""",",",'Code List'!$B$46,"""",P495,"""",",",'Code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List'!$B$59,"""",T495,"""","}"),"")</f>
        <v/>
      </c>
    </row>
    <row r="496" spans="1:25" x14ac:dyDescent="0.25">
      <c r="A496" t="str">
        <f>IF(AND($A492="YES",E492=$D$1,F496&gt;0),"YES","NO")</f>
        <v>NO</v>
      </c>
      <c r="C496" t="s">
        <v>5</v>
      </c>
      <c r="D496" s="12" t="str">
        <f t="shared" si="427"/>
        <v>9F</v>
      </c>
      <c r="E496" t="s">
        <v>190</v>
      </c>
      <c r="F496">
        <f>'Expanded Base Data'!H490</f>
        <v>0</v>
      </c>
      <c r="G496" s="171">
        <f>F492</f>
        <v>0</v>
      </c>
      <c r="H496">
        <f>ROUND(B492+'Slide Measurements'!$D$17,$O$1)</f>
        <v>461.31</v>
      </c>
      <c r="I496">
        <f>ROUND(H496+(F496*'Slide Measurements'!$D$21),$O$1)</f>
        <v>461.31</v>
      </c>
      <c r="J496">
        <f>K495</f>
        <v>332.72000000000008</v>
      </c>
      <c r="K496">
        <f>J496+($I$1*'Slide Measurements'!$E$23-'Slide Measurements'!$E$23)</f>
        <v>334.57000000000011</v>
      </c>
      <c r="L496" s="5" t="str">
        <f>'Expanded Base Data'!$L490</f>
        <v/>
      </c>
      <c r="M496" s="5" t="str">
        <f>'Expanded Base Data'!$K490</f>
        <v/>
      </c>
      <c r="N496">
        <f t="shared" si="428"/>
        <v>0</v>
      </c>
      <c r="O496">
        <f t="shared" si="429"/>
        <v>1.85</v>
      </c>
      <c r="P496" s="5" t="e">
        <f t="shared" si="430"/>
        <v>#VALUE!</v>
      </c>
      <c r="Q496">
        <f>'Code List'!$C$63</f>
        <v>3</v>
      </c>
      <c r="R496">
        <f>F497+'Code List'!$G$63</f>
        <v>2</v>
      </c>
      <c r="S496" t="e">
        <f t="shared" si="431"/>
        <v>#VALUE!</v>
      </c>
      <c r="T496" t="e">
        <f t="shared" si="433"/>
        <v>#VALUE!</v>
      </c>
      <c r="U496" t="str">
        <f>IF(A496="YES",CONCATENATE(G496,"_",'Program Page'!$C$4,'Program Page'!$C$5,"_",D496,"_",E496),"")</f>
        <v/>
      </c>
      <c r="V496" t="str">
        <f t="shared" si="432"/>
        <v/>
      </c>
      <c r="W496" t="str">
        <f>IF(A496="YES",CONCATENATE("{",'Code List'!$B$4,'Code List'!$D$4,",",'Code List'!$B$5,'Code List'!$D$5,",",'Code List'!$B$6,"""",U496,"""",",",'Code List'!$B$7,'Code List'!$D$7,",",'Code List'!$B$8,'Code List'!$D$8,",",'Code List'!$B$9,'Code List'!$D$9,",",'Code List'!$B$10,'Code List'!$D$10,",",'Code List'!$B$11,"""",V496,"""",",",'Code List'!$B$12,"""",H496,"""",",",'Code List'!$B$13,"""",I496,"""",",",'Code List'!$B$14,"""",J496,"""",",",'Code List'!$B$15,"""",K496,"""",",",'Code List'!$B$16,"""",L496,"""",",",'Code List'!$B$17,"""",M496,"""",",",'Code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96" s="167" t="str">
        <f>IF(A496="YES",CONCATENATE("{",'Code List'!$B$31,"""",U496,"""",",",'Code List'!$B$32,'Code List'!$D$32,",",'Code List'!$B$33,'Code List'!$D$33,",",'Code List'!$B$34,'Code List'!$D$34,",",'Code List'!$B$35,'Code List'!$D$35,",",'Code List'!$B$36,'Code List'!$D$36,",",'Code List'!$B$37,'Code List'!$D$37,",",'Code List'!$B$38,"""",H496,"""",",",'Code List'!$B$39,"""",I496,"""",",",'Code List'!$B$40,"""",J496,"""",",",'Code List'!$B$41,"""",K496,"""",",",'Code List'!$B$42,"""",L496,"""",",",'Code List'!$B$43,"""",M496,"""",",",'Code List'!$B$44,"""",N496,"""",",",'Code List'!$B$45,"""",O496,"""",",",'Code List'!$B$46,"""",P496,"""",",",'Code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List'!$B$59,"""",T496,"""","}"),"")</f>
        <v/>
      </c>
    </row>
    <row r="497" spans="1:25" x14ac:dyDescent="0.25">
      <c r="A497" t="str">
        <f>IF(AND($A492="YES",E492=$D$1,F497&gt;0),"YES","NO")</f>
        <v>NO</v>
      </c>
      <c r="C497" t="s">
        <v>5</v>
      </c>
      <c r="D497" s="12" t="str">
        <f t="shared" si="427"/>
        <v>9F</v>
      </c>
      <c r="E497" t="s">
        <v>191</v>
      </c>
      <c r="F497">
        <f>'Expanded Base Data'!I490</f>
        <v>0</v>
      </c>
      <c r="G497" s="171">
        <f>F492</f>
        <v>0</v>
      </c>
      <c r="H497">
        <f>ROUND(B492+'Slide Measurements'!$D$17,$O$1)</f>
        <v>461.31</v>
      </c>
      <c r="I497">
        <f>ROUND(H497+(F497*'Slide Measurements'!$D$21),$O$1)</f>
        <v>461.31</v>
      </c>
      <c r="J497">
        <f>K496</f>
        <v>334.57000000000011</v>
      </c>
      <c r="K497">
        <f>J497+($I$1*'Slide Measurements'!$E$23-'Slide Measurements'!$E$23)</f>
        <v>336.42000000000013</v>
      </c>
      <c r="L497" s="5" t="str">
        <f>'Expanded Base Data'!$L490</f>
        <v/>
      </c>
      <c r="M497" s="5" t="str">
        <f>'Expanded Base Data'!$K490</f>
        <v/>
      </c>
      <c r="N497">
        <f t="shared" si="428"/>
        <v>0</v>
      </c>
      <c r="O497">
        <f t="shared" si="429"/>
        <v>1.85</v>
      </c>
      <c r="P497" s="5" t="e">
        <f t="shared" si="430"/>
        <v>#VALUE!</v>
      </c>
      <c r="Q497">
        <f>'Code List'!$C$63</f>
        <v>3</v>
      </c>
      <c r="R497">
        <f>F498+'Code List'!$G$63</f>
        <v>2</v>
      </c>
      <c r="S497" t="e">
        <f t="shared" si="431"/>
        <v>#VALUE!</v>
      </c>
      <c r="T497" t="e">
        <f t="shared" si="433"/>
        <v>#VALUE!</v>
      </c>
      <c r="U497" t="str">
        <f>IF(A497="YES",CONCATENATE(G497,"_",'Program Page'!$C$4,'Program Page'!$C$5,"_",D497,"_",E497),"")</f>
        <v/>
      </c>
      <c r="V497" t="str">
        <f t="shared" si="432"/>
        <v/>
      </c>
      <c r="W497" t="str">
        <f>IF(A497="YES",CONCATENATE("{",'Code List'!$B$4,'Code List'!$D$4,",",'Code List'!$B$5,'Code List'!$D$5,",",'Code List'!$B$6,"""",U497,"""",",",'Code List'!$B$7,'Code List'!$D$7,",",'Code List'!$B$8,'Code List'!$D$8,",",'Code List'!$B$9,'Code List'!$D$9,",",'Code List'!$B$10,'Code List'!$D$10,",",'Code List'!$B$11,"""",V497,"""",",",'Code List'!$B$12,"""",H497,"""",",",'Code List'!$B$13,"""",I497,"""",",",'Code List'!$B$14,"""",J497,"""",",",'Code List'!$B$15,"""",K497,"""",",",'Code List'!$B$16,"""",L497,"""",",",'Code List'!$B$17,"""",M497,"""",",",'Code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97" s="167" t="str">
        <f>IF(A497="YES",CONCATENATE("{",'Code List'!$B$31,"""",U497,"""",",",'Code List'!$B$32,'Code List'!$D$32,",",'Code List'!$B$33,'Code List'!$D$33,",",'Code List'!$B$34,'Code List'!$D$34,",",'Code List'!$B$35,'Code List'!$D$35,",",'Code List'!$B$36,'Code List'!$D$36,",",'Code List'!$B$37,'Code List'!$D$37,",",'Code List'!$B$38,"""",H497,"""",",",'Code List'!$B$39,"""",I497,"""",",",'Code List'!$B$40,"""",J497,"""",",",'Code List'!$B$41,"""",K497,"""",",",'Code List'!$B$42,"""",L497,"""",",",'Code List'!$B$43,"""",M497,"""",",",'Code List'!$B$44,"""",N497,"""",",",'Code List'!$B$45,"""",O497,"""",",",'Code List'!$B$46,"""",P497,"""",",",'Code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List'!$B$59,"""",T497,"""","}"),"")</f>
        <v/>
      </c>
    </row>
    <row r="498" spans="1:25" x14ac:dyDescent="0.25">
      <c r="A498" t="str">
        <f>IF(AND($A492="YES",E492=$D$1,F498&gt;0),"YES","NO")</f>
        <v>NO</v>
      </c>
      <c r="C498" t="s">
        <v>5</v>
      </c>
      <c r="D498" s="12" t="str">
        <f t="shared" si="427"/>
        <v>9F</v>
      </c>
      <c r="E498" t="s">
        <v>196</v>
      </c>
      <c r="F498">
        <f>'Expanded Base Data'!J490</f>
        <v>0</v>
      </c>
      <c r="G498" s="171">
        <f>F492</f>
        <v>0</v>
      </c>
      <c r="H498">
        <f>ROUND(B492+'Slide Measurements'!$D$17,$O$1)</f>
        <v>461.31</v>
      </c>
      <c r="I498">
        <f>ROUND(H498+(F498*'Slide Measurements'!$D$21),$O$1)</f>
        <v>461.31</v>
      </c>
      <c r="J498">
        <f>K497</f>
        <v>336.42000000000013</v>
      </c>
      <c r="K498">
        <f>J498+($I$1*'Slide Measurements'!$E$23-'Slide Measurements'!$E$23)</f>
        <v>338.27000000000015</v>
      </c>
      <c r="L498" s="5" t="str">
        <f>'Expanded Base Data'!$L490</f>
        <v/>
      </c>
      <c r="M498" s="5" t="str">
        <f>'Expanded Base Data'!$K490</f>
        <v/>
      </c>
      <c r="N498">
        <f t="shared" si="428"/>
        <v>0</v>
      </c>
      <c r="O498">
        <f t="shared" si="429"/>
        <v>1.85</v>
      </c>
      <c r="P498" s="5" t="e">
        <f t="shared" si="430"/>
        <v>#VALUE!</v>
      </c>
      <c r="Q498">
        <f>'Code List'!$C$63</f>
        <v>3</v>
      </c>
      <c r="R498">
        <f>F499+'Code List'!$G$63</f>
        <v>2</v>
      </c>
      <c r="S498" t="e">
        <f t="shared" si="431"/>
        <v>#VALUE!</v>
      </c>
      <c r="T498" t="e">
        <f t="shared" si="433"/>
        <v>#VALUE!</v>
      </c>
      <c r="U498" t="str">
        <f>IF(A498="YES",CONCATENATE(G498,"_",'Program Page'!$C$4,'Program Page'!$C$5,"_",D498,"_",E498),"")</f>
        <v/>
      </c>
      <c r="V498" t="str">
        <f t="shared" si="432"/>
        <v/>
      </c>
      <c r="W498" t="str">
        <f>IF(A498="YES",CONCATENATE("{",'Code List'!$B$4,'Code List'!$D$4,",",'Code List'!$B$5,'Code List'!$D$5,",",'Code List'!$B$6,"""",U498,"""",",",'Code List'!$B$7,'Code List'!$D$7,",",'Code List'!$B$8,'Code List'!$D$8,",",'Code List'!$B$9,'Code List'!$D$9,",",'Code List'!$B$10,'Code List'!$D$10,",",'Code List'!$B$11,"""",V498,"""",",",'Code List'!$B$12,"""",H498,"""",",",'Code List'!$B$13,"""",I498,"""",",",'Code List'!$B$14,"""",J498,"""",",",'Code List'!$B$15,"""",K498,"""",",",'Code List'!$B$16,"""",L498,"""",",",'Code List'!$B$17,"""",M498,"""",",",'Code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498" s="167" t="str">
        <f>IF(A498="YES",CONCATENATE("{",'Code List'!$B$31,"""",U498,"""",",",'Code List'!$B$32,'Code List'!$D$32,",",'Code List'!$B$33,'Code List'!$D$33,",",'Code List'!$B$34,'Code List'!$D$34,",",'Code List'!$B$35,'Code List'!$D$35,",",'Code List'!$B$36,'Code List'!$D$36,",",'Code List'!$B$37,'Code List'!$D$37,",",'Code List'!$B$38,"""",H498,"""",",",'Code List'!$B$39,"""",I498,"""",",",'Code List'!$B$40,"""",J498,"""",",",'Code List'!$B$41,"""",K498,"""",",",'Code List'!$B$42,"""",L498,"""",",",'Code List'!$B$43,"""",M498,"""",",",'Code List'!$B$44,"""",N498,"""",",",'Code List'!$B$45,"""",O498,"""",",",'Code List'!$B$46,"""",P498,"""",",",'Code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List'!$B$59,"""",T498,"""","}"),"")</f>
        <v/>
      </c>
    </row>
    <row r="499" spans="1:25" x14ac:dyDescent="0.25">
      <c r="A499" s="162" t="str">
        <f>IF(AND($A492="YES",E492=$E$1),"YES","NO")</f>
        <v>NO</v>
      </c>
      <c r="C499" t="s">
        <v>259</v>
      </c>
      <c r="D499" s="12" t="str">
        <f>D498</f>
        <v>9F</v>
      </c>
      <c r="E499" t="s">
        <v>259</v>
      </c>
      <c r="G499" s="171">
        <f>F492</f>
        <v>0</v>
      </c>
      <c r="H499">
        <f>ROUND(B492,$O$1)</f>
        <v>435.91</v>
      </c>
      <c r="I499">
        <f>ROUND(B492+'Slide Measurements'!$D$1,$O$1)</f>
        <v>512.36</v>
      </c>
      <c r="J499">
        <f>C492</f>
        <v>324.72000000000003</v>
      </c>
      <c r="K499">
        <f>C492+'Slide Measurements'!$D$2</f>
        <v>352.12</v>
      </c>
      <c r="L499" s="5" t="str">
        <f>'Expanded Base Data'!$L490</f>
        <v/>
      </c>
      <c r="M499" s="5" t="str">
        <f>'Expanded Base Data'!$K490</f>
        <v/>
      </c>
      <c r="N499">
        <f t="shared" si="428"/>
        <v>76.45</v>
      </c>
      <c r="O499">
        <f t="shared" si="429"/>
        <v>27.4</v>
      </c>
      <c r="P499" s="5" t="e">
        <f>ROUND((L499-M499),$O$1)</f>
        <v>#VALUE!</v>
      </c>
      <c r="Q499">
        <f>'Code List'!$C$70</f>
        <v>11</v>
      </c>
      <c r="R499">
        <f>'Code List'!$D$70</f>
        <v>19</v>
      </c>
      <c r="S499" t="e">
        <f>IF(P499=0,"1",ROUND((P499/$K$1)+$M$1,0))</f>
        <v>#VALUE!</v>
      </c>
      <c r="T499" t="e">
        <f>Q499*R499*S499</f>
        <v>#VALUE!</v>
      </c>
      <c r="U499" t="str">
        <f>IF(A499="YES",CONCATENATE(G499,"_",'Program Page'!$C$4,'Program Page'!$C$5,"_",D499,"_",E499),"")</f>
        <v/>
      </c>
      <c r="V499" t="str">
        <f>IF(U499="","",CONCATENATE(U499,"_"))</f>
        <v/>
      </c>
      <c r="W499" t="str">
        <f>IF(A499="YES",CONCATENATE("{",'Code List'!$B$4,'Code List'!$D$4,",",'Code List'!$B$5,'Code List'!$D$5,",",'Code List'!$B$6,"""",U499,"""",",",'Code List'!$B$7,'Code List'!$D$7,",",'Code List'!$B$8,'Code List'!$D$8,",",'Code List'!$B$9,'Code List'!$D$9,",",'Code List'!$B$10,'Code List'!$D$10,",",'Code List'!$B$11,"""",V499,"""",",",'Code List'!$B$12,"""",H499,"""",",",'Code List'!$B$13,"""",I499,"""",",",'Code List'!$B$14,"""",J499,"""",",",'Code List'!$B$15,"""",K499,"""",",",'Code List'!$B$16,"""",L499,"""",",",'Code List'!$B$17,"""",M499,"""",",",'Code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499" s="167" t="str">
        <f>IF(A499="YES",CONCATENATE("{",'Code List'!$B$31,"""",U499,"""",",",'Code List'!$B$32,'Code List'!$D$32,",",'Code List'!$B$33,'Code List'!$D$33,",",'Code List'!$B$34,'Code List'!$D$34,",",'Code List'!$B$35,'Code List'!$D$35,",",'Code List'!$B$36,'Code List'!$D$36,",",'Code List'!$B$37,'Code List'!$D$37,",",'Code List'!$B$38,"""",H499,"""",",",'Code List'!$B$39,"""",I499,"""",",",'Code List'!$B$40,"""",J499,"""",",",'Code List'!$B$41,"""",K499,"""",",",'Code List'!$B$42,"""",L499,"""",",",'Code List'!$B$43,"""",M499,"""",",",'Code List'!$B$44,"""",N499,"""",",",'Code List'!$B$45,"""",O499,"""",",",'Code List'!$B$46,"""",P499,"""",",",'Code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List'!$B$59,"""",T499,"""","}"),"")</f>
        <v/>
      </c>
    </row>
    <row r="500" spans="1:25" ht="18.75" x14ac:dyDescent="0.3">
      <c r="A500" s="35" t="str">
        <f>IF(OR(E500=$C$1,E500=$D$1,E500=$E$1),"YES","NO")</f>
        <v>NO</v>
      </c>
      <c r="B500" s="35">
        <f>'Expanded Base Data'!D498</f>
        <v>522.81000000000006</v>
      </c>
      <c r="C500" s="35">
        <f>'Expanded Base Data'!E498</f>
        <v>324.72000000000003</v>
      </c>
      <c r="D500" s="36" t="str">
        <f>'Expanded Base Data'!B498</f>
        <v>9G</v>
      </c>
      <c r="E500" s="35">
        <f>'Expanded Base Data'!C498</f>
        <v>0</v>
      </c>
      <c r="F500" s="35">
        <f>'Expanded Base Data'!M498</f>
        <v>0</v>
      </c>
      <c r="G500" s="170">
        <f>F500</f>
        <v>0</v>
      </c>
      <c r="Y500" s="167" t="str">
        <f>""</f>
        <v/>
      </c>
    </row>
    <row r="501" spans="1:25" x14ac:dyDescent="0.25">
      <c r="A501" t="str">
        <f>IF(AND($A500="YES",E500=$C$1),"YES","NO")</f>
        <v>NO</v>
      </c>
      <c r="C501" t="s">
        <v>6</v>
      </c>
      <c r="D501" s="12" t="str">
        <f>D500</f>
        <v>9G</v>
      </c>
      <c r="E501" t="s">
        <v>6</v>
      </c>
      <c r="F501" t="s">
        <v>198</v>
      </c>
      <c r="G501" s="171">
        <f>F500</f>
        <v>0</v>
      </c>
      <c r="H501">
        <f>IF('Expanded Base Data'!N498="",ROUND(B500+'Slide Measurements'!$D$11,$O$1),B500+'Expanded Base Data'!N498)</f>
        <v>555.80999999999995</v>
      </c>
      <c r="I501">
        <f>IF('Expanded Base Data'!O498="",ROUND(B500+'Slide Measurements'!$D$12,$O$1),B500+'Expanded Base Data'!O498)</f>
        <v>564.41</v>
      </c>
      <c r="J501">
        <f>IF('Expanded Base Data'!P498="",C500+'Slide Measurements'!$E$13,C500+'Expanded Base Data'!P498)</f>
        <v>333.42</v>
      </c>
      <c r="K501">
        <f>IF('Expanded Base Data'!Q498="",C500+'Slide Measurements'!$E$14,C500+'Expanded Base Data'!Q498)</f>
        <v>342.02000000000004</v>
      </c>
      <c r="L501" s="5" t="str">
        <f>'Expanded Base Data'!$L498</f>
        <v/>
      </c>
      <c r="M501" s="5" t="str">
        <f>'Expanded Base Data'!$K498</f>
        <v/>
      </c>
      <c r="N501">
        <f>ROUND((I501-H501),$O$1)</f>
        <v>8.6</v>
      </c>
      <c r="O501">
        <f>ROUND((K501-J501),$O$1)</f>
        <v>8.6</v>
      </c>
      <c r="P501" s="5" t="e">
        <f>ROUND((L501-M501),$O$1)</f>
        <v>#VALUE!</v>
      </c>
      <c r="Q501">
        <f>'Code List'!$C$62</f>
        <v>5</v>
      </c>
      <c r="R501">
        <f>F502+'Code List'!$G$63</f>
        <v>2</v>
      </c>
      <c r="S501" t="e">
        <f>IF(P501=0,"1",ROUND((P501/$K$1)+$M$1,0))</f>
        <v>#VALUE!</v>
      </c>
      <c r="T501" t="e">
        <f>Q501*R501*S501</f>
        <v>#VALUE!</v>
      </c>
      <c r="U501" t="str">
        <f>IF(A501="YES",CONCATENATE(G501,"_",'Program Page'!$C$4,'Program Page'!$C$5,"_",D501,"_",E501),"")</f>
        <v/>
      </c>
      <c r="V501" t="str">
        <f>IF(U501="","",CONCATENATE(U501,"_"))</f>
        <v/>
      </c>
      <c r="W501" t="str">
        <f>IF(A501="YES",CONCATENATE("{",'Code List'!$B$4,'Code List'!$D$4,",",'Code List'!$B$5,'Code List'!$D$5,",",'Code List'!$B$6,"""",U501,"""",",",'Code List'!$B$7,'Code List'!$D$7,",",'Code List'!$B$8,'Code List'!$D$8,",",'Code List'!$B$9,'Code List'!$D$9,",",'Code List'!$B$10,'Code List'!$D$10,",",'Code List'!$B$11,"""",V501,"""",",",'Code List'!$B$12,"""",H501,"""",",",'Code List'!$B$13,"""",I501,"""",",",'Code List'!$B$14,"""",J501,"""",",",'Code List'!$B$15,"""",K501,"""",",",'Code List'!$B$16,"""",L501,"""",",",'Code List'!$B$17,"""",M501,"""",",",'Code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01" s="167" t="str">
        <f>IF(A501="YES",CONCATENATE("{",'Code List'!$B$31,"""",U501,"""",",",'Code List'!$B$32,'Code List'!$D$32,",",'Code List'!$B$33,'Code List'!$D$33,",",'Code List'!$B$34,'Code List'!$D$34,",",'Code List'!$B$35,'Code List'!$D$35,",",'Code List'!$B$36,'Code List'!$D$36,",",'Code List'!$B$37,'Code List'!$D$37,",",'Code List'!$B$38,"""",H501,"""",",",'Code List'!$B$39,"""",I501,"""",",",'Code List'!$B$40,"""",J501,"""",",",'Code List'!$B$41,"""",K501,"""",",",'Code List'!$B$42,"""",L501,"""",",",'Code List'!$B$43,"""",M501,"""",",",'Code List'!$B$44,"""",N501,"""",",",'Code List'!$B$45,"""",O501,"""",",",'Code List'!$B$46,"""",P501,"""",",",'Code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List'!$B$59,"""",T501,"""","}"),"")</f>
        <v/>
      </c>
    </row>
    <row r="502" spans="1:25" x14ac:dyDescent="0.25">
      <c r="A502" t="str">
        <f>IF(AND($A500="YES",E500=$D$1,F502&gt;0),"YES","NO")</f>
        <v>NO</v>
      </c>
      <c r="C502" t="s">
        <v>5</v>
      </c>
      <c r="D502" s="12" t="str">
        <f t="shared" ref="D502:D506" si="434">D501</f>
        <v>9G</v>
      </c>
      <c r="E502" t="s">
        <v>188</v>
      </c>
      <c r="F502">
        <f>'Expanded Base Data'!F498</f>
        <v>0</v>
      </c>
      <c r="G502" s="171">
        <f>F500</f>
        <v>0</v>
      </c>
      <c r="H502">
        <f>ROUND(B500+'Slide Measurements'!$D$17,$O$1)</f>
        <v>548.21</v>
      </c>
      <c r="I502">
        <f>ROUND(H502+(F502*'Slide Measurements'!$D$21),$O$1)</f>
        <v>548.21</v>
      </c>
      <c r="J502">
        <f>C500+'Slide Measurements'!$E$17</f>
        <v>329.02000000000004</v>
      </c>
      <c r="K502">
        <f>J502+($I$1*'Slide Measurements'!$E$23-'Slide Measurements'!$E$23)</f>
        <v>330.87000000000006</v>
      </c>
      <c r="L502" s="5" t="str">
        <f>'Expanded Base Data'!$L498</f>
        <v/>
      </c>
      <c r="M502" s="5" t="str">
        <f>'Expanded Base Data'!$K498</f>
        <v/>
      </c>
      <c r="N502">
        <f t="shared" ref="N502:N507" si="435">ROUND((I502-H502),$O$1)</f>
        <v>0</v>
      </c>
      <c r="O502">
        <f t="shared" ref="O502:O507" si="436">ROUND((K502-J502),$O$1)</f>
        <v>1.85</v>
      </c>
      <c r="P502" s="5" t="e">
        <f t="shared" ref="P502:P506" si="437">ROUND((L502-M502),$O$1)</f>
        <v>#VALUE!</v>
      </c>
      <c r="Q502">
        <f>'Code List'!$C$63</f>
        <v>3</v>
      </c>
      <c r="R502">
        <f>F503+'Code List'!$G$63</f>
        <v>2</v>
      </c>
      <c r="S502" t="e">
        <f t="shared" ref="S502:S506" si="438">IF(P502=0,"1",ROUND((P502/$K$1)+$M$1,0))</f>
        <v>#VALUE!</v>
      </c>
      <c r="T502" t="e">
        <f>Q502*R502*S502</f>
        <v>#VALUE!</v>
      </c>
      <c r="U502" t="str">
        <f>IF(A502="YES",CONCATENATE(G502,"_",'Program Page'!$C$4,'Program Page'!$C$5,"_",D502,"_",E502),"")</f>
        <v/>
      </c>
      <c r="V502" t="str">
        <f t="shared" ref="V502:V506" si="439">IF(U502="","",CONCATENATE(U502,"_"))</f>
        <v/>
      </c>
      <c r="W502" t="str">
        <f>IF(A502="YES",CONCATENATE("{",'Code List'!$B$4,'Code List'!$D$4,",",'Code List'!$B$5,'Code List'!$D$5,",",'Code List'!$B$6,"""",U502,"""",",",'Code List'!$B$7,'Code List'!$D$7,",",'Code List'!$B$8,'Code List'!$D$8,",",'Code List'!$B$9,'Code List'!$D$9,",",'Code List'!$B$10,'Code List'!$D$10,",",'Code List'!$B$11,"""",V502,"""",",",'Code List'!$B$12,"""",H502,"""",",",'Code List'!$B$13,"""",I502,"""",",",'Code List'!$B$14,"""",J502,"""",",",'Code List'!$B$15,"""",K502,"""",",",'Code List'!$B$16,"""",L502,"""",",",'Code List'!$B$17,"""",M502,"""",",",'Code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02" s="167" t="str">
        <f>IF(A502="YES",CONCATENATE("{",'Code List'!$B$31,"""",U502,"""",",",'Code List'!$B$32,'Code List'!$D$32,",",'Code List'!$B$33,'Code List'!$D$33,",",'Code List'!$B$34,'Code List'!$D$34,",",'Code List'!$B$35,'Code List'!$D$35,",",'Code List'!$B$36,'Code List'!$D$36,",",'Code List'!$B$37,'Code List'!$D$37,",",'Code List'!$B$38,"""",H502,"""",",",'Code List'!$B$39,"""",I502,"""",",",'Code List'!$B$40,"""",J502,"""",",",'Code List'!$B$41,"""",K502,"""",",",'Code List'!$B$42,"""",L502,"""",",",'Code List'!$B$43,"""",M502,"""",",",'Code List'!$B$44,"""",N502,"""",",",'Code List'!$B$45,"""",O502,"""",",",'Code List'!$B$46,"""",P502,"""",",",'Code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List'!$B$59,"""",T502,"""","}"),"")</f>
        <v/>
      </c>
    </row>
    <row r="503" spans="1:25" x14ac:dyDescent="0.25">
      <c r="A503" t="str">
        <f>IF(AND($A500="YES",E500=$D$1,F503&gt;0),"YES","NO")</f>
        <v>NO</v>
      </c>
      <c r="C503" t="s">
        <v>5</v>
      </c>
      <c r="D503" s="12" t="str">
        <f t="shared" si="434"/>
        <v>9G</v>
      </c>
      <c r="E503" t="s">
        <v>189</v>
      </c>
      <c r="F503">
        <f>'Expanded Base Data'!G498</f>
        <v>0</v>
      </c>
      <c r="G503" s="171">
        <f>F500</f>
        <v>0</v>
      </c>
      <c r="H503">
        <f>ROUND(B500+'Slide Measurements'!$D$17,$O$1)</f>
        <v>548.21</v>
      </c>
      <c r="I503">
        <f>ROUND(H503+(F503*'Slide Measurements'!$D$21),$O$1)</f>
        <v>548.21</v>
      </c>
      <c r="J503">
        <f>K502</f>
        <v>330.87000000000006</v>
      </c>
      <c r="K503">
        <f>J503+($I$1*'Slide Measurements'!$E$23-'Slide Measurements'!$E$23)</f>
        <v>332.72000000000008</v>
      </c>
      <c r="L503" s="5" t="str">
        <f>'Expanded Base Data'!$L498</f>
        <v/>
      </c>
      <c r="M503" s="5" t="str">
        <f>'Expanded Base Data'!$K498</f>
        <v/>
      </c>
      <c r="N503">
        <f t="shared" si="435"/>
        <v>0</v>
      </c>
      <c r="O503">
        <f t="shared" si="436"/>
        <v>1.85</v>
      </c>
      <c r="P503" s="5" t="e">
        <f t="shared" si="437"/>
        <v>#VALUE!</v>
      </c>
      <c r="Q503">
        <f>'Code List'!$C$63</f>
        <v>3</v>
      </c>
      <c r="R503">
        <f>F504+'Code List'!$G$63</f>
        <v>2</v>
      </c>
      <c r="S503" t="e">
        <f t="shared" si="438"/>
        <v>#VALUE!</v>
      </c>
      <c r="T503" t="e">
        <f t="shared" ref="T503:T506" si="440">Q503*R503*S503</f>
        <v>#VALUE!</v>
      </c>
      <c r="U503" t="str">
        <f>IF(A503="YES",CONCATENATE(G503,"_",'Program Page'!$C$4,'Program Page'!$C$5,"_",D503,"_",E503),"")</f>
        <v/>
      </c>
      <c r="V503" t="str">
        <f t="shared" si="439"/>
        <v/>
      </c>
      <c r="W503" t="str">
        <f>IF(A503="YES",CONCATENATE("{",'Code List'!$B$4,'Code List'!$D$4,",",'Code List'!$B$5,'Code List'!$D$5,",",'Code List'!$B$6,"""",U503,"""",",",'Code List'!$B$7,'Code List'!$D$7,",",'Code List'!$B$8,'Code List'!$D$8,",",'Code List'!$B$9,'Code List'!$D$9,",",'Code List'!$B$10,'Code List'!$D$10,",",'Code List'!$B$11,"""",V503,"""",",",'Code List'!$B$12,"""",H503,"""",",",'Code List'!$B$13,"""",I503,"""",",",'Code List'!$B$14,"""",J503,"""",",",'Code List'!$B$15,"""",K503,"""",",",'Code List'!$B$16,"""",L503,"""",",",'Code List'!$B$17,"""",M503,"""",",",'Code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03" s="167" t="str">
        <f>IF(A503="YES",CONCATENATE("{",'Code List'!$B$31,"""",U503,"""",",",'Code List'!$B$32,'Code List'!$D$32,",",'Code List'!$B$33,'Code List'!$D$33,",",'Code List'!$B$34,'Code List'!$D$34,",",'Code List'!$B$35,'Code List'!$D$35,",",'Code List'!$B$36,'Code List'!$D$36,",",'Code List'!$B$37,'Code List'!$D$37,",",'Code List'!$B$38,"""",H503,"""",",",'Code List'!$B$39,"""",I503,"""",",",'Code List'!$B$40,"""",J503,"""",",",'Code List'!$B$41,"""",K503,"""",",",'Code List'!$B$42,"""",L503,"""",",",'Code List'!$B$43,"""",M503,"""",",",'Code List'!$B$44,"""",N503,"""",",",'Code List'!$B$45,"""",O503,"""",",",'Code List'!$B$46,"""",P503,"""",",",'Code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List'!$B$59,"""",T503,"""","}"),"")</f>
        <v/>
      </c>
    </row>
    <row r="504" spans="1:25" x14ac:dyDescent="0.25">
      <c r="A504" t="str">
        <f>IF(AND($A500="YES",E500=$D$1,F504&gt;0),"YES","NO")</f>
        <v>NO</v>
      </c>
      <c r="C504" t="s">
        <v>5</v>
      </c>
      <c r="D504" s="12" t="str">
        <f t="shared" si="434"/>
        <v>9G</v>
      </c>
      <c r="E504" t="s">
        <v>190</v>
      </c>
      <c r="F504">
        <f>'Expanded Base Data'!H498</f>
        <v>0</v>
      </c>
      <c r="G504" s="171">
        <f>F500</f>
        <v>0</v>
      </c>
      <c r="H504">
        <f>ROUND(B500+'Slide Measurements'!$D$17,$O$1)</f>
        <v>548.21</v>
      </c>
      <c r="I504">
        <f>ROUND(H504+(F504*'Slide Measurements'!$D$21),$O$1)</f>
        <v>548.21</v>
      </c>
      <c r="J504">
        <f>K503</f>
        <v>332.72000000000008</v>
      </c>
      <c r="K504">
        <f>J504+($I$1*'Slide Measurements'!$E$23-'Slide Measurements'!$E$23)</f>
        <v>334.57000000000011</v>
      </c>
      <c r="L504" s="5" t="str">
        <f>'Expanded Base Data'!$L498</f>
        <v/>
      </c>
      <c r="M504" s="5" t="str">
        <f>'Expanded Base Data'!$K498</f>
        <v/>
      </c>
      <c r="N504">
        <f t="shared" si="435"/>
        <v>0</v>
      </c>
      <c r="O504">
        <f t="shared" si="436"/>
        <v>1.85</v>
      </c>
      <c r="P504" s="5" t="e">
        <f t="shared" si="437"/>
        <v>#VALUE!</v>
      </c>
      <c r="Q504">
        <f>'Code List'!$C$63</f>
        <v>3</v>
      </c>
      <c r="R504">
        <f>F505+'Code List'!$G$63</f>
        <v>2</v>
      </c>
      <c r="S504" t="e">
        <f t="shared" si="438"/>
        <v>#VALUE!</v>
      </c>
      <c r="T504" t="e">
        <f t="shared" si="440"/>
        <v>#VALUE!</v>
      </c>
      <c r="U504" t="str">
        <f>IF(A504="YES",CONCATENATE(G504,"_",'Program Page'!$C$4,'Program Page'!$C$5,"_",D504,"_",E504),"")</f>
        <v/>
      </c>
      <c r="V504" t="str">
        <f t="shared" si="439"/>
        <v/>
      </c>
      <c r="W504" t="str">
        <f>IF(A504="YES",CONCATENATE("{",'Code List'!$B$4,'Code List'!$D$4,",",'Code List'!$B$5,'Code List'!$D$5,",",'Code List'!$B$6,"""",U504,"""",",",'Code List'!$B$7,'Code List'!$D$7,",",'Code List'!$B$8,'Code List'!$D$8,",",'Code List'!$B$9,'Code List'!$D$9,",",'Code List'!$B$10,'Code List'!$D$10,",",'Code List'!$B$11,"""",V504,"""",",",'Code List'!$B$12,"""",H504,"""",",",'Code List'!$B$13,"""",I504,"""",",",'Code List'!$B$14,"""",J504,"""",",",'Code List'!$B$15,"""",K504,"""",",",'Code List'!$B$16,"""",L504,"""",",",'Code List'!$B$17,"""",M504,"""",",",'Code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04" s="167" t="str">
        <f>IF(A504="YES",CONCATENATE("{",'Code List'!$B$31,"""",U504,"""",",",'Code List'!$B$32,'Code List'!$D$32,",",'Code List'!$B$33,'Code List'!$D$33,",",'Code List'!$B$34,'Code List'!$D$34,",",'Code List'!$B$35,'Code List'!$D$35,",",'Code List'!$B$36,'Code List'!$D$36,",",'Code List'!$B$37,'Code List'!$D$37,",",'Code List'!$B$38,"""",H504,"""",",",'Code List'!$B$39,"""",I504,"""",",",'Code List'!$B$40,"""",J504,"""",",",'Code List'!$B$41,"""",K504,"""",",",'Code List'!$B$42,"""",L504,"""",",",'Code List'!$B$43,"""",M504,"""",",",'Code List'!$B$44,"""",N504,"""",",",'Code List'!$B$45,"""",O504,"""",",",'Code List'!$B$46,"""",P504,"""",",",'Code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List'!$B$59,"""",T504,"""","}"),"")</f>
        <v/>
      </c>
    </row>
    <row r="505" spans="1:25" x14ac:dyDescent="0.25">
      <c r="A505" t="str">
        <f>IF(AND($A500="YES",E500=$D$1,F505&gt;0),"YES","NO")</f>
        <v>NO</v>
      </c>
      <c r="C505" t="s">
        <v>5</v>
      </c>
      <c r="D505" s="12" t="str">
        <f t="shared" si="434"/>
        <v>9G</v>
      </c>
      <c r="E505" t="s">
        <v>191</v>
      </c>
      <c r="F505">
        <f>'Expanded Base Data'!I498</f>
        <v>0</v>
      </c>
      <c r="G505" s="171">
        <f>F500</f>
        <v>0</v>
      </c>
      <c r="H505">
        <f>ROUND(B500+'Slide Measurements'!$D$17,$O$1)</f>
        <v>548.21</v>
      </c>
      <c r="I505">
        <f>ROUND(H505+(F505*'Slide Measurements'!$D$21),$O$1)</f>
        <v>548.21</v>
      </c>
      <c r="J505">
        <f>K504</f>
        <v>334.57000000000011</v>
      </c>
      <c r="K505">
        <f>J505+($I$1*'Slide Measurements'!$E$23-'Slide Measurements'!$E$23)</f>
        <v>336.42000000000013</v>
      </c>
      <c r="L505" s="5" t="str">
        <f>'Expanded Base Data'!$L498</f>
        <v/>
      </c>
      <c r="M505" s="5" t="str">
        <f>'Expanded Base Data'!$K498</f>
        <v/>
      </c>
      <c r="N505">
        <f t="shared" si="435"/>
        <v>0</v>
      </c>
      <c r="O505">
        <f t="shared" si="436"/>
        <v>1.85</v>
      </c>
      <c r="P505" s="5" t="e">
        <f t="shared" si="437"/>
        <v>#VALUE!</v>
      </c>
      <c r="Q505">
        <f>'Code List'!$C$63</f>
        <v>3</v>
      </c>
      <c r="R505">
        <f>F506+'Code List'!$G$63</f>
        <v>2</v>
      </c>
      <c r="S505" t="e">
        <f t="shared" si="438"/>
        <v>#VALUE!</v>
      </c>
      <c r="T505" t="e">
        <f t="shared" si="440"/>
        <v>#VALUE!</v>
      </c>
      <c r="U505" t="str">
        <f>IF(A505="YES",CONCATENATE(G505,"_",'Program Page'!$C$4,'Program Page'!$C$5,"_",D505,"_",E505),"")</f>
        <v/>
      </c>
      <c r="V505" t="str">
        <f t="shared" si="439"/>
        <v/>
      </c>
      <c r="W505" t="str">
        <f>IF(A505="YES",CONCATENATE("{",'Code List'!$B$4,'Code List'!$D$4,",",'Code List'!$B$5,'Code List'!$D$5,",",'Code List'!$B$6,"""",U505,"""",",",'Code List'!$B$7,'Code List'!$D$7,",",'Code List'!$B$8,'Code List'!$D$8,",",'Code List'!$B$9,'Code List'!$D$9,",",'Code List'!$B$10,'Code List'!$D$10,",",'Code List'!$B$11,"""",V505,"""",",",'Code List'!$B$12,"""",H505,"""",",",'Code List'!$B$13,"""",I505,"""",",",'Code List'!$B$14,"""",J505,"""",",",'Code List'!$B$15,"""",K505,"""",",",'Code List'!$B$16,"""",L505,"""",",",'Code List'!$B$17,"""",M505,"""",",",'Code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05" s="167" t="str">
        <f>IF(A505="YES",CONCATENATE("{",'Code List'!$B$31,"""",U505,"""",",",'Code List'!$B$32,'Code List'!$D$32,",",'Code List'!$B$33,'Code List'!$D$33,",",'Code List'!$B$34,'Code List'!$D$34,",",'Code List'!$B$35,'Code List'!$D$35,",",'Code List'!$B$36,'Code List'!$D$36,",",'Code List'!$B$37,'Code List'!$D$37,",",'Code List'!$B$38,"""",H505,"""",",",'Code List'!$B$39,"""",I505,"""",",",'Code List'!$B$40,"""",J505,"""",",",'Code List'!$B$41,"""",K505,"""",",",'Code List'!$B$42,"""",L505,"""",",",'Code List'!$B$43,"""",M505,"""",",",'Code List'!$B$44,"""",N505,"""",",",'Code List'!$B$45,"""",O505,"""",",",'Code List'!$B$46,"""",P505,"""",",",'Code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List'!$B$59,"""",T505,"""","}"),"")</f>
        <v/>
      </c>
    </row>
    <row r="506" spans="1:25" x14ac:dyDescent="0.25">
      <c r="A506" t="str">
        <f>IF(AND($A500="YES",E500=$D$1,F506&gt;0),"YES","NO")</f>
        <v>NO</v>
      </c>
      <c r="C506" t="s">
        <v>5</v>
      </c>
      <c r="D506" s="12" t="str">
        <f t="shared" si="434"/>
        <v>9G</v>
      </c>
      <c r="E506" t="s">
        <v>196</v>
      </c>
      <c r="F506">
        <f>'Expanded Base Data'!J498</f>
        <v>0</v>
      </c>
      <c r="G506" s="171">
        <f>F500</f>
        <v>0</v>
      </c>
      <c r="H506">
        <f>ROUND(B500+'Slide Measurements'!$D$17,$O$1)</f>
        <v>548.21</v>
      </c>
      <c r="I506">
        <f>ROUND(H506+(F506*'Slide Measurements'!$D$21),$O$1)</f>
        <v>548.21</v>
      </c>
      <c r="J506">
        <f>K505</f>
        <v>336.42000000000013</v>
      </c>
      <c r="K506">
        <f>J506+($I$1*'Slide Measurements'!$E$23-'Slide Measurements'!$E$23)</f>
        <v>338.27000000000015</v>
      </c>
      <c r="L506" s="5" t="str">
        <f>'Expanded Base Data'!$L498</f>
        <v/>
      </c>
      <c r="M506" s="5" t="str">
        <f>'Expanded Base Data'!$K498</f>
        <v/>
      </c>
      <c r="N506">
        <f t="shared" si="435"/>
        <v>0</v>
      </c>
      <c r="O506">
        <f t="shared" si="436"/>
        <v>1.85</v>
      </c>
      <c r="P506" s="5" t="e">
        <f t="shared" si="437"/>
        <v>#VALUE!</v>
      </c>
      <c r="Q506">
        <f>'Code List'!$C$63</f>
        <v>3</v>
      </c>
      <c r="R506">
        <f>F507+'Code List'!$G$63</f>
        <v>2</v>
      </c>
      <c r="S506" t="e">
        <f t="shared" si="438"/>
        <v>#VALUE!</v>
      </c>
      <c r="T506" t="e">
        <f t="shared" si="440"/>
        <v>#VALUE!</v>
      </c>
      <c r="U506" t="str">
        <f>IF(A506="YES",CONCATENATE(G506,"_",'Program Page'!$C$4,'Program Page'!$C$5,"_",D506,"_",E506),"")</f>
        <v/>
      </c>
      <c r="V506" t="str">
        <f t="shared" si="439"/>
        <v/>
      </c>
      <c r="W506" t="str">
        <f>IF(A506="YES",CONCATENATE("{",'Code List'!$B$4,'Code List'!$D$4,",",'Code List'!$B$5,'Code List'!$D$5,",",'Code List'!$B$6,"""",U506,"""",",",'Code List'!$B$7,'Code List'!$D$7,",",'Code List'!$B$8,'Code List'!$D$8,",",'Code List'!$B$9,'Code List'!$D$9,",",'Code List'!$B$10,'Code List'!$D$10,",",'Code List'!$B$11,"""",V506,"""",",",'Code List'!$B$12,"""",H506,"""",",",'Code List'!$B$13,"""",I506,"""",",",'Code List'!$B$14,"""",J506,"""",",",'Code List'!$B$15,"""",K506,"""",",",'Code List'!$B$16,"""",L506,"""",",",'Code List'!$B$17,"""",M506,"""",",",'Code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06" s="167" t="str">
        <f>IF(A506="YES",CONCATENATE("{",'Code List'!$B$31,"""",U506,"""",",",'Code List'!$B$32,'Code List'!$D$32,",",'Code List'!$B$33,'Code List'!$D$33,",",'Code List'!$B$34,'Code List'!$D$34,",",'Code List'!$B$35,'Code List'!$D$35,",",'Code List'!$B$36,'Code List'!$D$36,",",'Code List'!$B$37,'Code List'!$D$37,",",'Code List'!$B$38,"""",H506,"""",",",'Code List'!$B$39,"""",I506,"""",",",'Code List'!$B$40,"""",J506,"""",",",'Code List'!$B$41,"""",K506,"""",",",'Code List'!$B$42,"""",L506,"""",",",'Code List'!$B$43,"""",M506,"""",",",'Code List'!$B$44,"""",N506,"""",",",'Code List'!$B$45,"""",O506,"""",",",'Code List'!$B$46,"""",P506,"""",",",'Code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List'!$B$59,"""",T506,"""","}"),"")</f>
        <v/>
      </c>
    </row>
    <row r="507" spans="1:25" x14ac:dyDescent="0.25">
      <c r="A507" s="162" t="str">
        <f>IF(AND($A500="YES",E500=$E$1),"YES","NO")</f>
        <v>NO</v>
      </c>
      <c r="C507" t="s">
        <v>259</v>
      </c>
      <c r="D507" s="12" t="str">
        <f>D506</f>
        <v>9G</v>
      </c>
      <c r="E507" t="s">
        <v>259</v>
      </c>
      <c r="G507" s="171">
        <f>F500</f>
        <v>0</v>
      </c>
      <c r="H507">
        <f>ROUND(B500,$O$1)</f>
        <v>522.80999999999995</v>
      </c>
      <c r="I507">
        <f>ROUND(B500+'Slide Measurements'!$D$1,$O$1)</f>
        <v>599.26</v>
      </c>
      <c r="J507">
        <f>C500</f>
        <v>324.72000000000003</v>
      </c>
      <c r="K507">
        <f>C500+'Slide Measurements'!$D$2</f>
        <v>352.12</v>
      </c>
      <c r="L507" s="5" t="str">
        <f>'Expanded Base Data'!$L498</f>
        <v/>
      </c>
      <c r="M507" s="5" t="str">
        <f>'Expanded Base Data'!$K498</f>
        <v/>
      </c>
      <c r="N507">
        <f t="shared" si="435"/>
        <v>76.45</v>
      </c>
      <c r="O507">
        <f t="shared" si="436"/>
        <v>27.4</v>
      </c>
      <c r="P507" s="5" t="e">
        <f>ROUND((L507-M507),$O$1)</f>
        <v>#VALUE!</v>
      </c>
      <c r="Q507">
        <f>'Code List'!$C$70</f>
        <v>11</v>
      </c>
      <c r="R507">
        <f>'Code List'!$D$70</f>
        <v>19</v>
      </c>
      <c r="S507" t="e">
        <f>IF(P507=0,"1",ROUND((P507/$K$1)+$M$1,0))</f>
        <v>#VALUE!</v>
      </c>
      <c r="T507" t="e">
        <f>Q507*R507*S507</f>
        <v>#VALUE!</v>
      </c>
      <c r="U507" t="str">
        <f>IF(A507="YES",CONCATENATE(G507,"_",'Program Page'!$C$4,'Program Page'!$C$5,"_",D507,"_",E507),"")</f>
        <v/>
      </c>
      <c r="V507" t="str">
        <f>IF(U507="","",CONCATENATE(U507,"_"))</f>
        <v/>
      </c>
      <c r="W507" t="str">
        <f>IF(A507="YES",CONCATENATE("{",'Code List'!$B$4,'Code List'!$D$4,",",'Code List'!$B$5,'Code List'!$D$5,",",'Code List'!$B$6,"""",U507,"""",",",'Code List'!$B$7,'Code List'!$D$7,",",'Code List'!$B$8,'Code List'!$D$8,",",'Code List'!$B$9,'Code List'!$D$9,",",'Code List'!$B$10,'Code List'!$D$10,",",'Code List'!$B$11,"""",V507,"""",",",'Code List'!$B$12,"""",H507,"""",",",'Code List'!$B$13,"""",I507,"""",",",'Code List'!$B$14,"""",J507,"""",",",'Code List'!$B$15,"""",K507,"""",",",'Code List'!$B$16,"""",L507,"""",",",'Code List'!$B$17,"""",M507,"""",",",'Code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507" s="167" t="str">
        <f>IF(A507="YES",CONCATENATE("{",'Code List'!$B$31,"""",U507,"""",",",'Code List'!$B$32,'Code List'!$D$32,",",'Code List'!$B$33,'Code List'!$D$33,",",'Code List'!$B$34,'Code List'!$D$34,",",'Code List'!$B$35,'Code List'!$D$35,",",'Code List'!$B$36,'Code List'!$D$36,",",'Code List'!$B$37,'Code List'!$D$37,",",'Code List'!$B$38,"""",H507,"""",",",'Code List'!$B$39,"""",I507,"""",",",'Code List'!$B$40,"""",J507,"""",",",'Code List'!$B$41,"""",K507,"""",",",'Code List'!$B$42,"""",L507,"""",",",'Code List'!$B$43,"""",M507,"""",",",'Code List'!$B$44,"""",N507,"""",",",'Code List'!$B$45,"""",O507,"""",",",'Code List'!$B$46,"""",P507,"""",",",'Code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List'!$B$59,"""",T507,"""","}"),"")</f>
        <v/>
      </c>
    </row>
    <row r="508" spans="1:25" ht="18.75" x14ac:dyDescent="0.3">
      <c r="A508" s="35" t="str">
        <f>IF(OR(E508=$C$1,E508=$D$1,E508=$E$1),"YES","NO")</f>
        <v>NO</v>
      </c>
      <c r="B508" s="35">
        <f>'Expanded Base Data'!D506</f>
        <v>1.5099999999999998</v>
      </c>
      <c r="C508" s="35">
        <f>'Expanded Base Data'!E506</f>
        <v>376.43</v>
      </c>
      <c r="D508" s="36" t="str">
        <f>'Expanded Base Data'!B506</f>
        <v>10A</v>
      </c>
      <c r="E508" s="35">
        <f>'Expanded Base Data'!C506</f>
        <v>0</v>
      </c>
      <c r="F508" s="35">
        <f>'Expanded Base Data'!M506</f>
        <v>0</v>
      </c>
      <c r="G508" s="170">
        <f>F508</f>
        <v>0</v>
      </c>
      <c r="Y508" s="167" t="str">
        <f>""</f>
        <v/>
      </c>
    </row>
    <row r="509" spans="1:25" x14ac:dyDescent="0.25">
      <c r="A509" t="str">
        <f>IF(AND($A508="YES",E508=$C$1),"YES","NO")</f>
        <v>NO</v>
      </c>
      <c r="C509" t="s">
        <v>6</v>
      </c>
      <c r="D509" s="12" t="str">
        <f>D508</f>
        <v>10A</v>
      </c>
      <c r="E509" t="s">
        <v>6</v>
      </c>
      <c r="F509" t="s">
        <v>198</v>
      </c>
      <c r="G509" s="171">
        <f>F508</f>
        <v>0</v>
      </c>
      <c r="H509">
        <f>IF('Expanded Base Data'!N506="",ROUND(B508+'Slide Measurements'!$D$11,$O$1),B508+'Expanded Base Data'!N506)</f>
        <v>34.51</v>
      </c>
      <c r="I509">
        <f>IF('Expanded Base Data'!O506="",ROUND(B508+'Slide Measurements'!$D$12,$O$1),B508+'Expanded Base Data'!O506)</f>
        <v>43.11</v>
      </c>
      <c r="J509">
        <f>IF('Expanded Base Data'!P506="",C508+'Slide Measurements'!$E$13,C508+'Expanded Base Data'!P506)</f>
        <v>385.13</v>
      </c>
      <c r="K509">
        <f>IF('Expanded Base Data'!Q506="",C508+'Slide Measurements'!$E$14,C508+'Expanded Base Data'!Q506)</f>
        <v>393.73</v>
      </c>
      <c r="L509" s="5" t="str">
        <f>'Expanded Base Data'!$L506</f>
        <v/>
      </c>
      <c r="M509" s="5" t="str">
        <f>'Expanded Base Data'!$K506</f>
        <v/>
      </c>
      <c r="N509">
        <f>ROUND((I509-H509),$O$1)</f>
        <v>8.6</v>
      </c>
      <c r="O509">
        <f>ROUND((K509-J509),$O$1)</f>
        <v>8.6</v>
      </c>
      <c r="P509" s="5" t="e">
        <f>ROUND((L509-M509),$O$1)</f>
        <v>#VALUE!</v>
      </c>
      <c r="Q509">
        <f>'Code List'!$C$62</f>
        <v>5</v>
      </c>
      <c r="R509">
        <f>F510+'Code List'!$G$63</f>
        <v>2</v>
      </c>
      <c r="S509" t="e">
        <f>IF(P509=0,"1",ROUND((P509/$K$1)+$M$1,0))</f>
        <v>#VALUE!</v>
      </c>
      <c r="T509" t="e">
        <f>Q509*R509*S509</f>
        <v>#VALUE!</v>
      </c>
      <c r="U509" t="str">
        <f>IF(A509="YES",CONCATENATE(G509,"_",'Program Page'!$C$4,'Program Page'!$C$5,"_",D509,"_",E509),"")</f>
        <v/>
      </c>
      <c r="V509" t="str">
        <f>IF(U509="","",CONCATENATE(U509,"_"))</f>
        <v/>
      </c>
      <c r="W509" t="str">
        <f>IF(A509="YES",CONCATENATE("{",'Code List'!$B$4,'Code List'!$D$4,",",'Code List'!$B$5,'Code List'!$D$5,",",'Code List'!$B$6,"""",U509,"""",",",'Code List'!$B$7,'Code List'!$D$7,",",'Code List'!$B$8,'Code List'!$D$8,",",'Code List'!$B$9,'Code List'!$D$9,",",'Code List'!$B$10,'Code List'!$D$10,",",'Code List'!$B$11,"""",V509,"""",",",'Code List'!$B$12,"""",H509,"""",",",'Code List'!$B$13,"""",I509,"""",",",'Code List'!$B$14,"""",J509,"""",",",'Code List'!$B$15,"""",K509,"""",",",'Code List'!$B$16,"""",L509,"""",",",'Code List'!$B$17,"""",M509,"""",",",'Code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09" s="167" t="str">
        <f>IF(A509="YES",CONCATENATE("{",'Code List'!$B$31,"""",U509,"""",",",'Code List'!$B$32,'Code List'!$D$32,",",'Code List'!$B$33,'Code List'!$D$33,",",'Code List'!$B$34,'Code List'!$D$34,",",'Code List'!$B$35,'Code List'!$D$35,",",'Code List'!$B$36,'Code List'!$D$36,",",'Code List'!$B$37,'Code List'!$D$37,",",'Code List'!$B$38,"""",H509,"""",",",'Code List'!$B$39,"""",I509,"""",",",'Code List'!$B$40,"""",J509,"""",",",'Code List'!$B$41,"""",K509,"""",",",'Code List'!$B$42,"""",L509,"""",",",'Code List'!$B$43,"""",M509,"""",",",'Code List'!$B$44,"""",N509,"""",",",'Code List'!$B$45,"""",O509,"""",",",'Code List'!$B$46,"""",P509,"""",",",'Code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List'!$B$59,"""",T509,"""","}"),"")</f>
        <v/>
      </c>
    </row>
    <row r="510" spans="1:25" x14ac:dyDescent="0.25">
      <c r="A510" t="str">
        <f>IF(AND($A508="YES",E508=$D$1,F510&gt;0),"YES","NO")</f>
        <v>NO</v>
      </c>
      <c r="C510" t="s">
        <v>5</v>
      </c>
      <c r="D510" s="12" t="str">
        <f t="shared" ref="D510:D514" si="441">D509</f>
        <v>10A</v>
      </c>
      <c r="E510" t="s">
        <v>188</v>
      </c>
      <c r="F510">
        <f>'Expanded Base Data'!F506</f>
        <v>0</v>
      </c>
      <c r="G510" s="171">
        <f>F508</f>
        <v>0</v>
      </c>
      <c r="H510">
        <f>ROUND(B508+'Slide Measurements'!$D$17,$O$1)</f>
        <v>26.91</v>
      </c>
      <c r="I510">
        <f>ROUND(H510+(F510*'Slide Measurements'!$D$21),$O$1)</f>
        <v>26.91</v>
      </c>
      <c r="J510">
        <f>C508+'Slide Measurements'!$E$17</f>
        <v>380.73</v>
      </c>
      <c r="K510">
        <f>J510+($I$1*'Slide Measurements'!$E$23-'Slide Measurements'!$E$23)</f>
        <v>382.58000000000004</v>
      </c>
      <c r="L510" s="5" t="str">
        <f>'Expanded Base Data'!$L506</f>
        <v/>
      </c>
      <c r="M510" s="5" t="str">
        <f>'Expanded Base Data'!$K506</f>
        <v/>
      </c>
      <c r="N510">
        <f t="shared" ref="N510:N515" si="442">ROUND((I510-H510),$O$1)</f>
        <v>0</v>
      </c>
      <c r="O510">
        <f t="shared" ref="O510:O515" si="443">ROUND((K510-J510),$O$1)</f>
        <v>1.85</v>
      </c>
      <c r="P510" s="5" t="e">
        <f t="shared" ref="P510:P514" si="444">ROUND((L510-M510),$O$1)</f>
        <v>#VALUE!</v>
      </c>
      <c r="Q510">
        <f>'Code List'!$C$63</f>
        <v>3</v>
      </c>
      <c r="R510">
        <f>F511+'Code List'!$G$63</f>
        <v>2</v>
      </c>
      <c r="S510" t="e">
        <f t="shared" ref="S510:S514" si="445">IF(P510=0,"1",ROUND((P510/$K$1)+$M$1,0))</f>
        <v>#VALUE!</v>
      </c>
      <c r="T510" t="e">
        <f>Q510*R510*S510</f>
        <v>#VALUE!</v>
      </c>
      <c r="U510" t="str">
        <f>IF(A510="YES",CONCATENATE(G510,"_",'Program Page'!$C$4,'Program Page'!$C$5,"_",D510,"_",E510),"")</f>
        <v/>
      </c>
      <c r="V510" t="str">
        <f t="shared" ref="V510:V514" si="446">IF(U510="","",CONCATENATE(U510,"_"))</f>
        <v/>
      </c>
      <c r="W510" t="str">
        <f>IF(A510="YES",CONCATENATE("{",'Code List'!$B$4,'Code List'!$D$4,",",'Code List'!$B$5,'Code List'!$D$5,",",'Code List'!$B$6,"""",U510,"""",",",'Code List'!$B$7,'Code List'!$D$7,",",'Code List'!$B$8,'Code List'!$D$8,",",'Code List'!$B$9,'Code List'!$D$9,",",'Code List'!$B$10,'Code List'!$D$10,",",'Code List'!$B$11,"""",V510,"""",",",'Code List'!$B$12,"""",H510,"""",",",'Code List'!$B$13,"""",I510,"""",",",'Code List'!$B$14,"""",J510,"""",",",'Code List'!$B$15,"""",K510,"""",",",'Code List'!$B$16,"""",L510,"""",",",'Code List'!$B$17,"""",M510,"""",",",'Code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10" s="167" t="str">
        <f>IF(A510="YES",CONCATENATE("{",'Code List'!$B$31,"""",U510,"""",",",'Code List'!$B$32,'Code List'!$D$32,",",'Code List'!$B$33,'Code List'!$D$33,",",'Code List'!$B$34,'Code List'!$D$34,",",'Code List'!$B$35,'Code List'!$D$35,",",'Code List'!$B$36,'Code List'!$D$36,",",'Code List'!$B$37,'Code List'!$D$37,",",'Code List'!$B$38,"""",H510,"""",",",'Code List'!$B$39,"""",I510,"""",",",'Code List'!$B$40,"""",J510,"""",",",'Code List'!$B$41,"""",K510,"""",",",'Code List'!$B$42,"""",L510,"""",",",'Code List'!$B$43,"""",M510,"""",",",'Code List'!$B$44,"""",N510,"""",",",'Code List'!$B$45,"""",O510,"""",",",'Code List'!$B$46,"""",P510,"""",",",'Code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List'!$B$59,"""",T510,"""","}"),"")</f>
        <v/>
      </c>
    </row>
    <row r="511" spans="1:25" x14ac:dyDescent="0.25">
      <c r="A511" t="str">
        <f>IF(AND($A508="YES",E508=$D$1,F511&gt;0),"YES","NO")</f>
        <v>NO</v>
      </c>
      <c r="C511" t="s">
        <v>5</v>
      </c>
      <c r="D511" s="12" t="str">
        <f t="shared" si="441"/>
        <v>10A</v>
      </c>
      <c r="E511" t="s">
        <v>189</v>
      </c>
      <c r="F511">
        <f>'Expanded Base Data'!G506</f>
        <v>0</v>
      </c>
      <c r="G511" s="171">
        <f>F508</f>
        <v>0</v>
      </c>
      <c r="H511">
        <f>ROUND(B508+'Slide Measurements'!$D$17,$O$1)</f>
        <v>26.91</v>
      </c>
      <c r="I511">
        <f>ROUND(H511+(F511*'Slide Measurements'!$D$21),$O$1)</f>
        <v>26.91</v>
      </c>
      <c r="J511">
        <f>K510</f>
        <v>382.58000000000004</v>
      </c>
      <c r="K511">
        <f>J511+($I$1*'Slide Measurements'!$E$23-'Slide Measurements'!$E$23)</f>
        <v>384.43000000000006</v>
      </c>
      <c r="L511" s="5" t="str">
        <f>'Expanded Base Data'!$L506</f>
        <v/>
      </c>
      <c r="M511" s="5" t="str">
        <f>'Expanded Base Data'!$K506</f>
        <v/>
      </c>
      <c r="N511">
        <f t="shared" si="442"/>
        <v>0</v>
      </c>
      <c r="O511">
        <f t="shared" si="443"/>
        <v>1.85</v>
      </c>
      <c r="P511" s="5" t="e">
        <f t="shared" si="444"/>
        <v>#VALUE!</v>
      </c>
      <c r="Q511">
        <f>'Code List'!$C$63</f>
        <v>3</v>
      </c>
      <c r="R511">
        <f>F512+'Code List'!$G$63</f>
        <v>2</v>
      </c>
      <c r="S511" t="e">
        <f t="shared" si="445"/>
        <v>#VALUE!</v>
      </c>
      <c r="T511" t="e">
        <f t="shared" ref="T511:T514" si="447">Q511*R511*S511</f>
        <v>#VALUE!</v>
      </c>
      <c r="U511" t="str">
        <f>IF(A511="YES",CONCATENATE(G511,"_",'Program Page'!$C$4,'Program Page'!$C$5,"_",D511,"_",E511),"")</f>
        <v/>
      </c>
      <c r="V511" t="str">
        <f t="shared" si="446"/>
        <v/>
      </c>
      <c r="W511" t="str">
        <f>IF(A511="YES",CONCATENATE("{",'Code List'!$B$4,'Code List'!$D$4,",",'Code List'!$B$5,'Code List'!$D$5,",",'Code List'!$B$6,"""",U511,"""",",",'Code List'!$B$7,'Code List'!$D$7,",",'Code List'!$B$8,'Code List'!$D$8,",",'Code List'!$B$9,'Code List'!$D$9,",",'Code List'!$B$10,'Code List'!$D$10,",",'Code List'!$B$11,"""",V511,"""",",",'Code List'!$B$12,"""",H511,"""",",",'Code List'!$B$13,"""",I511,"""",",",'Code List'!$B$14,"""",J511,"""",",",'Code List'!$B$15,"""",K511,"""",",",'Code List'!$B$16,"""",L511,"""",",",'Code List'!$B$17,"""",M511,"""",",",'Code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11" s="167" t="str">
        <f>IF(A511="YES",CONCATENATE("{",'Code List'!$B$31,"""",U511,"""",",",'Code List'!$B$32,'Code List'!$D$32,",",'Code List'!$B$33,'Code List'!$D$33,",",'Code List'!$B$34,'Code List'!$D$34,",",'Code List'!$B$35,'Code List'!$D$35,",",'Code List'!$B$36,'Code List'!$D$36,",",'Code List'!$B$37,'Code List'!$D$37,",",'Code List'!$B$38,"""",H511,"""",",",'Code List'!$B$39,"""",I511,"""",",",'Code List'!$B$40,"""",J511,"""",",",'Code List'!$B$41,"""",K511,"""",",",'Code List'!$B$42,"""",L511,"""",",",'Code List'!$B$43,"""",M511,"""",",",'Code List'!$B$44,"""",N511,"""",",",'Code List'!$B$45,"""",O511,"""",",",'Code List'!$B$46,"""",P511,"""",",",'Code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List'!$B$59,"""",T511,"""","}"),"")</f>
        <v/>
      </c>
    </row>
    <row r="512" spans="1:25" x14ac:dyDescent="0.25">
      <c r="A512" t="str">
        <f>IF(AND($A508="YES",E508=$D$1,F512&gt;0),"YES","NO")</f>
        <v>NO</v>
      </c>
      <c r="C512" t="s">
        <v>5</v>
      </c>
      <c r="D512" s="12" t="str">
        <f t="shared" si="441"/>
        <v>10A</v>
      </c>
      <c r="E512" t="s">
        <v>190</v>
      </c>
      <c r="F512">
        <f>'Expanded Base Data'!H506</f>
        <v>0</v>
      </c>
      <c r="G512" s="171">
        <f>F508</f>
        <v>0</v>
      </c>
      <c r="H512">
        <f>ROUND(B508+'Slide Measurements'!$D$17,$O$1)</f>
        <v>26.91</v>
      </c>
      <c r="I512">
        <f>ROUND(H512+(F512*'Slide Measurements'!$D$21),$O$1)</f>
        <v>26.91</v>
      </c>
      <c r="J512">
        <f>K511</f>
        <v>384.43000000000006</v>
      </c>
      <c r="K512">
        <f>J512+($I$1*'Slide Measurements'!$E$23-'Slide Measurements'!$E$23)</f>
        <v>386.28000000000009</v>
      </c>
      <c r="L512" s="5" t="str">
        <f>'Expanded Base Data'!$L506</f>
        <v/>
      </c>
      <c r="M512" s="5" t="str">
        <f>'Expanded Base Data'!$K506</f>
        <v/>
      </c>
      <c r="N512">
        <f t="shared" si="442"/>
        <v>0</v>
      </c>
      <c r="O512">
        <f t="shared" si="443"/>
        <v>1.85</v>
      </c>
      <c r="P512" s="5" t="e">
        <f t="shared" si="444"/>
        <v>#VALUE!</v>
      </c>
      <c r="Q512">
        <f>'Code List'!$C$63</f>
        <v>3</v>
      </c>
      <c r="R512">
        <f>F513+'Code List'!$G$63</f>
        <v>2</v>
      </c>
      <c r="S512" t="e">
        <f t="shared" si="445"/>
        <v>#VALUE!</v>
      </c>
      <c r="T512" t="e">
        <f t="shared" si="447"/>
        <v>#VALUE!</v>
      </c>
      <c r="U512" t="str">
        <f>IF(A512="YES",CONCATENATE(G512,"_",'Program Page'!$C$4,'Program Page'!$C$5,"_",D512,"_",E512),"")</f>
        <v/>
      </c>
      <c r="V512" t="str">
        <f t="shared" si="446"/>
        <v/>
      </c>
      <c r="W512" t="str">
        <f>IF(A512="YES",CONCATENATE("{",'Code List'!$B$4,'Code List'!$D$4,",",'Code List'!$B$5,'Code List'!$D$5,",",'Code List'!$B$6,"""",U512,"""",",",'Code List'!$B$7,'Code List'!$D$7,",",'Code List'!$B$8,'Code List'!$D$8,",",'Code List'!$B$9,'Code List'!$D$9,",",'Code List'!$B$10,'Code List'!$D$10,",",'Code List'!$B$11,"""",V512,"""",",",'Code List'!$B$12,"""",H512,"""",",",'Code List'!$B$13,"""",I512,"""",",",'Code List'!$B$14,"""",J512,"""",",",'Code List'!$B$15,"""",K512,"""",",",'Code List'!$B$16,"""",L512,"""",",",'Code List'!$B$17,"""",M512,"""",",",'Code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12" s="167" t="str">
        <f>IF(A512="YES",CONCATENATE("{",'Code List'!$B$31,"""",U512,"""",",",'Code List'!$B$32,'Code List'!$D$32,",",'Code List'!$B$33,'Code List'!$D$33,",",'Code List'!$B$34,'Code List'!$D$34,",",'Code List'!$B$35,'Code List'!$D$35,",",'Code List'!$B$36,'Code List'!$D$36,",",'Code List'!$B$37,'Code List'!$D$37,",",'Code List'!$B$38,"""",H512,"""",",",'Code List'!$B$39,"""",I512,"""",",",'Code List'!$B$40,"""",J512,"""",",",'Code List'!$B$41,"""",K512,"""",",",'Code List'!$B$42,"""",L512,"""",",",'Code List'!$B$43,"""",M512,"""",",",'Code List'!$B$44,"""",N512,"""",",",'Code List'!$B$45,"""",O512,"""",",",'Code List'!$B$46,"""",P512,"""",",",'Code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List'!$B$59,"""",T512,"""","}"),"")</f>
        <v/>
      </c>
    </row>
    <row r="513" spans="1:25" x14ac:dyDescent="0.25">
      <c r="A513" t="str">
        <f>IF(AND($A508="YES",E508=$D$1,F513&gt;0),"YES","NO")</f>
        <v>NO</v>
      </c>
      <c r="C513" t="s">
        <v>5</v>
      </c>
      <c r="D513" s="12" t="str">
        <f t="shared" si="441"/>
        <v>10A</v>
      </c>
      <c r="E513" t="s">
        <v>191</v>
      </c>
      <c r="F513">
        <f>'Expanded Base Data'!I506</f>
        <v>0</v>
      </c>
      <c r="G513" s="171">
        <f>F508</f>
        <v>0</v>
      </c>
      <c r="H513">
        <f>ROUND(B508+'Slide Measurements'!$D$17,$O$1)</f>
        <v>26.91</v>
      </c>
      <c r="I513">
        <f>ROUND(H513+(F513*'Slide Measurements'!$D$21),$O$1)</f>
        <v>26.91</v>
      </c>
      <c r="J513">
        <f>K512</f>
        <v>386.28000000000009</v>
      </c>
      <c r="K513">
        <f>J513+($I$1*'Slide Measurements'!$E$23-'Slide Measurements'!$E$23)</f>
        <v>388.13000000000011</v>
      </c>
      <c r="L513" s="5" t="str">
        <f>'Expanded Base Data'!$L506</f>
        <v/>
      </c>
      <c r="M513" s="5" t="str">
        <f>'Expanded Base Data'!$K506</f>
        <v/>
      </c>
      <c r="N513">
        <f t="shared" si="442"/>
        <v>0</v>
      </c>
      <c r="O513">
        <f t="shared" si="443"/>
        <v>1.85</v>
      </c>
      <c r="P513" s="5" t="e">
        <f t="shared" si="444"/>
        <v>#VALUE!</v>
      </c>
      <c r="Q513">
        <f>'Code List'!$C$63</f>
        <v>3</v>
      </c>
      <c r="R513">
        <f>F514+'Code List'!$G$63</f>
        <v>2</v>
      </c>
      <c r="S513" t="e">
        <f t="shared" si="445"/>
        <v>#VALUE!</v>
      </c>
      <c r="T513" t="e">
        <f t="shared" si="447"/>
        <v>#VALUE!</v>
      </c>
      <c r="U513" t="str">
        <f>IF(A513="YES",CONCATENATE(G513,"_",'Program Page'!$C$4,'Program Page'!$C$5,"_",D513,"_",E513),"")</f>
        <v/>
      </c>
      <c r="V513" t="str">
        <f t="shared" si="446"/>
        <v/>
      </c>
      <c r="W513" t="str">
        <f>IF(A513="YES",CONCATENATE("{",'Code List'!$B$4,'Code List'!$D$4,",",'Code List'!$B$5,'Code List'!$D$5,",",'Code List'!$B$6,"""",U513,"""",",",'Code List'!$B$7,'Code List'!$D$7,",",'Code List'!$B$8,'Code List'!$D$8,",",'Code List'!$B$9,'Code List'!$D$9,",",'Code List'!$B$10,'Code List'!$D$10,",",'Code List'!$B$11,"""",V513,"""",",",'Code List'!$B$12,"""",H513,"""",",",'Code List'!$B$13,"""",I513,"""",",",'Code List'!$B$14,"""",J513,"""",",",'Code List'!$B$15,"""",K513,"""",",",'Code List'!$B$16,"""",L513,"""",",",'Code List'!$B$17,"""",M513,"""",",",'Code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13" s="167" t="str">
        <f>IF(A513="YES",CONCATENATE("{",'Code List'!$B$31,"""",U513,"""",",",'Code List'!$B$32,'Code List'!$D$32,",",'Code List'!$B$33,'Code List'!$D$33,",",'Code List'!$B$34,'Code List'!$D$34,",",'Code List'!$B$35,'Code List'!$D$35,",",'Code List'!$B$36,'Code List'!$D$36,",",'Code List'!$B$37,'Code List'!$D$37,",",'Code List'!$B$38,"""",H513,"""",",",'Code List'!$B$39,"""",I513,"""",",",'Code List'!$B$40,"""",J513,"""",",",'Code List'!$B$41,"""",K513,"""",",",'Code List'!$B$42,"""",L513,"""",",",'Code List'!$B$43,"""",M513,"""",",",'Code List'!$B$44,"""",N513,"""",",",'Code List'!$B$45,"""",O513,"""",",",'Code List'!$B$46,"""",P513,"""",",",'Code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List'!$B$59,"""",T513,"""","}"),"")</f>
        <v/>
      </c>
    </row>
    <row r="514" spans="1:25" x14ac:dyDescent="0.25">
      <c r="A514" t="str">
        <f>IF(AND($A508="YES",E508=$D$1,F514&gt;0),"YES","NO")</f>
        <v>NO</v>
      </c>
      <c r="C514" t="s">
        <v>5</v>
      </c>
      <c r="D514" s="12" t="str">
        <f t="shared" si="441"/>
        <v>10A</v>
      </c>
      <c r="E514" t="s">
        <v>196</v>
      </c>
      <c r="F514">
        <f>'Expanded Base Data'!J506</f>
        <v>0</v>
      </c>
      <c r="G514" s="171">
        <f>F508</f>
        <v>0</v>
      </c>
      <c r="H514">
        <f>ROUND(B508+'Slide Measurements'!$D$17,$O$1)</f>
        <v>26.91</v>
      </c>
      <c r="I514">
        <f>ROUND(H514+(F514*'Slide Measurements'!$D$21),$O$1)</f>
        <v>26.91</v>
      </c>
      <c r="J514">
        <f>K513</f>
        <v>388.13000000000011</v>
      </c>
      <c r="K514">
        <f>J514+($I$1*'Slide Measurements'!$E$23-'Slide Measurements'!$E$23)</f>
        <v>389.98000000000013</v>
      </c>
      <c r="L514" s="5" t="str">
        <f>'Expanded Base Data'!$L506</f>
        <v/>
      </c>
      <c r="M514" s="5" t="str">
        <f>'Expanded Base Data'!$K506</f>
        <v/>
      </c>
      <c r="N514">
        <f t="shared" si="442"/>
        <v>0</v>
      </c>
      <c r="O514">
        <f t="shared" si="443"/>
        <v>1.85</v>
      </c>
      <c r="P514" s="5" t="e">
        <f t="shared" si="444"/>
        <v>#VALUE!</v>
      </c>
      <c r="Q514">
        <f>'Code List'!$C$63</f>
        <v>3</v>
      </c>
      <c r="R514">
        <f>F515+'Code List'!$G$63</f>
        <v>2</v>
      </c>
      <c r="S514" t="e">
        <f t="shared" si="445"/>
        <v>#VALUE!</v>
      </c>
      <c r="T514" t="e">
        <f t="shared" si="447"/>
        <v>#VALUE!</v>
      </c>
      <c r="U514" t="str">
        <f>IF(A514="YES",CONCATENATE(G514,"_",'Program Page'!$C$4,'Program Page'!$C$5,"_",D514,"_",E514),"")</f>
        <v/>
      </c>
      <c r="V514" t="str">
        <f t="shared" si="446"/>
        <v/>
      </c>
      <c r="W514" t="str">
        <f>IF(A514="YES",CONCATENATE("{",'Code List'!$B$4,'Code List'!$D$4,",",'Code List'!$B$5,'Code List'!$D$5,",",'Code List'!$B$6,"""",U514,"""",",",'Code List'!$B$7,'Code List'!$D$7,",",'Code List'!$B$8,'Code List'!$D$8,",",'Code List'!$B$9,'Code List'!$D$9,",",'Code List'!$B$10,'Code List'!$D$10,",",'Code List'!$B$11,"""",V514,"""",",",'Code List'!$B$12,"""",H514,"""",",",'Code List'!$B$13,"""",I514,"""",",",'Code List'!$B$14,"""",J514,"""",",",'Code List'!$B$15,"""",K514,"""",",",'Code List'!$B$16,"""",L514,"""",",",'Code List'!$B$17,"""",M514,"""",",",'Code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14" s="167" t="str">
        <f>IF(A514="YES",CONCATENATE("{",'Code List'!$B$31,"""",U514,"""",",",'Code List'!$B$32,'Code List'!$D$32,",",'Code List'!$B$33,'Code List'!$D$33,",",'Code List'!$B$34,'Code List'!$D$34,",",'Code List'!$B$35,'Code List'!$D$35,",",'Code List'!$B$36,'Code List'!$D$36,",",'Code List'!$B$37,'Code List'!$D$37,",",'Code List'!$B$38,"""",H514,"""",",",'Code List'!$B$39,"""",I514,"""",",",'Code List'!$B$40,"""",J514,"""",",",'Code List'!$B$41,"""",K514,"""",",",'Code List'!$B$42,"""",L514,"""",",",'Code List'!$B$43,"""",M514,"""",",",'Code List'!$B$44,"""",N514,"""",",",'Code List'!$B$45,"""",O514,"""",",",'Code List'!$B$46,"""",P514,"""",",",'Code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List'!$B$59,"""",T514,"""","}"),"")</f>
        <v/>
      </c>
    </row>
    <row r="515" spans="1:25" x14ac:dyDescent="0.25">
      <c r="A515" s="162" t="str">
        <f>IF(AND($A508="YES",E508=$E$1),"YES","NO")</f>
        <v>NO</v>
      </c>
      <c r="C515" t="s">
        <v>259</v>
      </c>
      <c r="D515" s="12" t="str">
        <f>D514</f>
        <v>10A</v>
      </c>
      <c r="E515" t="s">
        <v>259</v>
      </c>
      <c r="G515" s="171">
        <f>F508</f>
        <v>0</v>
      </c>
      <c r="H515">
        <f>ROUND(B508,$O$1)</f>
        <v>1.51</v>
      </c>
      <c r="I515">
        <f>ROUND(B508+'Slide Measurements'!$D$1,$O$1)</f>
        <v>77.959999999999994</v>
      </c>
      <c r="J515">
        <f>C508</f>
        <v>376.43</v>
      </c>
      <c r="K515">
        <f>C508+'Slide Measurements'!$D$2</f>
        <v>403.83</v>
      </c>
      <c r="L515" s="5" t="str">
        <f>'Expanded Base Data'!$L506</f>
        <v/>
      </c>
      <c r="M515" s="5" t="str">
        <f>'Expanded Base Data'!$K506</f>
        <v/>
      </c>
      <c r="N515">
        <f t="shared" si="442"/>
        <v>76.45</v>
      </c>
      <c r="O515">
        <f t="shared" si="443"/>
        <v>27.4</v>
      </c>
      <c r="P515" s="5" t="e">
        <f>ROUND((L515-M515),$O$1)</f>
        <v>#VALUE!</v>
      </c>
      <c r="Q515">
        <f>'Code List'!$C$70</f>
        <v>11</v>
      </c>
      <c r="R515">
        <f>'Code List'!$D$70</f>
        <v>19</v>
      </c>
      <c r="S515" t="e">
        <f>IF(P515=0,"1",ROUND((P515/$K$1)+$M$1,0))</f>
        <v>#VALUE!</v>
      </c>
      <c r="T515" t="e">
        <f>Q515*R515*S515</f>
        <v>#VALUE!</v>
      </c>
      <c r="U515" t="str">
        <f>IF(A515="YES",CONCATENATE(G515,"_",'Program Page'!$C$4,'Program Page'!$C$5,"_",D515,"_",E515),"")</f>
        <v/>
      </c>
      <c r="V515" t="str">
        <f>IF(U515="","",CONCATENATE(U515,"_"))</f>
        <v/>
      </c>
      <c r="W515" t="str">
        <f>IF(A515="YES",CONCATENATE("{",'Code List'!$B$4,'Code List'!$D$4,",",'Code List'!$B$5,'Code List'!$D$5,",",'Code List'!$B$6,"""",U515,"""",",",'Code List'!$B$7,'Code List'!$D$7,",",'Code List'!$B$8,'Code List'!$D$8,",",'Code List'!$B$9,'Code List'!$D$9,",",'Code List'!$B$10,'Code List'!$D$10,",",'Code List'!$B$11,"""",V515,"""",",",'Code List'!$B$12,"""",H515,"""",",",'Code List'!$B$13,"""",I515,"""",",",'Code List'!$B$14,"""",J515,"""",",",'Code List'!$B$15,"""",K515,"""",",",'Code List'!$B$16,"""",L515,"""",",",'Code List'!$B$17,"""",M515,"""",",",'Code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515" s="167" t="str">
        <f>IF(A515="YES",CONCATENATE("{",'Code List'!$B$31,"""",U515,"""",",",'Code List'!$B$32,'Code List'!$D$32,",",'Code List'!$B$33,'Code List'!$D$33,",",'Code List'!$B$34,'Code List'!$D$34,",",'Code List'!$B$35,'Code List'!$D$35,",",'Code List'!$B$36,'Code List'!$D$36,",",'Code List'!$B$37,'Code List'!$D$37,",",'Code List'!$B$38,"""",H515,"""",",",'Code List'!$B$39,"""",I515,"""",",",'Code List'!$B$40,"""",J515,"""",",",'Code List'!$B$41,"""",K515,"""",",",'Code List'!$B$42,"""",L515,"""",",",'Code List'!$B$43,"""",M515,"""",",",'Code List'!$B$44,"""",N515,"""",",",'Code List'!$B$45,"""",O515,"""",",",'Code List'!$B$46,"""",P515,"""",",",'Code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List'!$B$59,"""",T515,"""","}"),"")</f>
        <v/>
      </c>
    </row>
    <row r="516" spans="1:25" ht="18.75" x14ac:dyDescent="0.3">
      <c r="A516" s="35" t="str">
        <f>IF(OR(E516=$C$1,E516=$D$1,E516=$E$1),"YES","NO")</f>
        <v>NO</v>
      </c>
      <c r="B516" s="35">
        <f>'Expanded Base Data'!D514</f>
        <v>89.51</v>
      </c>
      <c r="C516" s="35">
        <f>'Expanded Base Data'!E514</f>
        <v>376.43</v>
      </c>
      <c r="D516" s="36" t="str">
        <f>'Expanded Base Data'!B514</f>
        <v>10B</v>
      </c>
      <c r="E516" s="35">
        <f>'Expanded Base Data'!C514</f>
        <v>0</v>
      </c>
      <c r="F516" s="35">
        <f>'Expanded Base Data'!M514</f>
        <v>0</v>
      </c>
      <c r="G516" s="170">
        <f>F516</f>
        <v>0</v>
      </c>
      <c r="Y516" s="167" t="str">
        <f>""</f>
        <v/>
      </c>
    </row>
    <row r="517" spans="1:25" x14ac:dyDescent="0.25">
      <c r="A517" t="str">
        <f>IF(AND($A516="YES",E516=$C$1),"YES","NO")</f>
        <v>NO</v>
      </c>
      <c r="C517" t="s">
        <v>6</v>
      </c>
      <c r="D517" s="12" t="str">
        <f>D516</f>
        <v>10B</v>
      </c>
      <c r="E517" t="s">
        <v>6</v>
      </c>
      <c r="F517" t="s">
        <v>198</v>
      </c>
      <c r="G517" s="171">
        <f>F516</f>
        <v>0</v>
      </c>
      <c r="H517">
        <f>IF('Expanded Base Data'!N514="",ROUND(B516+'Slide Measurements'!$D$11,$O$1),B516+'Expanded Base Data'!N514)</f>
        <v>122.51</v>
      </c>
      <c r="I517">
        <f>IF('Expanded Base Data'!O514="",ROUND(B516+'Slide Measurements'!$D$12,$O$1),B516+'Expanded Base Data'!O514)</f>
        <v>131.11000000000001</v>
      </c>
      <c r="J517">
        <f>IF('Expanded Base Data'!P514="",C516+'Slide Measurements'!$E$13,C516+'Expanded Base Data'!P514)</f>
        <v>385.13</v>
      </c>
      <c r="K517">
        <f>IF('Expanded Base Data'!Q514="",C516+'Slide Measurements'!$E$14,C516+'Expanded Base Data'!Q514)</f>
        <v>393.73</v>
      </c>
      <c r="L517" s="5" t="str">
        <f>'Expanded Base Data'!$L514</f>
        <v/>
      </c>
      <c r="M517" s="5" t="str">
        <f>'Expanded Base Data'!$K514</f>
        <v/>
      </c>
      <c r="N517">
        <f>ROUND((I517-H517),$O$1)</f>
        <v>8.6</v>
      </c>
      <c r="O517">
        <f>ROUND((K517-J517),$O$1)</f>
        <v>8.6</v>
      </c>
      <c r="P517" s="5" t="e">
        <f>ROUND((L517-M517),$O$1)</f>
        <v>#VALUE!</v>
      </c>
      <c r="Q517">
        <f>'Code List'!$C$62</f>
        <v>5</v>
      </c>
      <c r="R517">
        <f>F518+'Code List'!$G$63</f>
        <v>2</v>
      </c>
      <c r="S517" t="e">
        <f>IF(P517=0,"1",ROUND((P517/$K$1)+$M$1,0))</f>
        <v>#VALUE!</v>
      </c>
      <c r="T517" t="e">
        <f>Q517*R517*S517</f>
        <v>#VALUE!</v>
      </c>
      <c r="U517" t="str">
        <f>IF(A517="YES",CONCATENATE(G517,"_",'Program Page'!$C$4,'Program Page'!$C$5,"_",D517,"_",E517),"")</f>
        <v/>
      </c>
      <c r="V517" t="str">
        <f>IF(U517="","",CONCATENATE(U517,"_"))</f>
        <v/>
      </c>
      <c r="W517" t="str">
        <f>IF(A517="YES",CONCATENATE("{",'Code List'!$B$4,'Code List'!$D$4,",",'Code List'!$B$5,'Code List'!$D$5,",",'Code List'!$B$6,"""",U517,"""",",",'Code List'!$B$7,'Code List'!$D$7,",",'Code List'!$B$8,'Code List'!$D$8,",",'Code List'!$B$9,'Code List'!$D$9,",",'Code List'!$B$10,'Code List'!$D$10,",",'Code List'!$B$11,"""",V517,"""",",",'Code List'!$B$12,"""",H517,"""",",",'Code List'!$B$13,"""",I517,"""",",",'Code List'!$B$14,"""",J517,"""",",",'Code List'!$B$15,"""",K517,"""",",",'Code List'!$B$16,"""",L517,"""",",",'Code List'!$B$17,"""",M517,"""",",",'Code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17" s="167" t="str">
        <f>IF(A517="YES",CONCATENATE("{",'Code List'!$B$31,"""",U517,"""",",",'Code List'!$B$32,'Code List'!$D$32,",",'Code List'!$B$33,'Code List'!$D$33,",",'Code List'!$B$34,'Code List'!$D$34,",",'Code List'!$B$35,'Code List'!$D$35,",",'Code List'!$B$36,'Code List'!$D$36,",",'Code List'!$B$37,'Code List'!$D$37,",",'Code List'!$B$38,"""",H517,"""",",",'Code List'!$B$39,"""",I517,"""",",",'Code List'!$B$40,"""",J517,"""",",",'Code List'!$B$41,"""",K517,"""",",",'Code List'!$B$42,"""",L517,"""",",",'Code List'!$B$43,"""",M517,"""",",",'Code List'!$B$44,"""",N517,"""",",",'Code List'!$B$45,"""",O517,"""",",",'Code List'!$B$46,"""",P517,"""",",",'Code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List'!$B$59,"""",T517,"""","}"),"")</f>
        <v/>
      </c>
    </row>
    <row r="518" spans="1:25" x14ac:dyDescent="0.25">
      <c r="A518" t="str">
        <f>IF(AND($A516="YES",E516=$D$1,F518&gt;0),"YES","NO")</f>
        <v>NO</v>
      </c>
      <c r="C518" t="s">
        <v>5</v>
      </c>
      <c r="D518" s="12" t="str">
        <f t="shared" ref="D518:D522" si="448">D517</f>
        <v>10B</v>
      </c>
      <c r="E518" t="s">
        <v>188</v>
      </c>
      <c r="F518">
        <f>'Expanded Base Data'!F514</f>
        <v>0</v>
      </c>
      <c r="G518" s="171">
        <f>F516</f>
        <v>0</v>
      </c>
      <c r="H518">
        <f>ROUND(B516+'Slide Measurements'!$D$17,$O$1)</f>
        <v>114.91</v>
      </c>
      <c r="I518">
        <f>ROUND(H518+(F518*'Slide Measurements'!$D$21),$O$1)</f>
        <v>114.91</v>
      </c>
      <c r="J518">
        <f>C516+'Slide Measurements'!$E$17</f>
        <v>380.73</v>
      </c>
      <c r="K518">
        <f>J518+($I$1*'Slide Measurements'!$E$23-'Slide Measurements'!$E$23)</f>
        <v>382.58000000000004</v>
      </c>
      <c r="L518" s="5" t="str">
        <f>'Expanded Base Data'!$L514</f>
        <v/>
      </c>
      <c r="M518" s="5" t="str">
        <f>'Expanded Base Data'!$K514</f>
        <v/>
      </c>
      <c r="N518">
        <f t="shared" ref="N518:N523" si="449">ROUND((I518-H518),$O$1)</f>
        <v>0</v>
      </c>
      <c r="O518">
        <f t="shared" ref="O518:O523" si="450">ROUND((K518-J518),$O$1)</f>
        <v>1.85</v>
      </c>
      <c r="P518" s="5" t="e">
        <f t="shared" ref="P518:P522" si="451">ROUND((L518-M518),$O$1)</f>
        <v>#VALUE!</v>
      </c>
      <c r="Q518">
        <f>'Code List'!$C$63</f>
        <v>3</v>
      </c>
      <c r="R518">
        <f>F519+'Code List'!$G$63</f>
        <v>2</v>
      </c>
      <c r="S518" t="e">
        <f t="shared" ref="S518:S522" si="452">IF(P518=0,"1",ROUND((P518/$K$1)+$M$1,0))</f>
        <v>#VALUE!</v>
      </c>
      <c r="T518" t="e">
        <f>Q518*R518*S518</f>
        <v>#VALUE!</v>
      </c>
      <c r="U518" t="str">
        <f>IF(A518="YES",CONCATENATE(G518,"_",'Program Page'!$C$4,'Program Page'!$C$5,"_",D518,"_",E518),"")</f>
        <v/>
      </c>
      <c r="V518" t="str">
        <f t="shared" ref="V518:V522" si="453">IF(U518="","",CONCATENATE(U518,"_"))</f>
        <v/>
      </c>
      <c r="W518" t="str">
        <f>IF(A518="YES",CONCATENATE("{",'Code List'!$B$4,'Code List'!$D$4,",",'Code List'!$B$5,'Code List'!$D$5,",",'Code List'!$B$6,"""",U518,"""",",",'Code List'!$B$7,'Code List'!$D$7,",",'Code List'!$B$8,'Code List'!$D$8,",",'Code List'!$B$9,'Code List'!$D$9,",",'Code List'!$B$10,'Code List'!$D$10,",",'Code List'!$B$11,"""",V518,"""",",",'Code List'!$B$12,"""",H518,"""",",",'Code List'!$B$13,"""",I518,"""",",",'Code List'!$B$14,"""",J518,"""",",",'Code List'!$B$15,"""",K518,"""",",",'Code List'!$B$16,"""",L518,"""",",",'Code List'!$B$17,"""",M518,"""",",",'Code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18" s="167" t="str">
        <f>IF(A518="YES",CONCATENATE("{",'Code List'!$B$31,"""",U518,"""",",",'Code List'!$B$32,'Code List'!$D$32,",",'Code List'!$B$33,'Code List'!$D$33,",",'Code List'!$B$34,'Code List'!$D$34,",",'Code List'!$B$35,'Code List'!$D$35,",",'Code List'!$B$36,'Code List'!$D$36,",",'Code List'!$B$37,'Code List'!$D$37,",",'Code List'!$B$38,"""",H518,"""",",",'Code List'!$B$39,"""",I518,"""",",",'Code List'!$B$40,"""",J518,"""",",",'Code List'!$B$41,"""",K518,"""",",",'Code List'!$B$42,"""",L518,"""",",",'Code List'!$B$43,"""",M518,"""",",",'Code List'!$B$44,"""",N518,"""",",",'Code List'!$B$45,"""",O518,"""",",",'Code List'!$B$46,"""",P518,"""",",",'Code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List'!$B$59,"""",T518,"""","}"),"")</f>
        <v/>
      </c>
    </row>
    <row r="519" spans="1:25" x14ac:dyDescent="0.25">
      <c r="A519" t="str">
        <f>IF(AND($A516="YES",E516=$D$1,F519&gt;0),"YES","NO")</f>
        <v>NO</v>
      </c>
      <c r="C519" t="s">
        <v>5</v>
      </c>
      <c r="D519" s="12" t="str">
        <f t="shared" si="448"/>
        <v>10B</v>
      </c>
      <c r="E519" t="s">
        <v>189</v>
      </c>
      <c r="F519">
        <f>'Expanded Base Data'!G514</f>
        <v>0</v>
      </c>
      <c r="G519" s="171">
        <f>F516</f>
        <v>0</v>
      </c>
      <c r="H519">
        <f>ROUND(B516+'Slide Measurements'!$D$17,$O$1)</f>
        <v>114.91</v>
      </c>
      <c r="I519">
        <f>ROUND(H519+(F519*'Slide Measurements'!$D$21),$O$1)</f>
        <v>114.91</v>
      </c>
      <c r="J519">
        <f>K518</f>
        <v>382.58000000000004</v>
      </c>
      <c r="K519">
        <f>J519+($I$1*'Slide Measurements'!$E$23-'Slide Measurements'!$E$23)</f>
        <v>384.43000000000006</v>
      </c>
      <c r="L519" s="5" t="str">
        <f>'Expanded Base Data'!$L514</f>
        <v/>
      </c>
      <c r="M519" s="5" t="str">
        <f>'Expanded Base Data'!$K514</f>
        <v/>
      </c>
      <c r="N519">
        <f t="shared" si="449"/>
        <v>0</v>
      </c>
      <c r="O519">
        <f t="shared" si="450"/>
        <v>1.85</v>
      </c>
      <c r="P519" s="5" t="e">
        <f t="shared" si="451"/>
        <v>#VALUE!</v>
      </c>
      <c r="Q519">
        <f>'Code List'!$C$63</f>
        <v>3</v>
      </c>
      <c r="R519">
        <f>F520+'Code List'!$G$63</f>
        <v>2</v>
      </c>
      <c r="S519" t="e">
        <f t="shared" si="452"/>
        <v>#VALUE!</v>
      </c>
      <c r="T519" t="e">
        <f t="shared" ref="T519:T522" si="454">Q519*R519*S519</f>
        <v>#VALUE!</v>
      </c>
      <c r="U519" t="str">
        <f>IF(A519="YES",CONCATENATE(G519,"_",'Program Page'!$C$4,'Program Page'!$C$5,"_",D519,"_",E519),"")</f>
        <v/>
      </c>
      <c r="V519" t="str">
        <f t="shared" si="453"/>
        <v/>
      </c>
      <c r="W519" t="str">
        <f>IF(A519="YES",CONCATENATE("{",'Code List'!$B$4,'Code List'!$D$4,",",'Code List'!$B$5,'Code List'!$D$5,",",'Code List'!$B$6,"""",U519,"""",",",'Code List'!$B$7,'Code List'!$D$7,",",'Code List'!$B$8,'Code List'!$D$8,",",'Code List'!$B$9,'Code List'!$D$9,",",'Code List'!$B$10,'Code List'!$D$10,",",'Code List'!$B$11,"""",V519,"""",",",'Code List'!$B$12,"""",H519,"""",",",'Code List'!$B$13,"""",I519,"""",",",'Code List'!$B$14,"""",J519,"""",",",'Code List'!$B$15,"""",K519,"""",",",'Code List'!$B$16,"""",L519,"""",",",'Code List'!$B$17,"""",M519,"""",",",'Code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19" s="167" t="str">
        <f>IF(A519="YES",CONCATENATE("{",'Code List'!$B$31,"""",U519,"""",",",'Code List'!$B$32,'Code List'!$D$32,",",'Code List'!$B$33,'Code List'!$D$33,",",'Code List'!$B$34,'Code List'!$D$34,",",'Code List'!$B$35,'Code List'!$D$35,",",'Code List'!$B$36,'Code List'!$D$36,",",'Code List'!$B$37,'Code List'!$D$37,",",'Code List'!$B$38,"""",H519,"""",",",'Code List'!$B$39,"""",I519,"""",",",'Code List'!$B$40,"""",J519,"""",",",'Code List'!$B$41,"""",K519,"""",",",'Code List'!$B$42,"""",L519,"""",",",'Code List'!$B$43,"""",M519,"""",",",'Code List'!$B$44,"""",N519,"""",",",'Code List'!$B$45,"""",O519,"""",",",'Code List'!$B$46,"""",P519,"""",",",'Code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List'!$B$59,"""",T519,"""","}"),"")</f>
        <v/>
      </c>
    </row>
    <row r="520" spans="1:25" x14ac:dyDescent="0.25">
      <c r="A520" t="str">
        <f>IF(AND($A516="YES",E516=$D$1,F520&gt;0),"YES","NO")</f>
        <v>NO</v>
      </c>
      <c r="C520" t="s">
        <v>5</v>
      </c>
      <c r="D520" s="12" t="str">
        <f t="shared" si="448"/>
        <v>10B</v>
      </c>
      <c r="E520" t="s">
        <v>190</v>
      </c>
      <c r="F520">
        <f>'Expanded Base Data'!H514</f>
        <v>0</v>
      </c>
      <c r="G520" s="171">
        <f>F516</f>
        <v>0</v>
      </c>
      <c r="H520">
        <f>ROUND(B516+'Slide Measurements'!$D$17,$O$1)</f>
        <v>114.91</v>
      </c>
      <c r="I520">
        <f>ROUND(H520+(F520*'Slide Measurements'!$D$21),$O$1)</f>
        <v>114.91</v>
      </c>
      <c r="J520">
        <f>K519</f>
        <v>384.43000000000006</v>
      </c>
      <c r="K520">
        <f>J520+($I$1*'Slide Measurements'!$E$23-'Slide Measurements'!$E$23)</f>
        <v>386.28000000000009</v>
      </c>
      <c r="L520" s="5" t="str">
        <f>'Expanded Base Data'!$L514</f>
        <v/>
      </c>
      <c r="M520" s="5" t="str">
        <f>'Expanded Base Data'!$K514</f>
        <v/>
      </c>
      <c r="N520">
        <f t="shared" si="449"/>
        <v>0</v>
      </c>
      <c r="O520">
        <f t="shared" si="450"/>
        <v>1.85</v>
      </c>
      <c r="P520" s="5" t="e">
        <f t="shared" si="451"/>
        <v>#VALUE!</v>
      </c>
      <c r="Q520">
        <f>'Code List'!$C$63</f>
        <v>3</v>
      </c>
      <c r="R520">
        <f>F521+'Code List'!$G$63</f>
        <v>2</v>
      </c>
      <c r="S520" t="e">
        <f t="shared" si="452"/>
        <v>#VALUE!</v>
      </c>
      <c r="T520" t="e">
        <f t="shared" si="454"/>
        <v>#VALUE!</v>
      </c>
      <c r="U520" t="str">
        <f>IF(A520="YES",CONCATENATE(G520,"_",'Program Page'!$C$4,'Program Page'!$C$5,"_",D520,"_",E520),"")</f>
        <v/>
      </c>
      <c r="V520" t="str">
        <f t="shared" si="453"/>
        <v/>
      </c>
      <c r="W520" t="str">
        <f>IF(A520="YES",CONCATENATE("{",'Code List'!$B$4,'Code List'!$D$4,",",'Code List'!$B$5,'Code List'!$D$5,",",'Code List'!$B$6,"""",U520,"""",",",'Code List'!$B$7,'Code List'!$D$7,",",'Code List'!$B$8,'Code List'!$D$8,",",'Code List'!$B$9,'Code List'!$D$9,",",'Code List'!$B$10,'Code List'!$D$10,",",'Code List'!$B$11,"""",V520,"""",",",'Code List'!$B$12,"""",H520,"""",",",'Code List'!$B$13,"""",I520,"""",",",'Code List'!$B$14,"""",J520,"""",",",'Code List'!$B$15,"""",K520,"""",",",'Code List'!$B$16,"""",L520,"""",",",'Code List'!$B$17,"""",M520,"""",",",'Code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20" s="167" t="str">
        <f>IF(A520="YES",CONCATENATE("{",'Code List'!$B$31,"""",U520,"""",",",'Code List'!$B$32,'Code List'!$D$32,",",'Code List'!$B$33,'Code List'!$D$33,",",'Code List'!$B$34,'Code List'!$D$34,",",'Code List'!$B$35,'Code List'!$D$35,",",'Code List'!$B$36,'Code List'!$D$36,",",'Code List'!$B$37,'Code List'!$D$37,",",'Code List'!$B$38,"""",H520,"""",",",'Code List'!$B$39,"""",I520,"""",",",'Code List'!$B$40,"""",J520,"""",",",'Code List'!$B$41,"""",K520,"""",",",'Code List'!$B$42,"""",L520,"""",",",'Code List'!$B$43,"""",M520,"""",",",'Code List'!$B$44,"""",N520,"""",",",'Code List'!$B$45,"""",O520,"""",",",'Code List'!$B$46,"""",P520,"""",",",'Code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List'!$B$59,"""",T520,"""","}"),"")</f>
        <v/>
      </c>
    </row>
    <row r="521" spans="1:25" x14ac:dyDescent="0.25">
      <c r="A521" t="str">
        <f>IF(AND($A516="YES",E516=$D$1,F521&gt;0),"YES","NO")</f>
        <v>NO</v>
      </c>
      <c r="C521" t="s">
        <v>5</v>
      </c>
      <c r="D521" s="12" t="str">
        <f t="shared" si="448"/>
        <v>10B</v>
      </c>
      <c r="E521" t="s">
        <v>191</v>
      </c>
      <c r="F521">
        <f>'Expanded Base Data'!I514</f>
        <v>0</v>
      </c>
      <c r="G521" s="171">
        <f>F516</f>
        <v>0</v>
      </c>
      <c r="H521">
        <f>ROUND(B516+'Slide Measurements'!$D$17,$O$1)</f>
        <v>114.91</v>
      </c>
      <c r="I521">
        <f>ROUND(H521+(F521*'Slide Measurements'!$D$21),$O$1)</f>
        <v>114.91</v>
      </c>
      <c r="J521">
        <f>K520</f>
        <v>386.28000000000009</v>
      </c>
      <c r="K521">
        <f>J521+($I$1*'Slide Measurements'!$E$23-'Slide Measurements'!$E$23)</f>
        <v>388.13000000000011</v>
      </c>
      <c r="L521" s="5" t="str">
        <f>'Expanded Base Data'!$L514</f>
        <v/>
      </c>
      <c r="M521" s="5" t="str">
        <f>'Expanded Base Data'!$K514</f>
        <v/>
      </c>
      <c r="N521">
        <f t="shared" si="449"/>
        <v>0</v>
      </c>
      <c r="O521">
        <f t="shared" si="450"/>
        <v>1.85</v>
      </c>
      <c r="P521" s="5" t="e">
        <f t="shared" si="451"/>
        <v>#VALUE!</v>
      </c>
      <c r="Q521">
        <f>'Code List'!$C$63</f>
        <v>3</v>
      </c>
      <c r="R521">
        <f>F522+'Code List'!$G$63</f>
        <v>2</v>
      </c>
      <c r="S521" t="e">
        <f t="shared" si="452"/>
        <v>#VALUE!</v>
      </c>
      <c r="T521" t="e">
        <f t="shared" si="454"/>
        <v>#VALUE!</v>
      </c>
      <c r="U521" t="str">
        <f>IF(A521="YES",CONCATENATE(G521,"_",'Program Page'!$C$4,'Program Page'!$C$5,"_",D521,"_",E521),"")</f>
        <v/>
      </c>
      <c r="V521" t="str">
        <f t="shared" si="453"/>
        <v/>
      </c>
      <c r="W521" t="str">
        <f>IF(A521="YES",CONCATENATE("{",'Code List'!$B$4,'Code List'!$D$4,",",'Code List'!$B$5,'Code List'!$D$5,",",'Code List'!$B$6,"""",U521,"""",",",'Code List'!$B$7,'Code List'!$D$7,",",'Code List'!$B$8,'Code List'!$D$8,",",'Code List'!$B$9,'Code List'!$D$9,",",'Code List'!$B$10,'Code List'!$D$10,",",'Code List'!$B$11,"""",V521,"""",",",'Code List'!$B$12,"""",H521,"""",",",'Code List'!$B$13,"""",I521,"""",",",'Code List'!$B$14,"""",J521,"""",",",'Code List'!$B$15,"""",K521,"""",",",'Code List'!$B$16,"""",L521,"""",",",'Code List'!$B$17,"""",M521,"""",",",'Code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21" s="167" t="str">
        <f>IF(A521="YES",CONCATENATE("{",'Code List'!$B$31,"""",U521,"""",",",'Code List'!$B$32,'Code List'!$D$32,",",'Code List'!$B$33,'Code List'!$D$33,",",'Code List'!$B$34,'Code List'!$D$34,",",'Code List'!$B$35,'Code List'!$D$35,",",'Code List'!$B$36,'Code List'!$D$36,",",'Code List'!$B$37,'Code List'!$D$37,",",'Code List'!$B$38,"""",H521,"""",",",'Code List'!$B$39,"""",I521,"""",",",'Code List'!$B$40,"""",J521,"""",",",'Code List'!$B$41,"""",K521,"""",",",'Code List'!$B$42,"""",L521,"""",",",'Code List'!$B$43,"""",M521,"""",",",'Code List'!$B$44,"""",N521,"""",",",'Code List'!$B$45,"""",O521,"""",",",'Code List'!$B$46,"""",P521,"""",",",'Code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List'!$B$59,"""",T521,"""","}"),"")</f>
        <v/>
      </c>
    </row>
    <row r="522" spans="1:25" x14ac:dyDescent="0.25">
      <c r="A522" t="str">
        <f>IF(AND($A516="YES",E516=$D$1,F522&gt;0),"YES","NO")</f>
        <v>NO</v>
      </c>
      <c r="C522" t="s">
        <v>5</v>
      </c>
      <c r="D522" s="12" t="str">
        <f t="shared" si="448"/>
        <v>10B</v>
      </c>
      <c r="E522" t="s">
        <v>196</v>
      </c>
      <c r="F522">
        <f>'Expanded Base Data'!J514</f>
        <v>0</v>
      </c>
      <c r="G522" s="171">
        <f>F516</f>
        <v>0</v>
      </c>
      <c r="H522">
        <f>ROUND(B516+'Slide Measurements'!$D$17,$O$1)</f>
        <v>114.91</v>
      </c>
      <c r="I522">
        <f>ROUND(H522+(F522*'Slide Measurements'!$D$21),$O$1)</f>
        <v>114.91</v>
      </c>
      <c r="J522">
        <f>K521</f>
        <v>388.13000000000011</v>
      </c>
      <c r="K522">
        <f>J522+($I$1*'Slide Measurements'!$E$23-'Slide Measurements'!$E$23)</f>
        <v>389.98000000000013</v>
      </c>
      <c r="L522" s="5" t="str">
        <f>'Expanded Base Data'!$L514</f>
        <v/>
      </c>
      <c r="M522" s="5" t="str">
        <f>'Expanded Base Data'!$K514</f>
        <v/>
      </c>
      <c r="N522">
        <f t="shared" si="449"/>
        <v>0</v>
      </c>
      <c r="O522">
        <f t="shared" si="450"/>
        <v>1.85</v>
      </c>
      <c r="P522" s="5" t="e">
        <f t="shared" si="451"/>
        <v>#VALUE!</v>
      </c>
      <c r="Q522">
        <f>'Code List'!$C$63</f>
        <v>3</v>
      </c>
      <c r="R522">
        <f>F523+'Code List'!$G$63</f>
        <v>2</v>
      </c>
      <c r="S522" t="e">
        <f t="shared" si="452"/>
        <v>#VALUE!</v>
      </c>
      <c r="T522" t="e">
        <f t="shared" si="454"/>
        <v>#VALUE!</v>
      </c>
      <c r="U522" t="str">
        <f>IF(A522="YES",CONCATENATE(G522,"_",'Program Page'!$C$4,'Program Page'!$C$5,"_",D522,"_",E522),"")</f>
        <v/>
      </c>
      <c r="V522" t="str">
        <f t="shared" si="453"/>
        <v/>
      </c>
      <c r="W522" t="str">
        <f>IF(A522="YES",CONCATENATE("{",'Code List'!$B$4,'Code List'!$D$4,",",'Code List'!$B$5,'Code List'!$D$5,",",'Code List'!$B$6,"""",U522,"""",",",'Code List'!$B$7,'Code List'!$D$7,",",'Code List'!$B$8,'Code List'!$D$8,",",'Code List'!$B$9,'Code List'!$D$9,",",'Code List'!$B$10,'Code List'!$D$10,",",'Code List'!$B$11,"""",V522,"""",",",'Code List'!$B$12,"""",H522,"""",",",'Code List'!$B$13,"""",I522,"""",",",'Code List'!$B$14,"""",J522,"""",",",'Code List'!$B$15,"""",K522,"""",",",'Code List'!$B$16,"""",L522,"""",",",'Code List'!$B$17,"""",M522,"""",",",'Code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22" s="167" t="str">
        <f>IF(A522="YES",CONCATENATE("{",'Code List'!$B$31,"""",U522,"""",",",'Code List'!$B$32,'Code List'!$D$32,",",'Code List'!$B$33,'Code List'!$D$33,",",'Code List'!$B$34,'Code List'!$D$34,",",'Code List'!$B$35,'Code List'!$D$35,",",'Code List'!$B$36,'Code List'!$D$36,",",'Code List'!$B$37,'Code List'!$D$37,",",'Code List'!$B$38,"""",H522,"""",",",'Code List'!$B$39,"""",I522,"""",",",'Code List'!$B$40,"""",J522,"""",",",'Code List'!$B$41,"""",K522,"""",",",'Code List'!$B$42,"""",L522,"""",",",'Code List'!$B$43,"""",M522,"""",",",'Code List'!$B$44,"""",N522,"""",",",'Code List'!$B$45,"""",O522,"""",",",'Code List'!$B$46,"""",P522,"""",",",'Code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List'!$B$59,"""",T522,"""","}"),"")</f>
        <v/>
      </c>
    </row>
    <row r="523" spans="1:25" x14ac:dyDescent="0.25">
      <c r="A523" s="162" t="str">
        <f>IF(AND($A516="YES",E516=$E$1),"YES","NO")</f>
        <v>NO</v>
      </c>
      <c r="C523" t="s">
        <v>259</v>
      </c>
      <c r="D523" s="12" t="str">
        <f>D522</f>
        <v>10B</v>
      </c>
      <c r="E523" t="s">
        <v>259</v>
      </c>
      <c r="G523" s="171">
        <f>F516</f>
        <v>0</v>
      </c>
      <c r="H523">
        <f>ROUND(B516,$O$1)</f>
        <v>89.51</v>
      </c>
      <c r="I523">
        <f>ROUND(B516+'Slide Measurements'!$D$1,$O$1)</f>
        <v>165.96</v>
      </c>
      <c r="J523">
        <f>C516</f>
        <v>376.43</v>
      </c>
      <c r="K523">
        <f>C516+'Slide Measurements'!$D$2</f>
        <v>403.83</v>
      </c>
      <c r="L523" s="5" t="str">
        <f>'Expanded Base Data'!$L514</f>
        <v/>
      </c>
      <c r="M523" s="5" t="str">
        <f>'Expanded Base Data'!$K514</f>
        <v/>
      </c>
      <c r="N523">
        <f t="shared" si="449"/>
        <v>76.45</v>
      </c>
      <c r="O523">
        <f t="shared" si="450"/>
        <v>27.4</v>
      </c>
      <c r="P523" s="5" t="e">
        <f>ROUND((L523-M523),$O$1)</f>
        <v>#VALUE!</v>
      </c>
      <c r="Q523">
        <f>'Code List'!$C$70</f>
        <v>11</v>
      </c>
      <c r="R523">
        <f>'Code List'!$D$70</f>
        <v>19</v>
      </c>
      <c r="S523" t="e">
        <f>IF(P523=0,"1",ROUND((P523/$K$1)+$M$1,0))</f>
        <v>#VALUE!</v>
      </c>
      <c r="T523" t="e">
        <f>Q523*R523*S523</f>
        <v>#VALUE!</v>
      </c>
      <c r="U523" t="str">
        <f>IF(A523="YES",CONCATENATE(G523,"_",'Program Page'!$C$4,'Program Page'!$C$5,"_",D523,"_",E523),"")</f>
        <v/>
      </c>
      <c r="V523" t="str">
        <f>IF(U523="","",CONCATENATE(U523,"_"))</f>
        <v/>
      </c>
      <c r="W523" t="str">
        <f>IF(A523="YES",CONCATENATE("{",'Code List'!$B$4,'Code List'!$D$4,",",'Code List'!$B$5,'Code List'!$D$5,",",'Code List'!$B$6,"""",U523,"""",",",'Code List'!$B$7,'Code List'!$D$7,",",'Code List'!$B$8,'Code List'!$D$8,",",'Code List'!$B$9,'Code List'!$D$9,",",'Code List'!$B$10,'Code List'!$D$10,",",'Code List'!$B$11,"""",V523,"""",",",'Code List'!$B$12,"""",H523,"""",",",'Code List'!$B$13,"""",I523,"""",",",'Code List'!$B$14,"""",J523,"""",",",'Code List'!$B$15,"""",K523,"""",",",'Code List'!$B$16,"""",L523,"""",",",'Code List'!$B$17,"""",M523,"""",",",'Code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523" s="167" t="str">
        <f>IF(A523="YES",CONCATENATE("{",'Code List'!$B$31,"""",U523,"""",",",'Code List'!$B$32,'Code List'!$D$32,",",'Code List'!$B$33,'Code List'!$D$33,",",'Code List'!$B$34,'Code List'!$D$34,",",'Code List'!$B$35,'Code List'!$D$35,",",'Code List'!$B$36,'Code List'!$D$36,",",'Code List'!$B$37,'Code List'!$D$37,",",'Code List'!$B$38,"""",H523,"""",",",'Code List'!$B$39,"""",I523,"""",",",'Code List'!$B$40,"""",J523,"""",",",'Code List'!$B$41,"""",K523,"""",",",'Code List'!$B$42,"""",L523,"""",",",'Code List'!$B$43,"""",M523,"""",",",'Code List'!$B$44,"""",N523,"""",",",'Code List'!$B$45,"""",O523,"""",",",'Code List'!$B$46,"""",P523,"""",",",'Code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List'!$B$59,"""",T523,"""","}"),"")</f>
        <v/>
      </c>
    </row>
    <row r="524" spans="1:25" ht="18.75" x14ac:dyDescent="0.3">
      <c r="A524" s="35" t="str">
        <f>IF(OR(E524=$C$1,E524=$D$1,E524=$E$1),"YES","NO")</f>
        <v>NO</v>
      </c>
      <c r="B524" s="35">
        <f>'Expanded Base Data'!D522</f>
        <v>176.11</v>
      </c>
      <c r="C524" s="35">
        <f>'Expanded Base Data'!E522</f>
        <v>376.43</v>
      </c>
      <c r="D524" s="36" t="str">
        <f>'Expanded Base Data'!B522</f>
        <v>10C</v>
      </c>
      <c r="E524" s="35">
        <f>'Expanded Base Data'!C522</f>
        <v>0</v>
      </c>
      <c r="F524" s="35">
        <f>'Expanded Base Data'!M522</f>
        <v>0</v>
      </c>
      <c r="G524" s="170">
        <f>F524</f>
        <v>0</v>
      </c>
      <c r="Y524" s="167" t="str">
        <f>""</f>
        <v/>
      </c>
    </row>
    <row r="525" spans="1:25" x14ac:dyDescent="0.25">
      <c r="A525" t="str">
        <f>IF(AND($A524="YES",E524=$C$1),"YES","NO")</f>
        <v>NO</v>
      </c>
      <c r="C525" t="s">
        <v>6</v>
      </c>
      <c r="D525" s="12" t="str">
        <f>D524</f>
        <v>10C</v>
      </c>
      <c r="E525" t="s">
        <v>6</v>
      </c>
      <c r="F525" t="s">
        <v>198</v>
      </c>
      <c r="G525" s="171">
        <f>F524</f>
        <v>0</v>
      </c>
      <c r="H525">
        <f>IF('Expanded Base Data'!N522="",ROUND(B524+'Slide Measurements'!$D$11,$O$1),B524+'Expanded Base Data'!N522)</f>
        <v>209.11</v>
      </c>
      <c r="I525">
        <f>IF('Expanded Base Data'!O522="",ROUND(B524+'Slide Measurements'!$D$12,$O$1),B524+'Expanded Base Data'!O522)</f>
        <v>217.71</v>
      </c>
      <c r="J525">
        <f>IF('Expanded Base Data'!P522="",C524+'Slide Measurements'!$E$13,C524+'Expanded Base Data'!P522)</f>
        <v>385.13</v>
      </c>
      <c r="K525">
        <f>IF('Expanded Base Data'!Q522="",C524+'Slide Measurements'!$E$14,C524+'Expanded Base Data'!Q522)</f>
        <v>393.73</v>
      </c>
      <c r="L525" s="5" t="str">
        <f>'Expanded Base Data'!$L522</f>
        <v/>
      </c>
      <c r="M525" s="5" t="str">
        <f>'Expanded Base Data'!$K522</f>
        <v/>
      </c>
      <c r="N525">
        <f>ROUND((I525-H525),$O$1)</f>
        <v>8.6</v>
      </c>
      <c r="O525">
        <f>ROUND((K525-J525),$O$1)</f>
        <v>8.6</v>
      </c>
      <c r="P525" s="5" t="e">
        <f>ROUND((L525-M525),$O$1)</f>
        <v>#VALUE!</v>
      </c>
      <c r="Q525">
        <f>'Code List'!$C$62</f>
        <v>5</v>
      </c>
      <c r="R525">
        <f>F526+'Code List'!$G$63</f>
        <v>2</v>
      </c>
      <c r="S525" t="e">
        <f>IF(P525=0,"1",ROUND((P525/$K$1)+$M$1,0))</f>
        <v>#VALUE!</v>
      </c>
      <c r="T525" t="e">
        <f>Q525*R525*S525</f>
        <v>#VALUE!</v>
      </c>
      <c r="U525" t="str">
        <f>IF(A525="YES",CONCATENATE(G525,"_",'Program Page'!$C$4,'Program Page'!$C$5,"_",D525,"_",E525),"")</f>
        <v/>
      </c>
      <c r="V525" t="str">
        <f>IF(U525="","",CONCATENATE(U525,"_"))</f>
        <v/>
      </c>
      <c r="W525" t="str">
        <f>IF(A525="YES",CONCATENATE("{",'Code List'!$B$4,'Code List'!$D$4,",",'Code List'!$B$5,'Code List'!$D$5,",",'Code List'!$B$6,"""",U525,"""",",",'Code List'!$B$7,'Code List'!$D$7,",",'Code List'!$B$8,'Code List'!$D$8,",",'Code List'!$B$9,'Code List'!$D$9,",",'Code List'!$B$10,'Code List'!$D$10,",",'Code List'!$B$11,"""",V525,"""",",",'Code List'!$B$12,"""",H525,"""",",",'Code List'!$B$13,"""",I525,"""",",",'Code List'!$B$14,"""",J525,"""",",",'Code List'!$B$15,"""",K525,"""",",",'Code List'!$B$16,"""",L525,"""",",",'Code List'!$B$17,"""",M525,"""",",",'Code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25" s="167" t="str">
        <f>IF(A525="YES",CONCATENATE("{",'Code List'!$B$31,"""",U525,"""",",",'Code List'!$B$32,'Code List'!$D$32,",",'Code List'!$B$33,'Code List'!$D$33,",",'Code List'!$B$34,'Code List'!$D$34,",",'Code List'!$B$35,'Code List'!$D$35,",",'Code List'!$B$36,'Code List'!$D$36,",",'Code List'!$B$37,'Code List'!$D$37,",",'Code List'!$B$38,"""",H525,"""",",",'Code List'!$B$39,"""",I525,"""",",",'Code List'!$B$40,"""",J525,"""",",",'Code List'!$B$41,"""",K525,"""",",",'Code List'!$B$42,"""",L525,"""",",",'Code List'!$B$43,"""",M525,"""",",",'Code List'!$B$44,"""",N525,"""",",",'Code List'!$B$45,"""",O525,"""",",",'Code List'!$B$46,"""",P525,"""",",",'Code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List'!$B$59,"""",T525,"""","}"),"")</f>
        <v/>
      </c>
    </row>
    <row r="526" spans="1:25" x14ac:dyDescent="0.25">
      <c r="A526" t="str">
        <f>IF(AND($A524="YES",E524=$D$1,F526&gt;0),"YES","NO")</f>
        <v>NO</v>
      </c>
      <c r="C526" t="s">
        <v>5</v>
      </c>
      <c r="D526" s="12" t="str">
        <f t="shared" ref="D526:D530" si="455">D525</f>
        <v>10C</v>
      </c>
      <c r="E526" t="s">
        <v>188</v>
      </c>
      <c r="F526">
        <f>'Expanded Base Data'!F522</f>
        <v>0</v>
      </c>
      <c r="G526" s="171">
        <f>F524</f>
        <v>0</v>
      </c>
      <c r="H526">
        <f>ROUND(B524+'Slide Measurements'!$D$17,$O$1)</f>
        <v>201.51</v>
      </c>
      <c r="I526">
        <f>ROUND(H526+(F526*'Slide Measurements'!$D$21),$O$1)</f>
        <v>201.51</v>
      </c>
      <c r="J526">
        <f>C524+'Slide Measurements'!$E$17</f>
        <v>380.73</v>
      </c>
      <c r="K526">
        <f>J526+($I$1*'Slide Measurements'!$E$23-'Slide Measurements'!$E$23)</f>
        <v>382.58000000000004</v>
      </c>
      <c r="L526" s="5" t="str">
        <f>'Expanded Base Data'!$L522</f>
        <v/>
      </c>
      <c r="M526" s="5" t="str">
        <f>'Expanded Base Data'!$K522</f>
        <v/>
      </c>
      <c r="N526">
        <f t="shared" ref="N526:N531" si="456">ROUND((I526-H526),$O$1)</f>
        <v>0</v>
      </c>
      <c r="O526">
        <f t="shared" ref="O526:O531" si="457">ROUND((K526-J526),$O$1)</f>
        <v>1.85</v>
      </c>
      <c r="P526" s="5" t="e">
        <f t="shared" ref="P526:P530" si="458">ROUND((L526-M526),$O$1)</f>
        <v>#VALUE!</v>
      </c>
      <c r="Q526">
        <f>'Code List'!$C$63</f>
        <v>3</v>
      </c>
      <c r="R526">
        <f>F527+'Code List'!$G$63</f>
        <v>2</v>
      </c>
      <c r="S526" t="e">
        <f t="shared" ref="S526:S530" si="459">IF(P526=0,"1",ROUND((P526/$K$1)+$M$1,0))</f>
        <v>#VALUE!</v>
      </c>
      <c r="T526" t="e">
        <f>Q526*R526*S526</f>
        <v>#VALUE!</v>
      </c>
      <c r="U526" t="str">
        <f>IF(A526="YES",CONCATENATE(G526,"_",'Program Page'!$C$4,'Program Page'!$C$5,"_",D526,"_",E526),"")</f>
        <v/>
      </c>
      <c r="V526" t="str">
        <f t="shared" ref="V526:V530" si="460">IF(U526="","",CONCATENATE(U526,"_"))</f>
        <v/>
      </c>
      <c r="W526" t="str">
        <f>IF(A526="YES",CONCATENATE("{",'Code List'!$B$4,'Code List'!$D$4,",",'Code List'!$B$5,'Code List'!$D$5,",",'Code List'!$B$6,"""",U526,"""",",",'Code List'!$B$7,'Code List'!$D$7,",",'Code List'!$B$8,'Code List'!$D$8,",",'Code List'!$B$9,'Code List'!$D$9,",",'Code List'!$B$10,'Code List'!$D$10,",",'Code List'!$B$11,"""",V526,"""",",",'Code List'!$B$12,"""",H526,"""",",",'Code List'!$B$13,"""",I526,"""",",",'Code List'!$B$14,"""",J526,"""",",",'Code List'!$B$15,"""",K526,"""",",",'Code List'!$B$16,"""",L526,"""",",",'Code List'!$B$17,"""",M526,"""",",",'Code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26" s="167" t="str">
        <f>IF(A526="YES",CONCATENATE("{",'Code List'!$B$31,"""",U526,"""",",",'Code List'!$B$32,'Code List'!$D$32,",",'Code List'!$B$33,'Code List'!$D$33,",",'Code List'!$B$34,'Code List'!$D$34,",",'Code List'!$B$35,'Code List'!$D$35,",",'Code List'!$B$36,'Code List'!$D$36,",",'Code List'!$B$37,'Code List'!$D$37,",",'Code List'!$B$38,"""",H526,"""",",",'Code List'!$B$39,"""",I526,"""",",",'Code List'!$B$40,"""",J526,"""",",",'Code List'!$B$41,"""",K526,"""",",",'Code List'!$B$42,"""",L526,"""",",",'Code List'!$B$43,"""",M526,"""",",",'Code List'!$B$44,"""",N526,"""",",",'Code List'!$B$45,"""",O526,"""",",",'Code List'!$B$46,"""",P526,"""",",",'Code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List'!$B$59,"""",T526,"""","}"),"")</f>
        <v/>
      </c>
    </row>
    <row r="527" spans="1:25" x14ac:dyDescent="0.25">
      <c r="A527" t="str">
        <f>IF(AND($A524="YES",E524=$D$1,F527&gt;0),"YES","NO")</f>
        <v>NO</v>
      </c>
      <c r="C527" t="s">
        <v>5</v>
      </c>
      <c r="D527" s="12" t="str">
        <f t="shared" si="455"/>
        <v>10C</v>
      </c>
      <c r="E527" t="s">
        <v>189</v>
      </c>
      <c r="F527">
        <f>'Expanded Base Data'!G522</f>
        <v>0</v>
      </c>
      <c r="G527" s="171">
        <f>F524</f>
        <v>0</v>
      </c>
      <c r="H527">
        <f>ROUND(B524+'Slide Measurements'!$D$17,$O$1)</f>
        <v>201.51</v>
      </c>
      <c r="I527">
        <f>ROUND(H527+(F527*'Slide Measurements'!$D$21),$O$1)</f>
        <v>201.51</v>
      </c>
      <c r="J527">
        <f>K526</f>
        <v>382.58000000000004</v>
      </c>
      <c r="K527">
        <f>J527+($I$1*'Slide Measurements'!$E$23-'Slide Measurements'!$E$23)</f>
        <v>384.43000000000006</v>
      </c>
      <c r="L527" s="5" t="str">
        <f>'Expanded Base Data'!$L522</f>
        <v/>
      </c>
      <c r="M527" s="5" t="str">
        <f>'Expanded Base Data'!$K522</f>
        <v/>
      </c>
      <c r="N527">
        <f t="shared" si="456"/>
        <v>0</v>
      </c>
      <c r="O527">
        <f t="shared" si="457"/>
        <v>1.85</v>
      </c>
      <c r="P527" s="5" t="e">
        <f t="shared" si="458"/>
        <v>#VALUE!</v>
      </c>
      <c r="Q527">
        <f>'Code List'!$C$63</f>
        <v>3</v>
      </c>
      <c r="R527">
        <f>F528+'Code List'!$G$63</f>
        <v>2</v>
      </c>
      <c r="S527" t="e">
        <f t="shared" si="459"/>
        <v>#VALUE!</v>
      </c>
      <c r="T527" t="e">
        <f t="shared" ref="T527:T530" si="461">Q527*R527*S527</f>
        <v>#VALUE!</v>
      </c>
      <c r="U527" t="str">
        <f>IF(A527="YES",CONCATENATE(G527,"_",'Program Page'!$C$4,'Program Page'!$C$5,"_",D527,"_",E527),"")</f>
        <v/>
      </c>
      <c r="V527" t="str">
        <f t="shared" si="460"/>
        <v/>
      </c>
      <c r="W527" t="str">
        <f>IF(A527="YES",CONCATENATE("{",'Code List'!$B$4,'Code List'!$D$4,",",'Code List'!$B$5,'Code List'!$D$5,",",'Code List'!$B$6,"""",U527,"""",",",'Code List'!$B$7,'Code List'!$D$7,",",'Code List'!$B$8,'Code List'!$D$8,",",'Code List'!$B$9,'Code List'!$D$9,",",'Code List'!$B$10,'Code List'!$D$10,",",'Code List'!$B$11,"""",V527,"""",",",'Code List'!$B$12,"""",H527,"""",",",'Code List'!$B$13,"""",I527,"""",",",'Code List'!$B$14,"""",J527,"""",",",'Code List'!$B$15,"""",K527,"""",",",'Code List'!$B$16,"""",L527,"""",",",'Code List'!$B$17,"""",M527,"""",",",'Code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27" s="167" t="str">
        <f>IF(A527="YES",CONCATENATE("{",'Code List'!$B$31,"""",U527,"""",",",'Code List'!$B$32,'Code List'!$D$32,",",'Code List'!$B$33,'Code List'!$D$33,",",'Code List'!$B$34,'Code List'!$D$34,",",'Code List'!$B$35,'Code List'!$D$35,",",'Code List'!$B$36,'Code List'!$D$36,",",'Code List'!$B$37,'Code List'!$D$37,",",'Code List'!$B$38,"""",H527,"""",",",'Code List'!$B$39,"""",I527,"""",",",'Code List'!$B$40,"""",J527,"""",",",'Code List'!$B$41,"""",K527,"""",",",'Code List'!$B$42,"""",L527,"""",",",'Code List'!$B$43,"""",M527,"""",",",'Code List'!$B$44,"""",N527,"""",",",'Code List'!$B$45,"""",O527,"""",",",'Code List'!$B$46,"""",P527,"""",",",'Code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List'!$B$59,"""",T527,"""","}"),"")</f>
        <v/>
      </c>
    </row>
    <row r="528" spans="1:25" x14ac:dyDescent="0.25">
      <c r="A528" t="str">
        <f>IF(AND($A524="YES",E524=$D$1,F528&gt;0),"YES","NO")</f>
        <v>NO</v>
      </c>
      <c r="C528" t="s">
        <v>5</v>
      </c>
      <c r="D528" s="12" t="str">
        <f t="shared" si="455"/>
        <v>10C</v>
      </c>
      <c r="E528" t="s">
        <v>190</v>
      </c>
      <c r="F528">
        <f>'Expanded Base Data'!H522</f>
        <v>0</v>
      </c>
      <c r="G528" s="171">
        <f>F524</f>
        <v>0</v>
      </c>
      <c r="H528">
        <f>ROUND(B524+'Slide Measurements'!$D$17,$O$1)</f>
        <v>201.51</v>
      </c>
      <c r="I528">
        <f>ROUND(H528+(F528*'Slide Measurements'!$D$21),$O$1)</f>
        <v>201.51</v>
      </c>
      <c r="J528">
        <f>K527</f>
        <v>384.43000000000006</v>
      </c>
      <c r="K528">
        <f>J528+($I$1*'Slide Measurements'!$E$23-'Slide Measurements'!$E$23)</f>
        <v>386.28000000000009</v>
      </c>
      <c r="L528" s="5" t="str">
        <f>'Expanded Base Data'!$L522</f>
        <v/>
      </c>
      <c r="M528" s="5" t="str">
        <f>'Expanded Base Data'!$K522</f>
        <v/>
      </c>
      <c r="N528">
        <f t="shared" si="456"/>
        <v>0</v>
      </c>
      <c r="O528">
        <f t="shared" si="457"/>
        <v>1.85</v>
      </c>
      <c r="P528" s="5" t="e">
        <f t="shared" si="458"/>
        <v>#VALUE!</v>
      </c>
      <c r="Q528">
        <f>'Code List'!$C$63</f>
        <v>3</v>
      </c>
      <c r="R528">
        <f>F529+'Code List'!$G$63</f>
        <v>2</v>
      </c>
      <c r="S528" t="e">
        <f t="shared" si="459"/>
        <v>#VALUE!</v>
      </c>
      <c r="T528" t="e">
        <f t="shared" si="461"/>
        <v>#VALUE!</v>
      </c>
      <c r="U528" t="str">
        <f>IF(A528="YES",CONCATENATE(G528,"_",'Program Page'!$C$4,'Program Page'!$C$5,"_",D528,"_",E528),"")</f>
        <v/>
      </c>
      <c r="V528" t="str">
        <f t="shared" si="460"/>
        <v/>
      </c>
      <c r="W528" t="str">
        <f>IF(A528="YES",CONCATENATE("{",'Code List'!$B$4,'Code List'!$D$4,",",'Code List'!$B$5,'Code List'!$D$5,",",'Code List'!$B$6,"""",U528,"""",",",'Code List'!$B$7,'Code List'!$D$7,",",'Code List'!$B$8,'Code List'!$D$8,",",'Code List'!$B$9,'Code List'!$D$9,",",'Code List'!$B$10,'Code List'!$D$10,",",'Code List'!$B$11,"""",V528,"""",",",'Code List'!$B$12,"""",H528,"""",",",'Code List'!$B$13,"""",I528,"""",",",'Code List'!$B$14,"""",J528,"""",",",'Code List'!$B$15,"""",K528,"""",",",'Code List'!$B$16,"""",L528,"""",",",'Code List'!$B$17,"""",M528,"""",",",'Code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28" s="167" t="str">
        <f>IF(A528="YES",CONCATENATE("{",'Code List'!$B$31,"""",U528,"""",",",'Code List'!$B$32,'Code List'!$D$32,",",'Code List'!$B$33,'Code List'!$D$33,",",'Code List'!$B$34,'Code List'!$D$34,",",'Code List'!$B$35,'Code List'!$D$35,",",'Code List'!$B$36,'Code List'!$D$36,",",'Code List'!$B$37,'Code List'!$D$37,",",'Code List'!$B$38,"""",H528,"""",",",'Code List'!$B$39,"""",I528,"""",",",'Code List'!$B$40,"""",J528,"""",",",'Code List'!$B$41,"""",K528,"""",",",'Code List'!$B$42,"""",L528,"""",",",'Code List'!$B$43,"""",M528,"""",",",'Code List'!$B$44,"""",N528,"""",",",'Code List'!$B$45,"""",O528,"""",",",'Code List'!$B$46,"""",P528,"""",",",'Code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List'!$B$59,"""",T528,"""","}"),"")</f>
        <v/>
      </c>
    </row>
    <row r="529" spans="1:25" x14ac:dyDescent="0.25">
      <c r="A529" t="str">
        <f>IF(AND($A524="YES",E524=$D$1,F529&gt;0),"YES","NO")</f>
        <v>NO</v>
      </c>
      <c r="C529" t="s">
        <v>5</v>
      </c>
      <c r="D529" s="12" t="str">
        <f t="shared" si="455"/>
        <v>10C</v>
      </c>
      <c r="E529" t="s">
        <v>191</v>
      </c>
      <c r="F529">
        <f>'Expanded Base Data'!I522</f>
        <v>0</v>
      </c>
      <c r="G529" s="171">
        <f>F524</f>
        <v>0</v>
      </c>
      <c r="H529">
        <f>ROUND(B524+'Slide Measurements'!$D$17,$O$1)</f>
        <v>201.51</v>
      </c>
      <c r="I529">
        <f>ROUND(H529+(F529*'Slide Measurements'!$D$21),$O$1)</f>
        <v>201.51</v>
      </c>
      <c r="J529">
        <f>K528</f>
        <v>386.28000000000009</v>
      </c>
      <c r="K529">
        <f>J529+($I$1*'Slide Measurements'!$E$23-'Slide Measurements'!$E$23)</f>
        <v>388.13000000000011</v>
      </c>
      <c r="L529" s="5" t="str">
        <f>'Expanded Base Data'!$L522</f>
        <v/>
      </c>
      <c r="M529" s="5" t="str">
        <f>'Expanded Base Data'!$K522</f>
        <v/>
      </c>
      <c r="N529">
        <f t="shared" si="456"/>
        <v>0</v>
      </c>
      <c r="O529">
        <f t="shared" si="457"/>
        <v>1.85</v>
      </c>
      <c r="P529" s="5" t="e">
        <f t="shared" si="458"/>
        <v>#VALUE!</v>
      </c>
      <c r="Q529">
        <f>'Code List'!$C$63</f>
        <v>3</v>
      </c>
      <c r="R529">
        <f>F530+'Code List'!$G$63</f>
        <v>2</v>
      </c>
      <c r="S529" t="e">
        <f t="shared" si="459"/>
        <v>#VALUE!</v>
      </c>
      <c r="T529" t="e">
        <f t="shared" si="461"/>
        <v>#VALUE!</v>
      </c>
      <c r="U529" t="str">
        <f>IF(A529="YES",CONCATENATE(G529,"_",'Program Page'!$C$4,'Program Page'!$C$5,"_",D529,"_",E529),"")</f>
        <v/>
      </c>
      <c r="V529" t="str">
        <f t="shared" si="460"/>
        <v/>
      </c>
      <c r="W529" t="str">
        <f>IF(A529="YES",CONCATENATE("{",'Code List'!$B$4,'Code List'!$D$4,",",'Code List'!$B$5,'Code List'!$D$5,",",'Code List'!$B$6,"""",U529,"""",",",'Code List'!$B$7,'Code List'!$D$7,",",'Code List'!$B$8,'Code List'!$D$8,",",'Code List'!$B$9,'Code List'!$D$9,",",'Code List'!$B$10,'Code List'!$D$10,",",'Code List'!$B$11,"""",V529,"""",",",'Code List'!$B$12,"""",H529,"""",",",'Code List'!$B$13,"""",I529,"""",",",'Code List'!$B$14,"""",J529,"""",",",'Code List'!$B$15,"""",K529,"""",",",'Code List'!$B$16,"""",L529,"""",",",'Code List'!$B$17,"""",M529,"""",",",'Code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29" s="167" t="str">
        <f>IF(A529="YES",CONCATENATE("{",'Code List'!$B$31,"""",U529,"""",",",'Code List'!$B$32,'Code List'!$D$32,",",'Code List'!$B$33,'Code List'!$D$33,",",'Code List'!$B$34,'Code List'!$D$34,",",'Code List'!$B$35,'Code List'!$D$35,",",'Code List'!$B$36,'Code List'!$D$36,",",'Code List'!$B$37,'Code List'!$D$37,",",'Code List'!$B$38,"""",H529,"""",",",'Code List'!$B$39,"""",I529,"""",",",'Code List'!$B$40,"""",J529,"""",",",'Code List'!$B$41,"""",K529,"""",",",'Code List'!$B$42,"""",L529,"""",",",'Code List'!$B$43,"""",M529,"""",",",'Code List'!$B$44,"""",N529,"""",",",'Code List'!$B$45,"""",O529,"""",",",'Code List'!$B$46,"""",P529,"""",",",'Code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List'!$B$59,"""",T529,"""","}"),"")</f>
        <v/>
      </c>
    </row>
    <row r="530" spans="1:25" x14ac:dyDescent="0.25">
      <c r="A530" t="str">
        <f>IF(AND($A524="YES",E524=$D$1,F530&gt;0),"YES","NO")</f>
        <v>NO</v>
      </c>
      <c r="C530" t="s">
        <v>5</v>
      </c>
      <c r="D530" s="12" t="str">
        <f t="shared" si="455"/>
        <v>10C</v>
      </c>
      <c r="E530" t="s">
        <v>196</v>
      </c>
      <c r="F530">
        <f>'Expanded Base Data'!J522</f>
        <v>0</v>
      </c>
      <c r="G530" s="171">
        <f>F524</f>
        <v>0</v>
      </c>
      <c r="H530">
        <f>ROUND(B524+'Slide Measurements'!$D$17,$O$1)</f>
        <v>201.51</v>
      </c>
      <c r="I530">
        <f>ROUND(H530+(F530*'Slide Measurements'!$D$21),$O$1)</f>
        <v>201.51</v>
      </c>
      <c r="J530">
        <f>K529</f>
        <v>388.13000000000011</v>
      </c>
      <c r="K530">
        <f>J530+($I$1*'Slide Measurements'!$E$23-'Slide Measurements'!$E$23)</f>
        <v>389.98000000000013</v>
      </c>
      <c r="L530" s="5" t="str">
        <f>'Expanded Base Data'!$L522</f>
        <v/>
      </c>
      <c r="M530" s="5" t="str">
        <f>'Expanded Base Data'!$K522</f>
        <v/>
      </c>
      <c r="N530">
        <f t="shared" si="456"/>
        <v>0</v>
      </c>
      <c r="O530">
        <f t="shared" si="457"/>
        <v>1.85</v>
      </c>
      <c r="P530" s="5" t="e">
        <f t="shared" si="458"/>
        <v>#VALUE!</v>
      </c>
      <c r="Q530">
        <f>'Code List'!$C$63</f>
        <v>3</v>
      </c>
      <c r="R530">
        <f>F531+'Code List'!$G$63</f>
        <v>2</v>
      </c>
      <c r="S530" t="e">
        <f t="shared" si="459"/>
        <v>#VALUE!</v>
      </c>
      <c r="T530" t="e">
        <f t="shared" si="461"/>
        <v>#VALUE!</v>
      </c>
      <c r="U530" t="str">
        <f>IF(A530="YES",CONCATENATE(G530,"_",'Program Page'!$C$4,'Program Page'!$C$5,"_",D530,"_",E530),"")</f>
        <v/>
      </c>
      <c r="V530" t="str">
        <f t="shared" si="460"/>
        <v/>
      </c>
      <c r="W530" t="str">
        <f>IF(A530="YES",CONCATENATE("{",'Code List'!$B$4,'Code List'!$D$4,",",'Code List'!$B$5,'Code List'!$D$5,",",'Code List'!$B$6,"""",U530,"""",",",'Code List'!$B$7,'Code List'!$D$7,",",'Code List'!$B$8,'Code List'!$D$8,",",'Code List'!$B$9,'Code List'!$D$9,",",'Code List'!$B$10,'Code List'!$D$10,",",'Code List'!$B$11,"""",V530,"""",",",'Code List'!$B$12,"""",H530,"""",",",'Code List'!$B$13,"""",I530,"""",",",'Code List'!$B$14,"""",J530,"""",",",'Code List'!$B$15,"""",K530,"""",",",'Code List'!$B$16,"""",L530,"""",",",'Code List'!$B$17,"""",M530,"""",",",'Code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30" s="167" t="str">
        <f>IF(A530="YES",CONCATENATE("{",'Code List'!$B$31,"""",U530,"""",",",'Code List'!$B$32,'Code List'!$D$32,",",'Code List'!$B$33,'Code List'!$D$33,",",'Code List'!$B$34,'Code List'!$D$34,",",'Code List'!$B$35,'Code List'!$D$35,",",'Code List'!$B$36,'Code List'!$D$36,",",'Code List'!$B$37,'Code List'!$D$37,",",'Code List'!$B$38,"""",H530,"""",",",'Code List'!$B$39,"""",I530,"""",",",'Code List'!$B$40,"""",J530,"""",",",'Code List'!$B$41,"""",K530,"""",",",'Code List'!$B$42,"""",L530,"""",",",'Code List'!$B$43,"""",M530,"""",",",'Code List'!$B$44,"""",N530,"""",",",'Code List'!$B$45,"""",O530,"""",",",'Code List'!$B$46,"""",P530,"""",",",'Code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List'!$B$59,"""",T530,"""","}"),"")</f>
        <v/>
      </c>
    </row>
    <row r="531" spans="1:25" x14ac:dyDescent="0.25">
      <c r="A531" s="162" t="str">
        <f>IF(AND($A524="YES",E524=$E$1),"YES","NO")</f>
        <v>NO</v>
      </c>
      <c r="C531" t="s">
        <v>259</v>
      </c>
      <c r="D531" s="12" t="str">
        <f>D530</f>
        <v>10C</v>
      </c>
      <c r="E531" t="s">
        <v>259</v>
      </c>
      <c r="G531" s="171">
        <f>F524</f>
        <v>0</v>
      </c>
      <c r="H531">
        <f>ROUND(B524,$O$1)</f>
        <v>176.11</v>
      </c>
      <c r="I531">
        <f>ROUND(B524+'Slide Measurements'!$D$1,$O$1)</f>
        <v>252.56</v>
      </c>
      <c r="J531">
        <f>C524</f>
        <v>376.43</v>
      </c>
      <c r="K531">
        <f>C524+'Slide Measurements'!$D$2</f>
        <v>403.83</v>
      </c>
      <c r="L531" s="5" t="str">
        <f>'Expanded Base Data'!$L522</f>
        <v/>
      </c>
      <c r="M531" s="5" t="str">
        <f>'Expanded Base Data'!$K522</f>
        <v/>
      </c>
      <c r="N531">
        <f t="shared" si="456"/>
        <v>76.45</v>
      </c>
      <c r="O531">
        <f t="shared" si="457"/>
        <v>27.4</v>
      </c>
      <c r="P531" s="5" t="e">
        <f>ROUND((L531-M531),$O$1)</f>
        <v>#VALUE!</v>
      </c>
      <c r="Q531">
        <f>'Code List'!$C$70</f>
        <v>11</v>
      </c>
      <c r="R531">
        <f>'Code List'!$D$70</f>
        <v>19</v>
      </c>
      <c r="S531" t="e">
        <f>IF(P531=0,"1",ROUND((P531/$K$1)+$M$1,0))</f>
        <v>#VALUE!</v>
      </c>
      <c r="T531" t="e">
        <f>Q531*R531*S531</f>
        <v>#VALUE!</v>
      </c>
      <c r="U531" t="str">
        <f>IF(A531="YES",CONCATENATE(G531,"_",'Program Page'!$C$4,'Program Page'!$C$5,"_",D531,"_",E531),"")</f>
        <v/>
      </c>
      <c r="V531" t="str">
        <f>IF(U531="","",CONCATENATE(U531,"_"))</f>
        <v/>
      </c>
      <c r="W531" t="str">
        <f>IF(A531="YES",CONCATENATE("{",'Code List'!$B$4,'Code List'!$D$4,",",'Code List'!$B$5,'Code List'!$D$5,",",'Code List'!$B$6,"""",U531,"""",",",'Code List'!$B$7,'Code List'!$D$7,",",'Code List'!$B$8,'Code List'!$D$8,",",'Code List'!$B$9,'Code List'!$D$9,",",'Code List'!$B$10,'Code List'!$D$10,",",'Code List'!$B$11,"""",V531,"""",",",'Code List'!$B$12,"""",H531,"""",",",'Code List'!$B$13,"""",I531,"""",",",'Code List'!$B$14,"""",J531,"""",",",'Code List'!$B$15,"""",K531,"""",",",'Code List'!$B$16,"""",L531,"""",",",'Code List'!$B$17,"""",M531,"""",",",'Code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531" s="167" t="str">
        <f>IF(A531="YES",CONCATENATE("{",'Code List'!$B$31,"""",U531,"""",",",'Code List'!$B$32,'Code List'!$D$32,",",'Code List'!$B$33,'Code List'!$D$33,",",'Code List'!$B$34,'Code List'!$D$34,",",'Code List'!$B$35,'Code List'!$D$35,",",'Code List'!$B$36,'Code List'!$D$36,",",'Code List'!$B$37,'Code List'!$D$37,",",'Code List'!$B$38,"""",H531,"""",",",'Code List'!$B$39,"""",I531,"""",",",'Code List'!$B$40,"""",J531,"""",",",'Code List'!$B$41,"""",K531,"""",",",'Code List'!$B$42,"""",L531,"""",",",'Code List'!$B$43,"""",M531,"""",",",'Code List'!$B$44,"""",N531,"""",",",'Code List'!$B$45,"""",O531,"""",",",'Code List'!$B$46,"""",P531,"""",",",'Code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List'!$B$59,"""",T531,"""","}"),"")</f>
        <v/>
      </c>
    </row>
    <row r="532" spans="1:25" ht="18.75" x14ac:dyDescent="0.3">
      <c r="A532" s="35" t="str">
        <f>IF(OR(E532=$C$1,E532=$D$1,E532=$E$1),"YES","NO")</f>
        <v>NO</v>
      </c>
      <c r="B532" s="35">
        <f>'Expanded Base Data'!D530</f>
        <v>263.11</v>
      </c>
      <c r="C532" s="35">
        <f>'Expanded Base Data'!E530</f>
        <v>376.43</v>
      </c>
      <c r="D532" s="36" t="str">
        <f>'Expanded Base Data'!B530</f>
        <v>10D</v>
      </c>
      <c r="E532" s="35">
        <f>'Expanded Base Data'!C530</f>
        <v>0</v>
      </c>
      <c r="F532" s="35">
        <f>'Expanded Base Data'!M530</f>
        <v>0</v>
      </c>
      <c r="G532" s="170">
        <f>F532</f>
        <v>0</v>
      </c>
      <c r="Y532" s="167" t="str">
        <f>""</f>
        <v/>
      </c>
    </row>
    <row r="533" spans="1:25" x14ac:dyDescent="0.25">
      <c r="A533" t="str">
        <f>IF(AND($A532="YES",E532=$C$1),"YES","NO")</f>
        <v>NO</v>
      </c>
      <c r="C533" t="s">
        <v>6</v>
      </c>
      <c r="D533" s="12" t="str">
        <f>D532</f>
        <v>10D</v>
      </c>
      <c r="E533" t="s">
        <v>6</v>
      </c>
      <c r="F533" t="s">
        <v>198</v>
      </c>
      <c r="G533" s="171">
        <f>F532</f>
        <v>0</v>
      </c>
      <c r="H533">
        <f>IF('Expanded Base Data'!N530="",ROUND(B532+'Slide Measurements'!$D$11,$O$1),B532+'Expanded Base Data'!N530)</f>
        <v>296.11</v>
      </c>
      <c r="I533">
        <f>IF('Expanded Base Data'!O530="",ROUND(B532+'Slide Measurements'!$D$12,$O$1),B532+'Expanded Base Data'!O530)</f>
        <v>304.70999999999998</v>
      </c>
      <c r="J533">
        <f>IF('Expanded Base Data'!P530="",C532+'Slide Measurements'!$E$13,C532+'Expanded Base Data'!P530)</f>
        <v>385.13</v>
      </c>
      <c r="K533">
        <f>IF('Expanded Base Data'!Q530="",C532+'Slide Measurements'!$E$14,C532+'Expanded Base Data'!Q530)</f>
        <v>393.73</v>
      </c>
      <c r="L533" s="5" t="str">
        <f>'Expanded Base Data'!$L530</f>
        <v/>
      </c>
      <c r="M533" s="5" t="str">
        <f>'Expanded Base Data'!$K530</f>
        <v/>
      </c>
      <c r="N533">
        <f>ROUND((I533-H533),$O$1)</f>
        <v>8.6</v>
      </c>
      <c r="O533">
        <f>ROUND((K533-J533),$O$1)</f>
        <v>8.6</v>
      </c>
      <c r="P533" s="5" t="e">
        <f>ROUND((L533-M533),$O$1)</f>
        <v>#VALUE!</v>
      </c>
      <c r="Q533">
        <f>'Code List'!$C$62</f>
        <v>5</v>
      </c>
      <c r="R533">
        <f>F534+'Code List'!$G$63</f>
        <v>2</v>
      </c>
      <c r="S533" t="e">
        <f>IF(P533=0,"1",ROUND((P533/$K$1)+$M$1,0))</f>
        <v>#VALUE!</v>
      </c>
      <c r="T533" t="e">
        <f>Q533*R533*S533</f>
        <v>#VALUE!</v>
      </c>
      <c r="U533" t="str">
        <f>IF(A533="YES",CONCATENATE(G533,"_",'Program Page'!$C$4,'Program Page'!$C$5,"_",D533,"_",E533),"")</f>
        <v/>
      </c>
      <c r="V533" t="str">
        <f>IF(U533="","",CONCATENATE(U533,"_"))</f>
        <v/>
      </c>
      <c r="W533" t="str">
        <f>IF(A533="YES",CONCATENATE("{",'Code List'!$B$4,'Code List'!$D$4,",",'Code List'!$B$5,'Code List'!$D$5,",",'Code List'!$B$6,"""",U533,"""",",",'Code List'!$B$7,'Code List'!$D$7,",",'Code List'!$B$8,'Code List'!$D$8,",",'Code List'!$B$9,'Code List'!$D$9,",",'Code List'!$B$10,'Code List'!$D$10,",",'Code List'!$B$11,"""",V533,"""",",",'Code List'!$B$12,"""",H533,"""",",",'Code List'!$B$13,"""",I533,"""",",",'Code List'!$B$14,"""",J533,"""",",",'Code List'!$B$15,"""",K533,"""",",",'Code List'!$B$16,"""",L533,"""",",",'Code List'!$B$17,"""",M533,"""",",",'Code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33" s="167" t="str">
        <f>IF(A533="YES",CONCATENATE("{",'Code List'!$B$31,"""",U533,"""",",",'Code List'!$B$32,'Code List'!$D$32,",",'Code List'!$B$33,'Code List'!$D$33,",",'Code List'!$B$34,'Code List'!$D$34,",",'Code List'!$B$35,'Code List'!$D$35,",",'Code List'!$B$36,'Code List'!$D$36,",",'Code List'!$B$37,'Code List'!$D$37,",",'Code List'!$B$38,"""",H533,"""",",",'Code List'!$B$39,"""",I533,"""",",",'Code List'!$B$40,"""",J533,"""",",",'Code List'!$B$41,"""",K533,"""",",",'Code List'!$B$42,"""",L533,"""",",",'Code List'!$B$43,"""",M533,"""",",",'Code List'!$B$44,"""",N533,"""",",",'Code List'!$B$45,"""",O533,"""",",",'Code List'!$B$46,"""",P533,"""",",",'Code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List'!$B$59,"""",T533,"""","}"),"")</f>
        <v/>
      </c>
    </row>
    <row r="534" spans="1:25" x14ac:dyDescent="0.25">
      <c r="A534" t="str">
        <f>IF(AND($A532="YES",E532=$D$1,F534&gt;0),"YES","NO")</f>
        <v>NO</v>
      </c>
      <c r="C534" t="s">
        <v>5</v>
      </c>
      <c r="D534" s="12" t="str">
        <f t="shared" ref="D534:D538" si="462">D533</f>
        <v>10D</v>
      </c>
      <c r="E534" t="s">
        <v>188</v>
      </c>
      <c r="F534">
        <f>'Expanded Base Data'!F530</f>
        <v>0</v>
      </c>
      <c r="G534" s="171">
        <f>F532</f>
        <v>0</v>
      </c>
      <c r="H534">
        <f>ROUND(B532+'Slide Measurements'!$D$17,$O$1)</f>
        <v>288.51</v>
      </c>
      <c r="I534">
        <f>ROUND(H534+(F534*'Slide Measurements'!$D$21),$O$1)</f>
        <v>288.51</v>
      </c>
      <c r="J534">
        <f>C532+'Slide Measurements'!$E$17</f>
        <v>380.73</v>
      </c>
      <c r="K534">
        <f>J534+($I$1*'Slide Measurements'!$E$23-'Slide Measurements'!$E$23)</f>
        <v>382.58000000000004</v>
      </c>
      <c r="L534" s="5" t="str">
        <f>'Expanded Base Data'!$L530</f>
        <v/>
      </c>
      <c r="M534" s="5" t="str">
        <f>'Expanded Base Data'!$K530</f>
        <v/>
      </c>
      <c r="N534">
        <f t="shared" ref="N534:N539" si="463">ROUND((I534-H534),$O$1)</f>
        <v>0</v>
      </c>
      <c r="O534">
        <f t="shared" ref="O534:O539" si="464">ROUND((K534-J534),$O$1)</f>
        <v>1.85</v>
      </c>
      <c r="P534" s="5" t="e">
        <f t="shared" ref="P534:P538" si="465">ROUND((L534-M534),$O$1)</f>
        <v>#VALUE!</v>
      </c>
      <c r="Q534">
        <f>'Code List'!$C$63</f>
        <v>3</v>
      </c>
      <c r="R534">
        <f>F535+'Code List'!$G$63</f>
        <v>2</v>
      </c>
      <c r="S534" t="e">
        <f t="shared" ref="S534:S538" si="466">IF(P534=0,"1",ROUND((P534/$K$1)+$M$1,0))</f>
        <v>#VALUE!</v>
      </c>
      <c r="T534" t="e">
        <f>Q534*R534*S534</f>
        <v>#VALUE!</v>
      </c>
      <c r="U534" t="str">
        <f>IF(A534="YES",CONCATENATE(G534,"_",'Program Page'!$C$4,'Program Page'!$C$5,"_",D534,"_",E534),"")</f>
        <v/>
      </c>
      <c r="V534" t="str">
        <f t="shared" ref="V534:V538" si="467">IF(U534="","",CONCATENATE(U534,"_"))</f>
        <v/>
      </c>
      <c r="W534" t="str">
        <f>IF(A534="YES",CONCATENATE("{",'Code List'!$B$4,'Code List'!$D$4,",",'Code List'!$B$5,'Code List'!$D$5,",",'Code List'!$B$6,"""",U534,"""",",",'Code List'!$B$7,'Code List'!$D$7,",",'Code List'!$B$8,'Code List'!$D$8,",",'Code List'!$B$9,'Code List'!$D$9,",",'Code List'!$B$10,'Code List'!$D$10,",",'Code List'!$B$11,"""",V534,"""",",",'Code List'!$B$12,"""",H534,"""",",",'Code List'!$B$13,"""",I534,"""",",",'Code List'!$B$14,"""",J534,"""",",",'Code List'!$B$15,"""",K534,"""",",",'Code List'!$B$16,"""",L534,"""",",",'Code List'!$B$17,"""",M534,"""",",",'Code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34" s="167" t="str">
        <f>IF(A534="YES",CONCATENATE("{",'Code List'!$B$31,"""",U534,"""",",",'Code List'!$B$32,'Code List'!$D$32,",",'Code List'!$B$33,'Code List'!$D$33,",",'Code List'!$B$34,'Code List'!$D$34,",",'Code List'!$B$35,'Code List'!$D$35,",",'Code List'!$B$36,'Code List'!$D$36,",",'Code List'!$B$37,'Code List'!$D$37,",",'Code List'!$B$38,"""",H534,"""",",",'Code List'!$B$39,"""",I534,"""",",",'Code List'!$B$40,"""",J534,"""",",",'Code List'!$B$41,"""",K534,"""",",",'Code List'!$B$42,"""",L534,"""",",",'Code List'!$B$43,"""",M534,"""",",",'Code List'!$B$44,"""",N534,"""",",",'Code List'!$B$45,"""",O534,"""",",",'Code List'!$B$46,"""",P534,"""",",",'Code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List'!$B$59,"""",T534,"""","}"),"")</f>
        <v/>
      </c>
    </row>
    <row r="535" spans="1:25" x14ac:dyDescent="0.25">
      <c r="A535" t="str">
        <f>IF(AND($A532="YES",E532=$D$1,F535&gt;0),"YES","NO")</f>
        <v>NO</v>
      </c>
      <c r="C535" t="s">
        <v>5</v>
      </c>
      <c r="D535" s="12" t="str">
        <f t="shared" si="462"/>
        <v>10D</v>
      </c>
      <c r="E535" t="s">
        <v>189</v>
      </c>
      <c r="F535">
        <f>'Expanded Base Data'!G530</f>
        <v>0</v>
      </c>
      <c r="G535" s="171">
        <f>F532</f>
        <v>0</v>
      </c>
      <c r="H535">
        <f>ROUND(B532+'Slide Measurements'!$D$17,$O$1)</f>
        <v>288.51</v>
      </c>
      <c r="I535">
        <f>ROUND(H535+(F535*'Slide Measurements'!$D$21),$O$1)</f>
        <v>288.51</v>
      </c>
      <c r="J535">
        <f>K534</f>
        <v>382.58000000000004</v>
      </c>
      <c r="K535">
        <f>J535+($I$1*'Slide Measurements'!$E$23-'Slide Measurements'!$E$23)</f>
        <v>384.43000000000006</v>
      </c>
      <c r="L535" s="5" t="str">
        <f>'Expanded Base Data'!$L530</f>
        <v/>
      </c>
      <c r="M535" s="5" t="str">
        <f>'Expanded Base Data'!$K530</f>
        <v/>
      </c>
      <c r="N535">
        <f t="shared" si="463"/>
        <v>0</v>
      </c>
      <c r="O535">
        <f t="shared" si="464"/>
        <v>1.85</v>
      </c>
      <c r="P535" s="5" t="e">
        <f t="shared" si="465"/>
        <v>#VALUE!</v>
      </c>
      <c r="Q535">
        <f>'Code List'!$C$63</f>
        <v>3</v>
      </c>
      <c r="R535">
        <f>F536+'Code List'!$G$63</f>
        <v>2</v>
      </c>
      <c r="S535" t="e">
        <f t="shared" si="466"/>
        <v>#VALUE!</v>
      </c>
      <c r="T535" t="e">
        <f t="shared" ref="T535:T538" si="468">Q535*R535*S535</f>
        <v>#VALUE!</v>
      </c>
      <c r="U535" t="str">
        <f>IF(A535="YES",CONCATENATE(G535,"_",'Program Page'!$C$4,'Program Page'!$C$5,"_",D535,"_",E535),"")</f>
        <v/>
      </c>
      <c r="V535" t="str">
        <f t="shared" si="467"/>
        <v/>
      </c>
      <c r="W535" t="str">
        <f>IF(A535="YES",CONCATENATE("{",'Code List'!$B$4,'Code List'!$D$4,",",'Code List'!$B$5,'Code List'!$D$5,",",'Code List'!$B$6,"""",U535,"""",",",'Code List'!$B$7,'Code List'!$D$7,",",'Code List'!$B$8,'Code List'!$D$8,",",'Code List'!$B$9,'Code List'!$D$9,",",'Code List'!$B$10,'Code List'!$D$10,",",'Code List'!$B$11,"""",V535,"""",",",'Code List'!$B$12,"""",H535,"""",",",'Code List'!$B$13,"""",I535,"""",",",'Code List'!$B$14,"""",J535,"""",",",'Code List'!$B$15,"""",K535,"""",",",'Code List'!$B$16,"""",L535,"""",",",'Code List'!$B$17,"""",M535,"""",",",'Code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35" s="167" t="str">
        <f>IF(A535="YES",CONCATENATE("{",'Code List'!$B$31,"""",U535,"""",",",'Code List'!$B$32,'Code List'!$D$32,",",'Code List'!$B$33,'Code List'!$D$33,",",'Code List'!$B$34,'Code List'!$D$34,",",'Code List'!$B$35,'Code List'!$D$35,",",'Code List'!$B$36,'Code List'!$D$36,",",'Code List'!$B$37,'Code List'!$D$37,",",'Code List'!$B$38,"""",H535,"""",",",'Code List'!$B$39,"""",I535,"""",",",'Code List'!$B$40,"""",J535,"""",",",'Code List'!$B$41,"""",K535,"""",",",'Code List'!$B$42,"""",L535,"""",",",'Code List'!$B$43,"""",M535,"""",",",'Code List'!$B$44,"""",N535,"""",",",'Code List'!$B$45,"""",O535,"""",",",'Code List'!$B$46,"""",P535,"""",",",'Code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List'!$B$59,"""",T535,"""","}"),"")</f>
        <v/>
      </c>
    </row>
    <row r="536" spans="1:25" x14ac:dyDescent="0.25">
      <c r="A536" t="str">
        <f>IF(AND($A532="YES",E532=$D$1,F536&gt;0),"YES","NO")</f>
        <v>NO</v>
      </c>
      <c r="C536" t="s">
        <v>5</v>
      </c>
      <c r="D536" s="12" t="str">
        <f t="shared" si="462"/>
        <v>10D</v>
      </c>
      <c r="E536" t="s">
        <v>190</v>
      </c>
      <c r="F536">
        <f>'Expanded Base Data'!H530</f>
        <v>0</v>
      </c>
      <c r="G536" s="171">
        <f>F532</f>
        <v>0</v>
      </c>
      <c r="H536">
        <f>ROUND(B532+'Slide Measurements'!$D$17,$O$1)</f>
        <v>288.51</v>
      </c>
      <c r="I536">
        <f>ROUND(H536+(F536*'Slide Measurements'!$D$21),$O$1)</f>
        <v>288.51</v>
      </c>
      <c r="J536">
        <f>K535</f>
        <v>384.43000000000006</v>
      </c>
      <c r="K536">
        <f>J536+($I$1*'Slide Measurements'!$E$23-'Slide Measurements'!$E$23)</f>
        <v>386.28000000000009</v>
      </c>
      <c r="L536" s="5" t="str">
        <f>'Expanded Base Data'!$L530</f>
        <v/>
      </c>
      <c r="M536" s="5" t="str">
        <f>'Expanded Base Data'!$K530</f>
        <v/>
      </c>
      <c r="N536">
        <f t="shared" si="463"/>
        <v>0</v>
      </c>
      <c r="O536">
        <f t="shared" si="464"/>
        <v>1.85</v>
      </c>
      <c r="P536" s="5" t="e">
        <f t="shared" si="465"/>
        <v>#VALUE!</v>
      </c>
      <c r="Q536">
        <f>'Code List'!$C$63</f>
        <v>3</v>
      </c>
      <c r="R536">
        <f>F537+'Code List'!$G$63</f>
        <v>2</v>
      </c>
      <c r="S536" t="e">
        <f t="shared" si="466"/>
        <v>#VALUE!</v>
      </c>
      <c r="T536" t="e">
        <f t="shared" si="468"/>
        <v>#VALUE!</v>
      </c>
      <c r="U536" t="str">
        <f>IF(A536="YES",CONCATENATE(G536,"_",'Program Page'!$C$4,'Program Page'!$C$5,"_",D536,"_",E536),"")</f>
        <v/>
      </c>
      <c r="V536" t="str">
        <f t="shared" si="467"/>
        <v/>
      </c>
      <c r="W536" t="str">
        <f>IF(A536="YES",CONCATENATE("{",'Code List'!$B$4,'Code List'!$D$4,",",'Code List'!$B$5,'Code List'!$D$5,",",'Code List'!$B$6,"""",U536,"""",",",'Code List'!$B$7,'Code List'!$D$7,",",'Code List'!$B$8,'Code List'!$D$8,",",'Code List'!$B$9,'Code List'!$D$9,",",'Code List'!$B$10,'Code List'!$D$10,",",'Code List'!$B$11,"""",V536,"""",",",'Code List'!$B$12,"""",H536,"""",",",'Code List'!$B$13,"""",I536,"""",",",'Code List'!$B$14,"""",J536,"""",",",'Code List'!$B$15,"""",K536,"""",",",'Code List'!$B$16,"""",L536,"""",",",'Code List'!$B$17,"""",M536,"""",",",'Code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36" s="167" t="str">
        <f>IF(A536="YES",CONCATENATE("{",'Code List'!$B$31,"""",U536,"""",",",'Code List'!$B$32,'Code List'!$D$32,",",'Code List'!$B$33,'Code List'!$D$33,",",'Code List'!$B$34,'Code List'!$D$34,",",'Code List'!$B$35,'Code List'!$D$35,",",'Code List'!$B$36,'Code List'!$D$36,",",'Code List'!$B$37,'Code List'!$D$37,",",'Code List'!$B$38,"""",H536,"""",",",'Code List'!$B$39,"""",I536,"""",",",'Code List'!$B$40,"""",J536,"""",",",'Code List'!$B$41,"""",K536,"""",",",'Code List'!$B$42,"""",L536,"""",",",'Code List'!$B$43,"""",M536,"""",",",'Code List'!$B$44,"""",N536,"""",",",'Code List'!$B$45,"""",O536,"""",",",'Code List'!$B$46,"""",P536,"""",",",'Code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List'!$B$59,"""",T536,"""","}"),"")</f>
        <v/>
      </c>
    </row>
    <row r="537" spans="1:25" x14ac:dyDescent="0.25">
      <c r="A537" t="str">
        <f>IF(AND($A532="YES",E532=$D$1,F537&gt;0),"YES","NO")</f>
        <v>NO</v>
      </c>
      <c r="C537" t="s">
        <v>5</v>
      </c>
      <c r="D537" s="12" t="str">
        <f t="shared" si="462"/>
        <v>10D</v>
      </c>
      <c r="E537" t="s">
        <v>191</v>
      </c>
      <c r="F537">
        <f>'Expanded Base Data'!I530</f>
        <v>0</v>
      </c>
      <c r="G537" s="171">
        <f>F532</f>
        <v>0</v>
      </c>
      <c r="H537">
        <f>ROUND(B532+'Slide Measurements'!$D$17,$O$1)</f>
        <v>288.51</v>
      </c>
      <c r="I537">
        <f>ROUND(H537+(F537*'Slide Measurements'!$D$21),$O$1)</f>
        <v>288.51</v>
      </c>
      <c r="J537">
        <f>K536</f>
        <v>386.28000000000009</v>
      </c>
      <c r="K537">
        <f>J537+($I$1*'Slide Measurements'!$E$23-'Slide Measurements'!$E$23)</f>
        <v>388.13000000000011</v>
      </c>
      <c r="L537" s="5" t="str">
        <f>'Expanded Base Data'!$L530</f>
        <v/>
      </c>
      <c r="M537" s="5" t="str">
        <f>'Expanded Base Data'!$K530</f>
        <v/>
      </c>
      <c r="N537">
        <f t="shared" si="463"/>
        <v>0</v>
      </c>
      <c r="O537">
        <f t="shared" si="464"/>
        <v>1.85</v>
      </c>
      <c r="P537" s="5" t="e">
        <f t="shared" si="465"/>
        <v>#VALUE!</v>
      </c>
      <c r="Q537">
        <f>'Code List'!$C$63</f>
        <v>3</v>
      </c>
      <c r="R537">
        <f>F538+'Code List'!$G$63</f>
        <v>2</v>
      </c>
      <c r="S537" t="e">
        <f t="shared" si="466"/>
        <v>#VALUE!</v>
      </c>
      <c r="T537" t="e">
        <f t="shared" si="468"/>
        <v>#VALUE!</v>
      </c>
      <c r="U537" t="str">
        <f>IF(A537="YES",CONCATENATE(G537,"_",'Program Page'!$C$4,'Program Page'!$C$5,"_",D537,"_",E537),"")</f>
        <v/>
      </c>
      <c r="V537" t="str">
        <f t="shared" si="467"/>
        <v/>
      </c>
      <c r="W537" t="str">
        <f>IF(A537="YES",CONCATENATE("{",'Code List'!$B$4,'Code List'!$D$4,",",'Code List'!$B$5,'Code List'!$D$5,",",'Code List'!$B$6,"""",U537,"""",",",'Code List'!$B$7,'Code List'!$D$7,",",'Code List'!$B$8,'Code List'!$D$8,",",'Code List'!$B$9,'Code List'!$D$9,",",'Code List'!$B$10,'Code List'!$D$10,",",'Code List'!$B$11,"""",V537,"""",",",'Code List'!$B$12,"""",H537,"""",",",'Code List'!$B$13,"""",I537,"""",",",'Code List'!$B$14,"""",J537,"""",",",'Code List'!$B$15,"""",K537,"""",",",'Code List'!$B$16,"""",L537,"""",",",'Code List'!$B$17,"""",M537,"""",",",'Code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37" s="167" t="str">
        <f>IF(A537="YES",CONCATENATE("{",'Code List'!$B$31,"""",U537,"""",",",'Code List'!$B$32,'Code List'!$D$32,",",'Code List'!$B$33,'Code List'!$D$33,",",'Code List'!$B$34,'Code List'!$D$34,",",'Code List'!$B$35,'Code List'!$D$35,",",'Code List'!$B$36,'Code List'!$D$36,",",'Code List'!$B$37,'Code List'!$D$37,",",'Code List'!$B$38,"""",H537,"""",",",'Code List'!$B$39,"""",I537,"""",",",'Code List'!$B$40,"""",J537,"""",",",'Code List'!$B$41,"""",K537,"""",",",'Code List'!$B$42,"""",L537,"""",",",'Code List'!$B$43,"""",M537,"""",",",'Code List'!$B$44,"""",N537,"""",",",'Code List'!$B$45,"""",O537,"""",",",'Code List'!$B$46,"""",P537,"""",",",'Code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List'!$B$59,"""",T537,"""","}"),"")</f>
        <v/>
      </c>
    </row>
    <row r="538" spans="1:25" x14ac:dyDescent="0.25">
      <c r="A538" t="str">
        <f>IF(AND($A532="YES",E532=$D$1,F538&gt;0),"YES","NO")</f>
        <v>NO</v>
      </c>
      <c r="C538" t="s">
        <v>5</v>
      </c>
      <c r="D538" s="12" t="str">
        <f t="shared" si="462"/>
        <v>10D</v>
      </c>
      <c r="E538" t="s">
        <v>196</v>
      </c>
      <c r="F538">
        <f>'Expanded Base Data'!J530</f>
        <v>0</v>
      </c>
      <c r="G538" s="171">
        <f>F532</f>
        <v>0</v>
      </c>
      <c r="H538">
        <f>ROUND(B532+'Slide Measurements'!$D$17,$O$1)</f>
        <v>288.51</v>
      </c>
      <c r="I538">
        <f>ROUND(H538+(F538*'Slide Measurements'!$D$21),$O$1)</f>
        <v>288.51</v>
      </c>
      <c r="J538">
        <f>K537</f>
        <v>388.13000000000011</v>
      </c>
      <c r="K538">
        <f>J538+($I$1*'Slide Measurements'!$E$23-'Slide Measurements'!$E$23)</f>
        <v>389.98000000000013</v>
      </c>
      <c r="L538" s="5" t="str">
        <f>'Expanded Base Data'!$L530</f>
        <v/>
      </c>
      <c r="M538" s="5" t="str">
        <f>'Expanded Base Data'!$K530</f>
        <v/>
      </c>
      <c r="N538">
        <f t="shared" si="463"/>
        <v>0</v>
      </c>
      <c r="O538">
        <f t="shared" si="464"/>
        <v>1.85</v>
      </c>
      <c r="P538" s="5" t="e">
        <f t="shared" si="465"/>
        <v>#VALUE!</v>
      </c>
      <c r="Q538">
        <f>'Code List'!$C$63</f>
        <v>3</v>
      </c>
      <c r="R538">
        <f>F539+'Code List'!$G$63</f>
        <v>2</v>
      </c>
      <c r="S538" t="e">
        <f t="shared" si="466"/>
        <v>#VALUE!</v>
      </c>
      <c r="T538" t="e">
        <f t="shared" si="468"/>
        <v>#VALUE!</v>
      </c>
      <c r="U538" t="str">
        <f>IF(A538="YES",CONCATENATE(G538,"_",'Program Page'!$C$4,'Program Page'!$C$5,"_",D538,"_",E538),"")</f>
        <v/>
      </c>
      <c r="V538" t="str">
        <f t="shared" si="467"/>
        <v/>
      </c>
      <c r="W538" t="str">
        <f>IF(A538="YES",CONCATENATE("{",'Code List'!$B$4,'Code List'!$D$4,",",'Code List'!$B$5,'Code List'!$D$5,",",'Code List'!$B$6,"""",U538,"""",",",'Code List'!$B$7,'Code List'!$D$7,",",'Code List'!$B$8,'Code List'!$D$8,",",'Code List'!$B$9,'Code List'!$D$9,",",'Code List'!$B$10,'Code List'!$D$10,",",'Code List'!$B$11,"""",V538,"""",",",'Code List'!$B$12,"""",H538,"""",",",'Code List'!$B$13,"""",I538,"""",",",'Code List'!$B$14,"""",J538,"""",",",'Code List'!$B$15,"""",K538,"""",",",'Code List'!$B$16,"""",L538,"""",",",'Code List'!$B$17,"""",M538,"""",",",'Code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38" s="167" t="str">
        <f>IF(A538="YES",CONCATENATE("{",'Code List'!$B$31,"""",U538,"""",",",'Code List'!$B$32,'Code List'!$D$32,",",'Code List'!$B$33,'Code List'!$D$33,",",'Code List'!$B$34,'Code List'!$D$34,",",'Code List'!$B$35,'Code List'!$D$35,",",'Code List'!$B$36,'Code List'!$D$36,",",'Code List'!$B$37,'Code List'!$D$37,",",'Code List'!$B$38,"""",H538,"""",",",'Code List'!$B$39,"""",I538,"""",",",'Code List'!$B$40,"""",J538,"""",",",'Code List'!$B$41,"""",K538,"""",",",'Code List'!$B$42,"""",L538,"""",",",'Code List'!$B$43,"""",M538,"""",",",'Code List'!$B$44,"""",N538,"""",",",'Code List'!$B$45,"""",O538,"""",",",'Code List'!$B$46,"""",P538,"""",",",'Code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List'!$B$59,"""",T538,"""","}"),"")</f>
        <v/>
      </c>
    </row>
    <row r="539" spans="1:25" x14ac:dyDescent="0.25">
      <c r="A539" s="162" t="str">
        <f>IF(AND($A532="YES",E532=$E$1),"YES","NO")</f>
        <v>NO</v>
      </c>
      <c r="C539" t="s">
        <v>259</v>
      </c>
      <c r="D539" s="12" t="str">
        <f>D538</f>
        <v>10D</v>
      </c>
      <c r="E539" t="s">
        <v>259</v>
      </c>
      <c r="G539" s="171">
        <f>F532</f>
        <v>0</v>
      </c>
      <c r="H539">
        <f>ROUND(B532,$O$1)</f>
        <v>263.11</v>
      </c>
      <c r="I539">
        <f>ROUND(B532+'Slide Measurements'!$D$1,$O$1)</f>
        <v>339.56</v>
      </c>
      <c r="J539">
        <f>C532</f>
        <v>376.43</v>
      </c>
      <c r="K539">
        <f>C532+'Slide Measurements'!$D$2</f>
        <v>403.83</v>
      </c>
      <c r="L539" s="5" t="str">
        <f>'Expanded Base Data'!$L530</f>
        <v/>
      </c>
      <c r="M539" s="5" t="str">
        <f>'Expanded Base Data'!$K530</f>
        <v/>
      </c>
      <c r="N539">
        <f t="shared" si="463"/>
        <v>76.45</v>
      </c>
      <c r="O539">
        <f t="shared" si="464"/>
        <v>27.4</v>
      </c>
      <c r="P539" s="5" t="e">
        <f>ROUND((L539-M539),$O$1)</f>
        <v>#VALUE!</v>
      </c>
      <c r="Q539">
        <f>'Code List'!$C$70</f>
        <v>11</v>
      </c>
      <c r="R539">
        <f>'Code List'!$D$70</f>
        <v>19</v>
      </c>
      <c r="S539" t="e">
        <f>IF(P539=0,"1",ROUND((P539/$K$1)+$M$1,0))</f>
        <v>#VALUE!</v>
      </c>
      <c r="T539" t="e">
        <f>Q539*R539*S539</f>
        <v>#VALUE!</v>
      </c>
      <c r="U539" t="str">
        <f>IF(A539="YES",CONCATENATE(G539,"_",'Program Page'!$C$4,'Program Page'!$C$5,"_",D539,"_",E539),"")</f>
        <v/>
      </c>
      <c r="V539" t="str">
        <f>IF(U539="","",CONCATENATE(U539,"_"))</f>
        <v/>
      </c>
      <c r="W539" t="str">
        <f>IF(A539="YES",CONCATENATE("{",'Code List'!$B$4,'Code List'!$D$4,",",'Code List'!$B$5,'Code List'!$D$5,",",'Code List'!$B$6,"""",U539,"""",",",'Code List'!$B$7,'Code List'!$D$7,",",'Code List'!$B$8,'Code List'!$D$8,",",'Code List'!$B$9,'Code List'!$D$9,",",'Code List'!$B$10,'Code List'!$D$10,",",'Code List'!$B$11,"""",V539,"""",",",'Code List'!$B$12,"""",H539,"""",",",'Code List'!$B$13,"""",I539,"""",",",'Code List'!$B$14,"""",J539,"""",",",'Code List'!$B$15,"""",K539,"""",",",'Code List'!$B$16,"""",L539,"""",",",'Code List'!$B$17,"""",M539,"""",",",'Code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539" s="167" t="str">
        <f>IF(A539="YES",CONCATENATE("{",'Code List'!$B$31,"""",U539,"""",",",'Code List'!$B$32,'Code List'!$D$32,",",'Code List'!$B$33,'Code List'!$D$33,",",'Code List'!$B$34,'Code List'!$D$34,",",'Code List'!$B$35,'Code List'!$D$35,",",'Code List'!$B$36,'Code List'!$D$36,",",'Code List'!$B$37,'Code List'!$D$37,",",'Code List'!$B$38,"""",H539,"""",",",'Code List'!$B$39,"""",I539,"""",",",'Code List'!$B$40,"""",J539,"""",",",'Code List'!$B$41,"""",K539,"""",",",'Code List'!$B$42,"""",L539,"""",",",'Code List'!$B$43,"""",M539,"""",",",'Code List'!$B$44,"""",N539,"""",",",'Code List'!$B$45,"""",O539,"""",",",'Code List'!$B$46,"""",P539,"""",",",'Code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List'!$B$59,"""",T539,"""","}"),"")</f>
        <v/>
      </c>
    </row>
    <row r="540" spans="1:25" ht="18.75" x14ac:dyDescent="0.3">
      <c r="A540" s="35" t="str">
        <f>IF(OR(E540=$C$1,E540=$D$1,E540=$E$1),"YES","NO")</f>
        <v>NO</v>
      </c>
      <c r="B540" s="35">
        <f>'Expanded Base Data'!D538</f>
        <v>349.51</v>
      </c>
      <c r="C540" s="35">
        <f>'Expanded Base Data'!E538</f>
        <v>376.43</v>
      </c>
      <c r="D540" s="36" t="str">
        <f>'Expanded Base Data'!B538</f>
        <v>10E</v>
      </c>
      <c r="E540" s="35">
        <f>'Expanded Base Data'!C538</f>
        <v>0</v>
      </c>
      <c r="F540" s="35">
        <f>'Expanded Base Data'!M538</f>
        <v>0</v>
      </c>
      <c r="G540" s="170">
        <f>F540</f>
        <v>0</v>
      </c>
      <c r="Y540" s="167" t="str">
        <f>""</f>
        <v/>
      </c>
    </row>
    <row r="541" spans="1:25" x14ac:dyDescent="0.25">
      <c r="A541" t="str">
        <f>IF(AND($A540="YES",E540=$C$1),"YES","NO")</f>
        <v>NO</v>
      </c>
      <c r="C541" t="s">
        <v>6</v>
      </c>
      <c r="D541" s="12" t="str">
        <f>D540</f>
        <v>10E</v>
      </c>
      <c r="E541" t="s">
        <v>6</v>
      </c>
      <c r="F541" t="s">
        <v>198</v>
      </c>
      <c r="G541" s="171">
        <f>F540</f>
        <v>0</v>
      </c>
      <c r="H541">
        <f>IF('Expanded Base Data'!N538="",ROUND(B540+'Slide Measurements'!$D$11,$O$1),B540+'Expanded Base Data'!N538)</f>
        <v>382.51</v>
      </c>
      <c r="I541">
        <f>IF('Expanded Base Data'!O538="",ROUND(B540+'Slide Measurements'!$D$12,$O$1),B540+'Expanded Base Data'!O538)</f>
        <v>391.11</v>
      </c>
      <c r="J541">
        <f>IF('Expanded Base Data'!P538="",C540+'Slide Measurements'!$E$13,C540+'Expanded Base Data'!P538)</f>
        <v>385.13</v>
      </c>
      <c r="K541">
        <f>IF('Expanded Base Data'!Q538="",C540+'Slide Measurements'!$E$14,C540+'Expanded Base Data'!Q538)</f>
        <v>393.73</v>
      </c>
      <c r="L541" s="5" t="str">
        <f>'Expanded Base Data'!$L538</f>
        <v/>
      </c>
      <c r="M541" s="5" t="str">
        <f>'Expanded Base Data'!$K538</f>
        <v/>
      </c>
      <c r="N541">
        <f>ROUND((I541-H541),$O$1)</f>
        <v>8.6</v>
      </c>
      <c r="O541">
        <f>ROUND((K541-J541),$O$1)</f>
        <v>8.6</v>
      </c>
      <c r="P541" s="5" t="e">
        <f>ROUND((L541-M541),$O$1)</f>
        <v>#VALUE!</v>
      </c>
      <c r="Q541">
        <f>'Code List'!$C$62</f>
        <v>5</v>
      </c>
      <c r="R541">
        <f>F542+'Code List'!$G$63</f>
        <v>2</v>
      </c>
      <c r="S541" t="e">
        <f>IF(P541=0,"1",ROUND((P541/$K$1)+$M$1,0))</f>
        <v>#VALUE!</v>
      </c>
      <c r="T541" t="e">
        <f>Q541*R541*S541</f>
        <v>#VALUE!</v>
      </c>
      <c r="U541" t="str">
        <f>IF(A541="YES",CONCATENATE(G541,"_",'Program Page'!$C$4,'Program Page'!$C$5,"_",D541,"_",E541),"")</f>
        <v/>
      </c>
      <c r="V541" t="str">
        <f>IF(U541="","",CONCATENATE(U541,"_"))</f>
        <v/>
      </c>
      <c r="W541" t="str">
        <f>IF(A541="YES",CONCATENATE("{",'Code List'!$B$4,'Code List'!$D$4,",",'Code List'!$B$5,'Code List'!$D$5,",",'Code List'!$B$6,"""",U541,"""",",",'Code List'!$B$7,'Code List'!$D$7,",",'Code List'!$B$8,'Code List'!$D$8,",",'Code List'!$B$9,'Code List'!$D$9,",",'Code List'!$B$10,'Code List'!$D$10,",",'Code List'!$B$11,"""",V541,"""",",",'Code List'!$B$12,"""",H541,"""",",",'Code List'!$B$13,"""",I541,"""",",",'Code List'!$B$14,"""",J541,"""",",",'Code List'!$B$15,"""",K541,"""",",",'Code List'!$B$16,"""",L541,"""",",",'Code List'!$B$17,"""",M541,"""",",",'Code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41" s="167" t="str">
        <f>IF(A541="YES",CONCATENATE("{",'Code List'!$B$31,"""",U541,"""",",",'Code List'!$B$32,'Code List'!$D$32,",",'Code List'!$B$33,'Code List'!$D$33,",",'Code List'!$B$34,'Code List'!$D$34,",",'Code List'!$B$35,'Code List'!$D$35,",",'Code List'!$B$36,'Code List'!$D$36,",",'Code List'!$B$37,'Code List'!$D$37,",",'Code List'!$B$38,"""",H541,"""",",",'Code List'!$B$39,"""",I541,"""",",",'Code List'!$B$40,"""",J541,"""",",",'Code List'!$B$41,"""",K541,"""",",",'Code List'!$B$42,"""",L541,"""",",",'Code List'!$B$43,"""",M541,"""",",",'Code List'!$B$44,"""",N541,"""",",",'Code List'!$B$45,"""",O541,"""",",",'Code List'!$B$46,"""",P541,"""",",",'Code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List'!$B$59,"""",T541,"""","}"),"")</f>
        <v/>
      </c>
    </row>
    <row r="542" spans="1:25" x14ac:dyDescent="0.25">
      <c r="A542" t="str">
        <f>IF(AND($A540="YES",E540=$D$1,F542&gt;0),"YES","NO")</f>
        <v>NO</v>
      </c>
      <c r="C542" t="s">
        <v>5</v>
      </c>
      <c r="D542" s="12" t="str">
        <f t="shared" ref="D542:D546" si="469">D541</f>
        <v>10E</v>
      </c>
      <c r="E542" t="s">
        <v>188</v>
      </c>
      <c r="F542">
        <f>'Expanded Base Data'!F538</f>
        <v>0</v>
      </c>
      <c r="G542" s="171">
        <f>F540</f>
        <v>0</v>
      </c>
      <c r="H542">
        <f>ROUND(B540+'Slide Measurements'!$D$17,$O$1)</f>
        <v>374.91</v>
      </c>
      <c r="I542">
        <f>ROUND(H542+(F542*'Slide Measurements'!$D$21),$O$1)</f>
        <v>374.91</v>
      </c>
      <c r="J542">
        <f>C540+'Slide Measurements'!$E$17</f>
        <v>380.73</v>
      </c>
      <c r="K542">
        <f>J542+($I$1*'Slide Measurements'!$E$23-'Slide Measurements'!$E$23)</f>
        <v>382.58000000000004</v>
      </c>
      <c r="L542" s="5" t="str">
        <f>'Expanded Base Data'!$L538</f>
        <v/>
      </c>
      <c r="M542" s="5" t="str">
        <f>'Expanded Base Data'!$K538</f>
        <v/>
      </c>
      <c r="N542">
        <f t="shared" ref="N542:N547" si="470">ROUND((I542-H542),$O$1)</f>
        <v>0</v>
      </c>
      <c r="O542">
        <f t="shared" ref="O542:O547" si="471">ROUND((K542-J542),$O$1)</f>
        <v>1.85</v>
      </c>
      <c r="P542" s="5" t="e">
        <f t="shared" ref="P542:P546" si="472">ROUND((L542-M542),$O$1)</f>
        <v>#VALUE!</v>
      </c>
      <c r="Q542">
        <f>'Code List'!$C$63</f>
        <v>3</v>
      </c>
      <c r="R542">
        <f>F543+'Code List'!$G$63</f>
        <v>2</v>
      </c>
      <c r="S542" t="e">
        <f t="shared" ref="S542:S546" si="473">IF(P542=0,"1",ROUND((P542/$K$1)+$M$1,0))</f>
        <v>#VALUE!</v>
      </c>
      <c r="T542" t="e">
        <f>Q542*R542*S542</f>
        <v>#VALUE!</v>
      </c>
      <c r="U542" t="str">
        <f>IF(A542="YES",CONCATENATE(G542,"_",'Program Page'!$C$4,'Program Page'!$C$5,"_",D542,"_",E542),"")</f>
        <v/>
      </c>
      <c r="V542" t="str">
        <f t="shared" ref="V542:V546" si="474">IF(U542="","",CONCATENATE(U542,"_"))</f>
        <v/>
      </c>
      <c r="W542" t="str">
        <f>IF(A542="YES",CONCATENATE("{",'Code List'!$B$4,'Code List'!$D$4,",",'Code List'!$B$5,'Code List'!$D$5,",",'Code List'!$B$6,"""",U542,"""",",",'Code List'!$B$7,'Code List'!$D$7,",",'Code List'!$B$8,'Code List'!$D$8,",",'Code List'!$B$9,'Code List'!$D$9,",",'Code List'!$B$10,'Code List'!$D$10,",",'Code List'!$B$11,"""",V542,"""",",",'Code List'!$B$12,"""",H542,"""",",",'Code List'!$B$13,"""",I542,"""",",",'Code List'!$B$14,"""",J542,"""",",",'Code List'!$B$15,"""",K542,"""",",",'Code List'!$B$16,"""",L542,"""",",",'Code List'!$B$17,"""",M542,"""",",",'Code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42" s="167" t="str">
        <f>IF(A542="YES",CONCATENATE("{",'Code List'!$B$31,"""",U542,"""",",",'Code List'!$B$32,'Code List'!$D$32,",",'Code List'!$B$33,'Code List'!$D$33,",",'Code List'!$B$34,'Code List'!$D$34,",",'Code List'!$B$35,'Code List'!$D$35,",",'Code List'!$B$36,'Code List'!$D$36,",",'Code List'!$B$37,'Code List'!$D$37,",",'Code List'!$B$38,"""",H542,"""",",",'Code List'!$B$39,"""",I542,"""",",",'Code List'!$B$40,"""",J542,"""",",",'Code List'!$B$41,"""",K542,"""",",",'Code List'!$B$42,"""",L542,"""",",",'Code List'!$B$43,"""",M542,"""",",",'Code List'!$B$44,"""",N542,"""",",",'Code List'!$B$45,"""",O542,"""",",",'Code List'!$B$46,"""",P542,"""",",",'Code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List'!$B$59,"""",T542,"""","}"),"")</f>
        <v/>
      </c>
    </row>
    <row r="543" spans="1:25" x14ac:dyDescent="0.25">
      <c r="A543" t="str">
        <f>IF(AND($A540="YES",E540=$D$1,F543&gt;0),"YES","NO")</f>
        <v>NO</v>
      </c>
      <c r="C543" t="s">
        <v>5</v>
      </c>
      <c r="D543" s="12" t="str">
        <f t="shared" si="469"/>
        <v>10E</v>
      </c>
      <c r="E543" t="s">
        <v>189</v>
      </c>
      <c r="F543">
        <f>'Expanded Base Data'!G538</f>
        <v>0</v>
      </c>
      <c r="G543" s="171">
        <f>F540</f>
        <v>0</v>
      </c>
      <c r="H543">
        <f>ROUND(B540+'Slide Measurements'!$D$17,$O$1)</f>
        <v>374.91</v>
      </c>
      <c r="I543">
        <f>ROUND(H543+(F543*'Slide Measurements'!$D$21),$O$1)</f>
        <v>374.91</v>
      </c>
      <c r="J543">
        <f>K542</f>
        <v>382.58000000000004</v>
      </c>
      <c r="K543">
        <f>J543+($I$1*'Slide Measurements'!$E$23-'Slide Measurements'!$E$23)</f>
        <v>384.43000000000006</v>
      </c>
      <c r="L543" s="5" t="str">
        <f>'Expanded Base Data'!$L538</f>
        <v/>
      </c>
      <c r="M543" s="5" t="str">
        <f>'Expanded Base Data'!$K538</f>
        <v/>
      </c>
      <c r="N543">
        <f t="shared" si="470"/>
        <v>0</v>
      </c>
      <c r="O543">
        <f t="shared" si="471"/>
        <v>1.85</v>
      </c>
      <c r="P543" s="5" t="e">
        <f t="shared" si="472"/>
        <v>#VALUE!</v>
      </c>
      <c r="Q543">
        <f>'Code List'!$C$63</f>
        <v>3</v>
      </c>
      <c r="R543">
        <f>F544+'Code List'!$G$63</f>
        <v>2</v>
      </c>
      <c r="S543" t="e">
        <f t="shared" si="473"/>
        <v>#VALUE!</v>
      </c>
      <c r="T543" t="e">
        <f t="shared" ref="T543:T546" si="475">Q543*R543*S543</f>
        <v>#VALUE!</v>
      </c>
      <c r="U543" t="str">
        <f>IF(A543="YES",CONCATENATE(G543,"_",'Program Page'!$C$4,'Program Page'!$C$5,"_",D543,"_",E543),"")</f>
        <v/>
      </c>
      <c r="V543" t="str">
        <f t="shared" si="474"/>
        <v/>
      </c>
      <c r="W543" t="str">
        <f>IF(A543="YES",CONCATENATE("{",'Code List'!$B$4,'Code List'!$D$4,",",'Code List'!$B$5,'Code List'!$D$5,",",'Code List'!$B$6,"""",U543,"""",",",'Code List'!$B$7,'Code List'!$D$7,",",'Code List'!$B$8,'Code List'!$D$8,",",'Code List'!$B$9,'Code List'!$D$9,",",'Code List'!$B$10,'Code List'!$D$10,",",'Code List'!$B$11,"""",V543,"""",",",'Code List'!$B$12,"""",H543,"""",",",'Code List'!$B$13,"""",I543,"""",",",'Code List'!$B$14,"""",J543,"""",",",'Code List'!$B$15,"""",K543,"""",",",'Code List'!$B$16,"""",L543,"""",",",'Code List'!$B$17,"""",M543,"""",",",'Code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43" s="167" t="str">
        <f>IF(A543="YES",CONCATENATE("{",'Code List'!$B$31,"""",U543,"""",",",'Code List'!$B$32,'Code List'!$D$32,",",'Code List'!$B$33,'Code List'!$D$33,",",'Code List'!$B$34,'Code List'!$D$34,",",'Code List'!$B$35,'Code List'!$D$35,",",'Code List'!$B$36,'Code List'!$D$36,",",'Code List'!$B$37,'Code List'!$D$37,",",'Code List'!$B$38,"""",H543,"""",",",'Code List'!$B$39,"""",I543,"""",",",'Code List'!$B$40,"""",J543,"""",",",'Code List'!$B$41,"""",K543,"""",",",'Code List'!$B$42,"""",L543,"""",",",'Code List'!$B$43,"""",M543,"""",",",'Code List'!$B$44,"""",N543,"""",",",'Code List'!$B$45,"""",O543,"""",",",'Code List'!$B$46,"""",P543,"""",",",'Code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List'!$B$59,"""",T543,"""","}"),"")</f>
        <v/>
      </c>
    </row>
    <row r="544" spans="1:25" x14ac:dyDescent="0.25">
      <c r="A544" t="str">
        <f>IF(AND($A540="YES",E540=$D$1,F544&gt;0),"YES","NO")</f>
        <v>NO</v>
      </c>
      <c r="C544" t="s">
        <v>5</v>
      </c>
      <c r="D544" s="12" t="str">
        <f t="shared" si="469"/>
        <v>10E</v>
      </c>
      <c r="E544" t="s">
        <v>190</v>
      </c>
      <c r="F544">
        <f>'Expanded Base Data'!H538</f>
        <v>0</v>
      </c>
      <c r="G544" s="171">
        <f>F540</f>
        <v>0</v>
      </c>
      <c r="H544">
        <f>ROUND(B540+'Slide Measurements'!$D$17,$O$1)</f>
        <v>374.91</v>
      </c>
      <c r="I544">
        <f>ROUND(H544+(F544*'Slide Measurements'!$D$21),$O$1)</f>
        <v>374.91</v>
      </c>
      <c r="J544">
        <f>K543</f>
        <v>384.43000000000006</v>
      </c>
      <c r="K544">
        <f>J544+($I$1*'Slide Measurements'!$E$23-'Slide Measurements'!$E$23)</f>
        <v>386.28000000000009</v>
      </c>
      <c r="L544" s="5" t="str">
        <f>'Expanded Base Data'!$L538</f>
        <v/>
      </c>
      <c r="M544" s="5" t="str">
        <f>'Expanded Base Data'!$K538</f>
        <v/>
      </c>
      <c r="N544">
        <f t="shared" si="470"/>
        <v>0</v>
      </c>
      <c r="O544">
        <f t="shared" si="471"/>
        <v>1.85</v>
      </c>
      <c r="P544" s="5" t="e">
        <f t="shared" si="472"/>
        <v>#VALUE!</v>
      </c>
      <c r="Q544">
        <f>'Code List'!$C$63</f>
        <v>3</v>
      </c>
      <c r="R544">
        <f>F545+'Code List'!$G$63</f>
        <v>2</v>
      </c>
      <c r="S544" t="e">
        <f t="shared" si="473"/>
        <v>#VALUE!</v>
      </c>
      <c r="T544" t="e">
        <f t="shared" si="475"/>
        <v>#VALUE!</v>
      </c>
      <c r="U544" t="str">
        <f>IF(A544="YES",CONCATENATE(G544,"_",'Program Page'!$C$4,'Program Page'!$C$5,"_",D544,"_",E544),"")</f>
        <v/>
      </c>
      <c r="V544" t="str">
        <f t="shared" si="474"/>
        <v/>
      </c>
      <c r="W544" t="str">
        <f>IF(A544="YES",CONCATENATE("{",'Code List'!$B$4,'Code List'!$D$4,",",'Code List'!$B$5,'Code List'!$D$5,",",'Code List'!$B$6,"""",U544,"""",",",'Code List'!$B$7,'Code List'!$D$7,",",'Code List'!$B$8,'Code List'!$D$8,",",'Code List'!$B$9,'Code List'!$D$9,",",'Code List'!$B$10,'Code List'!$D$10,",",'Code List'!$B$11,"""",V544,"""",",",'Code List'!$B$12,"""",H544,"""",",",'Code List'!$B$13,"""",I544,"""",",",'Code List'!$B$14,"""",J544,"""",",",'Code List'!$B$15,"""",K544,"""",",",'Code List'!$B$16,"""",L544,"""",",",'Code List'!$B$17,"""",M544,"""",",",'Code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44" s="167" t="str">
        <f>IF(A544="YES",CONCATENATE("{",'Code List'!$B$31,"""",U544,"""",",",'Code List'!$B$32,'Code List'!$D$32,",",'Code List'!$B$33,'Code List'!$D$33,",",'Code List'!$B$34,'Code List'!$D$34,",",'Code List'!$B$35,'Code List'!$D$35,",",'Code List'!$B$36,'Code List'!$D$36,",",'Code List'!$B$37,'Code List'!$D$37,",",'Code List'!$B$38,"""",H544,"""",",",'Code List'!$B$39,"""",I544,"""",",",'Code List'!$B$40,"""",J544,"""",",",'Code List'!$B$41,"""",K544,"""",",",'Code List'!$B$42,"""",L544,"""",",",'Code List'!$B$43,"""",M544,"""",",",'Code List'!$B$44,"""",N544,"""",",",'Code List'!$B$45,"""",O544,"""",",",'Code List'!$B$46,"""",P544,"""",",",'Code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List'!$B$59,"""",T544,"""","}"),"")</f>
        <v/>
      </c>
    </row>
    <row r="545" spans="1:25" x14ac:dyDescent="0.25">
      <c r="A545" t="str">
        <f>IF(AND($A540="YES",E540=$D$1,F545&gt;0),"YES","NO")</f>
        <v>NO</v>
      </c>
      <c r="C545" t="s">
        <v>5</v>
      </c>
      <c r="D545" s="12" t="str">
        <f t="shared" si="469"/>
        <v>10E</v>
      </c>
      <c r="E545" t="s">
        <v>191</v>
      </c>
      <c r="F545">
        <f>'Expanded Base Data'!I538</f>
        <v>0</v>
      </c>
      <c r="G545" s="171">
        <f>F540</f>
        <v>0</v>
      </c>
      <c r="H545">
        <f>ROUND(B540+'Slide Measurements'!$D$17,$O$1)</f>
        <v>374.91</v>
      </c>
      <c r="I545">
        <f>ROUND(H545+(F545*'Slide Measurements'!$D$21),$O$1)</f>
        <v>374.91</v>
      </c>
      <c r="J545">
        <f>K544</f>
        <v>386.28000000000009</v>
      </c>
      <c r="K545">
        <f>J545+($I$1*'Slide Measurements'!$E$23-'Slide Measurements'!$E$23)</f>
        <v>388.13000000000011</v>
      </c>
      <c r="L545" s="5" t="str">
        <f>'Expanded Base Data'!$L538</f>
        <v/>
      </c>
      <c r="M545" s="5" t="str">
        <f>'Expanded Base Data'!$K538</f>
        <v/>
      </c>
      <c r="N545">
        <f t="shared" si="470"/>
        <v>0</v>
      </c>
      <c r="O545">
        <f t="shared" si="471"/>
        <v>1.85</v>
      </c>
      <c r="P545" s="5" t="e">
        <f t="shared" si="472"/>
        <v>#VALUE!</v>
      </c>
      <c r="Q545">
        <f>'Code List'!$C$63</f>
        <v>3</v>
      </c>
      <c r="R545">
        <f>F546+'Code List'!$G$63</f>
        <v>2</v>
      </c>
      <c r="S545" t="e">
        <f t="shared" si="473"/>
        <v>#VALUE!</v>
      </c>
      <c r="T545" t="e">
        <f t="shared" si="475"/>
        <v>#VALUE!</v>
      </c>
      <c r="U545" t="str">
        <f>IF(A545="YES",CONCATENATE(G545,"_",'Program Page'!$C$4,'Program Page'!$C$5,"_",D545,"_",E545),"")</f>
        <v/>
      </c>
      <c r="V545" t="str">
        <f t="shared" si="474"/>
        <v/>
      </c>
      <c r="W545" t="str">
        <f>IF(A545="YES",CONCATENATE("{",'Code List'!$B$4,'Code List'!$D$4,",",'Code List'!$B$5,'Code List'!$D$5,",",'Code List'!$B$6,"""",U545,"""",",",'Code List'!$B$7,'Code List'!$D$7,",",'Code List'!$B$8,'Code List'!$D$8,",",'Code List'!$B$9,'Code List'!$D$9,",",'Code List'!$B$10,'Code List'!$D$10,",",'Code List'!$B$11,"""",V545,"""",",",'Code List'!$B$12,"""",H545,"""",",",'Code List'!$B$13,"""",I545,"""",",",'Code List'!$B$14,"""",J545,"""",",",'Code List'!$B$15,"""",K545,"""",",",'Code List'!$B$16,"""",L545,"""",",",'Code List'!$B$17,"""",M545,"""",",",'Code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45" s="167" t="str">
        <f>IF(A545="YES",CONCATENATE("{",'Code List'!$B$31,"""",U545,"""",",",'Code List'!$B$32,'Code List'!$D$32,",",'Code List'!$B$33,'Code List'!$D$33,",",'Code List'!$B$34,'Code List'!$D$34,",",'Code List'!$B$35,'Code List'!$D$35,",",'Code List'!$B$36,'Code List'!$D$36,",",'Code List'!$B$37,'Code List'!$D$37,",",'Code List'!$B$38,"""",H545,"""",",",'Code List'!$B$39,"""",I545,"""",",",'Code List'!$B$40,"""",J545,"""",",",'Code List'!$B$41,"""",K545,"""",",",'Code List'!$B$42,"""",L545,"""",",",'Code List'!$B$43,"""",M545,"""",",",'Code List'!$B$44,"""",N545,"""",",",'Code List'!$B$45,"""",O545,"""",",",'Code List'!$B$46,"""",P545,"""",",",'Code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List'!$B$59,"""",T545,"""","}"),"")</f>
        <v/>
      </c>
    </row>
    <row r="546" spans="1:25" x14ac:dyDescent="0.25">
      <c r="A546" t="str">
        <f>IF(AND($A540="YES",E540=$D$1,F546&gt;0),"YES","NO")</f>
        <v>NO</v>
      </c>
      <c r="C546" t="s">
        <v>5</v>
      </c>
      <c r="D546" s="12" t="str">
        <f t="shared" si="469"/>
        <v>10E</v>
      </c>
      <c r="E546" t="s">
        <v>196</v>
      </c>
      <c r="F546">
        <f>'Expanded Base Data'!J538</f>
        <v>0</v>
      </c>
      <c r="G546" s="171">
        <f>F540</f>
        <v>0</v>
      </c>
      <c r="H546">
        <f>ROUND(B540+'Slide Measurements'!$D$17,$O$1)</f>
        <v>374.91</v>
      </c>
      <c r="I546">
        <f>ROUND(H546+(F546*'Slide Measurements'!$D$21),$O$1)</f>
        <v>374.91</v>
      </c>
      <c r="J546">
        <f>K545</f>
        <v>388.13000000000011</v>
      </c>
      <c r="K546">
        <f>J546+($I$1*'Slide Measurements'!$E$23-'Slide Measurements'!$E$23)</f>
        <v>389.98000000000013</v>
      </c>
      <c r="L546" s="5" t="str">
        <f>'Expanded Base Data'!$L538</f>
        <v/>
      </c>
      <c r="M546" s="5" t="str">
        <f>'Expanded Base Data'!$K538</f>
        <v/>
      </c>
      <c r="N546">
        <f t="shared" si="470"/>
        <v>0</v>
      </c>
      <c r="O546">
        <f t="shared" si="471"/>
        <v>1.85</v>
      </c>
      <c r="P546" s="5" t="e">
        <f t="shared" si="472"/>
        <v>#VALUE!</v>
      </c>
      <c r="Q546">
        <f>'Code List'!$C$63</f>
        <v>3</v>
      </c>
      <c r="R546">
        <f>F547+'Code List'!$G$63</f>
        <v>2</v>
      </c>
      <c r="S546" t="e">
        <f t="shared" si="473"/>
        <v>#VALUE!</v>
      </c>
      <c r="T546" t="e">
        <f t="shared" si="475"/>
        <v>#VALUE!</v>
      </c>
      <c r="U546" t="str">
        <f>IF(A546="YES",CONCATENATE(G546,"_",'Program Page'!$C$4,'Program Page'!$C$5,"_",D546,"_",E546),"")</f>
        <v/>
      </c>
      <c r="V546" t="str">
        <f t="shared" si="474"/>
        <v/>
      </c>
      <c r="W546" t="str">
        <f>IF(A546="YES",CONCATENATE("{",'Code List'!$B$4,'Code List'!$D$4,",",'Code List'!$B$5,'Code List'!$D$5,",",'Code List'!$B$6,"""",U546,"""",",",'Code List'!$B$7,'Code List'!$D$7,",",'Code List'!$B$8,'Code List'!$D$8,",",'Code List'!$B$9,'Code List'!$D$9,",",'Code List'!$B$10,'Code List'!$D$10,",",'Code List'!$B$11,"""",V546,"""",",",'Code List'!$B$12,"""",H546,"""",",",'Code List'!$B$13,"""",I546,"""",",",'Code List'!$B$14,"""",J546,"""",",",'Code List'!$B$15,"""",K546,"""",",",'Code List'!$B$16,"""",L546,"""",",",'Code List'!$B$17,"""",M546,"""",",",'Code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46" s="167" t="str">
        <f>IF(A546="YES",CONCATENATE("{",'Code List'!$B$31,"""",U546,"""",",",'Code List'!$B$32,'Code List'!$D$32,",",'Code List'!$B$33,'Code List'!$D$33,",",'Code List'!$B$34,'Code List'!$D$34,",",'Code List'!$B$35,'Code List'!$D$35,",",'Code List'!$B$36,'Code List'!$D$36,",",'Code List'!$B$37,'Code List'!$D$37,",",'Code List'!$B$38,"""",H546,"""",",",'Code List'!$B$39,"""",I546,"""",",",'Code List'!$B$40,"""",J546,"""",",",'Code List'!$B$41,"""",K546,"""",",",'Code List'!$B$42,"""",L546,"""",",",'Code List'!$B$43,"""",M546,"""",",",'Code List'!$B$44,"""",N546,"""",",",'Code List'!$B$45,"""",O546,"""",",",'Code List'!$B$46,"""",P546,"""",",",'Code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List'!$B$59,"""",T546,"""","}"),"")</f>
        <v/>
      </c>
    </row>
    <row r="547" spans="1:25" x14ac:dyDescent="0.25">
      <c r="A547" s="162" t="str">
        <f>IF(AND($A540="YES",E540=$E$1),"YES","NO")</f>
        <v>NO</v>
      </c>
      <c r="C547" t="s">
        <v>259</v>
      </c>
      <c r="D547" s="12" t="str">
        <f>D546</f>
        <v>10E</v>
      </c>
      <c r="E547" t="s">
        <v>259</v>
      </c>
      <c r="G547" s="171">
        <f>F540</f>
        <v>0</v>
      </c>
      <c r="H547">
        <f>ROUND(B540,$O$1)</f>
        <v>349.51</v>
      </c>
      <c r="I547">
        <f>ROUND(B540+'Slide Measurements'!$D$1,$O$1)</f>
        <v>425.96</v>
      </c>
      <c r="J547">
        <f>C540</f>
        <v>376.43</v>
      </c>
      <c r="K547">
        <f>C540+'Slide Measurements'!$D$2</f>
        <v>403.83</v>
      </c>
      <c r="L547" s="5" t="str">
        <f>'Expanded Base Data'!$L538</f>
        <v/>
      </c>
      <c r="M547" s="5" t="str">
        <f>'Expanded Base Data'!$K538</f>
        <v/>
      </c>
      <c r="N547">
        <f t="shared" si="470"/>
        <v>76.45</v>
      </c>
      <c r="O547">
        <f t="shared" si="471"/>
        <v>27.4</v>
      </c>
      <c r="P547" s="5" t="e">
        <f>ROUND((L547-M547),$O$1)</f>
        <v>#VALUE!</v>
      </c>
      <c r="Q547">
        <f>'Code List'!$C$70</f>
        <v>11</v>
      </c>
      <c r="R547">
        <f>'Code List'!$D$70</f>
        <v>19</v>
      </c>
      <c r="S547" t="e">
        <f>IF(P547=0,"1",ROUND((P547/$K$1)+$M$1,0))</f>
        <v>#VALUE!</v>
      </c>
      <c r="T547" t="e">
        <f>Q547*R547*S547</f>
        <v>#VALUE!</v>
      </c>
      <c r="U547" t="str">
        <f>IF(A547="YES",CONCATENATE(G547,"_",'Program Page'!$C$4,'Program Page'!$C$5,"_",D547,"_",E547),"")</f>
        <v/>
      </c>
      <c r="V547" t="str">
        <f>IF(U547="","",CONCATENATE(U547,"_"))</f>
        <v/>
      </c>
      <c r="W547" t="str">
        <f>IF(A547="YES",CONCATENATE("{",'Code List'!$B$4,'Code List'!$D$4,",",'Code List'!$B$5,'Code List'!$D$5,",",'Code List'!$B$6,"""",U547,"""",",",'Code List'!$B$7,'Code List'!$D$7,",",'Code List'!$B$8,'Code List'!$D$8,",",'Code List'!$B$9,'Code List'!$D$9,",",'Code List'!$B$10,'Code List'!$D$10,",",'Code List'!$B$11,"""",V547,"""",",",'Code List'!$B$12,"""",H547,"""",",",'Code List'!$B$13,"""",I547,"""",",",'Code List'!$B$14,"""",J547,"""",",",'Code List'!$B$15,"""",K547,"""",",",'Code List'!$B$16,"""",L547,"""",",",'Code List'!$B$17,"""",M547,"""",",",'Code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547" s="167" t="str">
        <f>IF(A547="YES",CONCATENATE("{",'Code List'!$B$31,"""",U547,"""",",",'Code List'!$B$32,'Code List'!$D$32,",",'Code List'!$B$33,'Code List'!$D$33,",",'Code List'!$B$34,'Code List'!$D$34,",",'Code List'!$B$35,'Code List'!$D$35,",",'Code List'!$B$36,'Code List'!$D$36,",",'Code List'!$B$37,'Code List'!$D$37,",",'Code List'!$B$38,"""",H547,"""",",",'Code List'!$B$39,"""",I547,"""",",",'Code List'!$B$40,"""",J547,"""",",",'Code List'!$B$41,"""",K547,"""",",",'Code List'!$B$42,"""",L547,"""",",",'Code List'!$B$43,"""",M547,"""",",",'Code List'!$B$44,"""",N547,"""",",",'Code List'!$B$45,"""",O547,"""",",",'Code List'!$B$46,"""",P547,"""",",",'Code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List'!$B$59,"""",T547,"""","}"),"")</f>
        <v/>
      </c>
    </row>
    <row r="548" spans="1:25" ht="18.75" x14ac:dyDescent="0.3">
      <c r="A548" s="35" t="str">
        <f>IF(OR(E548=$C$1,E548=$D$1,E548=$E$1),"YES","NO")</f>
        <v>NO</v>
      </c>
      <c r="B548" s="35">
        <f>'Expanded Base Data'!D546</f>
        <v>436.11</v>
      </c>
      <c r="C548" s="35">
        <f>'Expanded Base Data'!E546</f>
        <v>376.43</v>
      </c>
      <c r="D548" s="36" t="str">
        <f>'Expanded Base Data'!B546</f>
        <v>10F</v>
      </c>
      <c r="E548" s="35">
        <f>'Expanded Base Data'!C546</f>
        <v>0</v>
      </c>
      <c r="F548" s="35">
        <f>'Expanded Base Data'!M546</f>
        <v>0</v>
      </c>
      <c r="G548" s="170">
        <f>F548</f>
        <v>0</v>
      </c>
      <c r="Y548" s="167" t="str">
        <f>""</f>
        <v/>
      </c>
    </row>
    <row r="549" spans="1:25" x14ac:dyDescent="0.25">
      <c r="A549" t="str">
        <f>IF(AND($A548="YES",E548=$C$1),"YES","NO")</f>
        <v>NO</v>
      </c>
      <c r="C549" t="s">
        <v>6</v>
      </c>
      <c r="D549" s="12" t="str">
        <f>D548</f>
        <v>10F</v>
      </c>
      <c r="E549" t="s">
        <v>6</v>
      </c>
      <c r="F549" t="s">
        <v>198</v>
      </c>
      <c r="G549" s="171">
        <f>F548</f>
        <v>0</v>
      </c>
      <c r="H549">
        <f>IF('Expanded Base Data'!N546="",ROUND(B548+'Slide Measurements'!$D$11,$O$1),B548+'Expanded Base Data'!N546)</f>
        <v>469.11</v>
      </c>
      <c r="I549">
        <f>IF('Expanded Base Data'!O546="",ROUND(B548+'Slide Measurements'!$D$12,$O$1),B548+'Expanded Base Data'!O546)</f>
        <v>477.71</v>
      </c>
      <c r="J549">
        <f>IF('Expanded Base Data'!P546="",C548+'Slide Measurements'!$E$13,C548+'Expanded Base Data'!P546)</f>
        <v>385.13</v>
      </c>
      <c r="K549">
        <f>IF('Expanded Base Data'!Q546="",C548+'Slide Measurements'!$E$14,C548+'Expanded Base Data'!Q546)</f>
        <v>393.73</v>
      </c>
      <c r="L549" s="5" t="str">
        <f>'Expanded Base Data'!$L546</f>
        <v/>
      </c>
      <c r="M549" s="5" t="str">
        <f>'Expanded Base Data'!$K546</f>
        <v/>
      </c>
      <c r="N549">
        <f>ROUND((I549-H549),$O$1)</f>
        <v>8.6</v>
      </c>
      <c r="O549">
        <f>ROUND((K549-J549),$O$1)</f>
        <v>8.6</v>
      </c>
      <c r="P549" s="5" t="e">
        <f>ROUND((L549-M549),$O$1)</f>
        <v>#VALUE!</v>
      </c>
      <c r="Q549">
        <f>'Code List'!$C$62</f>
        <v>5</v>
      </c>
      <c r="R549">
        <f>F550+'Code List'!$G$63</f>
        <v>2</v>
      </c>
      <c r="S549" t="e">
        <f>IF(P549=0,"1",ROUND((P549/$K$1)+$M$1,0))</f>
        <v>#VALUE!</v>
      </c>
      <c r="T549" t="e">
        <f>Q549*R549*S549</f>
        <v>#VALUE!</v>
      </c>
      <c r="U549" t="str">
        <f>IF(A549="YES",CONCATENATE(G549,"_",'Program Page'!$C$4,'Program Page'!$C$5,"_",D549,"_",E549),"")</f>
        <v/>
      </c>
      <c r="V549" t="str">
        <f>IF(U549="","",CONCATENATE(U549,"_"))</f>
        <v/>
      </c>
      <c r="W549" t="str">
        <f>IF(A549="YES",CONCATENATE("{",'Code List'!$B$4,'Code List'!$D$4,",",'Code List'!$B$5,'Code List'!$D$5,",",'Code List'!$B$6,"""",U549,"""",",",'Code List'!$B$7,'Code List'!$D$7,",",'Code List'!$B$8,'Code List'!$D$8,",",'Code List'!$B$9,'Code List'!$D$9,",",'Code List'!$B$10,'Code List'!$D$10,",",'Code List'!$B$11,"""",V549,"""",",",'Code List'!$B$12,"""",H549,"""",",",'Code List'!$B$13,"""",I549,"""",",",'Code List'!$B$14,"""",J549,"""",",",'Code List'!$B$15,"""",K549,"""",",",'Code List'!$B$16,"""",L549,"""",",",'Code List'!$B$17,"""",M549,"""",",",'Code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49" s="167" t="str">
        <f>IF(A549="YES",CONCATENATE("{",'Code List'!$B$31,"""",U549,"""",",",'Code List'!$B$32,'Code List'!$D$32,",",'Code List'!$B$33,'Code List'!$D$33,",",'Code List'!$B$34,'Code List'!$D$34,",",'Code List'!$B$35,'Code List'!$D$35,",",'Code List'!$B$36,'Code List'!$D$36,",",'Code List'!$B$37,'Code List'!$D$37,",",'Code List'!$B$38,"""",H549,"""",",",'Code List'!$B$39,"""",I549,"""",",",'Code List'!$B$40,"""",J549,"""",",",'Code List'!$B$41,"""",K549,"""",",",'Code List'!$B$42,"""",L549,"""",",",'Code List'!$B$43,"""",M549,"""",",",'Code List'!$B$44,"""",N549,"""",",",'Code List'!$B$45,"""",O549,"""",",",'Code List'!$B$46,"""",P549,"""",",",'Code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List'!$B$59,"""",T549,"""","}"),"")</f>
        <v/>
      </c>
    </row>
    <row r="550" spans="1:25" x14ac:dyDescent="0.25">
      <c r="A550" t="str">
        <f>IF(AND($A548="YES",E548=$D$1,F550&gt;0),"YES","NO")</f>
        <v>NO</v>
      </c>
      <c r="C550" t="s">
        <v>5</v>
      </c>
      <c r="D550" s="12" t="str">
        <f t="shared" ref="D550:D554" si="476">D549</f>
        <v>10F</v>
      </c>
      <c r="E550" t="s">
        <v>188</v>
      </c>
      <c r="F550">
        <f>'Expanded Base Data'!F546</f>
        <v>0</v>
      </c>
      <c r="G550" s="171">
        <f>F548</f>
        <v>0</v>
      </c>
      <c r="H550">
        <f>ROUND(B548+'Slide Measurements'!$D$17,$O$1)</f>
        <v>461.51</v>
      </c>
      <c r="I550">
        <f>ROUND(H550+(F550*'Slide Measurements'!$D$21),$O$1)</f>
        <v>461.51</v>
      </c>
      <c r="J550">
        <f>C548+'Slide Measurements'!$E$17</f>
        <v>380.73</v>
      </c>
      <c r="K550">
        <f>J550+($I$1*'Slide Measurements'!$E$23-'Slide Measurements'!$E$23)</f>
        <v>382.58000000000004</v>
      </c>
      <c r="L550" s="5" t="str">
        <f>'Expanded Base Data'!$L546</f>
        <v/>
      </c>
      <c r="M550" s="5" t="str">
        <f>'Expanded Base Data'!$K546</f>
        <v/>
      </c>
      <c r="N550">
        <f t="shared" ref="N550:N555" si="477">ROUND((I550-H550),$O$1)</f>
        <v>0</v>
      </c>
      <c r="O550">
        <f t="shared" ref="O550:O555" si="478">ROUND((K550-J550),$O$1)</f>
        <v>1.85</v>
      </c>
      <c r="P550" s="5" t="e">
        <f t="shared" ref="P550:P554" si="479">ROUND((L550-M550),$O$1)</f>
        <v>#VALUE!</v>
      </c>
      <c r="Q550">
        <f>'Code List'!$C$63</f>
        <v>3</v>
      </c>
      <c r="R550">
        <f>F551+'Code List'!$G$63</f>
        <v>2</v>
      </c>
      <c r="S550" t="e">
        <f t="shared" ref="S550:S554" si="480">IF(P550=0,"1",ROUND((P550/$K$1)+$M$1,0))</f>
        <v>#VALUE!</v>
      </c>
      <c r="T550" t="e">
        <f>Q550*R550*S550</f>
        <v>#VALUE!</v>
      </c>
      <c r="U550" t="str">
        <f>IF(A550="YES",CONCATENATE(G550,"_",'Program Page'!$C$4,'Program Page'!$C$5,"_",D550,"_",E550),"")</f>
        <v/>
      </c>
      <c r="V550" t="str">
        <f t="shared" ref="V550:V554" si="481">IF(U550="","",CONCATENATE(U550,"_"))</f>
        <v/>
      </c>
      <c r="W550" t="str">
        <f>IF(A550="YES",CONCATENATE("{",'Code List'!$B$4,'Code List'!$D$4,",",'Code List'!$B$5,'Code List'!$D$5,",",'Code List'!$B$6,"""",U550,"""",",",'Code List'!$B$7,'Code List'!$D$7,",",'Code List'!$B$8,'Code List'!$D$8,",",'Code List'!$B$9,'Code List'!$D$9,",",'Code List'!$B$10,'Code List'!$D$10,",",'Code List'!$B$11,"""",V550,"""",",",'Code List'!$B$12,"""",H550,"""",",",'Code List'!$B$13,"""",I550,"""",",",'Code List'!$B$14,"""",J550,"""",",",'Code List'!$B$15,"""",K550,"""",",",'Code List'!$B$16,"""",L550,"""",",",'Code List'!$B$17,"""",M550,"""",",",'Code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50" s="167" t="str">
        <f>IF(A550="YES",CONCATENATE("{",'Code List'!$B$31,"""",U550,"""",",",'Code List'!$B$32,'Code List'!$D$32,",",'Code List'!$B$33,'Code List'!$D$33,",",'Code List'!$B$34,'Code List'!$D$34,",",'Code List'!$B$35,'Code List'!$D$35,",",'Code List'!$B$36,'Code List'!$D$36,",",'Code List'!$B$37,'Code List'!$D$37,",",'Code List'!$B$38,"""",H550,"""",",",'Code List'!$B$39,"""",I550,"""",",",'Code List'!$B$40,"""",J550,"""",",",'Code List'!$B$41,"""",K550,"""",",",'Code List'!$B$42,"""",L550,"""",",",'Code List'!$B$43,"""",M550,"""",",",'Code List'!$B$44,"""",N550,"""",",",'Code List'!$B$45,"""",O550,"""",",",'Code List'!$B$46,"""",P550,"""",",",'Code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List'!$B$59,"""",T550,"""","}"),"")</f>
        <v/>
      </c>
    </row>
    <row r="551" spans="1:25" x14ac:dyDescent="0.25">
      <c r="A551" t="str">
        <f>IF(AND($A548="YES",E548=$D$1,F551&gt;0),"YES","NO")</f>
        <v>NO</v>
      </c>
      <c r="C551" t="s">
        <v>5</v>
      </c>
      <c r="D551" s="12" t="str">
        <f t="shared" si="476"/>
        <v>10F</v>
      </c>
      <c r="E551" t="s">
        <v>189</v>
      </c>
      <c r="F551">
        <f>'Expanded Base Data'!G546</f>
        <v>0</v>
      </c>
      <c r="G551" s="171">
        <f>F548</f>
        <v>0</v>
      </c>
      <c r="H551">
        <f>ROUND(B548+'Slide Measurements'!$D$17,$O$1)</f>
        <v>461.51</v>
      </c>
      <c r="I551">
        <f>ROUND(H551+(F551*'Slide Measurements'!$D$21),$O$1)</f>
        <v>461.51</v>
      </c>
      <c r="J551">
        <f>K550</f>
        <v>382.58000000000004</v>
      </c>
      <c r="K551">
        <f>J551+($I$1*'Slide Measurements'!$E$23-'Slide Measurements'!$E$23)</f>
        <v>384.43000000000006</v>
      </c>
      <c r="L551" s="5" t="str">
        <f>'Expanded Base Data'!$L546</f>
        <v/>
      </c>
      <c r="M551" s="5" t="str">
        <f>'Expanded Base Data'!$K546</f>
        <v/>
      </c>
      <c r="N551">
        <f t="shared" si="477"/>
        <v>0</v>
      </c>
      <c r="O551">
        <f t="shared" si="478"/>
        <v>1.85</v>
      </c>
      <c r="P551" s="5" t="e">
        <f t="shared" si="479"/>
        <v>#VALUE!</v>
      </c>
      <c r="Q551">
        <f>'Code List'!$C$63</f>
        <v>3</v>
      </c>
      <c r="R551">
        <f>F552+'Code List'!$G$63</f>
        <v>2</v>
      </c>
      <c r="S551" t="e">
        <f t="shared" si="480"/>
        <v>#VALUE!</v>
      </c>
      <c r="T551" t="e">
        <f t="shared" ref="T551:T554" si="482">Q551*R551*S551</f>
        <v>#VALUE!</v>
      </c>
      <c r="U551" t="str">
        <f>IF(A551="YES",CONCATENATE(G551,"_",'Program Page'!$C$4,'Program Page'!$C$5,"_",D551,"_",E551),"")</f>
        <v/>
      </c>
      <c r="V551" t="str">
        <f t="shared" si="481"/>
        <v/>
      </c>
      <c r="W551" t="str">
        <f>IF(A551="YES",CONCATENATE("{",'Code List'!$B$4,'Code List'!$D$4,",",'Code List'!$B$5,'Code List'!$D$5,",",'Code List'!$B$6,"""",U551,"""",",",'Code List'!$B$7,'Code List'!$D$7,",",'Code List'!$B$8,'Code List'!$D$8,",",'Code List'!$B$9,'Code List'!$D$9,",",'Code List'!$B$10,'Code List'!$D$10,",",'Code List'!$B$11,"""",V551,"""",",",'Code List'!$B$12,"""",H551,"""",",",'Code List'!$B$13,"""",I551,"""",",",'Code List'!$B$14,"""",J551,"""",",",'Code List'!$B$15,"""",K551,"""",",",'Code List'!$B$16,"""",L551,"""",",",'Code List'!$B$17,"""",M551,"""",",",'Code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51" s="167" t="str">
        <f>IF(A551="YES",CONCATENATE("{",'Code List'!$B$31,"""",U551,"""",",",'Code List'!$B$32,'Code List'!$D$32,",",'Code List'!$B$33,'Code List'!$D$33,",",'Code List'!$B$34,'Code List'!$D$34,",",'Code List'!$B$35,'Code List'!$D$35,",",'Code List'!$B$36,'Code List'!$D$36,",",'Code List'!$B$37,'Code List'!$D$37,",",'Code List'!$B$38,"""",H551,"""",",",'Code List'!$B$39,"""",I551,"""",",",'Code List'!$B$40,"""",J551,"""",",",'Code List'!$B$41,"""",K551,"""",",",'Code List'!$B$42,"""",L551,"""",",",'Code List'!$B$43,"""",M551,"""",",",'Code List'!$B$44,"""",N551,"""",",",'Code List'!$B$45,"""",O551,"""",",",'Code List'!$B$46,"""",P551,"""",",",'Code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List'!$B$59,"""",T551,"""","}"),"")</f>
        <v/>
      </c>
    </row>
    <row r="552" spans="1:25" x14ac:dyDescent="0.25">
      <c r="A552" t="str">
        <f>IF(AND($A548="YES",E548=$D$1,F552&gt;0),"YES","NO")</f>
        <v>NO</v>
      </c>
      <c r="C552" t="s">
        <v>5</v>
      </c>
      <c r="D552" s="12" t="str">
        <f t="shared" si="476"/>
        <v>10F</v>
      </c>
      <c r="E552" t="s">
        <v>190</v>
      </c>
      <c r="F552">
        <f>'Expanded Base Data'!H546</f>
        <v>0</v>
      </c>
      <c r="G552" s="171">
        <f>F548</f>
        <v>0</v>
      </c>
      <c r="H552">
        <f>ROUND(B548+'Slide Measurements'!$D$17,$O$1)</f>
        <v>461.51</v>
      </c>
      <c r="I552">
        <f>ROUND(H552+(F552*'Slide Measurements'!$D$21),$O$1)</f>
        <v>461.51</v>
      </c>
      <c r="J552">
        <f>K551</f>
        <v>384.43000000000006</v>
      </c>
      <c r="K552">
        <f>J552+($I$1*'Slide Measurements'!$E$23-'Slide Measurements'!$E$23)</f>
        <v>386.28000000000009</v>
      </c>
      <c r="L552" s="5" t="str">
        <f>'Expanded Base Data'!$L546</f>
        <v/>
      </c>
      <c r="M552" s="5" t="str">
        <f>'Expanded Base Data'!$K546</f>
        <v/>
      </c>
      <c r="N552">
        <f t="shared" si="477"/>
        <v>0</v>
      </c>
      <c r="O552">
        <f t="shared" si="478"/>
        <v>1.85</v>
      </c>
      <c r="P552" s="5" t="e">
        <f t="shared" si="479"/>
        <v>#VALUE!</v>
      </c>
      <c r="Q552">
        <f>'Code List'!$C$63</f>
        <v>3</v>
      </c>
      <c r="R552">
        <f>F553+'Code List'!$G$63</f>
        <v>2</v>
      </c>
      <c r="S552" t="e">
        <f t="shared" si="480"/>
        <v>#VALUE!</v>
      </c>
      <c r="T552" t="e">
        <f t="shared" si="482"/>
        <v>#VALUE!</v>
      </c>
      <c r="U552" t="str">
        <f>IF(A552="YES",CONCATENATE(G552,"_",'Program Page'!$C$4,'Program Page'!$C$5,"_",D552,"_",E552),"")</f>
        <v/>
      </c>
      <c r="V552" t="str">
        <f t="shared" si="481"/>
        <v/>
      </c>
      <c r="W552" t="str">
        <f>IF(A552="YES",CONCATENATE("{",'Code List'!$B$4,'Code List'!$D$4,",",'Code List'!$B$5,'Code List'!$D$5,",",'Code List'!$B$6,"""",U552,"""",",",'Code List'!$B$7,'Code List'!$D$7,",",'Code List'!$B$8,'Code List'!$D$8,",",'Code List'!$B$9,'Code List'!$D$9,",",'Code List'!$B$10,'Code List'!$D$10,",",'Code List'!$B$11,"""",V552,"""",",",'Code List'!$B$12,"""",H552,"""",",",'Code List'!$B$13,"""",I552,"""",",",'Code List'!$B$14,"""",J552,"""",",",'Code List'!$B$15,"""",K552,"""",",",'Code List'!$B$16,"""",L552,"""",",",'Code List'!$B$17,"""",M552,"""",",",'Code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52" s="167" t="str">
        <f>IF(A552="YES",CONCATENATE("{",'Code List'!$B$31,"""",U552,"""",",",'Code List'!$B$32,'Code List'!$D$32,",",'Code List'!$B$33,'Code List'!$D$33,",",'Code List'!$B$34,'Code List'!$D$34,",",'Code List'!$B$35,'Code List'!$D$35,",",'Code List'!$B$36,'Code List'!$D$36,",",'Code List'!$B$37,'Code List'!$D$37,",",'Code List'!$B$38,"""",H552,"""",",",'Code List'!$B$39,"""",I552,"""",",",'Code List'!$B$40,"""",J552,"""",",",'Code List'!$B$41,"""",K552,"""",",",'Code List'!$B$42,"""",L552,"""",",",'Code List'!$B$43,"""",M552,"""",",",'Code List'!$B$44,"""",N552,"""",",",'Code List'!$B$45,"""",O552,"""",",",'Code List'!$B$46,"""",P552,"""",",",'Code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List'!$B$59,"""",T552,"""","}"),"")</f>
        <v/>
      </c>
    </row>
    <row r="553" spans="1:25" x14ac:dyDescent="0.25">
      <c r="A553" t="str">
        <f>IF(AND($A548="YES",E548=$D$1,F553&gt;0),"YES","NO")</f>
        <v>NO</v>
      </c>
      <c r="C553" t="s">
        <v>5</v>
      </c>
      <c r="D553" s="12" t="str">
        <f t="shared" si="476"/>
        <v>10F</v>
      </c>
      <c r="E553" t="s">
        <v>191</v>
      </c>
      <c r="F553">
        <f>'Expanded Base Data'!I546</f>
        <v>0</v>
      </c>
      <c r="G553" s="171">
        <f>F548</f>
        <v>0</v>
      </c>
      <c r="H553">
        <f>ROUND(B548+'Slide Measurements'!$D$17,$O$1)</f>
        <v>461.51</v>
      </c>
      <c r="I553">
        <f>ROUND(H553+(F553*'Slide Measurements'!$D$21),$O$1)</f>
        <v>461.51</v>
      </c>
      <c r="J553">
        <f>K552</f>
        <v>386.28000000000009</v>
      </c>
      <c r="K553">
        <f>J553+($I$1*'Slide Measurements'!$E$23-'Slide Measurements'!$E$23)</f>
        <v>388.13000000000011</v>
      </c>
      <c r="L553" s="5" t="str">
        <f>'Expanded Base Data'!$L546</f>
        <v/>
      </c>
      <c r="M553" s="5" t="str">
        <f>'Expanded Base Data'!$K546</f>
        <v/>
      </c>
      <c r="N553">
        <f t="shared" si="477"/>
        <v>0</v>
      </c>
      <c r="O553">
        <f t="shared" si="478"/>
        <v>1.85</v>
      </c>
      <c r="P553" s="5" t="e">
        <f t="shared" si="479"/>
        <v>#VALUE!</v>
      </c>
      <c r="Q553">
        <f>'Code List'!$C$63</f>
        <v>3</v>
      </c>
      <c r="R553">
        <f>F554+'Code List'!$G$63</f>
        <v>2</v>
      </c>
      <c r="S553" t="e">
        <f t="shared" si="480"/>
        <v>#VALUE!</v>
      </c>
      <c r="T553" t="e">
        <f t="shared" si="482"/>
        <v>#VALUE!</v>
      </c>
      <c r="U553" t="str">
        <f>IF(A553="YES",CONCATENATE(G553,"_",'Program Page'!$C$4,'Program Page'!$C$5,"_",D553,"_",E553),"")</f>
        <v/>
      </c>
      <c r="V553" t="str">
        <f t="shared" si="481"/>
        <v/>
      </c>
      <c r="W553" t="str">
        <f>IF(A553="YES",CONCATENATE("{",'Code List'!$B$4,'Code List'!$D$4,",",'Code List'!$B$5,'Code List'!$D$5,",",'Code List'!$B$6,"""",U553,"""",",",'Code List'!$B$7,'Code List'!$D$7,",",'Code List'!$B$8,'Code List'!$D$8,",",'Code List'!$B$9,'Code List'!$D$9,",",'Code List'!$B$10,'Code List'!$D$10,",",'Code List'!$B$11,"""",V553,"""",",",'Code List'!$B$12,"""",H553,"""",",",'Code List'!$B$13,"""",I553,"""",",",'Code List'!$B$14,"""",J553,"""",",",'Code List'!$B$15,"""",K553,"""",",",'Code List'!$B$16,"""",L553,"""",",",'Code List'!$B$17,"""",M553,"""",",",'Code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53" s="167" t="str">
        <f>IF(A553="YES",CONCATENATE("{",'Code List'!$B$31,"""",U553,"""",",",'Code List'!$B$32,'Code List'!$D$32,",",'Code List'!$B$33,'Code List'!$D$33,",",'Code List'!$B$34,'Code List'!$D$34,",",'Code List'!$B$35,'Code List'!$D$35,",",'Code List'!$B$36,'Code List'!$D$36,",",'Code List'!$B$37,'Code List'!$D$37,",",'Code List'!$B$38,"""",H553,"""",",",'Code List'!$B$39,"""",I553,"""",",",'Code List'!$B$40,"""",J553,"""",",",'Code List'!$B$41,"""",K553,"""",",",'Code List'!$B$42,"""",L553,"""",",",'Code List'!$B$43,"""",M553,"""",",",'Code List'!$B$44,"""",N553,"""",",",'Code List'!$B$45,"""",O553,"""",",",'Code List'!$B$46,"""",P553,"""",",",'Code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List'!$B$59,"""",T553,"""","}"),"")</f>
        <v/>
      </c>
    </row>
    <row r="554" spans="1:25" x14ac:dyDescent="0.25">
      <c r="A554" t="str">
        <f>IF(AND($A548="YES",E548=$D$1,F554&gt;0),"YES","NO")</f>
        <v>NO</v>
      </c>
      <c r="C554" t="s">
        <v>5</v>
      </c>
      <c r="D554" s="12" t="str">
        <f t="shared" si="476"/>
        <v>10F</v>
      </c>
      <c r="E554" t="s">
        <v>196</v>
      </c>
      <c r="F554">
        <f>'Expanded Base Data'!J546</f>
        <v>0</v>
      </c>
      <c r="G554" s="171">
        <f>F548</f>
        <v>0</v>
      </c>
      <c r="H554">
        <f>ROUND(B548+'Slide Measurements'!$D$17,$O$1)</f>
        <v>461.51</v>
      </c>
      <c r="I554">
        <f>ROUND(H554+(F554*'Slide Measurements'!$D$21),$O$1)</f>
        <v>461.51</v>
      </c>
      <c r="J554">
        <f>K553</f>
        <v>388.13000000000011</v>
      </c>
      <c r="K554">
        <f>J554+($I$1*'Slide Measurements'!$E$23-'Slide Measurements'!$E$23)</f>
        <v>389.98000000000013</v>
      </c>
      <c r="L554" s="5" t="str">
        <f>'Expanded Base Data'!$L546</f>
        <v/>
      </c>
      <c r="M554" s="5" t="str">
        <f>'Expanded Base Data'!$K546</f>
        <v/>
      </c>
      <c r="N554">
        <f t="shared" si="477"/>
        <v>0</v>
      </c>
      <c r="O554">
        <f t="shared" si="478"/>
        <v>1.85</v>
      </c>
      <c r="P554" s="5" t="e">
        <f t="shared" si="479"/>
        <v>#VALUE!</v>
      </c>
      <c r="Q554">
        <f>'Code List'!$C$63</f>
        <v>3</v>
      </c>
      <c r="R554">
        <f>F555+'Code List'!$G$63</f>
        <v>2</v>
      </c>
      <c r="S554" t="e">
        <f t="shared" si="480"/>
        <v>#VALUE!</v>
      </c>
      <c r="T554" t="e">
        <f t="shared" si="482"/>
        <v>#VALUE!</v>
      </c>
      <c r="U554" t="str">
        <f>IF(A554="YES",CONCATENATE(G554,"_",'Program Page'!$C$4,'Program Page'!$C$5,"_",D554,"_",E554),"")</f>
        <v/>
      </c>
      <c r="V554" t="str">
        <f t="shared" si="481"/>
        <v/>
      </c>
      <c r="W554" t="str">
        <f>IF(A554="YES",CONCATENATE("{",'Code List'!$B$4,'Code List'!$D$4,",",'Code List'!$B$5,'Code List'!$D$5,",",'Code List'!$B$6,"""",U554,"""",",",'Code List'!$B$7,'Code List'!$D$7,",",'Code List'!$B$8,'Code List'!$D$8,",",'Code List'!$B$9,'Code List'!$D$9,",",'Code List'!$B$10,'Code List'!$D$10,",",'Code List'!$B$11,"""",V554,"""",",",'Code List'!$B$12,"""",H554,"""",",",'Code List'!$B$13,"""",I554,"""",",",'Code List'!$B$14,"""",J554,"""",",",'Code List'!$B$15,"""",K554,"""",",",'Code List'!$B$16,"""",L554,"""",",",'Code List'!$B$17,"""",M554,"""",",",'Code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54" s="167" t="str">
        <f>IF(A554="YES",CONCATENATE("{",'Code List'!$B$31,"""",U554,"""",",",'Code List'!$B$32,'Code List'!$D$32,",",'Code List'!$B$33,'Code List'!$D$33,",",'Code List'!$B$34,'Code List'!$D$34,",",'Code List'!$B$35,'Code List'!$D$35,",",'Code List'!$B$36,'Code List'!$D$36,",",'Code List'!$B$37,'Code List'!$D$37,",",'Code List'!$B$38,"""",H554,"""",",",'Code List'!$B$39,"""",I554,"""",",",'Code List'!$B$40,"""",J554,"""",",",'Code List'!$B$41,"""",K554,"""",",",'Code List'!$B$42,"""",L554,"""",",",'Code List'!$B$43,"""",M554,"""",",",'Code List'!$B$44,"""",N554,"""",",",'Code List'!$B$45,"""",O554,"""",",",'Code List'!$B$46,"""",P554,"""",",",'Code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List'!$B$59,"""",T554,"""","}"),"")</f>
        <v/>
      </c>
    </row>
    <row r="555" spans="1:25" x14ac:dyDescent="0.25">
      <c r="A555" s="162" t="str">
        <f>IF(AND($A548="YES",E548=$E$1),"YES","NO")</f>
        <v>NO</v>
      </c>
      <c r="C555" t="s">
        <v>259</v>
      </c>
      <c r="D555" s="12" t="str">
        <f>D554</f>
        <v>10F</v>
      </c>
      <c r="E555" t="s">
        <v>259</v>
      </c>
      <c r="G555" s="171">
        <f>F548</f>
        <v>0</v>
      </c>
      <c r="H555">
        <f>ROUND(B548,$O$1)</f>
        <v>436.11</v>
      </c>
      <c r="I555">
        <f>ROUND(B548+'Slide Measurements'!$D$1,$O$1)</f>
        <v>512.55999999999995</v>
      </c>
      <c r="J555">
        <f>C548</f>
        <v>376.43</v>
      </c>
      <c r="K555">
        <f>C548+'Slide Measurements'!$D$2</f>
        <v>403.83</v>
      </c>
      <c r="L555" s="5" t="str">
        <f>'Expanded Base Data'!$L546</f>
        <v/>
      </c>
      <c r="M555" s="5" t="str">
        <f>'Expanded Base Data'!$K546</f>
        <v/>
      </c>
      <c r="N555">
        <f t="shared" si="477"/>
        <v>76.45</v>
      </c>
      <c r="O555">
        <f t="shared" si="478"/>
        <v>27.4</v>
      </c>
      <c r="P555" s="5" t="e">
        <f>ROUND((L555-M555),$O$1)</f>
        <v>#VALUE!</v>
      </c>
      <c r="Q555">
        <f>'Code List'!$C$70</f>
        <v>11</v>
      </c>
      <c r="R555">
        <f>'Code List'!$D$70</f>
        <v>19</v>
      </c>
      <c r="S555" t="e">
        <f>IF(P555=0,"1",ROUND((P555/$K$1)+$M$1,0))</f>
        <v>#VALUE!</v>
      </c>
      <c r="T555" t="e">
        <f>Q555*R555*S555</f>
        <v>#VALUE!</v>
      </c>
      <c r="U555" t="str">
        <f>IF(A555="YES",CONCATENATE(G555,"_",'Program Page'!$C$4,'Program Page'!$C$5,"_",D555,"_",E555),"")</f>
        <v/>
      </c>
      <c r="V555" t="str">
        <f>IF(U555="","",CONCATENATE(U555,"_"))</f>
        <v/>
      </c>
      <c r="W555" t="str">
        <f>IF(A555="YES",CONCATENATE("{",'Code List'!$B$4,'Code List'!$D$4,",",'Code List'!$B$5,'Code List'!$D$5,",",'Code List'!$B$6,"""",U555,"""",",",'Code List'!$B$7,'Code List'!$D$7,",",'Code List'!$B$8,'Code List'!$D$8,",",'Code List'!$B$9,'Code List'!$D$9,",",'Code List'!$B$10,'Code List'!$D$10,",",'Code List'!$B$11,"""",V555,"""",",",'Code List'!$B$12,"""",H555,"""",",",'Code List'!$B$13,"""",I555,"""",",",'Code List'!$B$14,"""",J555,"""",",",'Code List'!$B$15,"""",K555,"""",",",'Code List'!$B$16,"""",L555,"""",",",'Code List'!$B$17,"""",M555,"""",",",'Code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555" s="167" t="str">
        <f>IF(A555="YES",CONCATENATE("{",'Code List'!$B$31,"""",U555,"""",",",'Code List'!$B$32,'Code List'!$D$32,",",'Code List'!$B$33,'Code List'!$D$33,",",'Code List'!$B$34,'Code List'!$D$34,",",'Code List'!$B$35,'Code List'!$D$35,",",'Code List'!$B$36,'Code List'!$D$36,",",'Code List'!$B$37,'Code List'!$D$37,",",'Code List'!$B$38,"""",H555,"""",",",'Code List'!$B$39,"""",I555,"""",",",'Code List'!$B$40,"""",J555,"""",",",'Code List'!$B$41,"""",K555,"""",",",'Code List'!$B$42,"""",L555,"""",",",'Code List'!$B$43,"""",M555,"""",",",'Code List'!$B$44,"""",N555,"""",",",'Code List'!$B$45,"""",O555,"""",",",'Code List'!$B$46,"""",P555,"""",",",'Code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List'!$B$59,"""",T555,"""","}"),"")</f>
        <v/>
      </c>
    </row>
    <row r="556" spans="1:25" ht="18.75" x14ac:dyDescent="0.3">
      <c r="A556" s="35" t="str">
        <f>IF(OR(E556=$C$1,E556=$D$1,E556=$E$1),"YES","NO")</f>
        <v>NO</v>
      </c>
      <c r="B556" s="35">
        <f>'Expanded Base Data'!D554</f>
        <v>523.01</v>
      </c>
      <c r="C556" s="35">
        <f>'Expanded Base Data'!E554</f>
        <v>376.43</v>
      </c>
      <c r="D556" s="36" t="str">
        <f>'Expanded Base Data'!B554</f>
        <v>10G</v>
      </c>
      <c r="E556" s="35">
        <f>'Expanded Base Data'!C554</f>
        <v>0</v>
      </c>
      <c r="F556" s="35">
        <f>'Expanded Base Data'!M554</f>
        <v>0</v>
      </c>
      <c r="G556" s="170">
        <f>F556</f>
        <v>0</v>
      </c>
      <c r="Y556" s="167" t="str">
        <f>""</f>
        <v/>
      </c>
    </row>
    <row r="557" spans="1:25" x14ac:dyDescent="0.25">
      <c r="A557" t="str">
        <f>IF(AND($A556="YES",E556=$C$1),"YES","NO")</f>
        <v>NO</v>
      </c>
      <c r="C557" t="s">
        <v>6</v>
      </c>
      <c r="D557" s="12" t="str">
        <f>D556</f>
        <v>10G</v>
      </c>
      <c r="E557" t="s">
        <v>6</v>
      </c>
      <c r="F557" t="s">
        <v>198</v>
      </c>
      <c r="G557" s="171">
        <f>F556</f>
        <v>0</v>
      </c>
      <c r="H557">
        <f>IF('Expanded Base Data'!N554="",ROUND(B556+'Slide Measurements'!$D$11,$O$1),B556+'Expanded Base Data'!N554)</f>
        <v>556.01</v>
      </c>
      <c r="I557">
        <f>IF('Expanded Base Data'!O554="",ROUND(B556+'Slide Measurements'!$D$12,$O$1),B556+'Expanded Base Data'!O554)</f>
        <v>564.61</v>
      </c>
      <c r="J557">
        <f>IF('Expanded Base Data'!P554="",C556+'Slide Measurements'!$E$13,C556+'Expanded Base Data'!P554)</f>
        <v>385.13</v>
      </c>
      <c r="K557">
        <f>IF('Expanded Base Data'!Q554="",C556+'Slide Measurements'!$E$14,C556+'Expanded Base Data'!Q554)</f>
        <v>393.73</v>
      </c>
      <c r="L557" s="5" t="str">
        <f>'Expanded Base Data'!$L554</f>
        <v/>
      </c>
      <c r="M557" s="5" t="str">
        <f>'Expanded Base Data'!$K554</f>
        <v/>
      </c>
      <c r="N557">
        <f>ROUND((I557-H557),$O$1)</f>
        <v>8.6</v>
      </c>
      <c r="O557">
        <f>ROUND((K557-J557),$O$1)</f>
        <v>8.6</v>
      </c>
      <c r="P557" s="5" t="e">
        <f>ROUND((L557-M557),$O$1)</f>
        <v>#VALUE!</v>
      </c>
      <c r="Q557">
        <f>'Code List'!$C$62</f>
        <v>5</v>
      </c>
      <c r="R557">
        <f>F558+'Code List'!$G$63</f>
        <v>2</v>
      </c>
      <c r="S557" t="e">
        <f>IF(P557=0,"1",ROUND((P557/$K$1)+$M$1,0))</f>
        <v>#VALUE!</v>
      </c>
      <c r="T557" t="e">
        <f>Q557*R557*S557</f>
        <v>#VALUE!</v>
      </c>
      <c r="U557" t="str">
        <f>IF(A557="YES",CONCATENATE(G557,"_",'Program Page'!$C$4,'Program Page'!$C$5,"_",D557,"_",E557),"")</f>
        <v/>
      </c>
      <c r="V557" t="str">
        <f>IF(U557="","",CONCATENATE(U557,"_"))</f>
        <v/>
      </c>
      <c r="W557" t="str">
        <f>IF(A557="YES",CONCATENATE("{",'Code List'!$B$4,'Code List'!$D$4,",",'Code List'!$B$5,'Code List'!$D$5,",",'Code List'!$B$6,"""",U557,"""",",",'Code List'!$B$7,'Code List'!$D$7,",",'Code List'!$B$8,'Code List'!$D$8,",",'Code List'!$B$9,'Code List'!$D$9,",",'Code List'!$B$10,'Code List'!$D$10,",",'Code List'!$B$11,"""",V557,"""",",",'Code List'!$B$12,"""",H557,"""",",",'Code List'!$B$13,"""",I557,"""",",",'Code List'!$B$14,"""",J557,"""",",",'Code List'!$B$15,"""",K557,"""",",",'Code List'!$B$16,"""",L557,"""",",",'Code List'!$B$17,"""",M557,"""",",",'Code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57" s="167" t="str">
        <f>IF(A557="YES",CONCATENATE("{",'Code List'!$B$31,"""",U557,"""",",",'Code List'!$B$32,'Code List'!$D$32,",",'Code List'!$B$33,'Code List'!$D$33,",",'Code List'!$B$34,'Code List'!$D$34,",",'Code List'!$B$35,'Code List'!$D$35,",",'Code List'!$B$36,'Code List'!$D$36,",",'Code List'!$B$37,'Code List'!$D$37,",",'Code List'!$B$38,"""",H557,"""",",",'Code List'!$B$39,"""",I557,"""",",",'Code List'!$B$40,"""",J557,"""",",",'Code List'!$B$41,"""",K557,"""",",",'Code List'!$B$42,"""",L557,"""",",",'Code List'!$B$43,"""",M557,"""",",",'Code List'!$B$44,"""",N557,"""",",",'Code List'!$B$45,"""",O557,"""",",",'Code List'!$B$46,"""",P557,"""",",",'Code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List'!$B$59,"""",T557,"""","}"),"")</f>
        <v/>
      </c>
    </row>
    <row r="558" spans="1:25" x14ac:dyDescent="0.25">
      <c r="A558" t="str">
        <f>IF(AND($A556="YES",E556=$D$1,F558&gt;0),"YES","NO")</f>
        <v>NO</v>
      </c>
      <c r="C558" t="s">
        <v>5</v>
      </c>
      <c r="D558" s="12" t="str">
        <f t="shared" ref="D558:D562" si="483">D557</f>
        <v>10G</v>
      </c>
      <c r="E558" t="s">
        <v>188</v>
      </c>
      <c r="F558">
        <f>'Expanded Base Data'!F554</f>
        <v>0</v>
      </c>
      <c r="G558" s="171">
        <f>F556</f>
        <v>0</v>
      </c>
      <c r="H558">
        <f>ROUND(B556+'Slide Measurements'!$D$17,$O$1)</f>
        <v>548.41</v>
      </c>
      <c r="I558">
        <f>ROUND(H558+(F558*'Slide Measurements'!$D$21),$O$1)</f>
        <v>548.41</v>
      </c>
      <c r="J558">
        <f>C556+'Slide Measurements'!$E$17</f>
        <v>380.73</v>
      </c>
      <c r="K558">
        <f>J558+($I$1*'Slide Measurements'!$E$23-'Slide Measurements'!$E$23)</f>
        <v>382.58000000000004</v>
      </c>
      <c r="L558" s="5" t="str">
        <f>'Expanded Base Data'!$L554</f>
        <v/>
      </c>
      <c r="M558" s="5" t="str">
        <f>'Expanded Base Data'!$K554</f>
        <v/>
      </c>
      <c r="N558">
        <f t="shared" ref="N558:N563" si="484">ROUND((I558-H558),$O$1)</f>
        <v>0</v>
      </c>
      <c r="O558">
        <f t="shared" ref="O558:O563" si="485">ROUND((K558-J558),$O$1)</f>
        <v>1.85</v>
      </c>
      <c r="P558" s="5" t="e">
        <f t="shared" ref="P558:P562" si="486">ROUND((L558-M558),$O$1)</f>
        <v>#VALUE!</v>
      </c>
      <c r="Q558">
        <f>'Code List'!$C$63</f>
        <v>3</v>
      </c>
      <c r="R558">
        <f>F559+'Code List'!$G$63</f>
        <v>2</v>
      </c>
      <c r="S558" t="e">
        <f t="shared" ref="S558:S562" si="487">IF(P558=0,"1",ROUND((P558/$K$1)+$M$1,0))</f>
        <v>#VALUE!</v>
      </c>
      <c r="T558" t="e">
        <f>Q558*R558*S558</f>
        <v>#VALUE!</v>
      </c>
      <c r="U558" t="str">
        <f>IF(A558="YES",CONCATENATE(G558,"_",'Program Page'!$C$4,'Program Page'!$C$5,"_",D558,"_",E558),"")</f>
        <v/>
      </c>
      <c r="V558" t="str">
        <f t="shared" ref="V558:V562" si="488">IF(U558="","",CONCATENATE(U558,"_"))</f>
        <v/>
      </c>
      <c r="W558" t="str">
        <f>IF(A558="YES",CONCATENATE("{",'Code List'!$B$4,'Code List'!$D$4,",",'Code List'!$B$5,'Code List'!$D$5,",",'Code List'!$B$6,"""",U558,"""",",",'Code List'!$B$7,'Code List'!$D$7,",",'Code List'!$B$8,'Code List'!$D$8,",",'Code List'!$B$9,'Code List'!$D$9,",",'Code List'!$B$10,'Code List'!$D$10,",",'Code List'!$B$11,"""",V558,"""",",",'Code List'!$B$12,"""",H558,"""",",",'Code List'!$B$13,"""",I558,"""",",",'Code List'!$B$14,"""",J558,"""",",",'Code List'!$B$15,"""",K558,"""",",",'Code List'!$B$16,"""",L558,"""",",",'Code List'!$B$17,"""",M558,"""",",",'Code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58" s="167" t="str">
        <f>IF(A558="YES",CONCATENATE("{",'Code List'!$B$31,"""",U558,"""",",",'Code List'!$B$32,'Code List'!$D$32,",",'Code List'!$B$33,'Code List'!$D$33,",",'Code List'!$B$34,'Code List'!$D$34,",",'Code List'!$B$35,'Code List'!$D$35,",",'Code List'!$B$36,'Code List'!$D$36,",",'Code List'!$B$37,'Code List'!$D$37,",",'Code List'!$B$38,"""",H558,"""",",",'Code List'!$B$39,"""",I558,"""",",",'Code List'!$B$40,"""",J558,"""",",",'Code List'!$B$41,"""",K558,"""",",",'Code List'!$B$42,"""",L558,"""",",",'Code List'!$B$43,"""",M558,"""",",",'Code List'!$B$44,"""",N558,"""",",",'Code List'!$B$45,"""",O558,"""",",",'Code List'!$B$46,"""",P558,"""",",",'Code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List'!$B$59,"""",T558,"""","}"),"")</f>
        <v/>
      </c>
    </row>
    <row r="559" spans="1:25" x14ac:dyDescent="0.25">
      <c r="A559" t="str">
        <f>IF(AND($A556="YES",E556=$D$1,F559&gt;0),"YES","NO")</f>
        <v>NO</v>
      </c>
      <c r="C559" t="s">
        <v>5</v>
      </c>
      <c r="D559" s="12" t="str">
        <f t="shared" si="483"/>
        <v>10G</v>
      </c>
      <c r="E559" t="s">
        <v>189</v>
      </c>
      <c r="F559">
        <f>'Expanded Base Data'!G554</f>
        <v>0</v>
      </c>
      <c r="G559" s="171">
        <f>F556</f>
        <v>0</v>
      </c>
      <c r="H559">
        <f>ROUND(B556+'Slide Measurements'!$D$17,$O$1)</f>
        <v>548.41</v>
      </c>
      <c r="I559">
        <f>ROUND(H559+(F559*'Slide Measurements'!$D$21),$O$1)</f>
        <v>548.41</v>
      </c>
      <c r="J559">
        <f>K558</f>
        <v>382.58000000000004</v>
      </c>
      <c r="K559">
        <f>J559+($I$1*'Slide Measurements'!$E$23-'Slide Measurements'!$E$23)</f>
        <v>384.43000000000006</v>
      </c>
      <c r="L559" s="5" t="str">
        <f>'Expanded Base Data'!$L554</f>
        <v/>
      </c>
      <c r="M559" s="5" t="str">
        <f>'Expanded Base Data'!$K554</f>
        <v/>
      </c>
      <c r="N559">
        <f t="shared" si="484"/>
        <v>0</v>
      </c>
      <c r="O559">
        <f t="shared" si="485"/>
        <v>1.85</v>
      </c>
      <c r="P559" s="5" t="e">
        <f t="shared" si="486"/>
        <v>#VALUE!</v>
      </c>
      <c r="Q559">
        <f>'Code List'!$C$63</f>
        <v>3</v>
      </c>
      <c r="R559">
        <f>F560+'Code List'!$G$63</f>
        <v>2</v>
      </c>
      <c r="S559" t="e">
        <f t="shared" si="487"/>
        <v>#VALUE!</v>
      </c>
      <c r="T559" t="e">
        <f t="shared" ref="T559:T562" si="489">Q559*R559*S559</f>
        <v>#VALUE!</v>
      </c>
      <c r="U559" t="str">
        <f>IF(A559="YES",CONCATENATE(G559,"_",'Program Page'!$C$4,'Program Page'!$C$5,"_",D559,"_",E559),"")</f>
        <v/>
      </c>
      <c r="V559" t="str">
        <f t="shared" si="488"/>
        <v/>
      </c>
      <c r="W559" t="str">
        <f>IF(A559="YES",CONCATENATE("{",'Code List'!$B$4,'Code List'!$D$4,",",'Code List'!$B$5,'Code List'!$D$5,",",'Code List'!$B$6,"""",U559,"""",",",'Code List'!$B$7,'Code List'!$D$7,",",'Code List'!$B$8,'Code List'!$D$8,",",'Code List'!$B$9,'Code List'!$D$9,",",'Code List'!$B$10,'Code List'!$D$10,",",'Code List'!$B$11,"""",V559,"""",",",'Code List'!$B$12,"""",H559,"""",",",'Code List'!$B$13,"""",I559,"""",",",'Code List'!$B$14,"""",J559,"""",",",'Code List'!$B$15,"""",K559,"""",",",'Code List'!$B$16,"""",L559,"""",",",'Code List'!$B$17,"""",M559,"""",",",'Code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59" s="167" t="str">
        <f>IF(A559="YES",CONCATENATE("{",'Code List'!$B$31,"""",U559,"""",",",'Code List'!$B$32,'Code List'!$D$32,",",'Code List'!$B$33,'Code List'!$D$33,",",'Code List'!$B$34,'Code List'!$D$34,",",'Code List'!$B$35,'Code List'!$D$35,",",'Code List'!$B$36,'Code List'!$D$36,",",'Code List'!$B$37,'Code List'!$D$37,",",'Code List'!$B$38,"""",H559,"""",",",'Code List'!$B$39,"""",I559,"""",",",'Code List'!$B$40,"""",J559,"""",",",'Code List'!$B$41,"""",K559,"""",",",'Code List'!$B$42,"""",L559,"""",",",'Code List'!$B$43,"""",M559,"""",",",'Code List'!$B$44,"""",N559,"""",",",'Code List'!$B$45,"""",O559,"""",",",'Code List'!$B$46,"""",P559,"""",",",'Code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List'!$B$59,"""",T559,"""","}"),"")</f>
        <v/>
      </c>
    </row>
    <row r="560" spans="1:25" x14ac:dyDescent="0.25">
      <c r="A560" t="str">
        <f>IF(AND($A556="YES",E556=$D$1,F560&gt;0),"YES","NO")</f>
        <v>NO</v>
      </c>
      <c r="C560" t="s">
        <v>5</v>
      </c>
      <c r="D560" s="12" t="str">
        <f t="shared" si="483"/>
        <v>10G</v>
      </c>
      <c r="E560" t="s">
        <v>190</v>
      </c>
      <c r="F560">
        <f>'Expanded Base Data'!H554</f>
        <v>0</v>
      </c>
      <c r="G560" s="171">
        <f>F556</f>
        <v>0</v>
      </c>
      <c r="H560">
        <f>ROUND(B556+'Slide Measurements'!$D$17,$O$1)</f>
        <v>548.41</v>
      </c>
      <c r="I560">
        <f>ROUND(H560+(F560*'Slide Measurements'!$D$21),$O$1)</f>
        <v>548.41</v>
      </c>
      <c r="J560">
        <f>K559</f>
        <v>384.43000000000006</v>
      </c>
      <c r="K560">
        <f>J560+($I$1*'Slide Measurements'!$E$23-'Slide Measurements'!$E$23)</f>
        <v>386.28000000000009</v>
      </c>
      <c r="L560" s="5" t="str">
        <f>'Expanded Base Data'!$L554</f>
        <v/>
      </c>
      <c r="M560" s="5" t="str">
        <f>'Expanded Base Data'!$K554</f>
        <v/>
      </c>
      <c r="N560">
        <f t="shared" si="484"/>
        <v>0</v>
      </c>
      <c r="O560">
        <f t="shared" si="485"/>
        <v>1.85</v>
      </c>
      <c r="P560" s="5" t="e">
        <f t="shared" si="486"/>
        <v>#VALUE!</v>
      </c>
      <c r="Q560">
        <f>'Code List'!$C$63</f>
        <v>3</v>
      </c>
      <c r="R560">
        <f>F561+'Code List'!$G$63</f>
        <v>2</v>
      </c>
      <c r="S560" t="e">
        <f t="shared" si="487"/>
        <v>#VALUE!</v>
      </c>
      <c r="T560" t="e">
        <f t="shared" si="489"/>
        <v>#VALUE!</v>
      </c>
      <c r="U560" t="str">
        <f>IF(A560="YES",CONCATENATE(G560,"_",'Program Page'!$C$4,'Program Page'!$C$5,"_",D560,"_",E560),"")</f>
        <v/>
      </c>
      <c r="V560" t="str">
        <f t="shared" si="488"/>
        <v/>
      </c>
      <c r="W560" t="str">
        <f>IF(A560="YES",CONCATENATE("{",'Code List'!$B$4,'Code List'!$D$4,",",'Code List'!$B$5,'Code List'!$D$5,",",'Code List'!$B$6,"""",U560,"""",",",'Code List'!$B$7,'Code List'!$D$7,",",'Code List'!$B$8,'Code List'!$D$8,",",'Code List'!$B$9,'Code List'!$D$9,",",'Code List'!$B$10,'Code List'!$D$10,",",'Code List'!$B$11,"""",V560,"""",",",'Code List'!$B$12,"""",H560,"""",",",'Code List'!$B$13,"""",I560,"""",",",'Code List'!$B$14,"""",J560,"""",",",'Code List'!$B$15,"""",K560,"""",",",'Code List'!$B$16,"""",L560,"""",",",'Code List'!$B$17,"""",M560,"""",",",'Code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60" s="167" t="str">
        <f>IF(A560="YES",CONCATENATE("{",'Code List'!$B$31,"""",U560,"""",",",'Code List'!$B$32,'Code List'!$D$32,",",'Code List'!$B$33,'Code List'!$D$33,",",'Code List'!$B$34,'Code List'!$D$34,",",'Code List'!$B$35,'Code List'!$D$35,",",'Code List'!$B$36,'Code List'!$D$36,",",'Code List'!$B$37,'Code List'!$D$37,",",'Code List'!$B$38,"""",H560,"""",",",'Code List'!$B$39,"""",I560,"""",",",'Code List'!$B$40,"""",J560,"""",",",'Code List'!$B$41,"""",K560,"""",",",'Code List'!$B$42,"""",L560,"""",",",'Code List'!$B$43,"""",M560,"""",",",'Code List'!$B$44,"""",N560,"""",",",'Code List'!$B$45,"""",O560,"""",",",'Code List'!$B$46,"""",P560,"""",",",'Code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List'!$B$59,"""",T560,"""","}"),"")</f>
        <v/>
      </c>
    </row>
    <row r="561" spans="1:25" x14ac:dyDescent="0.25">
      <c r="A561" t="str">
        <f>IF(AND($A556="YES",E556=$D$1,F561&gt;0),"YES","NO")</f>
        <v>NO</v>
      </c>
      <c r="C561" t="s">
        <v>5</v>
      </c>
      <c r="D561" s="12" t="str">
        <f t="shared" si="483"/>
        <v>10G</v>
      </c>
      <c r="E561" t="s">
        <v>191</v>
      </c>
      <c r="F561">
        <f>'Expanded Base Data'!I554</f>
        <v>0</v>
      </c>
      <c r="G561" s="171">
        <f>F556</f>
        <v>0</v>
      </c>
      <c r="H561">
        <f>ROUND(B556+'Slide Measurements'!$D$17,$O$1)</f>
        <v>548.41</v>
      </c>
      <c r="I561">
        <f>ROUND(H561+(F561*'Slide Measurements'!$D$21),$O$1)</f>
        <v>548.41</v>
      </c>
      <c r="J561">
        <f>K560</f>
        <v>386.28000000000009</v>
      </c>
      <c r="K561">
        <f>J561+($I$1*'Slide Measurements'!$E$23-'Slide Measurements'!$E$23)</f>
        <v>388.13000000000011</v>
      </c>
      <c r="L561" s="5" t="str">
        <f>'Expanded Base Data'!$L554</f>
        <v/>
      </c>
      <c r="M561" s="5" t="str">
        <f>'Expanded Base Data'!$K554</f>
        <v/>
      </c>
      <c r="N561">
        <f t="shared" si="484"/>
        <v>0</v>
      </c>
      <c r="O561">
        <f t="shared" si="485"/>
        <v>1.85</v>
      </c>
      <c r="P561" s="5" t="e">
        <f t="shared" si="486"/>
        <v>#VALUE!</v>
      </c>
      <c r="Q561">
        <f>'Code List'!$C$63</f>
        <v>3</v>
      </c>
      <c r="R561">
        <f>F562+'Code List'!$G$63</f>
        <v>2</v>
      </c>
      <c r="S561" t="e">
        <f t="shared" si="487"/>
        <v>#VALUE!</v>
      </c>
      <c r="T561" t="e">
        <f t="shared" si="489"/>
        <v>#VALUE!</v>
      </c>
      <c r="U561" t="str">
        <f>IF(A561="YES",CONCATENATE(G561,"_",'Program Page'!$C$4,'Program Page'!$C$5,"_",D561,"_",E561),"")</f>
        <v/>
      </c>
      <c r="V561" t="str">
        <f t="shared" si="488"/>
        <v/>
      </c>
      <c r="W561" t="str">
        <f>IF(A561="YES",CONCATENATE("{",'Code List'!$B$4,'Code List'!$D$4,",",'Code List'!$B$5,'Code List'!$D$5,",",'Code List'!$B$6,"""",U561,"""",",",'Code List'!$B$7,'Code List'!$D$7,",",'Code List'!$B$8,'Code List'!$D$8,",",'Code List'!$B$9,'Code List'!$D$9,",",'Code List'!$B$10,'Code List'!$D$10,",",'Code List'!$B$11,"""",V561,"""",",",'Code List'!$B$12,"""",H561,"""",",",'Code List'!$B$13,"""",I561,"""",",",'Code List'!$B$14,"""",J561,"""",",",'Code List'!$B$15,"""",K561,"""",",",'Code List'!$B$16,"""",L561,"""",",",'Code List'!$B$17,"""",M561,"""",",",'Code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61" s="167" t="str">
        <f>IF(A561="YES",CONCATENATE("{",'Code List'!$B$31,"""",U561,"""",",",'Code List'!$B$32,'Code List'!$D$32,",",'Code List'!$B$33,'Code List'!$D$33,",",'Code List'!$B$34,'Code List'!$D$34,",",'Code List'!$B$35,'Code List'!$D$35,",",'Code List'!$B$36,'Code List'!$D$36,",",'Code List'!$B$37,'Code List'!$D$37,",",'Code List'!$B$38,"""",H561,"""",",",'Code List'!$B$39,"""",I561,"""",",",'Code List'!$B$40,"""",J561,"""",",",'Code List'!$B$41,"""",K561,"""",",",'Code List'!$B$42,"""",L561,"""",",",'Code List'!$B$43,"""",M561,"""",",",'Code List'!$B$44,"""",N561,"""",",",'Code List'!$B$45,"""",O561,"""",",",'Code List'!$B$46,"""",P561,"""",",",'Code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List'!$B$59,"""",T561,"""","}"),"")</f>
        <v/>
      </c>
    </row>
    <row r="562" spans="1:25" x14ac:dyDescent="0.25">
      <c r="A562" t="str">
        <f>IF(AND($A556="YES",E556=$D$1,F562&gt;0),"YES","NO")</f>
        <v>NO</v>
      </c>
      <c r="C562" t="s">
        <v>5</v>
      </c>
      <c r="D562" s="12" t="str">
        <f t="shared" si="483"/>
        <v>10G</v>
      </c>
      <c r="E562" t="s">
        <v>196</v>
      </c>
      <c r="F562">
        <f>'Expanded Base Data'!J554</f>
        <v>0</v>
      </c>
      <c r="G562" s="171">
        <f>F556</f>
        <v>0</v>
      </c>
      <c r="H562">
        <f>ROUND(B556+'Slide Measurements'!$D$17,$O$1)</f>
        <v>548.41</v>
      </c>
      <c r="I562">
        <f>ROUND(H562+(F562*'Slide Measurements'!$D$21),$O$1)</f>
        <v>548.41</v>
      </c>
      <c r="J562">
        <f>K561</f>
        <v>388.13000000000011</v>
      </c>
      <c r="K562">
        <f>J562+($I$1*'Slide Measurements'!$E$23-'Slide Measurements'!$E$23)</f>
        <v>389.98000000000013</v>
      </c>
      <c r="L562" s="5" t="str">
        <f>'Expanded Base Data'!$L554</f>
        <v/>
      </c>
      <c r="M562" s="5" t="str">
        <f>'Expanded Base Data'!$K554</f>
        <v/>
      </c>
      <c r="N562">
        <f t="shared" si="484"/>
        <v>0</v>
      </c>
      <c r="O562">
        <f t="shared" si="485"/>
        <v>1.85</v>
      </c>
      <c r="P562" s="5" t="e">
        <f t="shared" si="486"/>
        <v>#VALUE!</v>
      </c>
      <c r="Q562">
        <f>'Code List'!$C$63</f>
        <v>3</v>
      </c>
      <c r="R562">
        <f>F563+'Code List'!$G$63</f>
        <v>2</v>
      </c>
      <c r="S562" t="e">
        <f t="shared" si="487"/>
        <v>#VALUE!</v>
      </c>
      <c r="T562" t="e">
        <f t="shared" si="489"/>
        <v>#VALUE!</v>
      </c>
      <c r="U562" t="str">
        <f>IF(A562="YES",CONCATENATE(G562,"_",'Program Page'!$C$4,'Program Page'!$C$5,"_",D562,"_",E562),"")</f>
        <v/>
      </c>
      <c r="V562" t="str">
        <f t="shared" si="488"/>
        <v/>
      </c>
      <c r="W562" t="str">
        <f>IF(A562="YES",CONCATENATE("{",'Code List'!$B$4,'Code List'!$D$4,",",'Code List'!$B$5,'Code List'!$D$5,",",'Code List'!$B$6,"""",U562,"""",",",'Code List'!$B$7,'Code List'!$D$7,",",'Code List'!$B$8,'Code List'!$D$8,",",'Code List'!$B$9,'Code List'!$D$9,",",'Code List'!$B$10,'Code List'!$D$10,",",'Code List'!$B$11,"""",V562,"""",",",'Code List'!$B$12,"""",H562,"""",",",'Code List'!$B$13,"""",I562,"""",",",'Code List'!$B$14,"""",J562,"""",",",'Code List'!$B$15,"""",K562,"""",",",'Code List'!$B$16,"""",L562,"""",",",'Code List'!$B$17,"""",M562,"""",",",'Code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62" s="167" t="str">
        <f>IF(A562="YES",CONCATENATE("{",'Code List'!$B$31,"""",U562,"""",",",'Code List'!$B$32,'Code List'!$D$32,",",'Code List'!$B$33,'Code List'!$D$33,",",'Code List'!$B$34,'Code List'!$D$34,",",'Code List'!$B$35,'Code List'!$D$35,",",'Code List'!$B$36,'Code List'!$D$36,",",'Code List'!$B$37,'Code List'!$D$37,",",'Code List'!$B$38,"""",H562,"""",",",'Code List'!$B$39,"""",I562,"""",",",'Code List'!$B$40,"""",J562,"""",",",'Code List'!$B$41,"""",K562,"""",",",'Code List'!$B$42,"""",L562,"""",",",'Code List'!$B$43,"""",M562,"""",",",'Code List'!$B$44,"""",N562,"""",",",'Code List'!$B$45,"""",O562,"""",",",'Code List'!$B$46,"""",P562,"""",",",'Code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List'!$B$59,"""",T562,"""","}"),"")</f>
        <v/>
      </c>
    </row>
    <row r="563" spans="1:25" x14ac:dyDescent="0.25">
      <c r="A563" s="162" t="str">
        <f>IF(AND($A556="YES",E556=$E$1),"YES","NO")</f>
        <v>NO</v>
      </c>
      <c r="C563" t="s">
        <v>259</v>
      </c>
      <c r="D563" s="12" t="str">
        <f>D562</f>
        <v>10G</v>
      </c>
      <c r="E563" t="s">
        <v>259</v>
      </c>
      <c r="G563" s="171">
        <f>F556</f>
        <v>0</v>
      </c>
      <c r="H563">
        <f>ROUND(B556,$O$1)</f>
        <v>523.01</v>
      </c>
      <c r="I563">
        <f>ROUND(B556+'Slide Measurements'!$D$1,$O$1)</f>
        <v>599.46</v>
      </c>
      <c r="J563">
        <f>C556</f>
        <v>376.43</v>
      </c>
      <c r="K563">
        <f>C556+'Slide Measurements'!$D$2</f>
        <v>403.83</v>
      </c>
      <c r="L563" s="5" t="str">
        <f>'Expanded Base Data'!$L554</f>
        <v/>
      </c>
      <c r="M563" s="5" t="str">
        <f>'Expanded Base Data'!$K554</f>
        <v/>
      </c>
      <c r="N563">
        <f t="shared" si="484"/>
        <v>76.45</v>
      </c>
      <c r="O563">
        <f t="shared" si="485"/>
        <v>27.4</v>
      </c>
      <c r="P563" s="5" t="e">
        <f>ROUND((L563-M563),$O$1)</f>
        <v>#VALUE!</v>
      </c>
      <c r="Q563">
        <f>'Code List'!$C$70</f>
        <v>11</v>
      </c>
      <c r="R563">
        <f>'Code List'!$D$70</f>
        <v>19</v>
      </c>
      <c r="S563" t="e">
        <f>IF(P563=0,"1",ROUND((P563/$K$1)+$M$1,0))</f>
        <v>#VALUE!</v>
      </c>
      <c r="T563" t="e">
        <f>Q563*R563*S563</f>
        <v>#VALUE!</v>
      </c>
      <c r="U563" t="str">
        <f>IF(A563="YES",CONCATENATE(G563,"_",'Program Page'!$C$4,'Program Page'!$C$5,"_",D563,"_",E563),"")</f>
        <v/>
      </c>
      <c r="V563" t="str">
        <f>IF(U563="","",CONCATENATE(U563,"_"))</f>
        <v/>
      </c>
      <c r="W563" t="str">
        <f>IF(A563="YES",CONCATENATE("{",'Code List'!$B$4,'Code List'!$D$4,",",'Code List'!$B$5,'Code List'!$D$5,",",'Code List'!$B$6,"""",U563,"""",",",'Code List'!$B$7,'Code List'!$D$7,",",'Code List'!$B$8,'Code List'!$D$8,",",'Code List'!$B$9,'Code List'!$D$9,",",'Code List'!$B$10,'Code List'!$D$10,",",'Code List'!$B$11,"""",V563,"""",",",'Code List'!$B$12,"""",H563,"""",",",'Code List'!$B$13,"""",I563,"""",",",'Code List'!$B$14,"""",J563,"""",",",'Code List'!$B$15,"""",K563,"""",",",'Code List'!$B$16,"""",L563,"""",",",'Code List'!$B$17,"""",M563,"""",",",'Code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563" s="167" t="str">
        <f>IF(A563="YES",CONCATENATE("{",'Code List'!$B$31,"""",U563,"""",",",'Code List'!$B$32,'Code List'!$D$32,",",'Code List'!$B$33,'Code List'!$D$33,",",'Code List'!$B$34,'Code List'!$D$34,",",'Code List'!$B$35,'Code List'!$D$35,",",'Code List'!$B$36,'Code List'!$D$36,",",'Code List'!$B$37,'Code List'!$D$37,",",'Code List'!$B$38,"""",H563,"""",",",'Code List'!$B$39,"""",I563,"""",",",'Code List'!$B$40,"""",J563,"""",",",'Code List'!$B$41,"""",K563,"""",",",'Code List'!$B$42,"""",L563,"""",",",'Code List'!$B$43,"""",M563,"""",",",'Code List'!$B$44,"""",N563,"""",",",'Code List'!$B$45,"""",O563,"""",",",'Code List'!$B$46,"""",P563,"""",",",'Code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List'!$B$59,"""",T563,"""","}"),"")</f>
        <v/>
      </c>
    </row>
    <row r="564" spans="1:25" ht="18.75" x14ac:dyDescent="0.3">
      <c r="A564" s="35" t="str">
        <f>IF(OR(E564=$C$1,E564=$D$1,E564=$E$1),"YES","NO")</f>
        <v>NO</v>
      </c>
      <c r="B564" s="35">
        <f>'Expanded Base Data'!D562</f>
        <v>1.5099999999999998</v>
      </c>
      <c r="C564" s="35">
        <f>'Expanded Base Data'!E562</f>
        <v>412.93</v>
      </c>
      <c r="D564" s="36" t="str">
        <f>'Expanded Base Data'!B562</f>
        <v>11A</v>
      </c>
      <c r="E564" s="35">
        <f>'Expanded Base Data'!C562</f>
        <v>0</v>
      </c>
      <c r="F564" s="35">
        <f>'Expanded Base Data'!M562</f>
        <v>0</v>
      </c>
      <c r="G564" s="170">
        <f>F564</f>
        <v>0</v>
      </c>
      <c r="Y564" s="167" t="str">
        <f>""</f>
        <v/>
      </c>
    </row>
    <row r="565" spans="1:25" x14ac:dyDescent="0.25">
      <c r="A565" t="str">
        <f>IF(AND($A564="YES",E564=$C$1),"YES","NO")</f>
        <v>NO</v>
      </c>
      <c r="C565" t="s">
        <v>6</v>
      </c>
      <c r="D565" s="12" t="str">
        <f>D564</f>
        <v>11A</v>
      </c>
      <c r="E565" t="s">
        <v>6</v>
      </c>
      <c r="F565" t="s">
        <v>198</v>
      </c>
      <c r="G565" s="171">
        <f>F564</f>
        <v>0</v>
      </c>
      <c r="H565">
        <f>IF('Expanded Base Data'!N562="",ROUND(B564+'Slide Measurements'!$D$11,$O$1),B564+'Expanded Base Data'!N562)</f>
        <v>34.51</v>
      </c>
      <c r="I565">
        <f>IF('Expanded Base Data'!O562="",ROUND(B564+'Slide Measurements'!$D$12,$O$1),B564+'Expanded Base Data'!O562)</f>
        <v>43.11</v>
      </c>
      <c r="J565">
        <f>IF('Expanded Base Data'!P562="",C564+'Slide Measurements'!$E$13,C564+'Expanded Base Data'!P562)</f>
        <v>421.63</v>
      </c>
      <c r="K565">
        <f>IF('Expanded Base Data'!Q562="",C564+'Slide Measurements'!$E$14,C564+'Expanded Base Data'!Q562)</f>
        <v>430.23</v>
      </c>
      <c r="L565" s="5" t="str">
        <f>'Expanded Base Data'!$L562</f>
        <v/>
      </c>
      <c r="M565" s="5" t="str">
        <f>'Expanded Base Data'!$K562</f>
        <v/>
      </c>
      <c r="N565">
        <f>ROUND((I565-H565),$O$1)</f>
        <v>8.6</v>
      </c>
      <c r="O565">
        <f>ROUND((K565-J565),$O$1)</f>
        <v>8.6</v>
      </c>
      <c r="P565" s="5" t="e">
        <f>ROUND((L565-M565),$O$1)</f>
        <v>#VALUE!</v>
      </c>
      <c r="Q565">
        <f>'Code List'!$C$62</f>
        <v>5</v>
      </c>
      <c r="R565">
        <f>F566+'Code List'!$G$63</f>
        <v>2</v>
      </c>
      <c r="S565" t="e">
        <f>IF(P565=0,"1",ROUND((P565/$K$1)+$M$1,0))</f>
        <v>#VALUE!</v>
      </c>
      <c r="T565" t="e">
        <f>Q565*R565*S565</f>
        <v>#VALUE!</v>
      </c>
      <c r="U565" t="str">
        <f>IF(A565="YES",CONCATENATE(G565,"_",'Program Page'!$C$4,'Program Page'!$C$5,"_",D565,"_",E565),"")</f>
        <v/>
      </c>
      <c r="V565" t="str">
        <f>IF(U565="","",CONCATENATE(U565,"_"))</f>
        <v/>
      </c>
      <c r="W565" t="str">
        <f>IF(A565="YES",CONCATENATE("{",'Code List'!$B$4,'Code List'!$D$4,",",'Code List'!$B$5,'Code List'!$D$5,",",'Code List'!$B$6,"""",U565,"""",",",'Code List'!$B$7,'Code List'!$D$7,",",'Code List'!$B$8,'Code List'!$D$8,",",'Code List'!$B$9,'Code List'!$D$9,",",'Code List'!$B$10,'Code List'!$D$10,",",'Code List'!$B$11,"""",V565,"""",",",'Code List'!$B$12,"""",H565,"""",",",'Code List'!$B$13,"""",I565,"""",",",'Code List'!$B$14,"""",J565,"""",",",'Code List'!$B$15,"""",K565,"""",",",'Code List'!$B$16,"""",L565,"""",",",'Code List'!$B$17,"""",M565,"""",",",'Code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65" s="167" t="str">
        <f>IF(A565="YES",CONCATENATE("{",'Code List'!$B$31,"""",U565,"""",",",'Code List'!$B$32,'Code List'!$D$32,",",'Code List'!$B$33,'Code List'!$D$33,",",'Code List'!$B$34,'Code List'!$D$34,",",'Code List'!$B$35,'Code List'!$D$35,",",'Code List'!$B$36,'Code List'!$D$36,",",'Code List'!$B$37,'Code List'!$D$37,",",'Code List'!$B$38,"""",H565,"""",",",'Code List'!$B$39,"""",I565,"""",",",'Code List'!$B$40,"""",J565,"""",",",'Code List'!$B$41,"""",K565,"""",",",'Code List'!$B$42,"""",L565,"""",",",'Code List'!$B$43,"""",M565,"""",",",'Code List'!$B$44,"""",N565,"""",",",'Code List'!$B$45,"""",O565,"""",",",'Code List'!$B$46,"""",P565,"""",",",'Code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List'!$B$59,"""",T565,"""","}"),"")</f>
        <v/>
      </c>
    </row>
    <row r="566" spans="1:25" x14ac:dyDescent="0.25">
      <c r="A566" t="str">
        <f>IF(AND($A564="YES",E564=$D$1,F566&gt;0),"YES","NO")</f>
        <v>NO</v>
      </c>
      <c r="C566" t="s">
        <v>5</v>
      </c>
      <c r="D566" s="12" t="str">
        <f t="shared" ref="D566:D570" si="490">D565</f>
        <v>11A</v>
      </c>
      <c r="E566" t="s">
        <v>188</v>
      </c>
      <c r="F566">
        <f>'Expanded Base Data'!F562</f>
        <v>0</v>
      </c>
      <c r="G566" s="171">
        <f>F564</f>
        <v>0</v>
      </c>
      <c r="H566">
        <f>ROUND(B564+'Slide Measurements'!$D$17,$O$1)</f>
        <v>26.91</v>
      </c>
      <c r="I566">
        <f>ROUND(H566+(F566*'Slide Measurements'!$D$21),$O$1)</f>
        <v>26.91</v>
      </c>
      <c r="J566">
        <f>C564+'Slide Measurements'!$E$17</f>
        <v>417.23</v>
      </c>
      <c r="K566">
        <f>J566+($I$1*'Slide Measurements'!$E$23-'Slide Measurements'!$E$23)</f>
        <v>419.08000000000004</v>
      </c>
      <c r="L566" s="5" t="str">
        <f>'Expanded Base Data'!$L562</f>
        <v/>
      </c>
      <c r="M566" s="5" t="str">
        <f>'Expanded Base Data'!$K562</f>
        <v/>
      </c>
      <c r="N566">
        <f t="shared" ref="N566:N571" si="491">ROUND((I566-H566),$O$1)</f>
        <v>0</v>
      </c>
      <c r="O566">
        <f t="shared" ref="O566:O571" si="492">ROUND((K566-J566),$O$1)</f>
        <v>1.85</v>
      </c>
      <c r="P566" s="5" t="e">
        <f t="shared" ref="P566:P570" si="493">ROUND((L566-M566),$O$1)</f>
        <v>#VALUE!</v>
      </c>
      <c r="Q566">
        <f>'Code List'!$C$63</f>
        <v>3</v>
      </c>
      <c r="R566">
        <f>F567+'Code List'!$G$63</f>
        <v>2</v>
      </c>
      <c r="S566" t="e">
        <f t="shared" ref="S566:S570" si="494">IF(P566=0,"1",ROUND((P566/$K$1)+$M$1,0))</f>
        <v>#VALUE!</v>
      </c>
      <c r="T566" t="e">
        <f>Q566*R566*S566</f>
        <v>#VALUE!</v>
      </c>
      <c r="U566" t="str">
        <f>IF(A566="YES",CONCATENATE(G566,"_",'Program Page'!$C$4,'Program Page'!$C$5,"_",D566,"_",E566),"")</f>
        <v/>
      </c>
      <c r="V566" t="str">
        <f t="shared" ref="V566:V570" si="495">IF(U566="","",CONCATENATE(U566,"_"))</f>
        <v/>
      </c>
      <c r="W566" t="str">
        <f>IF(A566="YES",CONCATENATE("{",'Code List'!$B$4,'Code List'!$D$4,",",'Code List'!$B$5,'Code List'!$D$5,",",'Code List'!$B$6,"""",U566,"""",",",'Code List'!$B$7,'Code List'!$D$7,",",'Code List'!$B$8,'Code List'!$D$8,",",'Code List'!$B$9,'Code List'!$D$9,",",'Code List'!$B$10,'Code List'!$D$10,",",'Code List'!$B$11,"""",V566,"""",",",'Code List'!$B$12,"""",H566,"""",",",'Code List'!$B$13,"""",I566,"""",",",'Code List'!$B$14,"""",J566,"""",",",'Code List'!$B$15,"""",K566,"""",",",'Code List'!$B$16,"""",L566,"""",",",'Code List'!$B$17,"""",M566,"""",",",'Code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66" s="167" t="str">
        <f>IF(A566="YES",CONCATENATE("{",'Code List'!$B$31,"""",U566,"""",",",'Code List'!$B$32,'Code List'!$D$32,",",'Code List'!$B$33,'Code List'!$D$33,",",'Code List'!$B$34,'Code List'!$D$34,",",'Code List'!$B$35,'Code List'!$D$35,",",'Code List'!$B$36,'Code List'!$D$36,",",'Code List'!$B$37,'Code List'!$D$37,",",'Code List'!$B$38,"""",H566,"""",",",'Code List'!$B$39,"""",I566,"""",",",'Code List'!$B$40,"""",J566,"""",",",'Code List'!$B$41,"""",K566,"""",",",'Code List'!$B$42,"""",L566,"""",",",'Code List'!$B$43,"""",M566,"""",",",'Code List'!$B$44,"""",N566,"""",",",'Code List'!$B$45,"""",O566,"""",",",'Code List'!$B$46,"""",P566,"""",",",'Code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List'!$B$59,"""",T566,"""","}"),"")</f>
        <v/>
      </c>
    </row>
    <row r="567" spans="1:25" x14ac:dyDescent="0.25">
      <c r="A567" t="str">
        <f>IF(AND($A564="YES",E564=$D$1,F567&gt;0),"YES","NO")</f>
        <v>NO</v>
      </c>
      <c r="C567" t="s">
        <v>5</v>
      </c>
      <c r="D567" s="12" t="str">
        <f t="shared" si="490"/>
        <v>11A</v>
      </c>
      <c r="E567" t="s">
        <v>189</v>
      </c>
      <c r="F567">
        <f>'Expanded Base Data'!G562</f>
        <v>0</v>
      </c>
      <c r="G567" s="171">
        <f>F564</f>
        <v>0</v>
      </c>
      <c r="H567">
        <f>ROUND(B564+'Slide Measurements'!$D$17,$O$1)</f>
        <v>26.91</v>
      </c>
      <c r="I567">
        <f>ROUND(H567+(F567*'Slide Measurements'!$D$21),$O$1)</f>
        <v>26.91</v>
      </c>
      <c r="J567">
        <f>K566</f>
        <v>419.08000000000004</v>
      </c>
      <c r="K567">
        <f>J567+($I$1*'Slide Measurements'!$E$23-'Slide Measurements'!$E$23)</f>
        <v>420.93000000000006</v>
      </c>
      <c r="L567" s="5" t="str">
        <f>'Expanded Base Data'!$L562</f>
        <v/>
      </c>
      <c r="M567" s="5" t="str">
        <f>'Expanded Base Data'!$K562</f>
        <v/>
      </c>
      <c r="N567">
        <f t="shared" si="491"/>
        <v>0</v>
      </c>
      <c r="O567">
        <f t="shared" si="492"/>
        <v>1.85</v>
      </c>
      <c r="P567" s="5" t="e">
        <f t="shared" si="493"/>
        <v>#VALUE!</v>
      </c>
      <c r="Q567">
        <f>'Code List'!$C$63</f>
        <v>3</v>
      </c>
      <c r="R567">
        <f>F568+'Code List'!$G$63</f>
        <v>2</v>
      </c>
      <c r="S567" t="e">
        <f t="shared" si="494"/>
        <v>#VALUE!</v>
      </c>
      <c r="T567" t="e">
        <f t="shared" ref="T567:T570" si="496">Q567*R567*S567</f>
        <v>#VALUE!</v>
      </c>
      <c r="U567" t="str">
        <f>IF(A567="YES",CONCATENATE(G567,"_",'Program Page'!$C$4,'Program Page'!$C$5,"_",D567,"_",E567),"")</f>
        <v/>
      </c>
      <c r="V567" t="str">
        <f t="shared" si="495"/>
        <v/>
      </c>
      <c r="W567" t="str">
        <f>IF(A567="YES",CONCATENATE("{",'Code List'!$B$4,'Code List'!$D$4,",",'Code List'!$B$5,'Code List'!$D$5,",",'Code List'!$B$6,"""",U567,"""",",",'Code List'!$B$7,'Code List'!$D$7,",",'Code List'!$B$8,'Code List'!$D$8,",",'Code List'!$B$9,'Code List'!$D$9,",",'Code List'!$B$10,'Code List'!$D$10,",",'Code List'!$B$11,"""",V567,"""",",",'Code List'!$B$12,"""",H567,"""",",",'Code List'!$B$13,"""",I567,"""",",",'Code List'!$B$14,"""",J567,"""",",",'Code List'!$B$15,"""",K567,"""",",",'Code List'!$B$16,"""",L567,"""",",",'Code List'!$B$17,"""",M567,"""",",",'Code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67" s="167" t="str">
        <f>IF(A567="YES",CONCATENATE("{",'Code List'!$B$31,"""",U567,"""",",",'Code List'!$B$32,'Code List'!$D$32,",",'Code List'!$B$33,'Code List'!$D$33,",",'Code List'!$B$34,'Code List'!$D$34,",",'Code List'!$B$35,'Code List'!$D$35,",",'Code List'!$B$36,'Code List'!$D$36,",",'Code List'!$B$37,'Code List'!$D$37,",",'Code List'!$B$38,"""",H567,"""",",",'Code List'!$B$39,"""",I567,"""",",",'Code List'!$B$40,"""",J567,"""",",",'Code List'!$B$41,"""",K567,"""",",",'Code List'!$B$42,"""",L567,"""",",",'Code List'!$B$43,"""",M567,"""",",",'Code List'!$B$44,"""",N567,"""",",",'Code List'!$B$45,"""",O567,"""",",",'Code List'!$B$46,"""",P567,"""",",",'Code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List'!$B$59,"""",T567,"""","}"),"")</f>
        <v/>
      </c>
    </row>
    <row r="568" spans="1:25" x14ac:dyDescent="0.25">
      <c r="A568" t="str">
        <f>IF(AND($A564="YES",E564=$D$1,F568&gt;0),"YES","NO")</f>
        <v>NO</v>
      </c>
      <c r="C568" t="s">
        <v>5</v>
      </c>
      <c r="D568" s="12" t="str">
        <f t="shared" si="490"/>
        <v>11A</v>
      </c>
      <c r="E568" t="s">
        <v>190</v>
      </c>
      <c r="F568">
        <f>'Expanded Base Data'!H562</f>
        <v>0</v>
      </c>
      <c r="G568" s="171">
        <f>F564</f>
        <v>0</v>
      </c>
      <c r="H568">
        <f>ROUND(B564+'Slide Measurements'!$D$17,$O$1)</f>
        <v>26.91</v>
      </c>
      <c r="I568">
        <f>ROUND(H568+(F568*'Slide Measurements'!$D$21),$O$1)</f>
        <v>26.91</v>
      </c>
      <c r="J568">
        <f>K567</f>
        <v>420.93000000000006</v>
      </c>
      <c r="K568">
        <f>J568+($I$1*'Slide Measurements'!$E$23-'Slide Measurements'!$E$23)</f>
        <v>422.78000000000009</v>
      </c>
      <c r="L568" s="5" t="str">
        <f>'Expanded Base Data'!$L562</f>
        <v/>
      </c>
      <c r="M568" s="5" t="str">
        <f>'Expanded Base Data'!$K562</f>
        <v/>
      </c>
      <c r="N568">
        <f t="shared" si="491"/>
        <v>0</v>
      </c>
      <c r="O568">
        <f t="shared" si="492"/>
        <v>1.85</v>
      </c>
      <c r="P568" s="5" t="e">
        <f t="shared" si="493"/>
        <v>#VALUE!</v>
      </c>
      <c r="Q568">
        <f>'Code List'!$C$63</f>
        <v>3</v>
      </c>
      <c r="R568">
        <f>F569+'Code List'!$G$63</f>
        <v>2</v>
      </c>
      <c r="S568" t="e">
        <f t="shared" si="494"/>
        <v>#VALUE!</v>
      </c>
      <c r="T568" t="e">
        <f t="shared" si="496"/>
        <v>#VALUE!</v>
      </c>
      <c r="U568" t="str">
        <f>IF(A568="YES",CONCATENATE(G568,"_",'Program Page'!$C$4,'Program Page'!$C$5,"_",D568,"_",E568),"")</f>
        <v/>
      </c>
      <c r="V568" t="str">
        <f t="shared" si="495"/>
        <v/>
      </c>
      <c r="W568" t="str">
        <f>IF(A568="YES",CONCATENATE("{",'Code List'!$B$4,'Code List'!$D$4,",",'Code List'!$B$5,'Code List'!$D$5,",",'Code List'!$B$6,"""",U568,"""",",",'Code List'!$B$7,'Code List'!$D$7,",",'Code List'!$B$8,'Code List'!$D$8,",",'Code List'!$B$9,'Code List'!$D$9,",",'Code List'!$B$10,'Code List'!$D$10,",",'Code List'!$B$11,"""",V568,"""",",",'Code List'!$B$12,"""",H568,"""",",",'Code List'!$B$13,"""",I568,"""",",",'Code List'!$B$14,"""",J568,"""",",",'Code List'!$B$15,"""",K568,"""",",",'Code List'!$B$16,"""",L568,"""",",",'Code List'!$B$17,"""",M568,"""",",",'Code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68" s="167" t="str">
        <f>IF(A568="YES",CONCATENATE("{",'Code List'!$B$31,"""",U568,"""",",",'Code List'!$B$32,'Code List'!$D$32,",",'Code List'!$B$33,'Code List'!$D$33,",",'Code List'!$B$34,'Code List'!$D$34,",",'Code List'!$B$35,'Code List'!$D$35,",",'Code List'!$B$36,'Code List'!$D$36,",",'Code List'!$B$37,'Code List'!$D$37,",",'Code List'!$B$38,"""",H568,"""",",",'Code List'!$B$39,"""",I568,"""",",",'Code List'!$B$40,"""",J568,"""",",",'Code List'!$B$41,"""",K568,"""",",",'Code List'!$B$42,"""",L568,"""",",",'Code List'!$B$43,"""",M568,"""",",",'Code List'!$B$44,"""",N568,"""",",",'Code List'!$B$45,"""",O568,"""",",",'Code List'!$B$46,"""",P568,"""",",",'Code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List'!$B$59,"""",T568,"""","}"),"")</f>
        <v/>
      </c>
    </row>
    <row r="569" spans="1:25" x14ac:dyDescent="0.25">
      <c r="A569" t="str">
        <f>IF(AND($A564="YES",E564=$D$1,F569&gt;0),"YES","NO")</f>
        <v>NO</v>
      </c>
      <c r="C569" t="s">
        <v>5</v>
      </c>
      <c r="D569" s="12" t="str">
        <f t="shared" si="490"/>
        <v>11A</v>
      </c>
      <c r="E569" t="s">
        <v>191</v>
      </c>
      <c r="F569">
        <f>'Expanded Base Data'!I562</f>
        <v>0</v>
      </c>
      <c r="G569" s="171">
        <f>F564</f>
        <v>0</v>
      </c>
      <c r="H569">
        <f>ROUND(B564+'Slide Measurements'!$D$17,$O$1)</f>
        <v>26.91</v>
      </c>
      <c r="I569">
        <f>ROUND(H569+(F569*'Slide Measurements'!$D$21),$O$1)</f>
        <v>26.91</v>
      </c>
      <c r="J569">
        <f>K568</f>
        <v>422.78000000000009</v>
      </c>
      <c r="K569">
        <f>J569+($I$1*'Slide Measurements'!$E$23-'Slide Measurements'!$E$23)</f>
        <v>424.63000000000011</v>
      </c>
      <c r="L569" s="5" t="str">
        <f>'Expanded Base Data'!$L562</f>
        <v/>
      </c>
      <c r="M569" s="5" t="str">
        <f>'Expanded Base Data'!$K562</f>
        <v/>
      </c>
      <c r="N569">
        <f t="shared" si="491"/>
        <v>0</v>
      </c>
      <c r="O569">
        <f t="shared" si="492"/>
        <v>1.85</v>
      </c>
      <c r="P569" s="5" t="e">
        <f t="shared" si="493"/>
        <v>#VALUE!</v>
      </c>
      <c r="Q569">
        <f>'Code List'!$C$63</f>
        <v>3</v>
      </c>
      <c r="R569">
        <f>F570+'Code List'!$G$63</f>
        <v>2</v>
      </c>
      <c r="S569" t="e">
        <f t="shared" si="494"/>
        <v>#VALUE!</v>
      </c>
      <c r="T569" t="e">
        <f t="shared" si="496"/>
        <v>#VALUE!</v>
      </c>
      <c r="U569" t="str">
        <f>IF(A569="YES",CONCATENATE(G569,"_",'Program Page'!$C$4,'Program Page'!$C$5,"_",D569,"_",E569),"")</f>
        <v/>
      </c>
      <c r="V569" t="str">
        <f t="shared" si="495"/>
        <v/>
      </c>
      <c r="W569" t="str">
        <f>IF(A569="YES",CONCATENATE("{",'Code List'!$B$4,'Code List'!$D$4,",",'Code List'!$B$5,'Code List'!$D$5,",",'Code List'!$B$6,"""",U569,"""",",",'Code List'!$B$7,'Code List'!$D$7,",",'Code List'!$B$8,'Code List'!$D$8,",",'Code List'!$B$9,'Code List'!$D$9,",",'Code List'!$B$10,'Code List'!$D$10,",",'Code List'!$B$11,"""",V569,"""",",",'Code List'!$B$12,"""",H569,"""",",",'Code List'!$B$13,"""",I569,"""",",",'Code List'!$B$14,"""",J569,"""",",",'Code List'!$B$15,"""",K569,"""",",",'Code List'!$B$16,"""",L569,"""",",",'Code List'!$B$17,"""",M569,"""",",",'Code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69" s="167" t="str">
        <f>IF(A569="YES",CONCATENATE("{",'Code List'!$B$31,"""",U569,"""",",",'Code List'!$B$32,'Code List'!$D$32,",",'Code List'!$B$33,'Code List'!$D$33,",",'Code List'!$B$34,'Code List'!$D$34,",",'Code List'!$B$35,'Code List'!$D$35,",",'Code List'!$B$36,'Code List'!$D$36,",",'Code List'!$B$37,'Code List'!$D$37,",",'Code List'!$B$38,"""",H569,"""",",",'Code List'!$B$39,"""",I569,"""",",",'Code List'!$B$40,"""",J569,"""",",",'Code List'!$B$41,"""",K569,"""",",",'Code List'!$B$42,"""",L569,"""",",",'Code List'!$B$43,"""",M569,"""",",",'Code List'!$B$44,"""",N569,"""",",",'Code List'!$B$45,"""",O569,"""",",",'Code List'!$B$46,"""",P569,"""",",",'Code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List'!$B$59,"""",T569,"""","}"),"")</f>
        <v/>
      </c>
    </row>
    <row r="570" spans="1:25" x14ac:dyDescent="0.25">
      <c r="A570" t="str">
        <f>IF(AND($A564="YES",E564=$D$1,F570&gt;0),"YES","NO")</f>
        <v>NO</v>
      </c>
      <c r="C570" t="s">
        <v>5</v>
      </c>
      <c r="D570" s="12" t="str">
        <f t="shared" si="490"/>
        <v>11A</v>
      </c>
      <c r="E570" t="s">
        <v>196</v>
      </c>
      <c r="F570">
        <f>'Expanded Base Data'!J562</f>
        <v>0</v>
      </c>
      <c r="G570" s="171">
        <f>F564</f>
        <v>0</v>
      </c>
      <c r="H570">
        <f>ROUND(B564+'Slide Measurements'!$D$17,$O$1)</f>
        <v>26.91</v>
      </c>
      <c r="I570">
        <f>ROUND(H570+(F570*'Slide Measurements'!$D$21),$O$1)</f>
        <v>26.91</v>
      </c>
      <c r="J570">
        <f>K569</f>
        <v>424.63000000000011</v>
      </c>
      <c r="K570">
        <f>J570+($I$1*'Slide Measurements'!$E$23-'Slide Measurements'!$E$23)</f>
        <v>426.48000000000013</v>
      </c>
      <c r="L570" s="5" t="str">
        <f>'Expanded Base Data'!$L562</f>
        <v/>
      </c>
      <c r="M570" s="5" t="str">
        <f>'Expanded Base Data'!$K562</f>
        <v/>
      </c>
      <c r="N570">
        <f t="shared" si="491"/>
        <v>0</v>
      </c>
      <c r="O570">
        <f t="shared" si="492"/>
        <v>1.85</v>
      </c>
      <c r="P570" s="5" t="e">
        <f t="shared" si="493"/>
        <v>#VALUE!</v>
      </c>
      <c r="Q570">
        <f>'Code List'!$C$63</f>
        <v>3</v>
      </c>
      <c r="R570">
        <f>F571+'Code List'!$G$63</f>
        <v>2</v>
      </c>
      <c r="S570" t="e">
        <f t="shared" si="494"/>
        <v>#VALUE!</v>
      </c>
      <c r="T570" t="e">
        <f t="shared" si="496"/>
        <v>#VALUE!</v>
      </c>
      <c r="U570" t="str">
        <f>IF(A570="YES",CONCATENATE(G570,"_",'Program Page'!$C$4,'Program Page'!$C$5,"_",D570,"_",E570),"")</f>
        <v/>
      </c>
      <c r="V570" t="str">
        <f t="shared" si="495"/>
        <v/>
      </c>
      <c r="W570" t="str">
        <f>IF(A570="YES",CONCATENATE("{",'Code List'!$B$4,'Code List'!$D$4,",",'Code List'!$B$5,'Code List'!$D$5,",",'Code List'!$B$6,"""",U570,"""",",",'Code List'!$B$7,'Code List'!$D$7,",",'Code List'!$B$8,'Code List'!$D$8,",",'Code List'!$B$9,'Code List'!$D$9,",",'Code List'!$B$10,'Code List'!$D$10,",",'Code List'!$B$11,"""",V570,"""",",",'Code List'!$B$12,"""",H570,"""",",",'Code List'!$B$13,"""",I570,"""",",",'Code List'!$B$14,"""",J570,"""",",",'Code List'!$B$15,"""",K570,"""",",",'Code List'!$B$16,"""",L570,"""",",",'Code List'!$B$17,"""",M570,"""",",",'Code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70" s="167" t="str">
        <f>IF(A570="YES",CONCATENATE("{",'Code List'!$B$31,"""",U570,"""",",",'Code List'!$B$32,'Code List'!$D$32,",",'Code List'!$B$33,'Code List'!$D$33,",",'Code List'!$B$34,'Code List'!$D$34,",",'Code List'!$B$35,'Code List'!$D$35,",",'Code List'!$B$36,'Code List'!$D$36,",",'Code List'!$B$37,'Code List'!$D$37,",",'Code List'!$B$38,"""",H570,"""",",",'Code List'!$B$39,"""",I570,"""",",",'Code List'!$B$40,"""",J570,"""",",",'Code List'!$B$41,"""",K570,"""",",",'Code List'!$B$42,"""",L570,"""",",",'Code List'!$B$43,"""",M570,"""",",",'Code List'!$B$44,"""",N570,"""",",",'Code List'!$B$45,"""",O570,"""",",",'Code List'!$B$46,"""",P570,"""",",",'Code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List'!$B$59,"""",T570,"""","}"),"")</f>
        <v/>
      </c>
    </row>
    <row r="571" spans="1:25" x14ac:dyDescent="0.25">
      <c r="A571" s="162" t="str">
        <f>IF(AND($A564="YES",E564=$E$1),"YES","NO")</f>
        <v>NO</v>
      </c>
      <c r="C571" t="s">
        <v>259</v>
      </c>
      <c r="D571" s="12" t="str">
        <f>D570</f>
        <v>11A</v>
      </c>
      <c r="E571" t="s">
        <v>259</v>
      </c>
      <c r="G571" s="171">
        <f>F564</f>
        <v>0</v>
      </c>
      <c r="H571">
        <f>ROUND(B564,$O$1)</f>
        <v>1.51</v>
      </c>
      <c r="I571">
        <f>ROUND(B564+'Slide Measurements'!$D$1,$O$1)</f>
        <v>77.959999999999994</v>
      </c>
      <c r="J571">
        <f>C564</f>
        <v>412.93</v>
      </c>
      <c r="K571">
        <f>C564+'Slide Measurements'!$D$2</f>
        <v>440.33</v>
      </c>
      <c r="L571" s="5" t="str">
        <f>'Expanded Base Data'!$L562</f>
        <v/>
      </c>
      <c r="M571" s="5" t="str">
        <f>'Expanded Base Data'!$K562</f>
        <v/>
      </c>
      <c r="N571">
        <f t="shared" si="491"/>
        <v>76.45</v>
      </c>
      <c r="O571">
        <f t="shared" si="492"/>
        <v>27.4</v>
      </c>
      <c r="P571" s="5" t="e">
        <f>ROUND((L571-M571),$O$1)</f>
        <v>#VALUE!</v>
      </c>
      <c r="Q571">
        <f>'Code List'!$C$70</f>
        <v>11</v>
      </c>
      <c r="R571">
        <f>'Code List'!$D$70</f>
        <v>19</v>
      </c>
      <c r="S571" t="e">
        <f>IF(P571=0,"1",ROUND((P571/$K$1)+$M$1,0))</f>
        <v>#VALUE!</v>
      </c>
      <c r="T571" t="e">
        <f>Q571*R571*S571</f>
        <v>#VALUE!</v>
      </c>
      <c r="U571" t="str">
        <f>IF(A571="YES",CONCATENATE(G571,"_",'Program Page'!$C$4,'Program Page'!$C$5,"_",D571,"_",E571),"")</f>
        <v/>
      </c>
      <c r="V571" t="str">
        <f>IF(U571="","",CONCATENATE(U571,"_"))</f>
        <v/>
      </c>
      <c r="W571" t="str">
        <f>IF(A571="YES",CONCATENATE("{",'Code List'!$B$4,'Code List'!$D$4,",",'Code List'!$B$5,'Code List'!$D$5,",",'Code List'!$B$6,"""",U571,"""",",",'Code List'!$B$7,'Code List'!$D$7,",",'Code List'!$B$8,'Code List'!$D$8,",",'Code List'!$B$9,'Code List'!$D$9,",",'Code List'!$B$10,'Code List'!$D$10,",",'Code List'!$B$11,"""",V571,"""",",",'Code List'!$B$12,"""",H571,"""",",",'Code List'!$B$13,"""",I571,"""",",",'Code List'!$B$14,"""",J571,"""",",",'Code List'!$B$15,"""",K571,"""",",",'Code List'!$B$16,"""",L571,"""",",",'Code List'!$B$17,"""",M571,"""",",",'Code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571" s="167" t="str">
        <f>IF(A571="YES",CONCATENATE("{",'Code List'!$B$31,"""",U571,"""",",",'Code List'!$B$32,'Code List'!$D$32,",",'Code List'!$B$33,'Code List'!$D$33,",",'Code List'!$B$34,'Code List'!$D$34,",",'Code List'!$B$35,'Code List'!$D$35,",",'Code List'!$B$36,'Code List'!$D$36,",",'Code List'!$B$37,'Code List'!$D$37,",",'Code List'!$B$38,"""",H571,"""",",",'Code List'!$B$39,"""",I571,"""",",",'Code List'!$B$40,"""",J571,"""",",",'Code List'!$B$41,"""",K571,"""",",",'Code List'!$B$42,"""",L571,"""",",",'Code List'!$B$43,"""",M571,"""",",",'Code List'!$B$44,"""",N571,"""",",",'Code List'!$B$45,"""",O571,"""",",",'Code List'!$B$46,"""",P571,"""",",",'Code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List'!$B$59,"""",T571,"""","}"),"")</f>
        <v/>
      </c>
    </row>
    <row r="572" spans="1:25" ht="18.75" x14ac:dyDescent="0.3">
      <c r="A572" s="35" t="str">
        <f>IF(OR(E572=$C$1,E572=$D$1,E572=$E$1),"YES","NO")</f>
        <v>NO</v>
      </c>
      <c r="B572" s="35">
        <f>'Expanded Base Data'!D570</f>
        <v>89.51</v>
      </c>
      <c r="C572" s="35">
        <f>'Expanded Base Data'!E570</f>
        <v>412.93</v>
      </c>
      <c r="D572" s="36" t="str">
        <f>'Expanded Base Data'!B570</f>
        <v>11B</v>
      </c>
      <c r="E572" s="35">
        <f>'Expanded Base Data'!C570</f>
        <v>0</v>
      </c>
      <c r="F572" s="35">
        <f>'Expanded Base Data'!M570</f>
        <v>0</v>
      </c>
      <c r="G572" s="170">
        <f>F572</f>
        <v>0</v>
      </c>
      <c r="Y572" s="167" t="str">
        <f>""</f>
        <v/>
      </c>
    </row>
    <row r="573" spans="1:25" x14ac:dyDescent="0.25">
      <c r="A573" t="str">
        <f>IF(AND($A572="YES",E572=$C$1),"YES","NO")</f>
        <v>NO</v>
      </c>
      <c r="C573" t="s">
        <v>6</v>
      </c>
      <c r="D573" s="12" t="str">
        <f>D572</f>
        <v>11B</v>
      </c>
      <c r="E573" t="s">
        <v>6</v>
      </c>
      <c r="F573" t="s">
        <v>198</v>
      </c>
      <c r="G573" s="171">
        <f>F572</f>
        <v>0</v>
      </c>
      <c r="H573">
        <f>IF('Expanded Base Data'!N570="",ROUND(B572+'Slide Measurements'!$D$11,$O$1),B572+'Expanded Base Data'!N570)</f>
        <v>122.51</v>
      </c>
      <c r="I573">
        <f>IF('Expanded Base Data'!O570="",ROUND(B572+'Slide Measurements'!$D$12,$O$1),B572+'Expanded Base Data'!O570)</f>
        <v>131.11000000000001</v>
      </c>
      <c r="J573">
        <f>IF('Expanded Base Data'!P570="",C572+'Slide Measurements'!$E$13,C572+'Expanded Base Data'!P570)</f>
        <v>421.63</v>
      </c>
      <c r="K573">
        <f>IF('Expanded Base Data'!Q570="",C572+'Slide Measurements'!$E$14,C572+'Expanded Base Data'!Q570)</f>
        <v>430.23</v>
      </c>
      <c r="L573" s="5" t="str">
        <f>'Expanded Base Data'!$L570</f>
        <v/>
      </c>
      <c r="M573" s="5" t="str">
        <f>'Expanded Base Data'!$K570</f>
        <v/>
      </c>
      <c r="N573">
        <f>ROUND((I573-H573),$O$1)</f>
        <v>8.6</v>
      </c>
      <c r="O573">
        <f>ROUND((K573-J573),$O$1)</f>
        <v>8.6</v>
      </c>
      <c r="P573" s="5" t="e">
        <f>ROUND((L573-M573),$O$1)</f>
        <v>#VALUE!</v>
      </c>
      <c r="Q573">
        <f>'Code List'!$C$62</f>
        <v>5</v>
      </c>
      <c r="R573">
        <f>F574+'Code List'!$G$63</f>
        <v>2</v>
      </c>
      <c r="S573" t="e">
        <f>IF(P573=0,"1",ROUND((P573/$K$1)+$M$1,0))</f>
        <v>#VALUE!</v>
      </c>
      <c r="T573" t="e">
        <f>Q573*R573*S573</f>
        <v>#VALUE!</v>
      </c>
      <c r="U573" t="str">
        <f>IF(A573="YES",CONCATENATE(G573,"_",'Program Page'!$C$4,'Program Page'!$C$5,"_",D573,"_",E573),"")</f>
        <v/>
      </c>
      <c r="V573" t="str">
        <f>IF(U573="","",CONCATENATE(U573,"_"))</f>
        <v/>
      </c>
      <c r="W573" t="str">
        <f>IF(A573="YES",CONCATENATE("{",'Code List'!$B$4,'Code List'!$D$4,",",'Code List'!$B$5,'Code List'!$D$5,",",'Code List'!$B$6,"""",U573,"""",",",'Code List'!$B$7,'Code List'!$D$7,",",'Code List'!$B$8,'Code List'!$D$8,",",'Code List'!$B$9,'Code List'!$D$9,",",'Code List'!$B$10,'Code List'!$D$10,",",'Code List'!$B$11,"""",V573,"""",",",'Code List'!$B$12,"""",H573,"""",",",'Code List'!$B$13,"""",I573,"""",",",'Code List'!$B$14,"""",J573,"""",",",'Code List'!$B$15,"""",K573,"""",",",'Code List'!$B$16,"""",L573,"""",",",'Code List'!$B$17,"""",M573,"""",",",'Code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73" s="167" t="str">
        <f>IF(A573="YES",CONCATENATE("{",'Code List'!$B$31,"""",U573,"""",",",'Code List'!$B$32,'Code List'!$D$32,",",'Code List'!$B$33,'Code List'!$D$33,",",'Code List'!$B$34,'Code List'!$D$34,",",'Code List'!$B$35,'Code List'!$D$35,",",'Code List'!$B$36,'Code List'!$D$36,",",'Code List'!$B$37,'Code List'!$D$37,",",'Code List'!$B$38,"""",H573,"""",",",'Code List'!$B$39,"""",I573,"""",",",'Code List'!$B$40,"""",J573,"""",",",'Code List'!$B$41,"""",K573,"""",",",'Code List'!$B$42,"""",L573,"""",",",'Code List'!$B$43,"""",M573,"""",",",'Code List'!$B$44,"""",N573,"""",",",'Code List'!$B$45,"""",O573,"""",",",'Code List'!$B$46,"""",P573,"""",",",'Code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List'!$B$59,"""",T573,"""","}"),"")</f>
        <v/>
      </c>
    </row>
    <row r="574" spans="1:25" x14ac:dyDescent="0.25">
      <c r="A574" t="str">
        <f>IF(AND($A572="YES",E572=$D$1,F574&gt;0),"YES","NO")</f>
        <v>NO</v>
      </c>
      <c r="C574" t="s">
        <v>5</v>
      </c>
      <c r="D574" s="12" t="str">
        <f t="shared" ref="D574:D578" si="497">D573</f>
        <v>11B</v>
      </c>
      <c r="E574" t="s">
        <v>188</v>
      </c>
      <c r="F574">
        <f>'Expanded Base Data'!F570</f>
        <v>0</v>
      </c>
      <c r="G574" s="171">
        <f>F572</f>
        <v>0</v>
      </c>
      <c r="H574">
        <f>ROUND(B572+'Slide Measurements'!$D$17,$O$1)</f>
        <v>114.91</v>
      </c>
      <c r="I574">
        <f>ROUND(H574+(F574*'Slide Measurements'!$D$21),$O$1)</f>
        <v>114.91</v>
      </c>
      <c r="J574">
        <f>C572+'Slide Measurements'!$E$17</f>
        <v>417.23</v>
      </c>
      <c r="K574">
        <f>J574+($I$1*'Slide Measurements'!$E$23-'Slide Measurements'!$E$23)</f>
        <v>419.08000000000004</v>
      </c>
      <c r="L574" s="5" t="str">
        <f>'Expanded Base Data'!$L570</f>
        <v/>
      </c>
      <c r="M574" s="5" t="str">
        <f>'Expanded Base Data'!$K570</f>
        <v/>
      </c>
      <c r="N574">
        <f t="shared" ref="N574:N579" si="498">ROUND((I574-H574),$O$1)</f>
        <v>0</v>
      </c>
      <c r="O574">
        <f t="shared" ref="O574:O579" si="499">ROUND((K574-J574),$O$1)</f>
        <v>1.85</v>
      </c>
      <c r="P574" s="5" t="e">
        <f t="shared" ref="P574:P578" si="500">ROUND((L574-M574),$O$1)</f>
        <v>#VALUE!</v>
      </c>
      <c r="Q574">
        <f>'Code List'!$C$63</f>
        <v>3</v>
      </c>
      <c r="R574">
        <f>F575+'Code List'!$G$63</f>
        <v>2</v>
      </c>
      <c r="S574" t="e">
        <f t="shared" ref="S574:S578" si="501">IF(P574=0,"1",ROUND((P574/$K$1)+$M$1,0))</f>
        <v>#VALUE!</v>
      </c>
      <c r="T574" t="e">
        <f>Q574*R574*S574</f>
        <v>#VALUE!</v>
      </c>
      <c r="U574" t="str">
        <f>IF(A574="YES",CONCATENATE(G574,"_",'Program Page'!$C$4,'Program Page'!$C$5,"_",D574,"_",E574),"")</f>
        <v/>
      </c>
      <c r="V574" t="str">
        <f t="shared" ref="V574:V578" si="502">IF(U574="","",CONCATENATE(U574,"_"))</f>
        <v/>
      </c>
      <c r="W574" t="str">
        <f>IF(A574="YES",CONCATENATE("{",'Code List'!$B$4,'Code List'!$D$4,",",'Code List'!$B$5,'Code List'!$D$5,",",'Code List'!$B$6,"""",U574,"""",",",'Code List'!$B$7,'Code List'!$D$7,",",'Code List'!$B$8,'Code List'!$D$8,",",'Code List'!$B$9,'Code List'!$D$9,",",'Code List'!$B$10,'Code List'!$D$10,",",'Code List'!$B$11,"""",V574,"""",",",'Code List'!$B$12,"""",H574,"""",",",'Code List'!$B$13,"""",I574,"""",",",'Code List'!$B$14,"""",J574,"""",",",'Code List'!$B$15,"""",K574,"""",",",'Code List'!$B$16,"""",L574,"""",",",'Code List'!$B$17,"""",M574,"""",",",'Code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74" s="167" t="str">
        <f>IF(A574="YES",CONCATENATE("{",'Code List'!$B$31,"""",U574,"""",",",'Code List'!$B$32,'Code List'!$D$32,",",'Code List'!$B$33,'Code List'!$D$33,",",'Code List'!$B$34,'Code List'!$D$34,",",'Code List'!$B$35,'Code List'!$D$35,",",'Code List'!$B$36,'Code List'!$D$36,",",'Code List'!$B$37,'Code List'!$D$37,",",'Code List'!$B$38,"""",H574,"""",",",'Code List'!$B$39,"""",I574,"""",",",'Code List'!$B$40,"""",J574,"""",",",'Code List'!$B$41,"""",K574,"""",",",'Code List'!$B$42,"""",L574,"""",",",'Code List'!$B$43,"""",M574,"""",",",'Code List'!$B$44,"""",N574,"""",",",'Code List'!$B$45,"""",O574,"""",",",'Code List'!$B$46,"""",P574,"""",",",'Code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List'!$B$59,"""",T574,"""","}"),"")</f>
        <v/>
      </c>
    </row>
    <row r="575" spans="1:25" x14ac:dyDescent="0.25">
      <c r="A575" t="str">
        <f>IF(AND($A572="YES",E572=$D$1,F575&gt;0),"YES","NO")</f>
        <v>NO</v>
      </c>
      <c r="C575" t="s">
        <v>5</v>
      </c>
      <c r="D575" s="12" t="str">
        <f t="shared" si="497"/>
        <v>11B</v>
      </c>
      <c r="E575" t="s">
        <v>189</v>
      </c>
      <c r="F575">
        <f>'Expanded Base Data'!G570</f>
        <v>0</v>
      </c>
      <c r="G575" s="171">
        <f>F572</f>
        <v>0</v>
      </c>
      <c r="H575">
        <f>ROUND(B572+'Slide Measurements'!$D$17,$O$1)</f>
        <v>114.91</v>
      </c>
      <c r="I575">
        <f>ROUND(H575+(F575*'Slide Measurements'!$D$21),$O$1)</f>
        <v>114.91</v>
      </c>
      <c r="J575">
        <f>K574</f>
        <v>419.08000000000004</v>
      </c>
      <c r="K575">
        <f>J575+($I$1*'Slide Measurements'!$E$23-'Slide Measurements'!$E$23)</f>
        <v>420.93000000000006</v>
      </c>
      <c r="L575" s="5" t="str">
        <f>'Expanded Base Data'!$L570</f>
        <v/>
      </c>
      <c r="M575" s="5" t="str">
        <f>'Expanded Base Data'!$K570</f>
        <v/>
      </c>
      <c r="N575">
        <f t="shared" si="498"/>
        <v>0</v>
      </c>
      <c r="O575">
        <f t="shared" si="499"/>
        <v>1.85</v>
      </c>
      <c r="P575" s="5" t="e">
        <f t="shared" si="500"/>
        <v>#VALUE!</v>
      </c>
      <c r="Q575">
        <f>'Code List'!$C$63</f>
        <v>3</v>
      </c>
      <c r="R575">
        <f>F576+'Code List'!$G$63</f>
        <v>2</v>
      </c>
      <c r="S575" t="e">
        <f t="shared" si="501"/>
        <v>#VALUE!</v>
      </c>
      <c r="T575" t="e">
        <f t="shared" ref="T575:T578" si="503">Q575*R575*S575</f>
        <v>#VALUE!</v>
      </c>
      <c r="U575" t="str">
        <f>IF(A575="YES",CONCATENATE(G575,"_",'Program Page'!$C$4,'Program Page'!$C$5,"_",D575,"_",E575),"")</f>
        <v/>
      </c>
      <c r="V575" t="str">
        <f t="shared" si="502"/>
        <v/>
      </c>
      <c r="W575" t="str">
        <f>IF(A575="YES",CONCATENATE("{",'Code List'!$B$4,'Code List'!$D$4,",",'Code List'!$B$5,'Code List'!$D$5,",",'Code List'!$B$6,"""",U575,"""",",",'Code List'!$B$7,'Code List'!$D$7,",",'Code List'!$B$8,'Code List'!$D$8,",",'Code List'!$B$9,'Code List'!$D$9,",",'Code List'!$B$10,'Code List'!$D$10,",",'Code List'!$B$11,"""",V575,"""",",",'Code List'!$B$12,"""",H575,"""",",",'Code List'!$B$13,"""",I575,"""",",",'Code List'!$B$14,"""",J575,"""",",",'Code List'!$B$15,"""",K575,"""",",",'Code List'!$B$16,"""",L575,"""",",",'Code List'!$B$17,"""",M575,"""",",",'Code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75" s="167" t="str">
        <f>IF(A575="YES",CONCATENATE("{",'Code List'!$B$31,"""",U575,"""",",",'Code List'!$B$32,'Code List'!$D$32,",",'Code List'!$B$33,'Code List'!$D$33,",",'Code List'!$B$34,'Code List'!$D$34,",",'Code List'!$B$35,'Code List'!$D$35,",",'Code List'!$B$36,'Code List'!$D$36,",",'Code List'!$B$37,'Code List'!$D$37,",",'Code List'!$B$38,"""",H575,"""",",",'Code List'!$B$39,"""",I575,"""",",",'Code List'!$B$40,"""",J575,"""",",",'Code List'!$B$41,"""",K575,"""",",",'Code List'!$B$42,"""",L575,"""",",",'Code List'!$B$43,"""",M575,"""",",",'Code List'!$B$44,"""",N575,"""",",",'Code List'!$B$45,"""",O575,"""",",",'Code List'!$B$46,"""",P575,"""",",",'Code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List'!$B$59,"""",T575,"""","}"),"")</f>
        <v/>
      </c>
    </row>
    <row r="576" spans="1:25" x14ac:dyDescent="0.25">
      <c r="A576" t="str">
        <f>IF(AND($A572="YES",E572=$D$1,F576&gt;0),"YES","NO")</f>
        <v>NO</v>
      </c>
      <c r="C576" t="s">
        <v>5</v>
      </c>
      <c r="D576" s="12" t="str">
        <f t="shared" si="497"/>
        <v>11B</v>
      </c>
      <c r="E576" t="s">
        <v>190</v>
      </c>
      <c r="F576">
        <f>'Expanded Base Data'!H570</f>
        <v>0</v>
      </c>
      <c r="G576" s="171">
        <f>F572</f>
        <v>0</v>
      </c>
      <c r="H576">
        <f>ROUND(B572+'Slide Measurements'!$D$17,$O$1)</f>
        <v>114.91</v>
      </c>
      <c r="I576">
        <f>ROUND(H576+(F576*'Slide Measurements'!$D$21),$O$1)</f>
        <v>114.91</v>
      </c>
      <c r="J576">
        <f>K575</f>
        <v>420.93000000000006</v>
      </c>
      <c r="K576">
        <f>J576+($I$1*'Slide Measurements'!$E$23-'Slide Measurements'!$E$23)</f>
        <v>422.78000000000009</v>
      </c>
      <c r="L576" s="5" t="str">
        <f>'Expanded Base Data'!$L570</f>
        <v/>
      </c>
      <c r="M576" s="5" t="str">
        <f>'Expanded Base Data'!$K570</f>
        <v/>
      </c>
      <c r="N576">
        <f t="shared" si="498"/>
        <v>0</v>
      </c>
      <c r="O576">
        <f t="shared" si="499"/>
        <v>1.85</v>
      </c>
      <c r="P576" s="5" t="e">
        <f t="shared" si="500"/>
        <v>#VALUE!</v>
      </c>
      <c r="Q576">
        <f>'Code List'!$C$63</f>
        <v>3</v>
      </c>
      <c r="R576">
        <f>F577+'Code List'!$G$63</f>
        <v>2</v>
      </c>
      <c r="S576" t="e">
        <f t="shared" si="501"/>
        <v>#VALUE!</v>
      </c>
      <c r="T576" t="e">
        <f t="shared" si="503"/>
        <v>#VALUE!</v>
      </c>
      <c r="U576" t="str">
        <f>IF(A576="YES",CONCATENATE(G576,"_",'Program Page'!$C$4,'Program Page'!$C$5,"_",D576,"_",E576),"")</f>
        <v/>
      </c>
      <c r="V576" t="str">
        <f t="shared" si="502"/>
        <v/>
      </c>
      <c r="W576" t="str">
        <f>IF(A576="YES",CONCATENATE("{",'Code List'!$B$4,'Code List'!$D$4,",",'Code List'!$B$5,'Code List'!$D$5,",",'Code List'!$B$6,"""",U576,"""",",",'Code List'!$B$7,'Code List'!$D$7,",",'Code List'!$B$8,'Code List'!$D$8,",",'Code List'!$B$9,'Code List'!$D$9,",",'Code List'!$B$10,'Code List'!$D$10,",",'Code List'!$B$11,"""",V576,"""",",",'Code List'!$B$12,"""",H576,"""",",",'Code List'!$B$13,"""",I576,"""",",",'Code List'!$B$14,"""",J576,"""",",",'Code List'!$B$15,"""",K576,"""",",",'Code List'!$B$16,"""",L576,"""",",",'Code List'!$B$17,"""",M576,"""",",",'Code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76" s="167" t="str">
        <f>IF(A576="YES",CONCATENATE("{",'Code List'!$B$31,"""",U576,"""",",",'Code List'!$B$32,'Code List'!$D$32,",",'Code List'!$B$33,'Code List'!$D$33,",",'Code List'!$B$34,'Code List'!$D$34,",",'Code List'!$B$35,'Code List'!$D$35,",",'Code List'!$B$36,'Code List'!$D$36,",",'Code List'!$B$37,'Code List'!$D$37,",",'Code List'!$B$38,"""",H576,"""",",",'Code List'!$B$39,"""",I576,"""",",",'Code List'!$B$40,"""",J576,"""",",",'Code List'!$B$41,"""",K576,"""",",",'Code List'!$B$42,"""",L576,"""",",",'Code List'!$B$43,"""",M576,"""",",",'Code List'!$B$44,"""",N576,"""",",",'Code List'!$B$45,"""",O576,"""",",",'Code List'!$B$46,"""",P576,"""",",",'Code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List'!$B$59,"""",T576,"""","}"),"")</f>
        <v/>
      </c>
    </row>
    <row r="577" spans="1:25" x14ac:dyDescent="0.25">
      <c r="A577" t="str">
        <f>IF(AND($A572="YES",E572=$D$1,F577&gt;0),"YES","NO")</f>
        <v>NO</v>
      </c>
      <c r="C577" t="s">
        <v>5</v>
      </c>
      <c r="D577" s="12" t="str">
        <f t="shared" si="497"/>
        <v>11B</v>
      </c>
      <c r="E577" t="s">
        <v>191</v>
      </c>
      <c r="F577">
        <f>'Expanded Base Data'!I570</f>
        <v>0</v>
      </c>
      <c r="G577" s="171">
        <f>F572</f>
        <v>0</v>
      </c>
      <c r="H577">
        <f>ROUND(B572+'Slide Measurements'!$D$17,$O$1)</f>
        <v>114.91</v>
      </c>
      <c r="I577">
        <f>ROUND(H577+(F577*'Slide Measurements'!$D$21),$O$1)</f>
        <v>114.91</v>
      </c>
      <c r="J577">
        <f>K576</f>
        <v>422.78000000000009</v>
      </c>
      <c r="K577">
        <f>J577+($I$1*'Slide Measurements'!$E$23-'Slide Measurements'!$E$23)</f>
        <v>424.63000000000011</v>
      </c>
      <c r="L577" s="5" t="str">
        <f>'Expanded Base Data'!$L570</f>
        <v/>
      </c>
      <c r="M577" s="5" t="str">
        <f>'Expanded Base Data'!$K570</f>
        <v/>
      </c>
      <c r="N577">
        <f t="shared" si="498"/>
        <v>0</v>
      </c>
      <c r="O577">
        <f t="shared" si="499"/>
        <v>1.85</v>
      </c>
      <c r="P577" s="5" t="e">
        <f t="shared" si="500"/>
        <v>#VALUE!</v>
      </c>
      <c r="Q577">
        <f>'Code List'!$C$63</f>
        <v>3</v>
      </c>
      <c r="R577">
        <f>F578+'Code List'!$G$63</f>
        <v>2</v>
      </c>
      <c r="S577" t="e">
        <f t="shared" si="501"/>
        <v>#VALUE!</v>
      </c>
      <c r="T577" t="e">
        <f t="shared" si="503"/>
        <v>#VALUE!</v>
      </c>
      <c r="U577" t="str">
        <f>IF(A577="YES",CONCATENATE(G577,"_",'Program Page'!$C$4,'Program Page'!$C$5,"_",D577,"_",E577),"")</f>
        <v/>
      </c>
      <c r="V577" t="str">
        <f t="shared" si="502"/>
        <v/>
      </c>
      <c r="W577" t="str">
        <f>IF(A577="YES",CONCATENATE("{",'Code List'!$B$4,'Code List'!$D$4,",",'Code List'!$B$5,'Code List'!$D$5,",",'Code List'!$B$6,"""",U577,"""",",",'Code List'!$B$7,'Code List'!$D$7,",",'Code List'!$B$8,'Code List'!$D$8,",",'Code List'!$B$9,'Code List'!$D$9,",",'Code List'!$B$10,'Code List'!$D$10,",",'Code List'!$B$11,"""",V577,"""",",",'Code List'!$B$12,"""",H577,"""",",",'Code List'!$B$13,"""",I577,"""",",",'Code List'!$B$14,"""",J577,"""",",",'Code List'!$B$15,"""",K577,"""",",",'Code List'!$B$16,"""",L577,"""",",",'Code List'!$B$17,"""",M577,"""",",",'Code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77" s="167" t="str">
        <f>IF(A577="YES",CONCATENATE("{",'Code List'!$B$31,"""",U577,"""",",",'Code List'!$B$32,'Code List'!$D$32,",",'Code List'!$B$33,'Code List'!$D$33,",",'Code List'!$B$34,'Code List'!$D$34,",",'Code List'!$B$35,'Code List'!$D$35,",",'Code List'!$B$36,'Code List'!$D$36,",",'Code List'!$B$37,'Code List'!$D$37,",",'Code List'!$B$38,"""",H577,"""",",",'Code List'!$B$39,"""",I577,"""",",",'Code List'!$B$40,"""",J577,"""",",",'Code List'!$B$41,"""",K577,"""",",",'Code List'!$B$42,"""",L577,"""",",",'Code List'!$B$43,"""",M577,"""",",",'Code List'!$B$44,"""",N577,"""",",",'Code List'!$B$45,"""",O577,"""",",",'Code List'!$B$46,"""",P577,"""",",",'Code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List'!$B$59,"""",T577,"""","}"),"")</f>
        <v/>
      </c>
    </row>
    <row r="578" spans="1:25" x14ac:dyDescent="0.25">
      <c r="A578" t="str">
        <f>IF(AND($A572="YES",E572=$D$1,F578&gt;0),"YES","NO")</f>
        <v>NO</v>
      </c>
      <c r="C578" t="s">
        <v>5</v>
      </c>
      <c r="D578" s="12" t="str">
        <f t="shared" si="497"/>
        <v>11B</v>
      </c>
      <c r="E578" t="s">
        <v>196</v>
      </c>
      <c r="F578">
        <f>'Expanded Base Data'!J570</f>
        <v>0</v>
      </c>
      <c r="G578" s="171">
        <f>F572</f>
        <v>0</v>
      </c>
      <c r="H578">
        <f>ROUND(B572+'Slide Measurements'!$D$17,$O$1)</f>
        <v>114.91</v>
      </c>
      <c r="I578">
        <f>ROUND(H578+(F578*'Slide Measurements'!$D$21),$O$1)</f>
        <v>114.91</v>
      </c>
      <c r="J578">
        <f>K577</f>
        <v>424.63000000000011</v>
      </c>
      <c r="K578">
        <f>J578+($I$1*'Slide Measurements'!$E$23-'Slide Measurements'!$E$23)</f>
        <v>426.48000000000013</v>
      </c>
      <c r="L578" s="5" t="str">
        <f>'Expanded Base Data'!$L570</f>
        <v/>
      </c>
      <c r="M578" s="5" t="str">
        <f>'Expanded Base Data'!$K570</f>
        <v/>
      </c>
      <c r="N578">
        <f t="shared" si="498"/>
        <v>0</v>
      </c>
      <c r="O578">
        <f t="shared" si="499"/>
        <v>1.85</v>
      </c>
      <c r="P578" s="5" t="e">
        <f t="shared" si="500"/>
        <v>#VALUE!</v>
      </c>
      <c r="Q578">
        <f>'Code List'!$C$63</f>
        <v>3</v>
      </c>
      <c r="R578">
        <f>F579+'Code List'!$G$63</f>
        <v>2</v>
      </c>
      <c r="S578" t="e">
        <f t="shared" si="501"/>
        <v>#VALUE!</v>
      </c>
      <c r="T578" t="e">
        <f t="shared" si="503"/>
        <v>#VALUE!</v>
      </c>
      <c r="U578" t="str">
        <f>IF(A578="YES",CONCATENATE(G578,"_",'Program Page'!$C$4,'Program Page'!$C$5,"_",D578,"_",E578),"")</f>
        <v/>
      </c>
      <c r="V578" t="str">
        <f t="shared" si="502"/>
        <v/>
      </c>
      <c r="W578" t="str">
        <f>IF(A578="YES",CONCATENATE("{",'Code List'!$B$4,'Code List'!$D$4,",",'Code List'!$B$5,'Code List'!$D$5,",",'Code List'!$B$6,"""",U578,"""",",",'Code List'!$B$7,'Code List'!$D$7,",",'Code List'!$B$8,'Code List'!$D$8,",",'Code List'!$B$9,'Code List'!$D$9,",",'Code List'!$B$10,'Code List'!$D$10,",",'Code List'!$B$11,"""",V578,"""",",",'Code List'!$B$12,"""",H578,"""",",",'Code List'!$B$13,"""",I578,"""",",",'Code List'!$B$14,"""",J578,"""",",",'Code List'!$B$15,"""",K578,"""",",",'Code List'!$B$16,"""",L578,"""",",",'Code List'!$B$17,"""",M578,"""",",",'Code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78" s="167" t="str">
        <f>IF(A578="YES",CONCATENATE("{",'Code List'!$B$31,"""",U578,"""",",",'Code List'!$B$32,'Code List'!$D$32,",",'Code List'!$B$33,'Code List'!$D$33,",",'Code List'!$B$34,'Code List'!$D$34,",",'Code List'!$B$35,'Code List'!$D$35,",",'Code List'!$B$36,'Code List'!$D$36,",",'Code List'!$B$37,'Code List'!$D$37,",",'Code List'!$B$38,"""",H578,"""",",",'Code List'!$B$39,"""",I578,"""",",",'Code List'!$B$40,"""",J578,"""",",",'Code List'!$B$41,"""",K578,"""",",",'Code List'!$B$42,"""",L578,"""",",",'Code List'!$B$43,"""",M578,"""",",",'Code List'!$B$44,"""",N578,"""",",",'Code List'!$B$45,"""",O578,"""",",",'Code List'!$B$46,"""",P578,"""",",",'Code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List'!$B$59,"""",T578,"""","}"),"")</f>
        <v/>
      </c>
    </row>
    <row r="579" spans="1:25" x14ac:dyDescent="0.25">
      <c r="A579" s="162" t="str">
        <f>IF(AND($A572="YES",E572=$E$1),"YES","NO")</f>
        <v>NO</v>
      </c>
      <c r="C579" t="s">
        <v>259</v>
      </c>
      <c r="D579" s="12" t="str">
        <f>D578</f>
        <v>11B</v>
      </c>
      <c r="E579" t="s">
        <v>259</v>
      </c>
      <c r="G579" s="171">
        <f>F572</f>
        <v>0</v>
      </c>
      <c r="H579">
        <f>ROUND(B572,$O$1)</f>
        <v>89.51</v>
      </c>
      <c r="I579">
        <f>ROUND(B572+'Slide Measurements'!$D$1,$O$1)</f>
        <v>165.96</v>
      </c>
      <c r="J579">
        <f>C572</f>
        <v>412.93</v>
      </c>
      <c r="K579">
        <f>C572+'Slide Measurements'!$D$2</f>
        <v>440.33</v>
      </c>
      <c r="L579" s="5" t="str">
        <f>'Expanded Base Data'!$L570</f>
        <v/>
      </c>
      <c r="M579" s="5" t="str">
        <f>'Expanded Base Data'!$K570</f>
        <v/>
      </c>
      <c r="N579">
        <f t="shared" si="498"/>
        <v>76.45</v>
      </c>
      <c r="O579">
        <f t="shared" si="499"/>
        <v>27.4</v>
      </c>
      <c r="P579" s="5" t="e">
        <f>ROUND((L579-M579),$O$1)</f>
        <v>#VALUE!</v>
      </c>
      <c r="Q579">
        <f>'Code List'!$C$70</f>
        <v>11</v>
      </c>
      <c r="R579">
        <f>'Code List'!$D$70</f>
        <v>19</v>
      </c>
      <c r="S579" t="e">
        <f>IF(P579=0,"1",ROUND((P579/$K$1)+$M$1,0))</f>
        <v>#VALUE!</v>
      </c>
      <c r="T579" t="e">
        <f>Q579*R579*S579</f>
        <v>#VALUE!</v>
      </c>
      <c r="U579" t="str">
        <f>IF(A579="YES",CONCATENATE(G579,"_",'Program Page'!$C$4,'Program Page'!$C$5,"_",D579,"_",E579),"")</f>
        <v/>
      </c>
      <c r="V579" t="str">
        <f>IF(U579="","",CONCATENATE(U579,"_"))</f>
        <v/>
      </c>
      <c r="W579" t="str">
        <f>IF(A579="YES",CONCATENATE("{",'Code List'!$B$4,'Code List'!$D$4,",",'Code List'!$B$5,'Code List'!$D$5,",",'Code List'!$B$6,"""",U579,"""",",",'Code List'!$B$7,'Code List'!$D$7,",",'Code List'!$B$8,'Code List'!$D$8,",",'Code List'!$B$9,'Code List'!$D$9,",",'Code List'!$B$10,'Code List'!$D$10,",",'Code List'!$B$11,"""",V579,"""",",",'Code List'!$B$12,"""",H579,"""",",",'Code List'!$B$13,"""",I579,"""",",",'Code List'!$B$14,"""",J579,"""",",",'Code List'!$B$15,"""",K579,"""",",",'Code List'!$B$16,"""",L579,"""",",",'Code List'!$B$17,"""",M579,"""",",",'Code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579" s="167" t="str">
        <f>IF(A579="YES",CONCATENATE("{",'Code List'!$B$31,"""",U579,"""",",",'Code List'!$B$32,'Code List'!$D$32,",",'Code List'!$B$33,'Code List'!$D$33,",",'Code List'!$B$34,'Code List'!$D$34,",",'Code List'!$B$35,'Code List'!$D$35,",",'Code List'!$B$36,'Code List'!$D$36,",",'Code List'!$B$37,'Code List'!$D$37,",",'Code List'!$B$38,"""",H579,"""",",",'Code List'!$B$39,"""",I579,"""",",",'Code List'!$B$40,"""",J579,"""",",",'Code List'!$B$41,"""",K579,"""",",",'Code List'!$B$42,"""",L579,"""",",",'Code List'!$B$43,"""",M579,"""",",",'Code List'!$B$44,"""",N579,"""",",",'Code List'!$B$45,"""",O579,"""",",",'Code List'!$B$46,"""",P579,"""",",",'Code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List'!$B$59,"""",T579,"""","}"),"")</f>
        <v/>
      </c>
    </row>
    <row r="580" spans="1:25" ht="18.75" x14ac:dyDescent="0.3">
      <c r="A580" s="35" t="str">
        <f>IF(OR(E580=$C$1,E580=$D$1,E580=$E$1),"YES","NO")</f>
        <v>NO</v>
      </c>
      <c r="B580" s="35">
        <f>'Expanded Base Data'!D578</f>
        <v>176.11</v>
      </c>
      <c r="C580" s="35">
        <f>'Expanded Base Data'!E578</f>
        <v>412.93</v>
      </c>
      <c r="D580" s="36" t="str">
        <f>'Expanded Base Data'!B578</f>
        <v>11C</v>
      </c>
      <c r="E580" s="35">
        <f>'Expanded Base Data'!C578</f>
        <v>0</v>
      </c>
      <c r="F580" s="35">
        <f>'Expanded Base Data'!M578</f>
        <v>0</v>
      </c>
      <c r="G580" s="170">
        <f>F580</f>
        <v>0</v>
      </c>
      <c r="Y580" s="167" t="str">
        <f>""</f>
        <v/>
      </c>
    </row>
    <row r="581" spans="1:25" x14ac:dyDescent="0.25">
      <c r="A581" t="str">
        <f>IF(AND($A580="YES",E580=$C$1),"YES","NO")</f>
        <v>NO</v>
      </c>
      <c r="C581" t="s">
        <v>6</v>
      </c>
      <c r="D581" s="12" t="str">
        <f>D580</f>
        <v>11C</v>
      </c>
      <c r="E581" t="s">
        <v>6</v>
      </c>
      <c r="F581" t="s">
        <v>198</v>
      </c>
      <c r="G581" s="171">
        <f>F580</f>
        <v>0</v>
      </c>
      <c r="H581">
        <f>IF('Expanded Base Data'!N578="",ROUND(B580+'Slide Measurements'!$D$11,$O$1),B580+'Expanded Base Data'!N578)</f>
        <v>209.11</v>
      </c>
      <c r="I581">
        <f>IF('Expanded Base Data'!O578="",ROUND(B580+'Slide Measurements'!$D$12,$O$1),B580+'Expanded Base Data'!O578)</f>
        <v>217.71</v>
      </c>
      <c r="J581">
        <f>IF('Expanded Base Data'!P578="",C580+'Slide Measurements'!$E$13,C580+'Expanded Base Data'!P578)</f>
        <v>421.63</v>
      </c>
      <c r="K581">
        <f>IF('Expanded Base Data'!Q578="",C580+'Slide Measurements'!$E$14,C580+'Expanded Base Data'!Q578)</f>
        <v>430.23</v>
      </c>
      <c r="L581" s="5" t="str">
        <f>'Expanded Base Data'!$L578</f>
        <v/>
      </c>
      <c r="M581" s="5" t="str">
        <f>'Expanded Base Data'!$K578</f>
        <v/>
      </c>
      <c r="N581">
        <f>ROUND((I581-H581),$O$1)</f>
        <v>8.6</v>
      </c>
      <c r="O581">
        <f>ROUND((K581-J581),$O$1)</f>
        <v>8.6</v>
      </c>
      <c r="P581" s="5" t="e">
        <f>ROUND((L581-M581),$O$1)</f>
        <v>#VALUE!</v>
      </c>
      <c r="Q581">
        <f>'Code List'!$C$62</f>
        <v>5</v>
      </c>
      <c r="R581">
        <f>F582+'Code List'!$G$63</f>
        <v>2</v>
      </c>
      <c r="S581" t="e">
        <f>IF(P581=0,"1",ROUND((P581/$K$1)+$M$1,0))</f>
        <v>#VALUE!</v>
      </c>
      <c r="T581" t="e">
        <f>Q581*R581*S581</f>
        <v>#VALUE!</v>
      </c>
      <c r="U581" t="str">
        <f>IF(A581="YES",CONCATENATE(G581,"_",'Program Page'!$C$4,'Program Page'!$C$5,"_",D581,"_",E581),"")</f>
        <v/>
      </c>
      <c r="V581" t="str">
        <f>IF(U581="","",CONCATENATE(U581,"_"))</f>
        <v/>
      </c>
      <c r="W581" t="str">
        <f>IF(A581="YES",CONCATENATE("{",'Code List'!$B$4,'Code List'!$D$4,",",'Code List'!$B$5,'Code List'!$D$5,",",'Code List'!$B$6,"""",U581,"""",",",'Code List'!$B$7,'Code List'!$D$7,",",'Code List'!$B$8,'Code List'!$D$8,",",'Code List'!$B$9,'Code List'!$D$9,",",'Code List'!$B$10,'Code List'!$D$10,",",'Code List'!$B$11,"""",V581,"""",",",'Code List'!$B$12,"""",H581,"""",",",'Code List'!$B$13,"""",I581,"""",",",'Code List'!$B$14,"""",J581,"""",",",'Code List'!$B$15,"""",K581,"""",",",'Code List'!$B$16,"""",L581,"""",",",'Code List'!$B$17,"""",M581,"""",",",'Code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81" s="167" t="str">
        <f>IF(A581="YES",CONCATENATE("{",'Code List'!$B$31,"""",U581,"""",",",'Code List'!$B$32,'Code List'!$D$32,",",'Code List'!$B$33,'Code List'!$D$33,",",'Code List'!$B$34,'Code List'!$D$34,",",'Code List'!$B$35,'Code List'!$D$35,",",'Code List'!$B$36,'Code List'!$D$36,",",'Code List'!$B$37,'Code List'!$D$37,",",'Code List'!$B$38,"""",H581,"""",",",'Code List'!$B$39,"""",I581,"""",",",'Code List'!$B$40,"""",J581,"""",",",'Code List'!$B$41,"""",K581,"""",",",'Code List'!$B$42,"""",L581,"""",",",'Code List'!$B$43,"""",M581,"""",",",'Code List'!$B$44,"""",N581,"""",",",'Code List'!$B$45,"""",O581,"""",",",'Code List'!$B$46,"""",P581,"""",",",'Code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List'!$B$59,"""",T581,"""","}"),"")</f>
        <v/>
      </c>
    </row>
    <row r="582" spans="1:25" x14ac:dyDescent="0.25">
      <c r="A582" t="str">
        <f>IF(AND($A580="YES",E580=$D$1,F582&gt;0),"YES","NO")</f>
        <v>NO</v>
      </c>
      <c r="C582" t="s">
        <v>5</v>
      </c>
      <c r="D582" s="12" t="str">
        <f t="shared" ref="D582:D586" si="504">D581</f>
        <v>11C</v>
      </c>
      <c r="E582" t="s">
        <v>188</v>
      </c>
      <c r="F582">
        <f>'Expanded Base Data'!F578</f>
        <v>0</v>
      </c>
      <c r="G582" s="171">
        <f>F580</f>
        <v>0</v>
      </c>
      <c r="H582">
        <f>ROUND(B580+'Slide Measurements'!$D$17,$O$1)</f>
        <v>201.51</v>
      </c>
      <c r="I582">
        <f>ROUND(H582+(F582*'Slide Measurements'!$D$21),$O$1)</f>
        <v>201.51</v>
      </c>
      <c r="J582">
        <f>C580+'Slide Measurements'!$E$17</f>
        <v>417.23</v>
      </c>
      <c r="K582">
        <f>J582+($I$1*'Slide Measurements'!$E$23-'Slide Measurements'!$E$23)</f>
        <v>419.08000000000004</v>
      </c>
      <c r="L582" s="5" t="str">
        <f>'Expanded Base Data'!$L578</f>
        <v/>
      </c>
      <c r="M582" s="5" t="str">
        <f>'Expanded Base Data'!$K578</f>
        <v/>
      </c>
      <c r="N582">
        <f t="shared" ref="N582:N587" si="505">ROUND((I582-H582),$O$1)</f>
        <v>0</v>
      </c>
      <c r="O582">
        <f t="shared" ref="O582:O587" si="506">ROUND((K582-J582),$O$1)</f>
        <v>1.85</v>
      </c>
      <c r="P582" s="5" t="e">
        <f t="shared" ref="P582:P586" si="507">ROUND((L582-M582),$O$1)</f>
        <v>#VALUE!</v>
      </c>
      <c r="Q582">
        <f>'Code List'!$C$63</f>
        <v>3</v>
      </c>
      <c r="R582">
        <f>F583+'Code List'!$G$63</f>
        <v>2</v>
      </c>
      <c r="S582" t="e">
        <f t="shared" ref="S582:S586" si="508">IF(P582=0,"1",ROUND((P582/$K$1)+$M$1,0))</f>
        <v>#VALUE!</v>
      </c>
      <c r="T582" t="e">
        <f>Q582*R582*S582</f>
        <v>#VALUE!</v>
      </c>
      <c r="U582" t="str">
        <f>IF(A582="YES",CONCATENATE(G582,"_",'Program Page'!$C$4,'Program Page'!$C$5,"_",D582,"_",E582),"")</f>
        <v/>
      </c>
      <c r="V582" t="str">
        <f t="shared" ref="V582:V586" si="509">IF(U582="","",CONCATENATE(U582,"_"))</f>
        <v/>
      </c>
      <c r="W582" t="str">
        <f>IF(A582="YES",CONCATENATE("{",'Code List'!$B$4,'Code List'!$D$4,",",'Code List'!$B$5,'Code List'!$D$5,",",'Code List'!$B$6,"""",U582,"""",",",'Code List'!$B$7,'Code List'!$D$7,",",'Code List'!$B$8,'Code List'!$D$8,",",'Code List'!$B$9,'Code List'!$D$9,",",'Code List'!$B$10,'Code List'!$D$10,",",'Code List'!$B$11,"""",V582,"""",",",'Code List'!$B$12,"""",H582,"""",",",'Code List'!$B$13,"""",I582,"""",",",'Code List'!$B$14,"""",J582,"""",",",'Code List'!$B$15,"""",K582,"""",",",'Code List'!$B$16,"""",L582,"""",",",'Code List'!$B$17,"""",M582,"""",",",'Code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82" s="167" t="str">
        <f>IF(A582="YES",CONCATENATE("{",'Code List'!$B$31,"""",U582,"""",",",'Code List'!$B$32,'Code List'!$D$32,",",'Code List'!$B$33,'Code List'!$D$33,",",'Code List'!$B$34,'Code List'!$D$34,",",'Code List'!$B$35,'Code List'!$D$35,",",'Code List'!$B$36,'Code List'!$D$36,",",'Code List'!$B$37,'Code List'!$D$37,",",'Code List'!$B$38,"""",H582,"""",",",'Code List'!$B$39,"""",I582,"""",",",'Code List'!$B$40,"""",J582,"""",",",'Code List'!$B$41,"""",K582,"""",",",'Code List'!$B$42,"""",L582,"""",",",'Code List'!$B$43,"""",M582,"""",",",'Code List'!$B$44,"""",N582,"""",",",'Code List'!$B$45,"""",O582,"""",",",'Code List'!$B$46,"""",P582,"""",",",'Code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List'!$B$59,"""",T582,"""","}"),"")</f>
        <v/>
      </c>
    </row>
    <row r="583" spans="1:25" x14ac:dyDescent="0.25">
      <c r="A583" t="str">
        <f>IF(AND($A580="YES",E580=$D$1,F583&gt;0),"YES","NO")</f>
        <v>NO</v>
      </c>
      <c r="C583" t="s">
        <v>5</v>
      </c>
      <c r="D583" s="12" t="str">
        <f t="shared" si="504"/>
        <v>11C</v>
      </c>
      <c r="E583" t="s">
        <v>189</v>
      </c>
      <c r="F583">
        <f>'Expanded Base Data'!G578</f>
        <v>0</v>
      </c>
      <c r="G583" s="171">
        <f>F580</f>
        <v>0</v>
      </c>
      <c r="H583">
        <f>ROUND(B580+'Slide Measurements'!$D$17,$O$1)</f>
        <v>201.51</v>
      </c>
      <c r="I583">
        <f>ROUND(H583+(F583*'Slide Measurements'!$D$21),$O$1)</f>
        <v>201.51</v>
      </c>
      <c r="J583">
        <f>K582</f>
        <v>419.08000000000004</v>
      </c>
      <c r="K583">
        <f>J583+($I$1*'Slide Measurements'!$E$23-'Slide Measurements'!$E$23)</f>
        <v>420.93000000000006</v>
      </c>
      <c r="L583" s="5" t="str">
        <f>'Expanded Base Data'!$L578</f>
        <v/>
      </c>
      <c r="M583" s="5" t="str">
        <f>'Expanded Base Data'!$K578</f>
        <v/>
      </c>
      <c r="N583">
        <f t="shared" si="505"/>
        <v>0</v>
      </c>
      <c r="O583">
        <f t="shared" si="506"/>
        <v>1.85</v>
      </c>
      <c r="P583" s="5" t="e">
        <f t="shared" si="507"/>
        <v>#VALUE!</v>
      </c>
      <c r="Q583">
        <f>'Code List'!$C$63</f>
        <v>3</v>
      </c>
      <c r="R583">
        <f>F584+'Code List'!$G$63</f>
        <v>2</v>
      </c>
      <c r="S583" t="e">
        <f t="shared" si="508"/>
        <v>#VALUE!</v>
      </c>
      <c r="T583" t="e">
        <f t="shared" ref="T583:T586" si="510">Q583*R583*S583</f>
        <v>#VALUE!</v>
      </c>
      <c r="U583" t="str">
        <f>IF(A583="YES",CONCATENATE(G583,"_",'Program Page'!$C$4,'Program Page'!$C$5,"_",D583,"_",E583),"")</f>
        <v/>
      </c>
      <c r="V583" t="str">
        <f t="shared" si="509"/>
        <v/>
      </c>
      <c r="W583" t="str">
        <f>IF(A583="YES",CONCATENATE("{",'Code List'!$B$4,'Code List'!$D$4,",",'Code List'!$B$5,'Code List'!$D$5,",",'Code List'!$B$6,"""",U583,"""",",",'Code List'!$B$7,'Code List'!$D$7,",",'Code List'!$B$8,'Code List'!$D$8,",",'Code List'!$B$9,'Code List'!$D$9,",",'Code List'!$B$10,'Code List'!$D$10,",",'Code List'!$B$11,"""",V583,"""",",",'Code List'!$B$12,"""",H583,"""",",",'Code List'!$B$13,"""",I583,"""",",",'Code List'!$B$14,"""",J583,"""",",",'Code List'!$B$15,"""",K583,"""",",",'Code List'!$B$16,"""",L583,"""",",",'Code List'!$B$17,"""",M583,"""",",",'Code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83" s="167" t="str">
        <f>IF(A583="YES",CONCATENATE("{",'Code List'!$B$31,"""",U583,"""",",",'Code List'!$B$32,'Code List'!$D$32,",",'Code List'!$B$33,'Code List'!$D$33,",",'Code List'!$B$34,'Code List'!$D$34,",",'Code List'!$B$35,'Code List'!$D$35,",",'Code List'!$B$36,'Code List'!$D$36,",",'Code List'!$B$37,'Code List'!$D$37,",",'Code List'!$B$38,"""",H583,"""",",",'Code List'!$B$39,"""",I583,"""",",",'Code List'!$B$40,"""",J583,"""",",",'Code List'!$B$41,"""",K583,"""",",",'Code List'!$B$42,"""",L583,"""",",",'Code List'!$B$43,"""",M583,"""",",",'Code List'!$B$44,"""",N583,"""",",",'Code List'!$B$45,"""",O583,"""",",",'Code List'!$B$46,"""",P583,"""",",",'Code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List'!$B$59,"""",T583,"""","}"),"")</f>
        <v/>
      </c>
    </row>
    <row r="584" spans="1:25" x14ac:dyDescent="0.25">
      <c r="A584" t="str">
        <f>IF(AND($A580="YES",E580=$D$1,F584&gt;0),"YES","NO")</f>
        <v>NO</v>
      </c>
      <c r="C584" t="s">
        <v>5</v>
      </c>
      <c r="D584" s="12" t="str">
        <f t="shared" si="504"/>
        <v>11C</v>
      </c>
      <c r="E584" t="s">
        <v>190</v>
      </c>
      <c r="F584">
        <f>'Expanded Base Data'!H578</f>
        <v>0</v>
      </c>
      <c r="G584" s="171">
        <f>F580</f>
        <v>0</v>
      </c>
      <c r="H584">
        <f>ROUND(B580+'Slide Measurements'!$D$17,$O$1)</f>
        <v>201.51</v>
      </c>
      <c r="I584">
        <f>ROUND(H584+(F584*'Slide Measurements'!$D$21),$O$1)</f>
        <v>201.51</v>
      </c>
      <c r="J584">
        <f>K583</f>
        <v>420.93000000000006</v>
      </c>
      <c r="K584">
        <f>J584+($I$1*'Slide Measurements'!$E$23-'Slide Measurements'!$E$23)</f>
        <v>422.78000000000009</v>
      </c>
      <c r="L584" s="5" t="str">
        <f>'Expanded Base Data'!$L578</f>
        <v/>
      </c>
      <c r="M584" s="5" t="str">
        <f>'Expanded Base Data'!$K578</f>
        <v/>
      </c>
      <c r="N584">
        <f t="shared" si="505"/>
        <v>0</v>
      </c>
      <c r="O584">
        <f t="shared" si="506"/>
        <v>1.85</v>
      </c>
      <c r="P584" s="5" t="e">
        <f t="shared" si="507"/>
        <v>#VALUE!</v>
      </c>
      <c r="Q584">
        <f>'Code List'!$C$63</f>
        <v>3</v>
      </c>
      <c r="R584">
        <f>F585+'Code List'!$G$63</f>
        <v>2</v>
      </c>
      <c r="S584" t="e">
        <f t="shared" si="508"/>
        <v>#VALUE!</v>
      </c>
      <c r="T584" t="e">
        <f t="shared" si="510"/>
        <v>#VALUE!</v>
      </c>
      <c r="U584" t="str">
        <f>IF(A584="YES",CONCATENATE(G584,"_",'Program Page'!$C$4,'Program Page'!$C$5,"_",D584,"_",E584),"")</f>
        <v/>
      </c>
      <c r="V584" t="str">
        <f t="shared" si="509"/>
        <v/>
      </c>
      <c r="W584" t="str">
        <f>IF(A584="YES",CONCATENATE("{",'Code List'!$B$4,'Code List'!$D$4,",",'Code List'!$B$5,'Code List'!$D$5,",",'Code List'!$B$6,"""",U584,"""",",",'Code List'!$B$7,'Code List'!$D$7,",",'Code List'!$B$8,'Code List'!$D$8,",",'Code List'!$B$9,'Code List'!$D$9,",",'Code List'!$B$10,'Code List'!$D$10,",",'Code List'!$B$11,"""",V584,"""",",",'Code List'!$B$12,"""",H584,"""",",",'Code List'!$B$13,"""",I584,"""",",",'Code List'!$B$14,"""",J584,"""",",",'Code List'!$B$15,"""",K584,"""",",",'Code List'!$B$16,"""",L584,"""",",",'Code List'!$B$17,"""",M584,"""",",",'Code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84" s="167" t="str">
        <f>IF(A584="YES",CONCATENATE("{",'Code List'!$B$31,"""",U584,"""",",",'Code List'!$B$32,'Code List'!$D$32,",",'Code List'!$B$33,'Code List'!$D$33,",",'Code List'!$B$34,'Code List'!$D$34,",",'Code List'!$B$35,'Code List'!$D$35,",",'Code List'!$B$36,'Code List'!$D$36,",",'Code List'!$B$37,'Code List'!$D$37,",",'Code List'!$B$38,"""",H584,"""",",",'Code List'!$B$39,"""",I584,"""",",",'Code List'!$B$40,"""",J584,"""",",",'Code List'!$B$41,"""",K584,"""",",",'Code List'!$B$42,"""",L584,"""",",",'Code List'!$B$43,"""",M584,"""",",",'Code List'!$B$44,"""",N584,"""",",",'Code List'!$B$45,"""",O584,"""",",",'Code List'!$B$46,"""",P584,"""",",",'Code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List'!$B$59,"""",T584,"""","}"),"")</f>
        <v/>
      </c>
    </row>
    <row r="585" spans="1:25" x14ac:dyDescent="0.25">
      <c r="A585" t="str">
        <f>IF(AND($A580="YES",E580=$D$1,F585&gt;0),"YES","NO")</f>
        <v>NO</v>
      </c>
      <c r="C585" t="s">
        <v>5</v>
      </c>
      <c r="D585" s="12" t="str">
        <f t="shared" si="504"/>
        <v>11C</v>
      </c>
      <c r="E585" t="s">
        <v>191</v>
      </c>
      <c r="F585">
        <f>'Expanded Base Data'!I578</f>
        <v>0</v>
      </c>
      <c r="G585" s="171">
        <f>F580</f>
        <v>0</v>
      </c>
      <c r="H585">
        <f>ROUND(B580+'Slide Measurements'!$D$17,$O$1)</f>
        <v>201.51</v>
      </c>
      <c r="I585">
        <f>ROUND(H585+(F585*'Slide Measurements'!$D$21),$O$1)</f>
        <v>201.51</v>
      </c>
      <c r="J585">
        <f>K584</f>
        <v>422.78000000000009</v>
      </c>
      <c r="K585">
        <f>J585+($I$1*'Slide Measurements'!$E$23-'Slide Measurements'!$E$23)</f>
        <v>424.63000000000011</v>
      </c>
      <c r="L585" s="5" t="str">
        <f>'Expanded Base Data'!$L578</f>
        <v/>
      </c>
      <c r="M585" s="5" t="str">
        <f>'Expanded Base Data'!$K578</f>
        <v/>
      </c>
      <c r="N585">
        <f t="shared" si="505"/>
        <v>0</v>
      </c>
      <c r="O585">
        <f t="shared" si="506"/>
        <v>1.85</v>
      </c>
      <c r="P585" s="5" t="e">
        <f t="shared" si="507"/>
        <v>#VALUE!</v>
      </c>
      <c r="Q585">
        <f>'Code List'!$C$63</f>
        <v>3</v>
      </c>
      <c r="R585">
        <f>F586+'Code List'!$G$63</f>
        <v>2</v>
      </c>
      <c r="S585" t="e">
        <f t="shared" si="508"/>
        <v>#VALUE!</v>
      </c>
      <c r="T585" t="e">
        <f t="shared" si="510"/>
        <v>#VALUE!</v>
      </c>
      <c r="U585" t="str">
        <f>IF(A585="YES",CONCATENATE(G585,"_",'Program Page'!$C$4,'Program Page'!$C$5,"_",D585,"_",E585),"")</f>
        <v/>
      </c>
      <c r="V585" t="str">
        <f t="shared" si="509"/>
        <v/>
      </c>
      <c r="W585" t="str">
        <f>IF(A585="YES",CONCATENATE("{",'Code List'!$B$4,'Code List'!$D$4,",",'Code List'!$B$5,'Code List'!$D$5,",",'Code List'!$B$6,"""",U585,"""",",",'Code List'!$B$7,'Code List'!$D$7,",",'Code List'!$B$8,'Code List'!$D$8,",",'Code List'!$B$9,'Code List'!$D$9,",",'Code List'!$B$10,'Code List'!$D$10,",",'Code List'!$B$11,"""",V585,"""",",",'Code List'!$B$12,"""",H585,"""",",",'Code List'!$B$13,"""",I585,"""",",",'Code List'!$B$14,"""",J585,"""",",",'Code List'!$B$15,"""",K585,"""",",",'Code List'!$B$16,"""",L585,"""",",",'Code List'!$B$17,"""",M585,"""",",",'Code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85" s="167" t="str">
        <f>IF(A585="YES",CONCATENATE("{",'Code List'!$B$31,"""",U585,"""",",",'Code List'!$B$32,'Code List'!$D$32,",",'Code List'!$B$33,'Code List'!$D$33,",",'Code List'!$B$34,'Code List'!$D$34,",",'Code List'!$B$35,'Code List'!$D$35,",",'Code List'!$B$36,'Code List'!$D$36,",",'Code List'!$B$37,'Code List'!$D$37,",",'Code List'!$B$38,"""",H585,"""",",",'Code List'!$B$39,"""",I585,"""",",",'Code List'!$B$40,"""",J585,"""",",",'Code List'!$B$41,"""",K585,"""",",",'Code List'!$B$42,"""",L585,"""",",",'Code List'!$B$43,"""",M585,"""",",",'Code List'!$B$44,"""",N585,"""",",",'Code List'!$B$45,"""",O585,"""",",",'Code List'!$B$46,"""",P585,"""",",",'Code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List'!$B$59,"""",T585,"""","}"),"")</f>
        <v/>
      </c>
    </row>
    <row r="586" spans="1:25" x14ac:dyDescent="0.25">
      <c r="A586" t="str">
        <f>IF(AND($A580="YES",E580=$D$1,F586&gt;0),"YES","NO")</f>
        <v>NO</v>
      </c>
      <c r="C586" t="s">
        <v>5</v>
      </c>
      <c r="D586" s="12" t="str">
        <f t="shared" si="504"/>
        <v>11C</v>
      </c>
      <c r="E586" t="s">
        <v>196</v>
      </c>
      <c r="F586">
        <f>'Expanded Base Data'!J578</f>
        <v>0</v>
      </c>
      <c r="G586" s="171">
        <f>F580</f>
        <v>0</v>
      </c>
      <c r="H586">
        <f>ROUND(B580+'Slide Measurements'!$D$17,$O$1)</f>
        <v>201.51</v>
      </c>
      <c r="I586">
        <f>ROUND(H586+(F586*'Slide Measurements'!$D$21),$O$1)</f>
        <v>201.51</v>
      </c>
      <c r="J586">
        <f>K585</f>
        <v>424.63000000000011</v>
      </c>
      <c r="K586">
        <f>J586+($I$1*'Slide Measurements'!$E$23-'Slide Measurements'!$E$23)</f>
        <v>426.48000000000013</v>
      </c>
      <c r="L586" s="5" t="str">
        <f>'Expanded Base Data'!$L578</f>
        <v/>
      </c>
      <c r="M586" s="5" t="str">
        <f>'Expanded Base Data'!$K578</f>
        <v/>
      </c>
      <c r="N586">
        <f t="shared" si="505"/>
        <v>0</v>
      </c>
      <c r="O586">
        <f t="shared" si="506"/>
        <v>1.85</v>
      </c>
      <c r="P586" s="5" t="e">
        <f t="shared" si="507"/>
        <v>#VALUE!</v>
      </c>
      <c r="Q586">
        <f>'Code List'!$C$63</f>
        <v>3</v>
      </c>
      <c r="R586">
        <f>F587+'Code List'!$G$63</f>
        <v>2</v>
      </c>
      <c r="S586" t="e">
        <f t="shared" si="508"/>
        <v>#VALUE!</v>
      </c>
      <c r="T586" t="e">
        <f t="shared" si="510"/>
        <v>#VALUE!</v>
      </c>
      <c r="U586" t="str">
        <f>IF(A586="YES",CONCATENATE(G586,"_",'Program Page'!$C$4,'Program Page'!$C$5,"_",D586,"_",E586),"")</f>
        <v/>
      </c>
      <c r="V586" t="str">
        <f t="shared" si="509"/>
        <v/>
      </c>
      <c r="W586" t="str">
        <f>IF(A586="YES",CONCATENATE("{",'Code List'!$B$4,'Code List'!$D$4,",",'Code List'!$B$5,'Code List'!$D$5,",",'Code List'!$B$6,"""",U586,"""",",",'Code List'!$B$7,'Code List'!$D$7,",",'Code List'!$B$8,'Code List'!$D$8,",",'Code List'!$B$9,'Code List'!$D$9,",",'Code List'!$B$10,'Code List'!$D$10,",",'Code List'!$B$11,"""",V586,"""",",",'Code List'!$B$12,"""",H586,"""",",",'Code List'!$B$13,"""",I586,"""",",",'Code List'!$B$14,"""",J586,"""",",",'Code List'!$B$15,"""",K586,"""",",",'Code List'!$B$16,"""",L586,"""",",",'Code List'!$B$17,"""",M586,"""",",",'Code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86" s="167" t="str">
        <f>IF(A586="YES",CONCATENATE("{",'Code List'!$B$31,"""",U586,"""",",",'Code List'!$B$32,'Code List'!$D$32,",",'Code List'!$B$33,'Code List'!$D$33,",",'Code List'!$B$34,'Code List'!$D$34,",",'Code List'!$B$35,'Code List'!$D$35,",",'Code List'!$B$36,'Code List'!$D$36,",",'Code List'!$B$37,'Code List'!$D$37,",",'Code List'!$B$38,"""",H586,"""",",",'Code List'!$B$39,"""",I586,"""",",",'Code List'!$B$40,"""",J586,"""",",",'Code List'!$B$41,"""",K586,"""",",",'Code List'!$B$42,"""",L586,"""",",",'Code List'!$B$43,"""",M586,"""",",",'Code List'!$B$44,"""",N586,"""",",",'Code List'!$B$45,"""",O586,"""",",",'Code List'!$B$46,"""",P586,"""",",",'Code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List'!$B$59,"""",T586,"""","}"),"")</f>
        <v/>
      </c>
    </row>
    <row r="587" spans="1:25" x14ac:dyDescent="0.25">
      <c r="A587" s="162" t="str">
        <f>IF(AND($A580="YES",E580=$E$1),"YES","NO")</f>
        <v>NO</v>
      </c>
      <c r="C587" t="s">
        <v>259</v>
      </c>
      <c r="D587" s="12" t="str">
        <f>D586</f>
        <v>11C</v>
      </c>
      <c r="E587" t="s">
        <v>259</v>
      </c>
      <c r="G587" s="171">
        <f>F580</f>
        <v>0</v>
      </c>
      <c r="H587">
        <f>ROUND(B580,$O$1)</f>
        <v>176.11</v>
      </c>
      <c r="I587">
        <f>ROUND(B580+'Slide Measurements'!$D$1,$O$1)</f>
        <v>252.56</v>
      </c>
      <c r="J587">
        <f>C580</f>
        <v>412.93</v>
      </c>
      <c r="K587">
        <f>C580+'Slide Measurements'!$D$2</f>
        <v>440.33</v>
      </c>
      <c r="L587" s="5" t="str">
        <f>'Expanded Base Data'!$L578</f>
        <v/>
      </c>
      <c r="M587" s="5" t="str">
        <f>'Expanded Base Data'!$K578</f>
        <v/>
      </c>
      <c r="N587">
        <f t="shared" si="505"/>
        <v>76.45</v>
      </c>
      <c r="O587">
        <f t="shared" si="506"/>
        <v>27.4</v>
      </c>
      <c r="P587" s="5" t="e">
        <f>ROUND((L587-M587),$O$1)</f>
        <v>#VALUE!</v>
      </c>
      <c r="Q587">
        <f>'Code List'!$C$70</f>
        <v>11</v>
      </c>
      <c r="R587">
        <f>'Code List'!$D$70</f>
        <v>19</v>
      </c>
      <c r="S587" t="e">
        <f>IF(P587=0,"1",ROUND((P587/$K$1)+$M$1,0))</f>
        <v>#VALUE!</v>
      </c>
      <c r="T587" t="e">
        <f>Q587*R587*S587</f>
        <v>#VALUE!</v>
      </c>
      <c r="U587" t="str">
        <f>IF(A587="YES",CONCATENATE(G587,"_",'Program Page'!$C$4,'Program Page'!$C$5,"_",D587,"_",E587),"")</f>
        <v/>
      </c>
      <c r="V587" t="str">
        <f>IF(U587="","",CONCATENATE(U587,"_"))</f>
        <v/>
      </c>
      <c r="W587" t="str">
        <f>IF(A587="YES",CONCATENATE("{",'Code List'!$B$4,'Code List'!$D$4,",",'Code List'!$B$5,'Code List'!$D$5,",",'Code List'!$B$6,"""",U587,"""",",",'Code List'!$B$7,'Code List'!$D$7,",",'Code List'!$B$8,'Code List'!$D$8,",",'Code List'!$B$9,'Code List'!$D$9,",",'Code List'!$B$10,'Code List'!$D$10,",",'Code List'!$B$11,"""",V587,"""",",",'Code List'!$B$12,"""",H587,"""",",",'Code List'!$B$13,"""",I587,"""",",",'Code List'!$B$14,"""",J587,"""",",",'Code List'!$B$15,"""",K587,"""",",",'Code List'!$B$16,"""",L587,"""",",",'Code List'!$B$17,"""",M587,"""",",",'Code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587" s="167" t="str">
        <f>IF(A587="YES",CONCATENATE("{",'Code List'!$B$31,"""",U587,"""",",",'Code List'!$B$32,'Code List'!$D$32,",",'Code List'!$B$33,'Code List'!$D$33,",",'Code List'!$B$34,'Code List'!$D$34,",",'Code List'!$B$35,'Code List'!$D$35,",",'Code List'!$B$36,'Code List'!$D$36,",",'Code List'!$B$37,'Code List'!$D$37,",",'Code List'!$B$38,"""",H587,"""",",",'Code List'!$B$39,"""",I587,"""",",",'Code List'!$B$40,"""",J587,"""",",",'Code List'!$B$41,"""",K587,"""",",",'Code List'!$B$42,"""",L587,"""",",",'Code List'!$B$43,"""",M587,"""",",",'Code List'!$B$44,"""",N587,"""",",",'Code List'!$B$45,"""",O587,"""",",",'Code List'!$B$46,"""",P587,"""",",",'Code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List'!$B$59,"""",T587,"""","}"),"")</f>
        <v/>
      </c>
    </row>
    <row r="588" spans="1:25" ht="18.75" x14ac:dyDescent="0.3">
      <c r="A588" s="35" t="str">
        <f>IF(OR(E588=$C$1,E588=$D$1,E588=$E$1),"YES","NO")</f>
        <v>NO</v>
      </c>
      <c r="B588" s="35">
        <f>'Expanded Base Data'!D586</f>
        <v>263.11</v>
      </c>
      <c r="C588" s="35">
        <f>'Expanded Base Data'!E586</f>
        <v>412.93</v>
      </c>
      <c r="D588" s="36" t="str">
        <f>'Expanded Base Data'!B586</f>
        <v>11D</v>
      </c>
      <c r="E588" s="35">
        <f>'Expanded Base Data'!C586</f>
        <v>0</v>
      </c>
      <c r="F588" s="35">
        <f>'Expanded Base Data'!M586</f>
        <v>0</v>
      </c>
      <c r="G588" s="170">
        <f>F588</f>
        <v>0</v>
      </c>
      <c r="Y588" s="167" t="str">
        <f>""</f>
        <v/>
      </c>
    </row>
    <row r="589" spans="1:25" x14ac:dyDescent="0.25">
      <c r="A589" t="str">
        <f>IF(AND($A588="YES",E588=$C$1),"YES","NO")</f>
        <v>NO</v>
      </c>
      <c r="C589" t="s">
        <v>6</v>
      </c>
      <c r="D589" s="12" t="str">
        <f>D588</f>
        <v>11D</v>
      </c>
      <c r="E589" t="s">
        <v>6</v>
      </c>
      <c r="F589" t="s">
        <v>198</v>
      </c>
      <c r="G589" s="171">
        <f>F588</f>
        <v>0</v>
      </c>
      <c r="H589">
        <f>IF('Expanded Base Data'!N586="",ROUND(B588+'Slide Measurements'!$D$11,$O$1),B588+'Expanded Base Data'!N586)</f>
        <v>296.11</v>
      </c>
      <c r="I589">
        <f>IF('Expanded Base Data'!O586="",ROUND(B588+'Slide Measurements'!$D$12,$O$1),B588+'Expanded Base Data'!O586)</f>
        <v>304.70999999999998</v>
      </c>
      <c r="J589">
        <f>IF('Expanded Base Data'!P586="",C588+'Slide Measurements'!$E$13,C588+'Expanded Base Data'!P586)</f>
        <v>421.63</v>
      </c>
      <c r="K589">
        <f>IF('Expanded Base Data'!Q586="",C588+'Slide Measurements'!$E$14,C588+'Expanded Base Data'!Q586)</f>
        <v>430.23</v>
      </c>
      <c r="L589" s="5" t="str">
        <f>'Expanded Base Data'!$L586</f>
        <v/>
      </c>
      <c r="M589" s="5" t="str">
        <f>'Expanded Base Data'!$K586</f>
        <v/>
      </c>
      <c r="N589">
        <f>ROUND((I589-H589),$O$1)</f>
        <v>8.6</v>
      </c>
      <c r="O589">
        <f>ROUND((K589-J589),$O$1)</f>
        <v>8.6</v>
      </c>
      <c r="P589" s="5" t="e">
        <f>ROUND((L589-M589),$O$1)</f>
        <v>#VALUE!</v>
      </c>
      <c r="Q589">
        <f>'Code List'!$C$62</f>
        <v>5</v>
      </c>
      <c r="R589">
        <f>F590+'Code List'!$G$63</f>
        <v>2</v>
      </c>
      <c r="S589" t="e">
        <f>IF(P589=0,"1",ROUND((P589/$K$1)+$M$1,0))</f>
        <v>#VALUE!</v>
      </c>
      <c r="T589" t="e">
        <f>Q589*R589*S589</f>
        <v>#VALUE!</v>
      </c>
      <c r="U589" t="str">
        <f>IF(A589="YES",CONCATENATE(G589,"_",'Program Page'!$C$4,'Program Page'!$C$5,"_",D589,"_",E589),"")</f>
        <v/>
      </c>
      <c r="V589" t="str">
        <f>IF(U589="","",CONCATENATE(U589,"_"))</f>
        <v/>
      </c>
      <c r="W589" t="str">
        <f>IF(A589="YES",CONCATENATE("{",'Code List'!$B$4,'Code List'!$D$4,",",'Code List'!$B$5,'Code List'!$D$5,",",'Code List'!$B$6,"""",U589,"""",",",'Code List'!$B$7,'Code List'!$D$7,",",'Code List'!$B$8,'Code List'!$D$8,",",'Code List'!$B$9,'Code List'!$D$9,",",'Code List'!$B$10,'Code List'!$D$10,",",'Code List'!$B$11,"""",V589,"""",",",'Code List'!$B$12,"""",H589,"""",",",'Code List'!$B$13,"""",I589,"""",",",'Code List'!$B$14,"""",J589,"""",",",'Code List'!$B$15,"""",K589,"""",",",'Code List'!$B$16,"""",L589,"""",",",'Code List'!$B$17,"""",M589,"""",",",'Code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89" s="167" t="str">
        <f>IF(A589="YES",CONCATENATE("{",'Code List'!$B$31,"""",U589,"""",",",'Code List'!$B$32,'Code List'!$D$32,",",'Code List'!$B$33,'Code List'!$D$33,",",'Code List'!$B$34,'Code List'!$D$34,",",'Code List'!$B$35,'Code List'!$D$35,",",'Code List'!$B$36,'Code List'!$D$36,",",'Code List'!$B$37,'Code List'!$D$37,",",'Code List'!$B$38,"""",H589,"""",",",'Code List'!$B$39,"""",I589,"""",",",'Code List'!$B$40,"""",J589,"""",",",'Code List'!$B$41,"""",K589,"""",",",'Code List'!$B$42,"""",L589,"""",",",'Code List'!$B$43,"""",M589,"""",",",'Code List'!$B$44,"""",N589,"""",",",'Code List'!$B$45,"""",O589,"""",",",'Code List'!$B$46,"""",P589,"""",",",'Code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List'!$B$59,"""",T589,"""","}"),"")</f>
        <v/>
      </c>
    </row>
    <row r="590" spans="1:25" x14ac:dyDescent="0.25">
      <c r="A590" t="str">
        <f>IF(AND($A588="YES",E588=$D$1,F590&gt;0),"YES","NO")</f>
        <v>NO</v>
      </c>
      <c r="C590" t="s">
        <v>5</v>
      </c>
      <c r="D590" s="12" t="str">
        <f t="shared" ref="D590:D594" si="511">D589</f>
        <v>11D</v>
      </c>
      <c r="E590" t="s">
        <v>188</v>
      </c>
      <c r="F590">
        <f>'Expanded Base Data'!F586</f>
        <v>0</v>
      </c>
      <c r="G590" s="171">
        <f>F588</f>
        <v>0</v>
      </c>
      <c r="H590">
        <f>ROUND(B588+'Slide Measurements'!$D$17,$O$1)</f>
        <v>288.51</v>
      </c>
      <c r="I590">
        <f>ROUND(H590+(F590*'Slide Measurements'!$D$21),$O$1)</f>
        <v>288.51</v>
      </c>
      <c r="J590">
        <f>C588+'Slide Measurements'!$E$17</f>
        <v>417.23</v>
      </c>
      <c r="K590">
        <f>J590+($I$1*'Slide Measurements'!$E$23-'Slide Measurements'!$E$23)</f>
        <v>419.08000000000004</v>
      </c>
      <c r="L590" s="5" t="str">
        <f>'Expanded Base Data'!$L586</f>
        <v/>
      </c>
      <c r="M590" s="5" t="str">
        <f>'Expanded Base Data'!$K586</f>
        <v/>
      </c>
      <c r="N590">
        <f t="shared" ref="N590:N595" si="512">ROUND((I590-H590),$O$1)</f>
        <v>0</v>
      </c>
      <c r="O590">
        <f t="shared" ref="O590:O595" si="513">ROUND((K590-J590),$O$1)</f>
        <v>1.85</v>
      </c>
      <c r="P590" s="5" t="e">
        <f t="shared" ref="P590:P594" si="514">ROUND((L590-M590),$O$1)</f>
        <v>#VALUE!</v>
      </c>
      <c r="Q590">
        <f>'Code List'!$C$63</f>
        <v>3</v>
      </c>
      <c r="R590">
        <f>F591+'Code List'!$G$63</f>
        <v>2</v>
      </c>
      <c r="S590" t="e">
        <f t="shared" ref="S590:S594" si="515">IF(P590=0,"1",ROUND((P590/$K$1)+$M$1,0))</f>
        <v>#VALUE!</v>
      </c>
      <c r="T590" t="e">
        <f>Q590*R590*S590</f>
        <v>#VALUE!</v>
      </c>
      <c r="U590" t="str">
        <f>IF(A590="YES",CONCATENATE(G590,"_",'Program Page'!$C$4,'Program Page'!$C$5,"_",D590,"_",E590),"")</f>
        <v/>
      </c>
      <c r="V590" t="str">
        <f t="shared" ref="V590:V594" si="516">IF(U590="","",CONCATENATE(U590,"_"))</f>
        <v/>
      </c>
      <c r="W590" t="str">
        <f>IF(A590="YES",CONCATENATE("{",'Code List'!$B$4,'Code List'!$D$4,",",'Code List'!$B$5,'Code List'!$D$5,",",'Code List'!$B$6,"""",U590,"""",",",'Code List'!$B$7,'Code List'!$D$7,",",'Code List'!$B$8,'Code List'!$D$8,",",'Code List'!$B$9,'Code List'!$D$9,",",'Code List'!$B$10,'Code List'!$D$10,",",'Code List'!$B$11,"""",V590,"""",",",'Code List'!$B$12,"""",H590,"""",",",'Code List'!$B$13,"""",I590,"""",",",'Code List'!$B$14,"""",J590,"""",",",'Code List'!$B$15,"""",K590,"""",",",'Code List'!$B$16,"""",L590,"""",",",'Code List'!$B$17,"""",M590,"""",",",'Code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90" s="167" t="str">
        <f>IF(A590="YES",CONCATENATE("{",'Code List'!$B$31,"""",U590,"""",",",'Code List'!$B$32,'Code List'!$D$32,",",'Code List'!$B$33,'Code List'!$D$33,",",'Code List'!$B$34,'Code List'!$D$34,",",'Code List'!$B$35,'Code List'!$D$35,",",'Code List'!$B$36,'Code List'!$D$36,",",'Code List'!$B$37,'Code List'!$D$37,",",'Code List'!$B$38,"""",H590,"""",",",'Code List'!$B$39,"""",I590,"""",",",'Code List'!$B$40,"""",J590,"""",",",'Code List'!$B$41,"""",K590,"""",",",'Code List'!$B$42,"""",L590,"""",",",'Code List'!$B$43,"""",M590,"""",",",'Code List'!$B$44,"""",N590,"""",",",'Code List'!$B$45,"""",O590,"""",",",'Code List'!$B$46,"""",P590,"""",",",'Code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List'!$B$59,"""",T590,"""","}"),"")</f>
        <v/>
      </c>
    </row>
    <row r="591" spans="1:25" x14ac:dyDescent="0.25">
      <c r="A591" t="str">
        <f>IF(AND($A588="YES",E588=$D$1,F591&gt;0),"YES","NO")</f>
        <v>NO</v>
      </c>
      <c r="C591" t="s">
        <v>5</v>
      </c>
      <c r="D591" s="12" t="str">
        <f t="shared" si="511"/>
        <v>11D</v>
      </c>
      <c r="E591" t="s">
        <v>189</v>
      </c>
      <c r="F591">
        <f>'Expanded Base Data'!G586</f>
        <v>0</v>
      </c>
      <c r="G591" s="171">
        <f>F588</f>
        <v>0</v>
      </c>
      <c r="H591">
        <f>ROUND(B588+'Slide Measurements'!$D$17,$O$1)</f>
        <v>288.51</v>
      </c>
      <c r="I591">
        <f>ROUND(H591+(F591*'Slide Measurements'!$D$21),$O$1)</f>
        <v>288.51</v>
      </c>
      <c r="J591">
        <f>K590</f>
        <v>419.08000000000004</v>
      </c>
      <c r="K591">
        <f>J591+($I$1*'Slide Measurements'!$E$23-'Slide Measurements'!$E$23)</f>
        <v>420.93000000000006</v>
      </c>
      <c r="L591" s="5" t="str">
        <f>'Expanded Base Data'!$L586</f>
        <v/>
      </c>
      <c r="M591" s="5" t="str">
        <f>'Expanded Base Data'!$K586</f>
        <v/>
      </c>
      <c r="N591">
        <f t="shared" si="512"/>
        <v>0</v>
      </c>
      <c r="O591">
        <f t="shared" si="513"/>
        <v>1.85</v>
      </c>
      <c r="P591" s="5" t="e">
        <f t="shared" si="514"/>
        <v>#VALUE!</v>
      </c>
      <c r="Q591">
        <f>'Code List'!$C$63</f>
        <v>3</v>
      </c>
      <c r="R591">
        <f>F592+'Code List'!$G$63</f>
        <v>2</v>
      </c>
      <c r="S591" t="e">
        <f t="shared" si="515"/>
        <v>#VALUE!</v>
      </c>
      <c r="T591" t="e">
        <f t="shared" ref="T591:T594" si="517">Q591*R591*S591</f>
        <v>#VALUE!</v>
      </c>
      <c r="U591" t="str">
        <f>IF(A591="YES",CONCATENATE(G591,"_",'Program Page'!$C$4,'Program Page'!$C$5,"_",D591,"_",E591),"")</f>
        <v/>
      </c>
      <c r="V591" t="str">
        <f t="shared" si="516"/>
        <v/>
      </c>
      <c r="W591" t="str">
        <f>IF(A591="YES",CONCATENATE("{",'Code List'!$B$4,'Code List'!$D$4,",",'Code List'!$B$5,'Code List'!$D$5,",",'Code List'!$B$6,"""",U591,"""",",",'Code List'!$B$7,'Code List'!$D$7,",",'Code List'!$B$8,'Code List'!$D$8,",",'Code List'!$B$9,'Code List'!$D$9,",",'Code List'!$B$10,'Code List'!$D$10,",",'Code List'!$B$11,"""",V591,"""",",",'Code List'!$B$12,"""",H591,"""",",",'Code List'!$B$13,"""",I591,"""",",",'Code List'!$B$14,"""",J591,"""",",",'Code List'!$B$15,"""",K591,"""",",",'Code List'!$B$16,"""",L591,"""",",",'Code List'!$B$17,"""",M591,"""",",",'Code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91" s="167" t="str">
        <f>IF(A591="YES",CONCATENATE("{",'Code List'!$B$31,"""",U591,"""",",",'Code List'!$B$32,'Code List'!$D$32,",",'Code List'!$B$33,'Code List'!$D$33,",",'Code List'!$B$34,'Code List'!$D$34,",",'Code List'!$B$35,'Code List'!$D$35,",",'Code List'!$B$36,'Code List'!$D$36,",",'Code List'!$B$37,'Code List'!$D$37,",",'Code List'!$B$38,"""",H591,"""",",",'Code List'!$B$39,"""",I591,"""",",",'Code List'!$B$40,"""",J591,"""",",",'Code List'!$B$41,"""",K591,"""",",",'Code List'!$B$42,"""",L591,"""",",",'Code List'!$B$43,"""",M591,"""",",",'Code List'!$B$44,"""",N591,"""",",",'Code List'!$B$45,"""",O591,"""",",",'Code List'!$B$46,"""",P591,"""",",",'Code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List'!$B$59,"""",T591,"""","}"),"")</f>
        <v/>
      </c>
    </row>
    <row r="592" spans="1:25" x14ac:dyDescent="0.25">
      <c r="A592" t="str">
        <f>IF(AND($A588="YES",E588=$D$1,F592&gt;0),"YES","NO")</f>
        <v>NO</v>
      </c>
      <c r="C592" t="s">
        <v>5</v>
      </c>
      <c r="D592" s="12" t="str">
        <f t="shared" si="511"/>
        <v>11D</v>
      </c>
      <c r="E592" t="s">
        <v>190</v>
      </c>
      <c r="F592">
        <f>'Expanded Base Data'!H586</f>
        <v>0</v>
      </c>
      <c r="G592" s="171">
        <f>F588</f>
        <v>0</v>
      </c>
      <c r="H592">
        <f>ROUND(B588+'Slide Measurements'!$D$17,$O$1)</f>
        <v>288.51</v>
      </c>
      <c r="I592">
        <f>ROUND(H592+(F592*'Slide Measurements'!$D$21),$O$1)</f>
        <v>288.51</v>
      </c>
      <c r="J592">
        <f>K591</f>
        <v>420.93000000000006</v>
      </c>
      <c r="K592">
        <f>J592+($I$1*'Slide Measurements'!$E$23-'Slide Measurements'!$E$23)</f>
        <v>422.78000000000009</v>
      </c>
      <c r="L592" s="5" t="str">
        <f>'Expanded Base Data'!$L586</f>
        <v/>
      </c>
      <c r="M592" s="5" t="str">
        <f>'Expanded Base Data'!$K586</f>
        <v/>
      </c>
      <c r="N592">
        <f t="shared" si="512"/>
        <v>0</v>
      </c>
      <c r="O592">
        <f t="shared" si="513"/>
        <v>1.85</v>
      </c>
      <c r="P592" s="5" t="e">
        <f t="shared" si="514"/>
        <v>#VALUE!</v>
      </c>
      <c r="Q592">
        <f>'Code List'!$C$63</f>
        <v>3</v>
      </c>
      <c r="R592">
        <f>F593+'Code List'!$G$63</f>
        <v>2</v>
      </c>
      <c r="S592" t="e">
        <f t="shared" si="515"/>
        <v>#VALUE!</v>
      </c>
      <c r="T592" t="e">
        <f t="shared" si="517"/>
        <v>#VALUE!</v>
      </c>
      <c r="U592" t="str">
        <f>IF(A592="YES",CONCATENATE(G592,"_",'Program Page'!$C$4,'Program Page'!$C$5,"_",D592,"_",E592),"")</f>
        <v/>
      </c>
      <c r="V592" t="str">
        <f t="shared" si="516"/>
        <v/>
      </c>
      <c r="W592" t="str">
        <f>IF(A592="YES",CONCATENATE("{",'Code List'!$B$4,'Code List'!$D$4,",",'Code List'!$B$5,'Code List'!$D$5,",",'Code List'!$B$6,"""",U592,"""",",",'Code List'!$B$7,'Code List'!$D$7,",",'Code List'!$B$8,'Code List'!$D$8,",",'Code List'!$B$9,'Code List'!$D$9,",",'Code List'!$B$10,'Code List'!$D$10,",",'Code List'!$B$11,"""",V592,"""",",",'Code List'!$B$12,"""",H592,"""",",",'Code List'!$B$13,"""",I592,"""",",",'Code List'!$B$14,"""",J592,"""",",",'Code List'!$B$15,"""",K592,"""",",",'Code List'!$B$16,"""",L592,"""",",",'Code List'!$B$17,"""",M592,"""",",",'Code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92" s="167" t="str">
        <f>IF(A592="YES",CONCATENATE("{",'Code List'!$B$31,"""",U592,"""",",",'Code List'!$B$32,'Code List'!$D$32,",",'Code List'!$B$33,'Code List'!$D$33,",",'Code List'!$B$34,'Code List'!$D$34,",",'Code List'!$B$35,'Code List'!$D$35,",",'Code List'!$B$36,'Code List'!$D$36,",",'Code List'!$B$37,'Code List'!$D$37,",",'Code List'!$B$38,"""",H592,"""",",",'Code List'!$B$39,"""",I592,"""",",",'Code List'!$B$40,"""",J592,"""",",",'Code List'!$B$41,"""",K592,"""",",",'Code List'!$B$42,"""",L592,"""",",",'Code List'!$B$43,"""",M592,"""",",",'Code List'!$B$44,"""",N592,"""",",",'Code List'!$B$45,"""",O592,"""",",",'Code List'!$B$46,"""",P592,"""",",",'Code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List'!$B$59,"""",T592,"""","}"),"")</f>
        <v/>
      </c>
    </row>
    <row r="593" spans="1:25" x14ac:dyDescent="0.25">
      <c r="A593" t="str">
        <f>IF(AND($A588="YES",E588=$D$1,F593&gt;0),"YES","NO")</f>
        <v>NO</v>
      </c>
      <c r="C593" t="s">
        <v>5</v>
      </c>
      <c r="D593" s="12" t="str">
        <f t="shared" si="511"/>
        <v>11D</v>
      </c>
      <c r="E593" t="s">
        <v>191</v>
      </c>
      <c r="F593">
        <f>'Expanded Base Data'!I586</f>
        <v>0</v>
      </c>
      <c r="G593" s="171">
        <f>F588</f>
        <v>0</v>
      </c>
      <c r="H593">
        <f>ROUND(B588+'Slide Measurements'!$D$17,$O$1)</f>
        <v>288.51</v>
      </c>
      <c r="I593">
        <f>ROUND(H593+(F593*'Slide Measurements'!$D$21),$O$1)</f>
        <v>288.51</v>
      </c>
      <c r="J593">
        <f>K592</f>
        <v>422.78000000000009</v>
      </c>
      <c r="K593">
        <f>J593+($I$1*'Slide Measurements'!$E$23-'Slide Measurements'!$E$23)</f>
        <v>424.63000000000011</v>
      </c>
      <c r="L593" s="5" t="str">
        <f>'Expanded Base Data'!$L586</f>
        <v/>
      </c>
      <c r="M593" s="5" t="str">
        <f>'Expanded Base Data'!$K586</f>
        <v/>
      </c>
      <c r="N593">
        <f t="shared" si="512"/>
        <v>0</v>
      </c>
      <c r="O593">
        <f t="shared" si="513"/>
        <v>1.85</v>
      </c>
      <c r="P593" s="5" t="e">
        <f t="shared" si="514"/>
        <v>#VALUE!</v>
      </c>
      <c r="Q593">
        <f>'Code List'!$C$63</f>
        <v>3</v>
      </c>
      <c r="R593">
        <f>F594+'Code List'!$G$63</f>
        <v>2</v>
      </c>
      <c r="S593" t="e">
        <f t="shared" si="515"/>
        <v>#VALUE!</v>
      </c>
      <c r="T593" t="e">
        <f t="shared" si="517"/>
        <v>#VALUE!</v>
      </c>
      <c r="U593" t="str">
        <f>IF(A593="YES",CONCATENATE(G593,"_",'Program Page'!$C$4,'Program Page'!$C$5,"_",D593,"_",E593),"")</f>
        <v/>
      </c>
      <c r="V593" t="str">
        <f t="shared" si="516"/>
        <v/>
      </c>
      <c r="W593" t="str">
        <f>IF(A593="YES",CONCATENATE("{",'Code List'!$B$4,'Code List'!$D$4,",",'Code List'!$B$5,'Code List'!$D$5,",",'Code List'!$B$6,"""",U593,"""",",",'Code List'!$B$7,'Code List'!$D$7,",",'Code List'!$B$8,'Code List'!$D$8,",",'Code List'!$B$9,'Code List'!$D$9,",",'Code List'!$B$10,'Code List'!$D$10,",",'Code List'!$B$11,"""",V593,"""",",",'Code List'!$B$12,"""",H593,"""",",",'Code List'!$B$13,"""",I593,"""",",",'Code List'!$B$14,"""",J593,"""",",",'Code List'!$B$15,"""",K593,"""",",",'Code List'!$B$16,"""",L593,"""",",",'Code List'!$B$17,"""",M593,"""",",",'Code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93" s="167" t="str">
        <f>IF(A593="YES",CONCATENATE("{",'Code List'!$B$31,"""",U593,"""",",",'Code List'!$B$32,'Code List'!$D$32,",",'Code List'!$B$33,'Code List'!$D$33,",",'Code List'!$B$34,'Code List'!$D$34,",",'Code List'!$B$35,'Code List'!$D$35,",",'Code List'!$B$36,'Code List'!$D$36,",",'Code List'!$B$37,'Code List'!$D$37,",",'Code List'!$B$38,"""",H593,"""",",",'Code List'!$B$39,"""",I593,"""",",",'Code List'!$B$40,"""",J593,"""",",",'Code List'!$B$41,"""",K593,"""",",",'Code List'!$B$42,"""",L593,"""",",",'Code List'!$B$43,"""",M593,"""",",",'Code List'!$B$44,"""",N593,"""",",",'Code List'!$B$45,"""",O593,"""",",",'Code List'!$B$46,"""",P593,"""",",",'Code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List'!$B$59,"""",T593,"""","}"),"")</f>
        <v/>
      </c>
    </row>
    <row r="594" spans="1:25" x14ac:dyDescent="0.25">
      <c r="A594" t="str">
        <f>IF(AND($A588="YES",E588=$D$1,F594&gt;0),"YES","NO")</f>
        <v>NO</v>
      </c>
      <c r="C594" t="s">
        <v>5</v>
      </c>
      <c r="D594" s="12" t="str">
        <f t="shared" si="511"/>
        <v>11D</v>
      </c>
      <c r="E594" t="s">
        <v>196</v>
      </c>
      <c r="F594">
        <f>'Expanded Base Data'!J586</f>
        <v>0</v>
      </c>
      <c r="G594" s="171">
        <f>F588</f>
        <v>0</v>
      </c>
      <c r="H594">
        <f>ROUND(B588+'Slide Measurements'!$D$17,$O$1)</f>
        <v>288.51</v>
      </c>
      <c r="I594">
        <f>ROUND(H594+(F594*'Slide Measurements'!$D$21),$O$1)</f>
        <v>288.51</v>
      </c>
      <c r="J594">
        <f>K593</f>
        <v>424.63000000000011</v>
      </c>
      <c r="K594">
        <f>J594+($I$1*'Slide Measurements'!$E$23-'Slide Measurements'!$E$23)</f>
        <v>426.48000000000013</v>
      </c>
      <c r="L594" s="5" t="str">
        <f>'Expanded Base Data'!$L586</f>
        <v/>
      </c>
      <c r="M594" s="5" t="str">
        <f>'Expanded Base Data'!$K586</f>
        <v/>
      </c>
      <c r="N594">
        <f t="shared" si="512"/>
        <v>0</v>
      </c>
      <c r="O594">
        <f t="shared" si="513"/>
        <v>1.85</v>
      </c>
      <c r="P594" s="5" t="e">
        <f t="shared" si="514"/>
        <v>#VALUE!</v>
      </c>
      <c r="Q594">
        <f>'Code List'!$C$63</f>
        <v>3</v>
      </c>
      <c r="R594">
        <f>F595+'Code List'!$G$63</f>
        <v>2</v>
      </c>
      <c r="S594" t="e">
        <f t="shared" si="515"/>
        <v>#VALUE!</v>
      </c>
      <c r="T594" t="e">
        <f t="shared" si="517"/>
        <v>#VALUE!</v>
      </c>
      <c r="U594" t="str">
        <f>IF(A594="YES",CONCATENATE(G594,"_",'Program Page'!$C$4,'Program Page'!$C$5,"_",D594,"_",E594),"")</f>
        <v/>
      </c>
      <c r="V594" t="str">
        <f t="shared" si="516"/>
        <v/>
      </c>
      <c r="W594" t="str">
        <f>IF(A594="YES",CONCATENATE("{",'Code List'!$B$4,'Code List'!$D$4,",",'Code List'!$B$5,'Code List'!$D$5,",",'Code List'!$B$6,"""",U594,"""",",",'Code List'!$B$7,'Code List'!$D$7,",",'Code List'!$B$8,'Code List'!$D$8,",",'Code List'!$B$9,'Code List'!$D$9,",",'Code List'!$B$10,'Code List'!$D$10,",",'Code List'!$B$11,"""",V594,"""",",",'Code List'!$B$12,"""",H594,"""",",",'Code List'!$B$13,"""",I594,"""",",",'Code List'!$B$14,"""",J594,"""",",",'Code List'!$B$15,"""",K594,"""",",",'Code List'!$B$16,"""",L594,"""",",",'Code List'!$B$17,"""",M594,"""",",",'Code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94" s="167" t="str">
        <f>IF(A594="YES",CONCATENATE("{",'Code List'!$B$31,"""",U594,"""",",",'Code List'!$B$32,'Code List'!$D$32,",",'Code List'!$B$33,'Code List'!$D$33,",",'Code List'!$B$34,'Code List'!$D$34,",",'Code List'!$B$35,'Code List'!$D$35,",",'Code List'!$B$36,'Code List'!$D$36,",",'Code List'!$B$37,'Code List'!$D$37,",",'Code List'!$B$38,"""",H594,"""",",",'Code List'!$B$39,"""",I594,"""",",",'Code List'!$B$40,"""",J594,"""",",",'Code List'!$B$41,"""",K594,"""",",",'Code List'!$B$42,"""",L594,"""",",",'Code List'!$B$43,"""",M594,"""",",",'Code List'!$B$44,"""",N594,"""",",",'Code List'!$B$45,"""",O594,"""",",",'Code List'!$B$46,"""",P594,"""",",",'Code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List'!$B$59,"""",T594,"""","}"),"")</f>
        <v/>
      </c>
    </row>
    <row r="595" spans="1:25" x14ac:dyDescent="0.25">
      <c r="A595" s="162" t="str">
        <f>IF(AND($A588="YES",E588=$E$1),"YES","NO")</f>
        <v>NO</v>
      </c>
      <c r="C595" t="s">
        <v>259</v>
      </c>
      <c r="D595" s="12" t="str">
        <f>D594</f>
        <v>11D</v>
      </c>
      <c r="E595" t="s">
        <v>259</v>
      </c>
      <c r="G595" s="171">
        <f>F588</f>
        <v>0</v>
      </c>
      <c r="H595">
        <f>ROUND(B588,$O$1)</f>
        <v>263.11</v>
      </c>
      <c r="I595">
        <f>ROUND(B588+'Slide Measurements'!$D$1,$O$1)</f>
        <v>339.56</v>
      </c>
      <c r="J595">
        <f>C588</f>
        <v>412.93</v>
      </c>
      <c r="K595">
        <f>C588+'Slide Measurements'!$D$2</f>
        <v>440.33</v>
      </c>
      <c r="L595" s="5" t="str">
        <f>'Expanded Base Data'!$L586</f>
        <v/>
      </c>
      <c r="M595" s="5" t="str">
        <f>'Expanded Base Data'!$K586</f>
        <v/>
      </c>
      <c r="N595">
        <f t="shared" si="512"/>
        <v>76.45</v>
      </c>
      <c r="O595">
        <f t="shared" si="513"/>
        <v>27.4</v>
      </c>
      <c r="P595" s="5" t="e">
        <f>ROUND((L595-M595),$O$1)</f>
        <v>#VALUE!</v>
      </c>
      <c r="Q595">
        <f>'Code List'!$C$70</f>
        <v>11</v>
      </c>
      <c r="R595">
        <f>'Code List'!$D$70</f>
        <v>19</v>
      </c>
      <c r="S595" t="e">
        <f>IF(P595=0,"1",ROUND((P595/$K$1)+$M$1,0))</f>
        <v>#VALUE!</v>
      </c>
      <c r="T595" t="e">
        <f>Q595*R595*S595</f>
        <v>#VALUE!</v>
      </c>
      <c r="U595" t="str">
        <f>IF(A595="YES",CONCATENATE(G595,"_",'Program Page'!$C$4,'Program Page'!$C$5,"_",D595,"_",E595),"")</f>
        <v/>
      </c>
      <c r="V595" t="str">
        <f>IF(U595="","",CONCATENATE(U595,"_"))</f>
        <v/>
      </c>
      <c r="W595" t="str">
        <f>IF(A595="YES",CONCATENATE("{",'Code List'!$B$4,'Code List'!$D$4,",",'Code List'!$B$5,'Code List'!$D$5,",",'Code List'!$B$6,"""",U595,"""",",",'Code List'!$B$7,'Code List'!$D$7,",",'Code List'!$B$8,'Code List'!$D$8,",",'Code List'!$B$9,'Code List'!$D$9,",",'Code List'!$B$10,'Code List'!$D$10,",",'Code List'!$B$11,"""",V595,"""",",",'Code List'!$B$12,"""",H595,"""",",",'Code List'!$B$13,"""",I595,"""",",",'Code List'!$B$14,"""",J595,"""",",",'Code List'!$B$15,"""",K595,"""",",",'Code List'!$B$16,"""",L595,"""",",",'Code List'!$B$17,"""",M595,"""",",",'Code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595" s="167" t="str">
        <f>IF(A595="YES",CONCATENATE("{",'Code List'!$B$31,"""",U595,"""",",",'Code List'!$B$32,'Code List'!$D$32,",",'Code List'!$B$33,'Code List'!$D$33,",",'Code List'!$B$34,'Code List'!$D$34,",",'Code List'!$B$35,'Code List'!$D$35,",",'Code List'!$B$36,'Code List'!$D$36,",",'Code List'!$B$37,'Code List'!$D$37,",",'Code List'!$B$38,"""",H595,"""",",",'Code List'!$B$39,"""",I595,"""",",",'Code List'!$B$40,"""",J595,"""",",",'Code List'!$B$41,"""",K595,"""",",",'Code List'!$B$42,"""",L595,"""",",",'Code List'!$B$43,"""",M595,"""",",",'Code List'!$B$44,"""",N595,"""",",",'Code List'!$B$45,"""",O595,"""",",",'Code List'!$B$46,"""",P595,"""",",",'Code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List'!$B$59,"""",T595,"""","}"),"")</f>
        <v/>
      </c>
    </row>
    <row r="596" spans="1:25" ht="18.75" x14ac:dyDescent="0.3">
      <c r="A596" s="35" t="str">
        <f>IF(OR(E596=$C$1,E596=$D$1,E596=$E$1),"YES","NO")</f>
        <v>NO</v>
      </c>
      <c r="B596" s="35">
        <f>'Expanded Base Data'!D594</f>
        <v>349.51</v>
      </c>
      <c r="C596" s="35">
        <f>'Expanded Base Data'!E594</f>
        <v>412.93</v>
      </c>
      <c r="D596" s="36" t="str">
        <f>'Expanded Base Data'!B594</f>
        <v>11E</v>
      </c>
      <c r="E596" s="35">
        <f>'Expanded Base Data'!C594</f>
        <v>0</v>
      </c>
      <c r="F596" s="35">
        <f>'Expanded Base Data'!M594</f>
        <v>0</v>
      </c>
      <c r="G596" s="170">
        <f>F596</f>
        <v>0</v>
      </c>
      <c r="Y596" s="167" t="str">
        <f>""</f>
        <v/>
      </c>
    </row>
    <row r="597" spans="1:25" x14ac:dyDescent="0.25">
      <c r="A597" t="str">
        <f>IF(AND($A596="YES",E596=$C$1),"YES","NO")</f>
        <v>NO</v>
      </c>
      <c r="C597" t="s">
        <v>6</v>
      </c>
      <c r="D597" s="12" t="str">
        <f>D596</f>
        <v>11E</v>
      </c>
      <c r="E597" t="s">
        <v>6</v>
      </c>
      <c r="F597" t="s">
        <v>198</v>
      </c>
      <c r="G597" s="171">
        <f>F596</f>
        <v>0</v>
      </c>
      <c r="H597">
        <f>IF('Expanded Base Data'!N594="",ROUND(B596+'Slide Measurements'!$D$11,$O$1),B596+'Expanded Base Data'!N594)</f>
        <v>382.51</v>
      </c>
      <c r="I597">
        <f>IF('Expanded Base Data'!O594="",ROUND(B596+'Slide Measurements'!$D$12,$O$1),B596+'Expanded Base Data'!O594)</f>
        <v>391.11</v>
      </c>
      <c r="J597">
        <f>IF('Expanded Base Data'!P594="",C596+'Slide Measurements'!$E$13,C596+'Expanded Base Data'!P594)</f>
        <v>421.63</v>
      </c>
      <c r="K597">
        <f>IF('Expanded Base Data'!Q594="",C596+'Slide Measurements'!$E$14,C596+'Expanded Base Data'!Q594)</f>
        <v>430.23</v>
      </c>
      <c r="L597" s="5" t="str">
        <f>'Expanded Base Data'!$L594</f>
        <v/>
      </c>
      <c r="M597" s="5" t="str">
        <f>'Expanded Base Data'!$K594</f>
        <v/>
      </c>
      <c r="N597">
        <f>ROUND((I597-H597),$O$1)</f>
        <v>8.6</v>
      </c>
      <c r="O597">
        <f>ROUND((K597-J597),$O$1)</f>
        <v>8.6</v>
      </c>
      <c r="P597" s="5" t="e">
        <f>ROUND((L597-M597),$O$1)</f>
        <v>#VALUE!</v>
      </c>
      <c r="Q597">
        <f>'Code List'!$C$62</f>
        <v>5</v>
      </c>
      <c r="R597">
        <f>F598+'Code List'!$G$63</f>
        <v>2</v>
      </c>
      <c r="S597" t="e">
        <f>IF(P597=0,"1",ROUND((P597/$K$1)+$M$1,0))</f>
        <v>#VALUE!</v>
      </c>
      <c r="T597" t="e">
        <f>Q597*R597*S597</f>
        <v>#VALUE!</v>
      </c>
      <c r="U597" t="str">
        <f>IF(A597="YES",CONCATENATE(G597,"_",'Program Page'!$C$4,'Program Page'!$C$5,"_",D597,"_",E597),"")</f>
        <v/>
      </c>
      <c r="V597" t="str">
        <f>IF(U597="","",CONCATENATE(U597,"_"))</f>
        <v/>
      </c>
      <c r="W597" t="str">
        <f>IF(A597="YES",CONCATENATE("{",'Code List'!$B$4,'Code List'!$D$4,",",'Code List'!$B$5,'Code List'!$D$5,",",'Code List'!$B$6,"""",U597,"""",",",'Code List'!$B$7,'Code List'!$D$7,",",'Code List'!$B$8,'Code List'!$D$8,",",'Code List'!$B$9,'Code List'!$D$9,",",'Code List'!$B$10,'Code List'!$D$10,",",'Code List'!$B$11,"""",V597,"""",",",'Code List'!$B$12,"""",H597,"""",",",'Code List'!$B$13,"""",I597,"""",",",'Code List'!$B$14,"""",J597,"""",",",'Code List'!$B$15,"""",K597,"""",",",'Code List'!$B$16,"""",L597,"""",",",'Code List'!$B$17,"""",M597,"""",",",'Code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97" s="167" t="str">
        <f>IF(A597="YES",CONCATENATE("{",'Code List'!$B$31,"""",U597,"""",",",'Code List'!$B$32,'Code List'!$D$32,",",'Code List'!$B$33,'Code List'!$D$33,",",'Code List'!$B$34,'Code List'!$D$34,",",'Code List'!$B$35,'Code List'!$D$35,",",'Code List'!$B$36,'Code List'!$D$36,",",'Code List'!$B$37,'Code List'!$D$37,",",'Code List'!$B$38,"""",H597,"""",",",'Code List'!$B$39,"""",I597,"""",",",'Code List'!$B$40,"""",J597,"""",",",'Code List'!$B$41,"""",K597,"""",",",'Code List'!$B$42,"""",L597,"""",",",'Code List'!$B$43,"""",M597,"""",",",'Code List'!$B$44,"""",N597,"""",",",'Code List'!$B$45,"""",O597,"""",",",'Code List'!$B$46,"""",P597,"""",",",'Code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List'!$B$59,"""",T597,"""","}"),"")</f>
        <v/>
      </c>
    </row>
    <row r="598" spans="1:25" x14ac:dyDescent="0.25">
      <c r="A598" t="str">
        <f>IF(AND($A596="YES",E596=$D$1,F598&gt;0),"YES","NO")</f>
        <v>NO</v>
      </c>
      <c r="C598" t="s">
        <v>5</v>
      </c>
      <c r="D598" s="12" t="str">
        <f t="shared" ref="D598:D602" si="518">D597</f>
        <v>11E</v>
      </c>
      <c r="E598" t="s">
        <v>188</v>
      </c>
      <c r="F598">
        <f>'Expanded Base Data'!F594</f>
        <v>0</v>
      </c>
      <c r="G598" s="171">
        <f>F596</f>
        <v>0</v>
      </c>
      <c r="H598">
        <f>ROUND(B596+'Slide Measurements'!$D$17,$O$1)</f>
        <v>374.91</v>
      </c>
      <c r="I598">
        <f>ROUND(H598+(F598*'Slide Measurements'!$D$21),$O$1)</f>
        <v>374.91</v>
      </c>
      <c r="J598">
        <f>C596+'Slide Measurements'!$E$17</f>
        <v>417.23</v>
      </c>
      <c r="K598">
        <f>J598+($I$1*'Slide Measurements'!$E$23-'Slide Measurements'!$E$23)</f>
        <v>419.08000000000004</v>
      </c>
      <c r="L598" s="5" t="str">
        <f>'Expanded Base Data'!$L594</f>
        <v/>
      </c>
      <c r="M598" s="5" t="str">
        <f>'Expanded Base Data'!$K594</f>
        <v/>
      </c>
      <c r="N598">
        <f t="shared" ref="N598:N603" si="519">ROUND((I598-H598),$O$1)</f>
        <v>0</v>
      </c>
      <c r="O598">
        <f t="shared" ref="O598:O603" si="520">ROUND((K598-J598),$O$1)</f>
        <v>1.85</v>
      </c>
      <c r="P598" s="5" t="e">
        <f t="shared" ref="P598:P602" si="521">ROUND((L598-M598),$O$1)</f>
        <v>#VALUE!</v>
      </c>
      <c r="Q598">
        <f>'Code List'!$C$63</f>
        <v>3</v>
      </c>
      <c r="R598">
        <f>F599+'Code List'!$G$63</f>
        <v>2</v>
      </c>
      <c r="S598" t="e">
        <f t="shared" ref="S598:S602" si="522">IF(P598=0,"1",ROUND((P598/$K$1)+$M$1,0))</f>
        <v>#VALUE!</v>
      </c>
      <c r="T598" t="e">
        <f>Q598*R598*S598</f>
        <v>#VALUE!</v>
      </c>
      <c r="U598" t="str">
        <f>IF(A598="YES",CONCATENATE(G598,"_",'Program Page'!$C$4,'Program Page'!$C$5,"_",D598,"_",E598),"")</f>
        <v/>
      </c>
      <c r="V598" t="str">
        <f t="shared" ref="V598:V602" si="523">IF(U598="","",CONCATENATE(U598,"_"))</f>
        <v/>
      </c>
      <c r="W598" t="str">
        <f>IF(A598="YES",CONCATENATE("{",'Code List'!$B$4,'Code List'!$D$4,",",'Code List'!$B$5,'Code List'!$D$5,",",'Code List'!$B$6,"""",U598,"""",",",'Code List'!$B$7,'Code List'!$D$7,",",'Code List'!$B$8,'Code List'!$D$8,",",'Code List'!$B$9,'Code List'!$D$9,",",'Code List'!$B$10,'Code List'!$D$10,",",'Code List'!$B$11,"""",V598,"""",",",'Code List'!$B$12,"""",H598,"""",",",'Code List'!$B$13,"""",I598,"""",",",'Code List'!$B$14,"""",J598,"""",",",'Code List'!$B$15,"""",K598,"""",",",'Code List'!$B$16,"""",L598,"""",",",'Code List'!$B$17,"""",M598,"""",",",'Code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98" s="167" t="str">
        <f>IF(A598="YES",CONCATENATE("{",'Code List'!$B$31,"""",U598,"""",",",'Code List'!$B$32,'Code List'!$D$32,",",'Code List'!$B$33,'Code List'!$D$33,",",'Code List'!$B$34,'Code List'!$D$34,",",'Code List'!$B$35,'Code List'!$D$35,",",'Code List'!$B$36,'Code List'!$D$36,",",'Code List'!$B$37,'Code List'!$D$37,",",'Code List'!$B$38,"""",H598,"""",",",'Code List'!$B$39,"""",I598,"""",",",'Code List'!$B$40,"""",J598,"""",",",'Code List'!$B$41,"""",K598,"""",",",'Code List'!$B$42,"""",L598,"""",",",'Code List'!$B$43,"""",M598,"""",",",'Code List'!$B$44,"""",N598,"""",",",'Code List'!$B$45,"""",O598,"""",",",'Code List'!$B$46,"""",P598,"""",",",'Code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List'!$B$59,"""",T598,"""","}"),"")</f>
        <v/>
      </c>
    </row>
    <row r="599" spans="1:25" x14ac:dyDescent="0.25">
      <c r="A599" t="str">
        <f>IF(AND($A596="YES",E596=$D$1,F599&gt;0),"YES","NO")</f>
        <v>NO</v>
      </c>
      <c r="C599" t="s">
        <v>5</v>
      </c>
      <c r="D599" s="12" t="str">
        <f t="shared" si="518"/>
        <v>11E</v>
      </c>
      <c r="E599" t="s">
        <v>189</v>
      </c>
      <c r="F599">
        <f>'Expanded Base Data'!G594</f>
        <v>0</v>
      </c>
      <c r="G599" s="171">
        <f>F596</f>
        <v>0</v>
      </c>
      <c r="H599">
        <f>ROUND(B596+'Slide Measurements'!$D$17,$O$1)</f>
        <v>374.91</v>
      </c>
      <c r="I599">
        <f>ROUND(H599+(F599*'Slide Measurements'!$D$21),$O$1)</f>
        <v>374.91</v>
      </c>
      <c r="J599">
        <f>K598</f>
        <v>419.08000000000004</v>
      </c>
      <c r="K599">
        <f>J599+($I$1*'Slide Measurements'!$E$23-'Slide Measurements'!$E$23)</f>
        <v>420.93000000000006</v>
      </c>
      <c r="L599" s="5" t="str">
        <f>'Expanded Base Data'!$L594</f>
        <v/>
      </c>
      <c r="M599" s="5" t="str">
        <f>'Expanded Base Data'!$K594</f>
        <v/>
      </c>
      <c r="N599">
        <f t="shared" si="519"/>
        <v>0</v>
      </c>
      <c r="O599">
        <f t="shared" si="520"/>
        <v>1.85</v>
      </c>
      <c r="P599" s="5" t="e">
        <f t="shared" si="521"/>
        <v>#VALUE!</v>
      </c>
      <c r="Q599">
        <f>'Code List'!$C$63</f>
        <v>3</v>
      </c>
      <c r="R599">
        <f>F600+'Code List'!$G$63</f>
        <v>2</v>
      </c>
      <c r="S599" t="e">
        <f t="shared" si="522"/>
        <v>#VALUE!</v>
      </c>
      <c r="T599" t="e">
        <f t="shared" ref="T599:T602" si="524">Q599*R599*S599</f>
        <v>#VALUE!</v>
      </c>
      <c r="U599" t="str">
        <f>IF(A599="YES",CONCATENATE(G599,"_",'Program Page'!$C$4,'Program Page'!$C$5,"_",D599,"_",E599),"")</f>
        <v/>
      </c>
      <c r="V599" t="str">
        <f t="shared" si="523"/>
        <v/>
      </c>
      <c r="W599" t="str">
        <f>IF(A599="YES",CONCATENATE("{",'Code List'!$B$4,'Code List'!$D$4,",",'Code List'!$B$5,'Code List'!$D$5,",",'Code List'!$B$6,"""",U599,"""",",",'Code List'!$B$7,'Code List'!$D$7,",",'Code List'!$B$8,'Code List'!$D$8,",",'Code List'!$B$9,'Code List'!$D$9,",",'Code List'!$B$10,'Code List'!$D$10,",",'Code List'!$B$11,"""",V599,"""",",",'Code List'!$B$12,"""",H599,"""",",",'Code List'!$B$13,"""",I599,"""",",",'Code List'!$B$14,"""",J599,"""",",",'Code List'!$B$15,"""",K599,"""",",",'Code List'!$B$16,"""",L599,"""",",",'Code List'!$B$17,"""",M599,"""",",",'Code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599" s="167" t="str">
        <f>IF(A599="YES",CONCATENATE("{",'Code List'!$B$31,"""",U599,"""",",",'Code List'!$B$32,'Code List'!$D$32,",",'Code List'!$B$33,'Code List'!$D$33,",",'Code List'!$B$34,'Code List'!$D$34,",",'Code List'!$B$35,'Code List'!$D$35,",",'Code List'!$B$36,'Code List'!$D$36,",",'Code List'!$B$37,'Code List'!$D$37,",",'Code List'!$B$38,"""",H599,"""",",",'Code List'!$B$39,"""",I599,"""",",",'Code List'!$B$40,"""",J599,"""",",",'Code List'!$B$41,"""",K599,"""",",",'Code List'!$B$42,"""",L599,"""",",",'Code List'!$B$43,"""",M599,"""",",",'Code List'!$B$44,"""",N599,"""",",",'Code List'!$B$45,"""",O599,"""",",",'Code List'!$B$46,"""",P599,"""",",",'Code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List'!$B$59,"""",T599,"""","}"),"")</f>
        <v/>
      </c>
    </row>
    <row r="600" spans="1:25" x14ac:dyDescent="0.25">
      <c r="A600" t="str">
        <f>IF(AND($A596="YES",E596=$D$1,F600&gt;0),"YES","NO")</f>
        <v>NO</v>
      </c>
      <c r="C600" t="s">
        <v>5</v>
      </c>
      <c r="D600" s="12" t="str">
        <f t="shared" si="518"/>
        <v>11E</v>
      </c>
      <c r="E600" t="s">
        <v>190</v>
      </c>
      <c r="F600">
        <f>'Expanded Base Data'!H594</f>
        <v>0</v>
      </c>
      <c r="G600" s="171">
        <f>F596</f>
        <v>0</v>
      </c>
      <c r="H600">
        <f>ROUND(B596+'Slide Measurements'!$D$17,$O$1)</f>
        <v>374.91</v>
      </c>
      <c r="I600">
        <f>ROUND(H600+(F600*'Slide Measurements'!$D$21),$O$1)</f>
        <v>374.91</v>
      </c>
      <c r="J600">
        <f>K599</f>
        <v>420.93000000000006</v>
      </c>
      <c r="K600">
        <f>J600+($I$1*'Slide Measurements'!$E$23-'Slide Measurements'!$E$23)</f>
        <v>422.78000000000009</v>
      </c>
      <c r="L600" s="5" t="str">
        <f>'Expanded Base Data'!$L594</f>
        <v/>
      </c>
      <c r="M600" s="5" t="str">
        <f>'Expanded Base Data'!$K594</f>
        <v/>
      </c>
      <c r="N600">
        <f t="shared" si="519"/>
        <v>0</v>
      </c>
      <c r="O600">
        <f t="shared" si="520"/>
        <v>1.85</v>
      </c>
      <c r="P600" s="5" t="e">
        <f t="shared" si="521"/>
        <v>#VALUE!</v>
      </c>
      <c r="Q600">
        <f>'Code List'!$C$63</f>
        <v>3</v>
      </c>
      <c r="R600">
        <f>F601+'Code List'!$G$63</f>
        <v>2</v>
      </c>
      <c r="S600" t="e">
        <f t="shared" si="522"/>
        <v>#VALUE!</v>
      </c>
      <c r="T600" t="e">
        <f t="shared" si="524"/>
        <v>#VALUE!</v>
      </c>
      <c r="U600" t="str">
        <f>IF(A600="YES",CONCATENATE(G600,"_",'Program Page'!$C$4,'Program Page'!$C$5,"_",D600,"_",E600),"")</f>
        <v/>
      </c>
      <c r="V600" t="str">
        <f t="shared" si="523"/>
        <v/>
      </c>
      <c r="W600" t="str">
        <f>IF(A600="YES",CONCATENATE("{",'Code List'!$B$4,'Code List'!$D$4,",",'Code List'!$B$5,'Code List'!$D$5,",",'Code List'!$B$6,"""",U600,"""",",",'Code List'!$B$7,'Code List'!$D$7,",",'Code List'!$B$8,'Code List'!$D$8,",",'Code List'!$B$9,'Code List'!$D$9,",",'Code List'!$B$10,'Code List'!$D$10,",",'Code List'!$B$11,"""",V600,"""",",",'Code List'!$B$12,"""",H600,"""",",",'Code List'!$B$13,"""",I600,"""",",",'Code List'!$B$14,"""",J600,"""",",",'Code List'!$B$15,"""",K600,"""",",",'Code List'!$B$16,"""",L600,"""",",",'Code List'!$B$17,"""",M600,"""",",",'Code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00" s="167" t="str">
        <f>IF(A600="YES",CONCATENATE("{",'Code List'!$B$31,"""",U600,"""",",",'Code List'!$B$32,'Code List'!$D$32,",",'Code List'!$B$33,'Code List'!$D$33,",",'Code List'!$B$34,'Code List'!$D$34,",",'Code List'!$B$35,'Code List'!$D$35,",",'Code List'!$B$36,'Code List'!$D$36,",",'Code List'!$B$37,'Code List'!$D$37,",",'Code List'!$B$38,"""",H600,"""",",",'Code List'!$B$39,"""",I600,"""",",",'Code List'!$B$40,"""",J600,"""",",",'Code List'!$B$41,"""",K600,"""",",",'Code List'!$B$42,"""",L600,"""",",",'Code List'!$B$43,"""",M600,"""",",",'Code List'!$B$44,"""",N600,"""",",",'Code List'!$B$45,"""",O600,"""",",",'Code List'!$B$46,"""",P600,"""",",",'Code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List'!$B$59,"""",T600,"""","}"),"")</f>
        <v/>
      </c>
    </row>
    <row r="601" spans="1:25" x14ac:dyDescent="0.25">
      <c r="A601" t="str">
        <f>IF(AND($A596="YES",E596=$D$1,F601&gt;0),"YES","NO")</f>
        <v>NO</v>
      </c>
      <c r="C601" t="s">
        <v>5</v>
      </c>
      <c r="D601" s="12" t="str">
        <f t="shared" si="518"/>
        <v>11E</v>
      </c>
      <c r="E601" t="s">
        <v>191</v>
      </c>
      <c r="F601">
        <f>'Expanded Base Data'!I594</f>
        <v>0</v>
      </c>
      <c r="G601" s="171">
        <f>F596</f>
        <v>0</v>
      </c>
      <c r="H601">
        <f>ROUND(B596+'Slide Measurements'!$D$17,$O$1)</f>
        <v>374.91</v>
      </c>
      <c r="I601">
        <f>ROUND(H601+(F601*'Slide Measurements'!$D$21),$O$1)</f>
        <v>374.91</v>
      </c>
      <c r="J601">
        <f>K600</f>
        <v>422.78000000000009</v>
      </c>
      <c r="K601">
        <f>J601+($I$1*'Slide Measurements'!$E$23-'Slide Measurements'!$E$23)</f>
        <v>424.63000000000011</v>
      </c>
      <c r="L601" s="5" t="str">
        <f>'Expanded Base Data'!$L594</f>
        <v/>
      </c>
      <c r="M601" s="5" t="str">
        <f>'Expanded Base Data'!$K594</f>
        <v/>
      </c>
      <c r="N601">
        <f t="shared" si="519"/>
        <v>0</v>
      </c>
      <c r="O601">
        <f t="shared" si="520"/>
        <v>1.85</v>
      </c>
      <c r="P601" s="5" t="e">
        <f t="shared" si="521"/>
        <v>#VALUE!</v>
      </c>
      <c r="Q601">
        <f>'Code List'!$C$63</f>
        <v>3</v>
      </c>
      <c r="R601">
        <f>F602+'Code List'!$G$63</f>
        <v>2</v>
      </c>
      <c r="S601" t="e">
        <f t="shared" si="522"/>
        <v>#VALUE!</v>
      </c>
      <c r="T601" t="e">
        <f t="shared" si="524"/>
        <v>#VALUE!</v>
      </c>
      <c r="U601" t="str">
        <f>IF(A601="YES",CONCATENATE(G601,"_",'Program Page'!$C$4,'Program Page'!$C$5,"_",D601,"_",E601),"")</f>
        <v/>
      </c>
      <c r="V601" t="str">
        <f t="shared" si="523"/>
        <v/>
      </c>
      <c r="W601" t="str">
        <f>IF(A601="YES",CONCATENATE("{",'Code List'!$B$4,'Code List'!$D$4,",",'Code List'!$B$5,'Code List'!$D$5,",",'Code List'!$B$6,"""",U601,"""",",",'Code List'!$B$7,'Code List'!$D$7,",",'Code List'!$B$8,'Code List'!$D$8,",",'Code List'!$B$9,'Code List'!$D$9,",",'Code List'!$B$10,'Code List'!$D$10,",",'Code List'!$B$11,"""",V601,"""",",",'Code List'!$B$12,"""",H601,"""",",",'Code List'!$B$13,"""",I601,"""",",",'Code List'!$B$14,"""",J601,"""",",",'Code List'!$B$15,"""",K601,"""",",",'Code List'!$B$16,"""",L601,"""",",",'Code List'!$B$17,"""",M601,"""",",",'Code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01" s="167" t="str">
        <f>IF(A601="YES",CONCATENATE("{",'Code List'!$B$31,"""",U601,"""",",",'Code List'!$B$32,'Code List'!$D$32,",",'Code List'!$B$33,'Code List'!$D$33,",",'Code List'!$B$34,'Code List'!$D$34,",",'Code List'!$B$35,'Code List'!$D$35,",",'Code List'!$B$36,'Code List'!$D$36,",",'Code List'!$B$37,'Code List'!$D$37,",",'Code List'!$B$38,"""",H601,"""",",",'Code List'!$B$39,"""",I601,"""",",",'Code List'!$B$40,"""",J601,"""",",",'Code List'!$B$41,"""",K601,"""",",",'Code List'!$B$42,"""",L601,"""",",",'Code List'!$B$43,"""",M601,"""",",",'Code List'!$B$44,"""",N601,"""",",",'Code List'!$B$45,"""",O601,"""",",",'Code List'!$B$46,"""",P601,"""",",",'Code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List'!$B$59,"""",T601,"""","}"),"")</f>
        <v/>
      </c>
    </row>
    <row r="602" spans="1:25" x14ac:dyDescent="0.25">
      <c r="A602" t="str">
        <f>IF(AND($A596="YES",E596=$D$1,F602&gt;0),"YES","NO")</f>
        <v>NO</v>
      </c>
      <c r="C602" t="s">
        <v>5</v>
      </c>
      <c r="D602" s="12" t="str">
        <f t="shared" si="518"/>
        <v>11E</v>
      </c>
      <c r="E602" t="s">
        <v>196</v>
      </c>
      <c r="F602">
        <f>'Expanded Base Data'!J594</f>
        <v>0</v>
      </c>
      <c r="G602" s="171">
        <f>F596</f>
        <v>0</v>
      </c>
      <c r="H602">
        <f>ROUND(B596+'Slide Measurements'!$D$17,$O$1)</f>
        <v>374.91</v>
      </c>
      <c r="I602">
        <f>ROUND(H602+(F602*'Slide Measurements'!$D$21),$O$1)</f>
        <v>374.91</v>
      </c>
      <c r="J602">
        <f>K601</f>
        <v>424.63000000000011</v>
      </c>
      <c r="K602">
        <f>J602+($I$1*'Slide Measurements'!$E$23-'Slide Measurements'!$E$23)</f>
        <v>426.48000000000013</v>
      </c>
      <c r="L602" s="5" t="str">
        <f>'Expanded Base Data'!$L594</f>
        <v/>
      </c>
      <c r="M602" s="5" t="str">
        <f>'Expanded Base Data'!$K594</f>
        <v/>
      </c>
      <c r="N602">
        <f t="shared" si="519"/>
        <v>0</v>
      </c>
      <c r="O602">
        <f t="shared" si="520"/>
        <v>1.85</v>
      </c>
      <c r="P602" s="5" t="e">
        <f t="shared" si="521"/>
        <v>#VALUE!</v>
      </c>
      <c r="Q602">
        <f>'Code List'!$C$63</f>
        <v>3</v>
      </c>
      <c r="R602">
        <f>F603+'Code List'!$G$63</f>
        <v>2</v>
      </c>
      <c r="S602" t="e">
        <f t="shared" si="522"/>
        <v>#VALUE!</v>
      </c>
      <c r="T602" t="e">
        <f t="shared" si="524"/>
        <v>#VALUE!</v>
      </c>
      <c r="U602" t="str">
        <f>IF(A602="YES",CONCATENATE(G602,"_",'Program Page'!$C$4,'Program Page'!$C$5,"_",D602,"_",E602),"")</f>
        <v/>
      </c>
      <c r="V602" t="str">
        <f t="shared" si="523"/>
        <v/>
      </c>
      <c r="W602" t="str">
        <f>IF(A602="YES",CONCATENATE("{",'Code List'!$B$4,'Code List'!$D$4,",",'Code List'!$B$5,'Code List'!$D$5,",",'Code List'!$B$6,"""",U602,"""",",",'Code List'!$B$7,'Code List'!$D$7,",",'Code List'!$B$8,'Code List'!$D$8,",",'Code List'!$B$9,'Code List'!$D$9,",",'Code List'!$B$10,'Code List'!$D$10,",",'Code List'!$B$11,"""",V602,"""",",",'Code List'!$B$12,"""",H602,"""",",",'Code List'!$B$13,"""",I602,"""",",",'Code List'!$B$14,"""",J602,"""",",",'Code List'!$B$15,"""",K602,"""",",",'Code List'!$B$16,"""",L602,"""",",",'Code List'!$B$17,"""",M602,"""",",",'Code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02" s="167" t="str">
        <f>IF(A602="YES",CONCATENATE("{",'Code List'!$B$31,"""",U602,"""",",",'Code List'!$B$32,'Code List'!$D$32,",",'Code List'!$B$33,'Code List'!$D$33,",",'Code List'!$B$34,'Code List'!$D$34,",",'Code List'!$B$35,'Code List'!$D$35,",",'Code List'!$B$36,'Code List'!$D$36,",",'Code List'!$B$37,'Code List'!$D$37,",",'Code List'!$B$38,"""",H602,"""",",",'Code List'!$B$39,"""",I602,"""",",",'Code List'!$B$40,"""",J602,"""",",",'Code List'!$B$41,"""",K602,"""",",",'Code List'!$B$42,"""",L602,"""",",",'Code List'!$B$43,"""",M602,"""",",",'Code List'!$B$44,"""",N602,"""",",",'Code List'!$B$45,"""",O602,"""",",",'Code List'!$B$46,"""",P602,"""",",",'Code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List'!$B$59,"""",T602,"""","}"),"")</f>
        <v/>
      </c>
    </row>
    <row r="603" spans="1:25" x14ac:dyDescent="0.25">
      <c r="A603" s="162" t="str">
        <f>IF(AND($A596="YES",E596=$E$1),"YES","NO")</f>
        <v>NO</v>
      </c>
      <c r="C603" t="s">
        <v>259</v>
      </c>
      <c r="D603" s="12" t="str">
        <f>D602</f>
        <v>11E</v>
      </c>
      <c r="E603" t="s">
        <v>259</v>
      </c>
      <c r="G603" s="171">
        <f>F596</f>
        <v>0</v>
      </c>
      <c r="H603">
        <f>ROUND(B596,$O$1)</f>
        <v>349.51</v>
      </c>
      <c r="I603">
        <f>ROUND(B596+'Slide Measurements'!$D$1,$O$1)</f>
        <v>425.96</v>
      </c>
      <c r="J603">
        <f>C596</f>
        <v>412.93</v>
      </c>
      <c r="K603">
        <f>C596+'Slide Measurements'!$D$2</f>
        <v>440.33</v>
      </c>
      <c r="L603" s="5" t="str">
        <f>'Expanded Base Data'!$L594</f>
        <v/>
      </c>
      <c r="M603" s="5" t="str">
        <f>'Expanded Base Data'!$K594</f>
        <v/>
      </c>
      <c r="N603">
        <f t="shared" si="519"/>
        <v>76.45</v>
      </c>
      <c r="O603">
        <f t="shared" si="520"/>
        <v>27.4</v>
      </c>
      <c r="P603" s="5" t="e">
        <f>ROUND((L603-M603),$O$1)</f>
        <v>#VALUE!</v>
      </c>
      <c r="Q603">
        <f>'Code List'!$C$70</f>
        <v>11</v>
      </c>
      <c r="R603">
        <f>'Code List'!$D$70</f>
        <v>19</v>
      </c>
      <c r="S603" t="e">
        <f>IF(P603=0,"1",ROUND((P603/$K$1)+$M$1,0))</f>
        <v>#VALUE!</v>
      </c>
      <c r="T603" t="e">
        <f>Q603*R603*S603</f>
        <v>#VALUE!</v>
      </c>
      <c r="U603" t="str">
        <f>IF(A603="YES",CONCATENATE(G603,"_",'Program Page'!$C$4,'Program Page'!$C$5,"_",D603,"_",E603),"")</f>
        <v/>
      </c>
      <c r="V603" t="str">
        <f>IF(U603="","",CONCATENATE(U603,"_"))</f>
        <v/>
      </c>
      <c r="W603" t="str">
        <f>IF(A603="YES",CONCATENATE("{",'Code List'!$B$4,'Code List'!$D$4,",",'Code List'!$B$5,'Code List'!$D$5,",",'Code List'!$B$6,"""",U603,"""",",",'Code List'!$B$7,'Code List'!$D$7,",",'Code List'!$B$8,'Code List'!$D$8,",",'Code List'!$B$9,'Code List'!$D$9,",",'Code List'!$B$10,'Code List'!$D$10,",",'Code List'!$B$11,"""",V603,"""",",",'Code List'!$B$12,"""",H603,"""",",",'Code List'!$B$13,"""",I603,"""",",",'Code List'!$B$14,"""",J603,"""",",",'Code List'!$B$15,"""",K603,"""",",",'Code List'!$B$16,"""",L603,"""",",",'Code List'!$B$17,"""",M603,"""",",",'Code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603" s="167" t="str">
        <f>IF(A603="YES",CONCATENATE("{",'Code List'!$B$31,"""",U603,"""",",",'Code List'!$B$32,'Code List'!$D$32,",",'Code List'!$B$33,'Code List'!$D$33,",",'Code List'!$B$34,'Code List'!$D$34,",",'Code List'!$B$35,'Code List'!$D$35,",",'Code List'!$B$36,'Code List'!$D$36,",",'Code List'!$B$37,'Code List'!$D$37,",",'Code List'!$B$38,"""",H603,"""",",",'Code List'!$B$39,"""",I603,"""",",",'Code List'!$B$40,"""",J603,"""",",",'Code List'!$B$41,"""",K603,"""",",",'Code List'!$B$42,"""",L603,"""",",",'Code List'!$B$43,"""",M603,"""",",",'Code List'!$B$44,"""",N603,"""",",",'Code List'!$B$45,"""",O603,"""",",",'Code List'!$B$46,"""",P603,"""",",",'Code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List'!$B$59,"""",T603,"""","}"),"")</f>
        <v/>
      </c>
    </row>
    <row r="604" spans="1:25" ht="18.75" x14ac:dyDescent="0.3">
      <c r="A604" s="35" t="str">
        <f>IF(OR(E604=$C$1,E604=$D$1,E604=$E$1),"YES","NO")</f>
        <v>NO</v>
      </c>
      <c r="B604" s="35">
        <f>'Expanded Base Data'!D602</f>
        <v>436.11</v>
      </c>
      <c r="C604" s="35">
        <f>'Expanded Base Data'!E602</f>
        <v>412.93</v>
      </c>
      <c r="D604" s="36" t="str">
        <f>'Expanded Base Data'!B602</f>
        <v>11F</v>
      </c>
      <c r="E604" s="35">
        <f>'Expanded Base Data'!C602</f>
        <v>0</v>
      </c>
      <c r="F604" s="35">
        <f>'Expanded Base Data'!M602</f>
        <v>0</v>
      </c>
      <c r="G604" s="170">
        <f>F604</f>
        <v>0</v>
      </c>
      <c r="Y604" s="167" t="str">
        <f>""</f>
        <v/>
      </c>
    </row>
    <row r="605" spans="1:25" x14ac:dyDescent="0.25">
      <c r="A605" t="str">
        <f>IF(AND($A604="YES",E604=$C$1),"YES","NO")</f>
        <v>NO</v>
      </c>
      <c r="C605" t="s">
        <v>6</v>
      </c>
      <c r="D605" s="12" t="str">
        <f>D604</f>
        <v>11F</v>
      </c>
      <c r="E605" t="s">
        <v>6</v>
      </c>
      <c r="F605" t="s">
        <v>198</v>
      </c>
      <c r="G605" s="171">
        <f>F604</f>
        <v>0</v>
      </c>
      <c r="H605">
        <f>IF('Expanded Base Data'!N602="",ROUND(B604+'Slide Measurements'!$D$11,$O$1),B604+'Expanded Base Data'!N602)</f>
        <v>469.11</v>
      </c>
      <c r="I605">
        <f>IF('Expanded Base Data'!O602="",ROUND(B604+'Slide Measurements'!$D$12,$O$1),B604+'Expanded Base Data'!O602)</f>
        <v>477.71</v>
      </c>
      <c r="J605">
        <f>IF('Expanded Base Data'!P602="",C604+'Slide Measurements'!$E$13,C604+'Expanded Base Data'!P602)</f>
        <v>421.63</v>
      </c>
      <c r="K605">
        <f>IF('Expanded Base Data'!Q602="",C604+'Slide Measurements'!$E$14,C604+'Expanded Base Data'!Q602)</f>
        <v>430.23</v>
      </c>
      <c r="L605" s="5" t="str">
        <f>'Expanded Base Data'!$L602</f>
        <v/>
      </c>
      <c r="M605" s="5" t="str">
        <f>'Expanded Base Data'!$K602</f>
        <v/>
      </c>
      <c r="N605">
        <f>ROUND((I605-H605),$O$1)</f>
        <v>8.6</v>
      </c>
      <c r="O605">
        <f>ROUND((K605-J605),$O$1)</f>
        <v>8.6</v>
      </c>
      <c r="P605" s="5" t="e">
        <f>ROUND((L605-M605),$O$1)</f>
        <v>#VALUE!</v>
      </c>
      <c r="Q605">
        <f>'Code List'!$C$62</f>
        <v>5</v>
      </c>
      <c r="R605">
        <f>F606+'Code List'!$G$63</f>
        <v>2</v>
      </c>
      <c r="S605" t="e">
        <f>IF(P605=0,"1",ROUND((P605/$K$1)+$M$1,0))</f>
        <v>#VALUE!</v>
      </c>
      <c r="T605" t="e">
        <f>Q605*R605*S605</f>
        <v>#VALUE!</v>
      </c>
      <c r="U605" t="str">
        <f>IF(A605="YES",CONCATENATE(G605,"_",'Program Page'!$C$4,'Program Page'!$C$5,"_",D605,"_",E605),"")</f>
        <v/>
      </c>
      <c r="V605" t="str">
        <f>IF(U605="","",CONCATENATE(U605,"_"))</f>
        <v/>
      </c>
      <c r="W605" t="str">
        <f>IF(A605="YES",CONCATENATE("{",'Code List'!$B$4,'Code List'!$D$4,",",'Code List'!$B$5,'Code List'!$D$5,",",'Code List'!$B$6,"""",U605,"""",",",'Code List'!$B$7,'Code List'!$D$7,",",'Code List'!$B$8,'Code List'!$D$8,",",'Code List'!$B$9,'Code List'!$D$9,",",'Code List'!$B$10,'Code List'!$D$10,",",'Code List'!$B$11,"""",V605,"""",",",'Code List'!$B$12,"""",H605,"""",",",'Code List'!$B$13,"""",I605,"""",",",'Code List'!$B$14,"""",J605,"""",",",'Code List'!$B$15,"""",K605,"""",",",'Code List'!$B$16,"""",L605,"""",",",'Code List'!$B$17,"""",M605,"""",",",'Code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05" s="167" t="str">
        <f>IF(A605="YES",CONCATENATE("{",'Code List'!$B$31,"""",U605,"""",",",'Code List'!$B$32,'Code List'!$D$32,",",'Code List'!$B$33,'Code List'!$D$33,",",'Code List'!$B$34,'Code List'!$D$34,",",'Code List'!$B$35,'Code List'!$D$35,",",'Code List'!$B$36,'Code List'!$D$36,",",'Code List'!$B$37,'Code List'!$D$37,",",'Code List'!$B$38,"""",H605,"""",",",'Code List'!$B$39,"""",I605,"""",",",'Code List'!$B$40,"""",J605,"""",",",'Code List'!$B$41,"""",K605,"""",",",'Code List'!$B$42,"""",L605,"""",",",'Code List'!$B$43,"""",M605,"""",",",'Code List'!$B$44,"""",N605,"""",",",'Code List'!$B$45,"""",O605,"""",",",'Code List'!$B$46,"""",P605,"""",",",'Code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List'!$B$59,"""",T605,"""","}"),"")</f>
        <v/>
      </c>
    </row>
    <row r="606" spans="1:25" x14ac:dyDescent="0.25">
      <c r="A606" t="str">
        <f>IF(AND($A604="YES",E604=$D$1,F606&gt;0),"YES","NO")</f>
        <v>NO</v>
      </c>
      <c r="C606" t="s">
        <v>5</v>
      </c>
      <c r="D606" s="12" t="str">
        <f t="shared" ref="D606:D610" si="525">D605</f>
        <v>11F</v>
      </c>
      <c r="E606" t="s">
        <v>188</v>
      </c>
      <c r="F606">
        <f>'Expanded Base Data'!F602</f>
        <v>0</v>
      </c>
      <c r="G606" s="171">
        <f>F604</f>
        <v>0</v>
      </c>
      <c r="H606">
        <f>ROUND(B604+'Slide Measurements'!$D$17,$O$1)</f>
        <v>461.51</v>
      </c>
      <c r="I606">
        <f>ROUND(H606+(F606*'Slide Measurements'!$D$21),$O$1)</f>
        <v>461.51</v>
      </c>
      <c r="J606">
        <f>C604+'Slide Measurements'!$E$17</f>
        <v>417.23</v>
      </c>
      <c r="K606">
        <f>J606+($I$1*'Slide Measurements'!$E$23-'Slide Measurements'!$E$23)</f>
        <v>419.08000000000004</v>
      </c>
      <c r="L606" s="5" t="str">
        <f>'Expanded Base Data'!$L602</f>
        <v/>
      </c>
      <c r="M606" s="5" t="str">
        <f>'Expanded Base Data'!$K602</f>
        <v/>
      </c>
      <c r="N606">
        <f t="shared" ref="N606:N611" si="526">ROUND((I606-H606),$O$1)</f>
        <v>0</v>
      </c>
      <c r="O606">
        <f t="shared" ref="O606:O611" si="527">ROUND((K606-J606),$O$1)</f>
        <v>1.85</v>
      </c>
      <c r="P606" s="5" t="e">
        <f t="shared" ref="P606:P610" si="528">ROUND((L606-M606),$O$1)</f>
        <v>#VALUE!</v>
      </c>
      <c r="Q606">
        <f>'Code List'!$C$63</f>
        <v>3</v>
      </c>
      <c r="R606">
        <f>F607+'Code List'!$G$63</f>
        <v>2</v>
      </c>
      <c r="S606" t="e">
        <f t="shared" ref="S606:S610" si="529">IF(P606=0,"1",ROUND((P606/$K$1)+$M$1,0))</f>
        <v>#VALUE!</v>
      </c>
      <c r="T606" t="e">
        <f>Q606*R606*S606</f>
        <v>#VALUE!</v>
      </c>
      <c r="U606" t="str">
        <f>IF(A606="YES",CONCATENATE(G606,"_",'Program Page'!$C$4,'Program Page'!$C$5,"_",D606,"_",E606),"")</f>
        <v/>
      </c>
      <c r="V606" t="str">
        <f t="shared" ref="V606:V610" si="530">IF(U606="","",CONCATENATE(U606,"_"))</f>
        <v/>
      </c>
      <c r="W606" t="str">
        <f>IF(A606="YES",CONCATENATE("{",'Code List'!$B$4,'Code List'!$D$4,",",'Code List'!$B$5,'Code List'!$D$5,",",'Code List'!$B$6,"""",U606,"""",",",'Code List'!$B$7,'Code List'!$D$7,",",'Code List'!$B$8,'Code List'!$D$8,",",'Code List'!$B$9,'Code List'!$D$9,",",'Code List'!$B$10,'Code List'!$D$10,",",'Code List'!$B$11,"""",V606,"""",",",'Code List'!$B$12,"""",H606,"""",",",'Code List'!$B$13,"""",I606,"""",",",'Code List'!$B$14,"""",J606,"""",",",'Code List'!$B$15,"""",K606,"""",",",'Code List'!$B$16,"""",L606,"""",",",'Code List'!$B$17,"""",M606,"""",",",'Code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06" s="167" t="str">
        <f>IF(A606="YES",CONCATENATE("{",'Code List'!$B$31,"""",U606,"""",",",'Code List'!$B$32,'Code List'!$D$32,",",'Code List'!$B$33,'Code List'!$D$33,",",'Code List'!$B$34,'Code List'!$D$34,",",'Code List'!$B$35,'Code List'!$D$35,",",'Code List'!$B$36,'Code List'!$D$36,",",'Code List'!$B$37,'Code List'!$D$37,",",'Code List'!$B$38,"""",H606,"""",",",'Code List'!$B$39,"""",I606,"""",",",'Code List'!$B$40,"""",J606,"""",",",'Code List'!$B$41,"""",K606,"""",",",'Code List'!$B$42,"""",L606,"""",",",'Code List'!$B$43,"""",M606,"""",",",'Code List'!$B$44,"""",N606,"""",",",'Code List'!$B$45,"""",O606,"""",",",'Code List'!$B$46,"""",P606,"""",",",'Code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List'!$B$59,"""",T606,"""","}"),"")</f>
        <v/>
      </c>
    </row>
    <row r="607" spans="1:25" x14ac:dyDescent="0.25">
      <c r="A607" t="str">
        <f>IF(AND($A604="YES",E604=$D$1,F607&gt;0),"YES","NO")</f>
        <v>NO</v>
      </c>
      <c r="C607" t="s">
        <v>5</v>
      </c>
      <c r="D607" s="12" t="str">
        <f t="shared" si="525"/>
        <v>11F</v>
      </c>
      <c r="E607" t="s">
        <v>189</v>
      </c>
      <c r="F607">
        <f>'Expanded Base Data'!G602</f>
        <v>0</v>
      </c>
      <c r="G607" s="171">
        <f>F604</f>
        <v>0</v>
      </c>
      <c r="H607">
        <f>ROUND(B604+'Slide Measurements'!$D$17,$O$1)</f>
        <v>461.51</v>
      </c>
      <c r="I607">
        <f>ROUND(H607+(F607*'Slide Measurements'!$D$21),$O$1)</f>
        <v>461.51</v>
      </c>
      <c r="J607">
        <f>K606</f>
        <v>419.08000000000004</v>
      </c>
      <c r="K607">
        <f>J607+($I$1*'Slide Measurements'!$E$23-'Slide Measurements'!$E$23)</f>
        <v>420.93000000000006</v>
      </c>
      <c r="L607" s="5" t="str">
        <f>'Expanded Base Data'!$L602</f>
        <v/>
      </c>
      <c r="M607" s="5" t="str">
        <f>'Expanded Base Data'!$K602</f>
        <v/>
      </c>
      <c r="N607">
        <f t="shared" si="526"/>
        <v>0</v>
      </c>
      <c r="O607">
        <f t="shared" si="527"/>
        <v>1.85</v>
      </c>
      <c r="P607" s="5" t="e">
        <f t="shared" si="528"/>
        <v>#VALUE!</v>
      </c>
      <c r="Q607">
        <f>'Code List'!$C$63</f>
        <v>3</v>
      </c>
      <c r="R607">
        <f>F608+'Code List'!$G$63</f>
        <v>2</v>
      </c>
      <c r="S607" t="e">
        <f t="shared" si="529"/>
        <v>#VALUE!</v>
      </c>
      <c r="T607" t="e">
        <f t="shared" ref="T607:T610" si="531">Q607*R607*S607</f>
        <v>#VALUE!</v>
      </c>
      <c r="U607" t="str">
        <f>IF(A607="YES",CONCATENATE(G607,"_",'Program Page'!$C$4,'Program Page'!$C$5,"_",D607,"_",E607),"")</f>
        <v/>
      </c>
      <c r="V607" t="str">
        <f t="shared" si="530"/>
        <v/>
      </c>
      <c r="W607" t="str">
        <f>IF(A607="YES",CONCATENATE("{",'Code List'!$B$4,'Code List'!$D$4,",",'Code List'!$B$5,'Code List'!$D$5,",",'Code List'!$B$6,"""",U607,"""",",",'Code List'!$B$7,'Code List'!$D$7,",",'Code List'!$B$8,'Code List'!$D$8,",",'Code List'!$B$9,'Code List'!$D$9,",",'Code List'!$B$10,'Code List'!$D$10,",",'Code List'!$B$11,"""",V607,"""",",",'Code List'!$B$12,"""",H607,"""",",",'Code List'!$B$13,"""",I607,"""",",",'Code List'!$B$14,"""",J607,"""",",",'Code List'!$B$15,"""",K607,"""",",",'Code List'!$B$16,"""",L607,"""",",",'Code List'!$B$17,"""",M607,"""",",",'Code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07" s="167" t="str">
        <f>IF(A607="YES",CONCATENATE("{",'Code List'!$B$31,"""",U607,"""",",",'Code List'!$B$32,'Code List'!$D$32,",",'Code List'!$B$33,'Code List'!$D$33,",",'Code List'!$B$34,'Code List'!$D$34,",",'Code List'!$B$35,'Code List'!$D$35,",",'Code List'!$B$36,'Code List'!$D$36,",",'Code List'!$B$37,'Code List'!$D$37,",",'Code List'!$B$38,"""",H607,"""",",",'Code List'!$B$39,"""",I607,"""",",",'Code List'!$B$40,"""",J607,"""",",",'Code List'!$B$41,"""",K607,"""",",",'Code List'!$B$42,"""",L607,"""",",",'Code List'!$B$43,"""",M607,"""",",",'Code List'!$B$44,"""",N607,"""",",",'Code List'!$B$45,"""",O607,"""",",",'Code List'!$B$46,"""",P607,"""",",",'Code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List'!$B$59,"""",T607,"""","}"),"")</f>
        <v/>
      </c>
    </row>
    <row r="608" spans="1:25" x14ac:dyDescent="0.25">
      <c r="A608" t="str">
        <f>IF(AND($A604="YES",E604=$D$1,F608&gt;0),"YES","NO")</f>
        <v>NO</v>
      </c>
      <c r="C608" t="s">
        <v>5</v>
      </c>
      <c r="D608" s="12" t="str">
        <f t="shared" si="525"/>
        <v>11F</v>
      </c>
      <c r="E608" t="s">
        <v>190</v>
      </c>
      <c r="F608">
        <f>'Expanded Base Data'!H602</f>
        <v>0</v>
      </c>
      <c r="G608" s="171">
        <f>F604</f>
        <v>0</v>
      </c>
      <c r="H608">
        <f>ROUND(B604+'Slide Measurements'!$D$17,$O$1)</f>
        <v>461.51</v>
      </c>
      <c r="I608">
        <f>ROUND(H608+(F608*'Slide Measurements'!$D$21),$O$1)</f>
        <v>461.51</v>
      </c>
      <c r="J608">
        <f>K607</f>
        <v>420.93000000000006</v>
      </c>
      <c r="K608">
        <f>J608+($I$1*'Slide Measurements'!$E$23-'Slide Measurements'!$E$23)</f>
        <v>422.78000000000009</v>
      </c>
      <c r="L608" s="5" t="str">
        <f>'Expanded Base Data'!$L602</f>
        <v/>
      </c>
      <c r="M608" s="5" t="str">
        <f>'Expanded Base Data'!$K602</f>
        <v/>
      </c>
      <c r="N608">
        <f t="shared" si="526"/>
        <v>0</v>
      </c>
      <c r="O608">
        <f t="shared" si="527"/>
        <v>1.85</v>
      </c>
      <c r="P608" s="5" t="e">
        <f t="shared" si="528"/>
        <v>#VALUE!</v>
      </c>
      <c r="Q608">
        <f>'Code List'!$C$63</f>
        <v>3</v>
      </c>
      <c r="R608">
        <f>F609+'Code List'!$G$63</f>
        <v>2</v>
      </c>
      <c r="S608" t="e">
        <f t="shared" si="529"/>
        <v>#VALUE!</v>
      </c>
      <c r="T608" t="e">
        <f t="shared" si="531"/>
        <v>#VALUE!</v>
      </c>
      <c r="U608" t="str">
        <f>IF(A608="YES",CONCATENATE(G608,"_",'Program Page'!$C$4,'Program Page'!$C$5,"_",D608,"_",E608),"")</f>
        <v/>
      </c>
      <c r="V608" t="str">
        <f t="shared" si="530"/>
        <v/>
      </c>
      <c r="W608" t="str">
        <f>IF(A608="YES",CONCATENATE("{",'Code List'!$B$4,'Code List'!$D$4,",",'Code List'!$B$5,'Code List'!$D$5,",",'Code List'!$B$6,"""",U608,"""",",",'Code List'!$B$7,'Code List'!$D$7,",",'Code List'!$B$8,'Code List'!$D$8,",",'Code List'!$B$9,'Code List'!$D$9,",",'Code List'!$B$10,'Code List'!$D$10,",",'Code List'!$B$11,"""",V608,"""",",",'Code List'!$B$12,"""",H608,"""",",",'Code List'!$B$13,"""",I608,"""",",",'Code List'!$B$14,"""",J608,"""",",",'Code List'!$B$15,"""",K608,"""",",",'Code List'!$B$16,"""",L608,"""",",",'Code List'!$B$17,"""",M608,"""",",",'Code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08" s="167" t="str">
        <f>IF(A608="YES",CONCATENATE("{",'Code List'!$B$31,"""",U608,"""",",",'Code List'!$B$32,'Code List'!$D$32,",",'Code List'!$B$33,'Code List'!$D$33,",",'Code List'!$B$34,'Code List'!$D$34,",",'Code List'!$B$35,'Code List'!$D$35,",",'Code List'!$B$36,'Code List'!$D$36,",",'Code List'!$B$37,'Code List'!$D$37,",",'Code List'!$B$38,"""",H608,"""",",",'Code List'!$B$39,"""",I608,"""",",",'Code List'!$B$40,"""",J608,"""",",",'Code List'!$B$41,"""",K608,"""",",",'Code List'!$B$42,"""",L608,"""",",",'Code List'!$B$43,"""",M608,"""",",",'Code List'!$B$44,"""",N608,"""",",",'Code List'!$B$45,"""",O608,"""",",",'Code List'!$B$46,"""",P608,"""",",",'Code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List'!$B$59,"""",T608,"""","}"),"")</f>
        <v/>
      </c>
    </row>
    <row r="609" spans="1:25" x14ac:dyDescent="0.25">
      <c r="A609" t="str">
        <f>IF(AND($A604="YES",E604=$D$1,F609&gt;0),"YES","NO")</f>
        <v>NO</v>
      </c>
      <c r="C609" t="s">
        <v>5</v>
      </c>
      <c r="D609" s="12" t="str">
        <f t="shared" si="525"/>
        <v>11F</v>
      </c>
      <c r="E609" t="s">
        <v>191</v>
      </c>
      <c r="F609">
        <f>'Expanded Base Data'!I602</f>
        <v>0</v>
      </c>
      <c r="G609" s="171">
        <f>F604</f>
        <v>0</v>
      </c>
      <c r="H609">
        <f>ROUND(B604+'Slide Measurements'!$D$17,$O$1)</f>
        <v>461.51</v>
      </c>
      <c r="I609">
        <f>ROUND(H609+(F609*'Slide Measurements'!$D$21),$O$1)</f>
        <v>461.51</v>
      </c>
      <c r="J609">
        <f>K608</f>
        <v>422.78000000000009</v>
      </c>
      <c r="K609">
        <f>J609+($I$1*'Slide Measurements'!$E$23-'Slide Measurements'!$E$23)</f>
        <v>424.63000000000011</v>
      </c>
      <c r="L609" s="5" t="str">
        <f>'Expanded Base Data'!$L602</f>
        <v/>
      </c>
      <c r="M609" s="5" t="str">
        <f>'Expanded Base Data'!$K602</f>
        <v/>
      </c>
      <c r="N609">
        <f t="shared" si="526"/>
        <v>0</v>
      </c>
      <c r="O609">
        <f t="shared" si="527"/>
        <v>1.85</v>
      </c>
      <c r="P609" s="5" t="e">
        <f t="shared" si="528"/>
        <v>#VALUE!</v>
      </c>
      <c r="Q609">
        <f>'Code List'!$C$63</f>
        <v>3</v>
      </c>
      <c r="R609">
        <f>F610+'Code List'!$G$63</f>
        <v>2</v>
      </c>
      <c r="S609" t="e">
        <f t="shared" si="529"/>
        <v>#VALUE!</v>
      </c>
      <c r="T609" t="e">
        <f t="shared" si="531"/>
        <v>#VALUE!</v>
      </c>
      <c r="U609" t="str">
        <f>IF(A609="YES",CONCATENATE(G609,"_",'Program Page'!$C$4,'Program Page'!$C$5,"_",D609,"_",E609),"")</f>
        <v/>
      </c>
      <c r="V609" t="str">
        <f t="shared" si="530"/>
        <v/>
      </c>
      <c r="W609" t="str">
        <f>IF(A609="YES",CONCATENATE("{",'Code List'!$B$4,'Code List'!$D$4,",",'Code List'!$B$5,'Code List'!$D$5,",",'Code List'!$B$6,"""",U609,"""",",",'Code List'!$B$7,'Code List'!$D$7,",",'Code List'!$B$8,'Code List'!$D$8,",",'Code List'!$B$9,'Code List'!$D$9,",",'Code List'!$B$10,'Code List'!$D$10,",",'Code List'!$B$11,"""",V609,"""",",",'Code List'!$B$12,"""",H609,"""",",",'Code List'!$B$13,"""",I609,"""",",",'Code List'!$B$14,"""",J609,"""",",",'Code List'!$B$15,"""",K609,"""",",",'Code List'!$B$16,"""",L609,"""",",",'Code List'!$B$17,"""",M609,"""",",",'Code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09" s="167" t="str">
        <f>IF(A609="YES",CONCATENATE("{",'Code List'!$B$31,"""",U609,"""",",",'Code List'!$B$32,'Code List'!$D$32,",",'Code List'!$B$33,'Code List'!$D$33,",",'Code List'!$B$34,'Code List'!$D$34,",",'Code List'!$B$35,'Code List'!$D$35,",",'Code List'!$B$36,'Code List'!$D$36,",",'Code List'!$B$37,'Code List'!$D$37,",",'Code List'!$B$38,"""",H609,"""",",",'Code List'!$B$39,"""",I609,"""",",",'Code List'!$B$40,"""",J609,"""",",",'Code List'!$B$41,"""",K609,"""",",",'Code List'!$B$42,"""",L609,"""",",",'Code List'!$B$43,"""",M609,"""",",",'Code List'!$B$44,"""",N609,"""",",",'Code List'!$B$45,"""",O609,"""",",",'Code List'!$B$46,"""",P609,"""",",",'Code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List'!$B$59,"""",T609,"""","}"),"")</f>
        <v/>
      </c>
    </row>
    <row r="610" spans="1:25" x14ac:dyDescent="0.25">
      <c r="A610" t="str">
        <f>IF(AND($A604="YES",E604=$D$1,F610&gt;0),"YES","NO")</f>
        <v>NO</v>
      </c>
      <c r="C610" t="s">
        <v>5</v>
      </c>
      <c r="D610" s="12" t="str">
        <f t="shared" si="525"/>
        <v>11F</v>
      </c>
      <c r="E610" t="s">
        <v>196</v>
      </c>
      <c r="F610">
        <f>'Expanded Base Data'!J602</f>
        <v>0</v>
      </c>
      <c r="G610" s="171">
        <f>F604</f>
        <v>0</v>
      </c>
      <c r="H610">
        <f>ROUND(B604+'Slide Measurements'!$D$17,$O$1)</f>
        <v>461.51</v>
      </c>
      <c r="I610">
        <f>ROUND(H610+(F610*'Slide Measurements'!$D$21),$O$1)</f>
        <v>461.51</v>
      </c>
      <c r="J610">
        <f>K609</f>
        <v>424.63000000000011</v>
      </c>
      <c r="K610">
        <f>J610+($I$1*'Slide Measurements'!$E$23-'Slide Measurements'!$E$23)</f>
        <v>426.48000000000013</v>
      </c>
      <c r="L610" s="5" t="str">
        <f>'Expanded Base Data'!$L602</f>
        <v/>
      </c>
      <c r="M610" s="5" t="str">
        <f>'Expanded Base Data'!$K602</f>
        <v/>
      </c>
      <c r="N610">
        <f t="shared" si="526"/>
        <v>0</v>
      </c>
      <c r="O610">
        <f t="shared" si="527"/>
        <v>1.85</v>
      </c>
      <c r="P610" s="5" t="e">
        <f t="shared" si="528"/>
        <v>#VALUE!</v>
      </c>
      <c r="Q610">
        <f>'Code List'!$C$63</f>
        <v>3</v>
      </c>
      <c r="R610">
        <f>F611+'Code List'!$G$63</f>
        <v>2</v>
      </c>
      <c r="S610" t="e">
        <f t="shared" si="529"/>
        <v>#VALUE!</v>
      </c>
      <c r="T610" t="e">
        <f t="shared" si="531"/>
        <v>#VALUE!</v>
      </c>
      <c r="U610" t="str">
        <f>IF(A610="YES",CONCATENATE(G610,"_",'Program Page'!$C$4,'Program Page'!$C$5,"_",D610,"_",E610),"")</f>
        <v/>
      </c>
      <c r="V610" t="str">
        <f t="shared" si="530"/>
        <v/>
      </c>
      <c r="W610" t="str">
        <f>IF(A610="YES",CONCATENATE("{",'Code List'!$B$4,'Code List'!$D$4,",",'Code List'!$B$5,'Code List'!$D$5,",",'Code List'!$B$6,"""",U610,"""",",",'Code List'!$B$7,'Code List'!$D$7,",",'Code List'!$B$8,'Code List'!$D$8,",",'Code List'!$B$9,'Code List'!$D$9,",",'Code List'!$B$10,'Code List'!$D$10,",",'Code List'!$B$11,"""",V610,"""",",",'Code List'!$B$12,"""",H610,"""",",",'Code List'!$B$13,"""",I610,"""",",",'Code List'!$B$14,"""",J610,"""",",",'Code List'!$B$15,"""",K610,"""",",",'Code List'!$B$16,"""",L610,"""",",",'Code List'!$B$17,"""",M610,"""",",",'Code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10" s="167" t="str">
        <f>IF(A610="YES",CONCATENATE("{",'Code List'!$B$31,"""",U610,"""",",",'Code List'!$B$32,'Code List'!$D$32,",",'Code List'!$B$33,'Code List'!$D$33,",",'Code List'!$B$34,'Code List'!$D$34,",",'Code List'!$B$35,'Code List'!$D$35,",",'Code List'!$B$36,'Code List'!$D$36,",",'Code List'!$B$37,'Code List'!$D$37,",",'Code List'!$B$38,"""",H610,"""",",",'Code List'!$B$39,"""",I610,"""",",",'Code List'!$B$40,"""",J610,"""",",",'Code List'!$B$41,"""",K610,"""",",",'Code List'!$B$42,"""",L610,"""",",",'Code List'!$B$43,"""",M610,"""",",",'Code List'!$B$44,"""",N610,"""",",",'Code List'!$B$45,"""",O610,"""",",",'Code List'!$B$46,"""",P610,"""",",",'Code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List'!$B$59,"""",T610,"""","}"),"")</f>
        <v/>
      </c>
    </row>
    <row r="611" spans="1:25" x14ac:dyDescent="0.25">
      <c r="A611" s="162" t="str">
        <f>IF(AND($A604="YES",E604=$E$1),"YES","NO")</f>
        <v>NO</v>
      </c>
      <c r="C611" t="s">
        <v>259</v>
      </c>
      <c r="D611" s="12" t="str">
        <f>D610</f>
        <v>11F</v>
      </c>
      <c r="E611" t="s">
        <v>259</v>
      </c>
      <c r="G611" s="171">
        <f>F604</f>
        <v>0</v>
      </c>
      <c r="H611">
        <f>ROUND(B604,$O$1)</f>
        <v>436.11</v>
      </c>
      <c r="I611">
        <f>ROUND(B604+'Slide Measurements'!$D$1,$O$1)</f>
        <v>512.55999999999995</v>
      </c>
      <c r="J611">
        <f>C604</f>
        <v>412.93</v>
      </c>
      <c r="K611">
        <f>C604+'Slide Measurements'!$D$2</f>
        <v>440.33</v>
      </c>
      <c r="L611" s="5" t="str">
        <f>'Expanded Base Data'!$L602</f>
        <v/>
      </c>
      <c r="M611" s="5" t="str">
        <f>'Expanded Base Data'!$K602</f>
        <v/>
      </c>
      <c r="N611">
        <f t="shared" si="526"/>
        <v>76.45</v>
      </c>
      <c r="O611">
        <f t="shared" si="527"/>
        <v>27.4</v>
      </c>
      <c r="P611" s="5" t="e">
        <f>ROUND((L611-M611),$O$1)</f>
        <v>#VALUE!</v>
      </c>
      <c r="Q611">
        <f>'Code List'!$C$70</f>
        <v>11</v>
      </c>
      <c r="R611">
        <f>'Code List'!$D$70</f>
        <v>19</v>
      </c>
      <c r="S611" t="e">
        <f>IF(P611=0,"1",ROUND((P611/$K$1)+$M$1,0))</f>
        <v>#VALUE!</v>
      </c>
      <c r="T611" t="e">
        <f>Q611*R611*S611</f>
        <v>#VALUE!</v>
      </c>
      <c r="U611" t="str">
        <f>IF(A611="YES",CONCATENATE(G611,"_",'Program Page'!$C$4,'Program Page'!$C$5,"_",D611,"_",E611),"")</f>
        <v/>
      </c>
      <c r="V611" t="str">
        <f>IF(U611="","",CONCATENATE(U611,"_"))</f>
        <v/>
      </c>
      <c r="W611" t="str">
        <f>IF(A611="YES",CONCATENATE("{",'Code List'!$B$4,'Code List'!$D$4,",",'Code List'!$B$5,'Code List'!$D$5,",",'Code List'!$B$6,"""",U611,"""",",",'Code List'!$B$7,'Code List'!$D$7,",",'Code List'!$B$8,'Code List'!$D$8,",",'Code List'!$B$9,'Code List'!$D$9,",",'Code List'!$B$10,'Code List'!$D$10,",",'Code List'!$B$11,"""",V611,"""",",",'Code List'!$B$12,"""",H611,"""",",",'Code List'!$B$13,"""",I611,"""",",",'Code List'!$B$14,"""",J611,"""",",",'Code List'!$B$15,"""",K611,"""",",",'Code List'!$B$16,"""",L611,"""",",",'Code List'!$B$17,"""",M611,"""",",",'Code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611" s="167" t="str">
        <f>IF(A611="YES",CONCATENATE("{",'Code List'!$B$31,"""",U611,"""",",",'Code List'!$B$32,'Code List'!$D$32,",",'Code List'!$B$33,'Code List'!$D$33,",",'Code List'!$B$34,'Code List'!$D$34,",",'Code List'!$B$35,'Code List'!$D$35,",",'Code List'!$B$36,'Code List'!$D$36,",",'Code List'!$B$37,'Code List'!$D$37,",",'Code List'!$B$38,"""",H611,"""",",",'Code List'!$B$39,"""",I611,"""",",",'Code List'!$B$40,"""",J611,"""",",",'Code List'!$B$41,"""",K611,"""",",",'Code List'!$B$42,"""",L611,"""",",",'Code List'!$B$43,"""",M611,"""",",",'Code List'!$B$44,"""",N611,"""",",",'Code List'!$B$45,"""",O611,"""",",",'Code List'!$B$46,"""",P611,"""",",",'Code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List'!$B$59,"""",T611,"""","}"),"")</f>
        <v/>
      </c>
    </row>
    <row r="612" spans="1:25" ht="18.75" x14ac:dyDescent="0.3">
      <c r="A612" s="35" t="str">
        <f>IF(OR(E612=$C$1,E612=$D$1,E612=$E$1),"YES","NO")</f>
        <v>NO</v>
      </c>
      <c r="B612" s="35">
        <f>'Expanded Base Data'!D610</f>
        <v>523.01</v>
      </c>
      <c r="C612" s="35">
        <f>'Expanded Base Data'!E610</f>
        <v>412.93</v>
      </c>
      <c r="D612" s="36" t="str">
        <f>'Expanded Base Data'!B610</f>
        <v>11G</v>
      </c>
      <c r="E612" s="35">
        <f>'Expanded Base Data'!C610</f>
        <v>0</v>
      </c>
      <c r="F612" s="35">
        <f>'Expanded Base Data'!M610</f>
        <v>0</v>
      </c>
      <c r="G612" s="170">
        <f>F612</f>
        <v>0</v>
      </c>
      <c r="Y612" s="167" t="str">
        <f>""</f>
        <v/>
      </c>
    </row>
    <row r="613" spans="1:25" x14ac:dyDescent="0.25">
      <c r="A613" t="str">
        <f>IF(AND($A612="YES",E612=$C$1),"YES","NO")</f>
        <v>NO</v>
      </c>
      <c r="C613" t="s">
        <v>6</v>
      </c>
      <c r="D613" s="12" t="str">
        <f>D612</f>
        <v>11G</v>
      </c>
      <c r="E613" t="s">
        <v>6</v>
      </c>
      <c r="F613" t="s">
        <v>198</v>
      </c>
      <c r="G613" s="171">
        <f>F612</f>
        <v>0</v>
      </c>
      <c r="H613">
        <f>IF('Expanded Base Data'!N610="",ROUND(B612+'Slide Measurements'!$D$11,$O$1),B612+'Expanded Base Data'!N610)</f>
        <v>556.01</v>
      </c>
      <c r="I613">
        <f>IF('Expanded Base Data'!O610="",ROUND(B612+'Slide Measurements'!$D$12,$O$1),B612+'Expanded Base Data'!O610)</f>
        <v>564.61</v>
      </c>
      <c r="J613">
        <f>IF('Expanded Base Data'!P610="",C612+'Slide Measurements'!$E$13,C612+'Expanded Base Data'!P610)</f>
        <v>421.63</v>
      </c>
      <c r="K613">
        <f>IF('Expanded Base Data'!Q610="",C612+'Slide Measurements'!$E$14,C612+'Expanded Base Data'!Q610)</f>
        <v>430.23</v>
      </c>
      <c r="L613" s="5" t="str">
        <f>'Expanded Base Data'!$L610</f>
        <v/>
      </c>
      <c r="M613" s="5" t="str">
        <f>'Expanded Base Data'!$K610</f>
        <v/>
      </c>
      <c r="N613">
        <f>ROUND((I613-H613),$O$1)</f>
        <v>8.6</v>
      </c>
      <c r="O613">
        <f>ROUND((K613-J613),$O$1)</f>
        <v>8.6</v>
      </c>
      <c r="P613" s="5" t="e">
        <f>ROUND((L613-M613),$O$1)</f>
        <v>#VALUE!</v>
      </c>
      <c r="Q613">
        <f>'Code List'!$C$62</f>
        <v>5</v>
      </c>
      <c r="R613">
        <f>F614+'Code List'!$G$63</f>
        <v>2</v>
      </c>
      <c r="S613" t="e">
        <f>IF(P613=0,"1",ROUND((P613/$K$1)+$M$1,0))</f>
        <v>#VALUE!</v>
      </c>
      <c r="T613" t="e">
        <f>Q613*R613*S613</f>
        <v>#VALUE!</v>
      </c>
      <c r="U613" t="str">
        <f>IF(A613="YES",CONCATENATE(G613,"_",'Program Page'!$C$4,'Program Page'!$C$5,"_",D613,"_",E613),"")</f>
        <v/>
      </c>
      <c r="V613" t="str">
        <f>IF(U613="","",CONCATENATE(U613,"_"))</f>
        <v/>
      </c>
      <c r="W613" t="str">
        <f>IF(A613="YES",CONCATENATE("{",'Code List'!$B$4,'Code List'!$D$4,",",'Code List'!$B$5,'Code List'!$D$5,",",'Code List'!$B$6,"""",U613,"""",",",'Code List'!$B$7,'Code List'!$D$7,",",'Code List'!$B$8,'Code List'!$D$8,",",'Code List'!$B$9,'Code List'!$D$9,",",'Code List'!$B$10,'Code List'!$D$10,",",'Code List'!$B$11,"""",V613,"""",",",'Code List'!$B$12,"""",H613,"""",",",'Code List'!$B$13,"""",I613,"""",",",'Code List'!$B$14,"""",J613,"""",",",'Code List'!$B$15,"""",K613,"""",",",'Code List'!$B$16,"""",L613,"""",",",'Code List'!$B$17,"""",M613,"""",",",'Code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13" s="167" t="str">
        <f>IF(A613="YES",CONCATENATE("{",'Code List'!$B$31,"""",U613,"""",",",'Code List'!$B$32,'Code List'!$D$32,",",'Code List'!$B$33,'Code List'!$D$33,",",'Code List'!$B$34,'Code List'!$D$34,",",'Code List'!$B$35,'Code List'!$D$35,",",'Code List'!$B$36,'Code List'!$D$36,",",'Code List'!$B$37,'Code List'!$D$37,",",'Code List'!$B$38,"""",H613,"""",",",'Code List'!$B$39,"""",I613,"""",",",'Code List'!$B$40,"""",J613,"""",",",'Code List'!$B$41,"""",K613,"""",",",'Code List'!$B$42,"""",L613,"""",",",'Code List'!$B$43,"""",M613,"""",",",'Code List'!$B$44,"""",N613,"""",",",'Code List'!$B$45,"""",O613,"""",",",'Code List'!$B$46,"""",P613,"""",",",'Code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List'!$B$59,"""",T613,"""","}"),"")</f>
        <v/>
      </c>
    </row>
    <row r="614" spans="1:25" x14ac:dyDescent="0.25">
      <c r="A614" t="str">
        <f>IF(AND($A612="YES",E612=$D$1,F614&gt;0),"YES","NO")</f>
        <v>NO</v>
      </c>
      <c r="C614" t="s">
        <v>5</v>
      </c>
      <c r="D614" s="12" t="str">
        <f t="shared" ref="D614:D618" si="532">D613</f>
        <v>11G</v>
      </c>
      <c r="E614" t="s">
        <v>188</v>
      </c>
      <c r="F614">
        <f>'Expanded Base Data'!F610</f>
        <v>0</v>
      </c>
      <c r="G614" s="171">
        <f>F612</f>
        <v>0</v>
      </c>
      <c r="H614">
        <f>ROUND(B612+'Slide Measurements'!$D$17,$O$1)</f>
        <v>548.41</v>
      </c>
      <c r="I614">
        <f>ROUND(H614+(F614*'Slide Measurements'!$D$21),$O$1)</f>
        <v>548.41</v>
      </c>
      <c r="J614">
        <f>C612+'Slide Measurements'!$E$17</f>
        <v>417.23</v>
      </c>
      <c r="K614">
        <f>J614+($I$1*'Slide Measurements'!$E$23-'Slide Measurements'!$E$23)</f>
        <v>419.08000000000004</v>
      </c>
      <c r="L614" s="5" t="str">
        <f>'Expanded Base Data'!$L610</f>
        <v/>
      </c>
      <c r="M614" s="5" t="str">
        <f>'Expanded Base Data'!$K610</f>
        <v/>
      </c>
      <c r="N614">
        <f t="shared" ref="N614:N619" si="533">ROUND((I614-H614),$O$1)</f>
        <v>0</v>
      </c>
      <c r="O614">
        <f t="shared" ref="O614:O619" si="534">ROUND((K614-J614),$O$1)</f>
        <v>1.85</v>
      </c>
      <c r="P614" s="5" t="e">
        <f t="shared" ref="P614:P618" si="535">ROUND((L614-M614),$O$1)</f>
        <v>#VALUE!</v>
      </c>
      <c r="Q614">
        <f>'Code List'!$C$63</f>
        <v>3</v>
      </c>
      <c r="R614">
        <f>F615+'Code List'!$G$63</f>
        <v>2</v>
      </c>
      <c r="S614" t="e">
        <f t="shared" ref="S614:S618" si="536">IF(P614=0,"1",ROUND((P614/$K$1)+$M$1,0))</f>
        <v>#VALUE!</v>
      </c>
      <c r="T614" t="e">
        <f>Q614*R614*S614</f>
        <v>#VALUE!</v>
      </c>
      <c r="U614" t="str">
        <f>IF(A614="YES",CONCATENATE(G614,"_",'Program Page'!$C$4,'Program Page'!$C$5,"_",D614,"_",E614),"")</f>
        <v/>
      </c>
      <c r="V614" t="str">
        <f t="shared" ref="V614:V618" si="537">IF(U614="","",CONCATENATE(U614,"_"))</f>
        <v/>
      </c>
      <c r="W614" t="str">
        <f>IF(A614="YES",CONCATENATE("{",'Code List'!$B$4,'Code List'!$D$4,",",'Code List'!$B$5,'Code List'!$D$5,",",'Code List'!$B$6,"""",U614,"""",",",'Code List'!$B$7,'Code List'!$D$7,",",'Code List'!$B$8,'Code List'!$D$8,",",'Code List'!$B$9,'Code List'!$D$9,",",'Code List'!$B$10,'Code List'!$D$10,",",'Code List'!$B$11,"""",V614,"""",",",'Code List'!$B$12,"""",H614,"""",",",'Code List'!$B$13,"""",I614,"""",",",'Code List'!$B$14,"""",J614,"""",",",'Code List'!$B$15,"""",K614,"""",",",'Code List'!$B$16,"""",L614,"""",",",'Code List'!$B$17,"""",M614,"""",",",'Code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14" s="167" t="str">
        <f>IF(A614="YES",CONCATENATE("{",'Code List'!$B$31,"""",U614,"""",",",'Code List'!$B$32,'Code List'!$D$32,",",'Code List'!$B$33,'Code List'!$D$33,",",'Code List'!$B$34,'Code List'!$D$34,",",'Code List'!$B$35,'Code List'!$D$35,",",'Code List'!$B$36,'Code List'!$D$36,",",'Code List'!$B$37,'Code List'!$D$37,",",'Code List'!$B$38,"""",H614,"""",",",'Code List'!$B$39,"""",I614,"""",",",'Code List'!$B$40,"""",J614,"""",",",'Code List'!$B$41,"""",K614,"""",",",'Code List'!$B$42,"""",L614,"""",",",'Code List'!$B$43,"""",M614,"""",",",'Code List'!$B$44,"""",N614,"""",",",'Code List'!$B$45,"""",O614,"""",",",'Code List'!$B$46,"""",P614,"""",",",'Code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List'!$B$59,"""",T614,"""","}"),"")</f>
        <v/>
      </c>
    </row>
    <row r="615" spans="1:25" x14ac:dyDescent="0.25">
      <c r="A615" t="str">
        <f>IF(AND($A612="YES",E612=$D$1,F615&gt;0),"YES","NO")</f>
        <v>NO</v>
      </c>
      <c r="C615" t="s">
        <v>5</v>
      </c>
      <c r="D615" s="12" t="str">
        <f t="shared" si="532"/>
        <v>11G</v>
      </c>
      <c r="E615" t="s">
        <v>189</v>
      </c>
      <c r="F615">
        <f>'Expanded Base Data'!G610</f>
        <v>0</v>
      </c>
      <c r="G615" s="171">
        <f>F612</f>
        <v>0</v>
      </c>
      <c r="H615">
        <f>ROUND(B612+'Slide Measurements'!$D$17,$O$1)</f>
        <v>548.41</v>
      </c>
      <c r="I615">
        <f>ROUND(H615+(F615*'Slide Measurements'!$D$21),$O$1)</f>
        <v>548.41</v>
      </c>
      <c r="J615">
        <f>K614</f>
        <v>419.08000000000004</v>
      </c>
      <c r="K615">
        <f>J615+($I$1*'Slide Measurements'!$E$23-'Slide Measurements'!$E$23)</f>
        <v>420.93000000000006</v>
      </c>
      <c r="L615" s="5" t="str">
        <f>'Expanded Base Data'!$L610</f>
        <v/>
      </c>
      <c r="M615" s="5" t="str">
        <f>'Expanded Base Data'!$K610</f>
        <v/>
      </c>
      <c r="N615">
        <f t="shared" si="533"/>
        <v>0</v>
      </c>
      <c r="O615">
        <f t="shared" si="534"/>
        <v>1.85</v>
      </c>
      <c r="P615" s="5" t="e">
        <f t="shared" si="535"/>
        <v>#VALUE!</v>
      </c>
      <c r="Q615">
        <f>'Code List'!$C$63</f>
        <v>3</v>
      </c>
      <c r="R615">
        <f>F616+'Code List'!$G$63</f>
        <v>2</v>
      </c>
      <c r="S615" t="e">
        <f t="shared" si="536"/>
        <v>#VALUE!</v>
      </c>
      <c r="T615" t="e">
        <f t="shared" ref="T615:T618" si="538">Q615*R615*S615</f>
        <v>#VALUE!</v>
      </c>
      <c r="U615" t="str">
        <f>IF(A615="YES",CONCATENATE(G615,"_",'Program Page'!$C$4,'Program Page'!$C$5,"_",D615,"_",E615),"")</f>
        <v/>
      </c>
      <c r="V615" t="str">
        <f t="shared" si="537"/>
        <v/>
      </c>
      <c r="W615" t="str">
        <f>IF(A615="YES",CONCATENATE("{",'Code List'!$B$4,'Code List'!$D$4,",",'Code List'!$B$5,'Code List'!$D$5,",",'Code List'!$B$6,"""",U615,"""",",",'Code List'!$B$7,'Code List'!$D$7,",",'Code List'!$B$8,'Code List'!$D$8,",",'Code List'!$B$9,'Code List'!$D$9,",",'Code List'!$B$10,'Code List'!$D$10,",",'Code List'!$B$11,"""",V615,"""",",",'Code List'!$B$12,"""",H615,"""",",",'Code List'!$B$13,"""",I615,"""",",",'Code List'!$B$14,"""",J615,"""",",",'Code List'!$B$15,"""",K615,"""",",",'Code List'!$B$16,"""",L615,"""",",",'Code List'!$B$17,"""",M615,"""",",",'Code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15" s="167" t="str">
        <f>IF(A615="YES",CONCATENATE("{",'Code List'!$B$31,"""",U615,"""",",",'Code List'!$B$32,'Code List'!$D$32,",",'Code List'!$B$33,'Code List'!$D$33,",",'Code List'!$B$34,'Code List'!$D$34,",",'Code List'!$B$35,'Code List'!$D$35,",",'Code List'!$B$36,'Code List'!$D$36,",",'Code List'!$B$37,'Code List'!$D$37,",",'Code List'!$B$38,"""",H615,"""",",",'Code List'!$B$39,"""",I615,"""",",",'Code List'!$B$40,"""",J615,"""",",",'Code List'!$B$41,"""",K615,"""",",",'Code List'!$B$42,"""",L615,"""",",",'Code List'!$B$43,"""",M615,"""",",",'Code List'!$B$44,"""",N615,"""",",",'Code List'!$B$45,"""",O615,"""",",",'Code List'!$B$46,"""",P615,"""",",",'Code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List'!$B$59,"""",T615,"""","}"),"")</f>
        <v/>
      </c>
    </row>
    <row r="616" spans="1:25" x14ac:dyDescent="0.25">
      <c r="A616" t="str">
        <f>IF(AND($A612="YES",E612=$D$1,F616&gt;0),"YES","NO")</f>
        <v>NO</v>
      </c>
      <c r="C616" t="s">
        <v>5</v>
      </c>
      <c r="D616" s="12" t="str">
        <f t="shared" si="532"/>
        <v>11G</v>
      </c>
      <c r="E616" t="s">
        <v>190</v>
      </c>
      <c r="F616">
        <f>'Expanded Base Data'!H610</f>
        <v>0</v>
      </c>
      <c r="G616" s="171">
        <f>F612</f>
        <v>0</v>
      </c>
      <c r="H616">
        <f>ROUND(B612+'Slide Measurements'!$D$17,$O$1)</f>
        <v>548.41</v>
      </c>
      <c r="I616">
        <f>ROUND(H616+(F616*'Slide Measurements'!$D$21),$O$1)</f>
        <v>548.41</v>
      </c>
      <c r="J616">
        <f>K615</f>
        <v>420.93000000000006</v>
      </c>
      <c r="K616">
        <f>J616+($I$1*'Slide Measurements'!$E$23-'Slide Measurements'!$E$23)</f>
        <v>422.78000000000009</v>
      </c>
      <c r="L616" s="5" t="str">
        <f>'Expanded Base Data'!$L610</f>
        <v/>
      </c>
      <c r="M616" s="5" t="str">
        <f>'Expanded Base Data'!$K610</f>
        <v/>
      </c>
      <c r="N616">
        <f t="shared" si="533"/>
        <v>0</v>
      </c>
      <c r="O616">
        <f t="shared" si="534"/>
        <v>1.85</v>
      </c>
      <c r="P616" s="5" t="e">
        <f t="shared" si="535"/>
        <v>#VALUE!</v>
      </c>
      <c r="Q616">
        <f>'Code List'!$C$63</f>
        <v>3</v>
      </c>
      <c r="R616">
        <f>F617+'Code List'!$G$63</f>
        <v>2</v>
      </c>
      <c r="S616" t="e">
        <f t="shared" si="536"/>
        <v>#VALUE!</v>
      </c>
      <c r="T616" t="e">
        <f t="shared" si="538"/>
        <v>#VALUE!</v>
      </c>
      <c r="U616" t="str">
        <f>IF(A616="YES",CONCATENATE(G616,"_",'Program Page'!$C$4,'Program Page'!$C$5,"_",D616,"_",E616),"")</f>
        <v/>
      </c>
      <c r="V616" t="str">
        <f t="shared" si="537"/>
        <v/>
      </c>
      <c r="W616" t="str">
        <f>IF(A616="YES",CONCATENATE("{",'Code List'!$B$4,'Code List'!$D$4,",",'Code List'!$B$5,'Code List'!$D$5,",",'Code List'!$B$6,"""",U616,"""",",",'Code List'!$B$7,'Code List'!$D$7,",",'Code List'!$B$8,'Code List'!$D$8,",",'Code List'!$B$9,'Code List'!$D$9,",",'Code List'!$B$10,'Code List'!$D$10,",",'Code List'!$B$11,"""",V616,"""",",",'Code List'!$B$12,"""",H616,"""",",",'Code List'!$B$13,"""",I616,"""",",",'Code List'!$B$14,"""",J616,"""",",",'Code List'!$B$15,"""",K616,"""",",",'Code List'!$B$16,"""",L616,"""",",",'Code List'!$B$17,"""",M616,"""",",",'Code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16" s="167" t="str">
        <f>IF(A616="YES",CONCATENATE("{",'Code List'!$B$31,"""",U616,"""",",",'Code List'!$B$32,'Code List'!$D$32,",",'Code List'!$B$33,'Code List'!$D$33,",",'Code List'!$B$34,'Code List'!$D$34,",",'Code List'!$B$35,'Code List'!$D$35,",",'Code List'!$B$36,'Code List'!$D$36,",",'Code List'!$B$37,'Code List'!$D$37,",",'Code List'!$B$38,"""",H616,"""",",",'Code List'!$B$39,"""",I616,"""",",",'Code List'!$B$40,"""",J616,"""",",",'Code List'!$B$41,"""",K616,"""",",",'Code List'!$B$42,"""",L616,"""",",",'Code List'!$B$43,"""",M616,"""",",",'Code List'!$B$44,"""",N616,"""",",",'Code List'!$B$45,"""",O616,"""",",",'Code List'!$B$46,"""",P616,"""",",",'Code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List'!$B$59,"""",T616,"""","}"),"")</f>
        <v/>
      </c>
    </row>
    <row r="617" spans="1:25" x14ac:dyDescent="0.25">
      <c r="A617" t="str">
        <f>IF(AND($A612="YES",E612=$D$1,F617&gt;0),"YES","NO")</f>
        <v>NO</v>
      </c>
      <c r="C617" t="s">
        <v>5</v>
      </c>
      <c r="D617" s="12" t="str">
        <f t="shared" si="532"/>
        <v>11G</v>
      </c>
      <c r="E617" t="s">
        <v>191</v>
      </c>
      <c r="F617">
        <f>'Expanded Base Data'!I610</f>
        <v>0</v>
      </c>
      <c r="G617" s="171">
        <f>F612</f>
        <v>0</v>
      </c>
      <c r="H617">
        <f>ROUND(B612+'Slide Measurements'!$D$17,$O$1)</f>
        <v>548.41</v>
      </c>
      <c r="I617">
        <f>ROUND(H617+(F617*'Slide Measurements'!$D$21),$O$1)</f>
        <v>548.41</v>
      </c>
      <c r="J617">
        <f>K616</f>
        <v>422.78000000000009</v>
      </c>
      <c r="K617">
        <f>J617+($I$1*'Slide Measurements'!$E$23-'Slide Measurements'!$E$23)</f>
        <v>424.63000000000011</v>
      </c>
      <c r="L617" s="5" t="str">
        <f>'Expanded Base Data'!$L610</f>
        <v/>
      </c>
      <c r="M617" s="5" t="str">
        <f>'Expanded Base Data'!$K610</f>
        <v/>
      </c>
      <c r="N617">
        <f t="shared" si="533"/>
        <v>0</v>
      </c>
      <c r="O617">
        <f t="shared" si="534"/>
        <v>1.85</v>
      </c>
      <c r="P617" s="5" t="e">
        <f t="shared" si="535"/>
        <v>#VALUE!</v>
      </c>
      <c r="Q617">
        <f>'Code List'!$C$63</f>
        <v>3</v>
      </c>
      <c r="R617">
        <f>F618+'Code List'!$G$63</f>
        <v>2</v>
      </c>
      <c r="S617" t="e">
        <f t="shared" si="536"/>
        <v>#VALUE!</v>
      </c>
      <c r="T617" t="e">
        <f t="shared" si="538"/>
        <v>#VALUE!</v>
      </c>
      <c r="U617" t="str">
        <f>IF(A617="YES",CONCATENATE(G617,"_",'Program Page'!$C$4,'Program Page'!$C$5,"_",D617,"_",E617),"")</f>
        <v/>
      </c>
      <c r="V617" t="str">
        <f t="shared" si="537"/>
        <v/>
      </c>
      <c r="W617" t="str">
        <f>IF(A617="YES",CONCATENATE("{",'Code List'!$B$4,'Code List'!$D$4,",",'Code List'!$B$5,'Code List'!$D$5,",",'Code List'!$B$6,"""",U617,"""",",",'Code List'!$B$7,'Code List'!$D$7,",",'Code List'!$B$8,'Code List'!$D$8,",",'Code List'!$B$9,'Code List'!$D$9,",",'Code List'!$B$10,'Code List'!$D$10,",",'Code List'!$B$11,"""",V617,"""",",",'Code List'!$B$12,"""",H617,"""",",",'Code List'!$B$13,"""",I617,"""",",",'Code List'!$B$14,"""",J617,"""",",",'Code List'!$B$15,"""",K617,"""",",",'Code List'!$B$16,"""",L617,"""",",",'Code List'!$B$17,"""",M617,"""",",",'Code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17" s="167" t="str">
        <f>IF(A617="YES",CONCATENATE("{",'Code List'!$B$31,"""",U617,"""",",",'Code List'!$B$32,'Code List'!$D$32,",",'Code List'!$B$33,'Code List'!$D$33,",",'Code List'!$B$34,'Code List'!$D$34,",",'Code List'!$B$35,'Code List'!$D$35,",",'Code List'!$B$36,'Code List'!$D$36,",",'Code List'!$B$37,'Code List'!$D$37,",",'Code List'!$B$38,"""",H617,"""",",",'Code List'!$B$39,"""",I617,"""",",",'Code List'!$B$40,"""",J617,"""",",",'Code List'!$B$41,"""",K617,"""",",",'Code List'!$B$42,"""",L617,"""",",",'Code List'!$B$43,"""",M617,"""",",",'Code List'!$B$44,"""",N617,"""",",",'Code List'!$B$45,"""",O617,"""",",",'Code List'!$B$46,"""",P617,"""",",",'Code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List'!$B$59,"""",T617,"""","}"),"")</f>
        <v/>
      </c>
    </row>
    <row r="618" spans="1:25" x14ac:dyDescent="0.25">
      <c r="A618" t="str">
        <f>IF(AND($A612="YES",E612=$D$1,F618&gt;0),"YES","NO")</f>
        <v>NO</v>
      </c>
      <c r="C618" t="s">
        <v>5</v>
      </c>
      <c r="D618" s="12" t="str">
        <f t="shared" si="532"/>
        <v>11G</v>
      </c>
      <c r="E618" t="s">
        <v>196</v>
      </c>
      <c r="F618">
        <f>'Expanded Base Data'!J610</f>
        <v>0</v>
      </c>
      <c r="G618" s="171">
        <f>F612</f>
        <v>0</v>
      </c>
      <c r="H618">
        <f>ROUND(B612+'Slide Measurements'!$D$17,$O$1)</f>
        <v>548.41</v>
      </c>
      <c r="I618">
        <f>ROUND(H618+(F618*'Slide Measurements'!$D$21),$O$1)</f>
        <v>548.41</v>
      </c>
      <c r="J618">
        <f>K617</f>
        <v>424.63000000000011</v>
      </c>
      <c r="K618">
        <f>J618+($I$1*'Slide Measurements'!$E$23-'Slide Measurements'!$E$23)</f>
        <v>426.48000000000013</v>
      </c>
      <c r="L618" s="5" t="str">
        <f>'Expanded Base Data'!$L610</f>
        <v/>
      </c>
      <c r="M618" s="5" t="str">
        <f>'Expanded Base Data'!$K610</f>
        <v/>
      </c>
      <c r="N618">
        <f t="shared" si="533"/>
        <v>0</v>
      </c>
      <c r="O618">
        <f t="shared" si="534"/>
        <v>1.85</v>
      </c>
      <c r="P618" s="5" t="e">
        <f t="shared" si="535"/>
        <v>#VALUE!</v>
      </c>
      <c r="Q618">
        <f>'Code List'!$C$63</f>
        <v>3</v>
      </c>
      <c r="R618">
        <f>F619+'Code List'!$G$63</f>
        <v>2</v>
      </c>
      <c r="S618" t="e">
        <f t="shared" si="536"/>
        <v>#VALUE!</v>
      </c>
      <c r="T618" t="e">
        <f t="shared" si="538"/>
        <v>#VALUE!</v>
      </c>
      <c r="U618" t="str">
        <f>IF(A618="YES",CONCATENATE(G618,"_",'Program Page'!$C$4,'Program Page'!$C$5,"_",D618,"_",E618),"")</f>
        <v/>
      </c>
      <c r="V618" t="str">
        <f t="shared" si="537"/>
        <v/>
      </c>
      <c r="W618" t="str">
        <f>IF(A618="YES",CONCATENATE("{",'Code List'!$B$4,'Code List'!$D$4,",",'Code List'!$B$5,'Code List'!$D$5,",",'Code List'!$B$6,"""",U618,"""",",",'Code List'!$B$7,'Code List'!$D$7,",",'Code List'!$B$8,'Code List'!$D$8,",",'Code List'!$B$9,'Code List'!$D$9,",",'Code List'!$B$10,'Code List'!$D$10,",",'Code List'!$B$11,"""",V618,"""",",",'Code List'!$B$12,"""",H618,"""",",",'Code List'!$B$13,"""",I618,"""",",",'Code List'!$B$14,"""",J618,"""",",",'Code List'!$B$15,"""",K618,"""",",",'Code List'!$B$16,"""",L618,"""",",",'Code List'!$B$17,"""",M618,"""",",",'Code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18" s="167" t="str">
        <f>IF(A618="YES",CONCATENATE("{",'Code List'!$B$31,"""",U618,"""",",",'Code List'!$B$32,'Code List'!$D$32,",",'Code List'!$B$33,'Code List'!$D$33,",",'Code List'!$B$34,'Code List'!$D$34,",",'Code List'!$B$35,'Code List'!$D$35,",",'Code List'!$B$36,'Code List'!$D$36,",",'Code List'!$B$37,'Code List'!$D$37,",",'Code List'!$B$38,"""",H618,"""",",",'Code List'!$B$39,"""",I618,"""",",",'Code List'!$B$40,"""",J618,"""",",",'Code List'!$B$41,"""",K618,"""",",",'Code List'!$B$42,"""",L618,"""",",",'Code List'!$B$43,"""",M618,"""",",",'Code List'!$B$44,"""",N618,"""",",",'Code List'!$B$45,"""",O618,"""",",",'Code List'!$B$46,"""",P618,"""",",",'Code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List'!$B$59,"""",T618,"""","}"),"")</f>
        <v/>
      </c>
    </row>
    <row r="619" spans="1:25" x14ac:dyDescent="0.25">
      <c r="A619" s="162" t="str">
        <f>IF(AND($A612="YES",E612=$E$1),"YES","NO")</f>
        <v>NO</v>
      </c>
      <c r="C619" t="s">
        <v>259</v>
      </c>
      <c r="D619" s="12" t="str">
        <f>D618</f>
        <v>11G</v>
      </c>
      <c r="E619" t="s">
        <v>259</v>
      </c>
      <c r="G619" s="171">
        <f>F612</f>
        <v>0</v>
      </c>
      <c r="H619">
        <f>ROUND(B612,$O$1)</f>
        <v>523.01</v>
      </c>
      <c r="I619">
        <f>ROUND(B612+'Slide Measurements'!$D$1,$O$1)</f>
        <v>599.46</v>
      </c>
      <c r="J619">
        <f>C612</f>
        <v>412.93</v>
      </c>
      <c r="K619">
        <f>C612+'Slide Measurements'!$D$2</f>
        <v>440.33</v>
      </c>
      <c r="L619" s="5" t="str">
        <f>'Expanded Base Data'!$L610</f>
        <v/>
      </c>
      <c r="M619" s="5" t="str">
        <f>'Expanded Base Data'!$K610</f>
        <v/>
      </c>
      <c r="N619">
        <f t="shared" si="533"/>
        <v>76.45</v>
      </c>
      <c r="O619">
        <f t="shared" si="534"/>
        <v>27.4</v>
      </c>
      <c r="P619" s="5" t="e">
        <f>ROUND((L619-M619),$O$1)</f>
        <v>#VALUE!</v>
      </c>
      <c r="Q619">
        <f>'Code List'!$C$70</f>
        <v>11</v>
      </c>
      <c r="R619">
        <f>'Code List'!$D$70</f>
        <v>19</v>
      </c>
      <c r="S619" t="e">
        <f>IF(P619=0,"1",ROUND((P619/$K$1)+$M$1,0))</f>
        <v>#VALUE!</v>
      </c>
      <c r="T619" t="e">
        <f>Q619*R619*S619</f>
        <v>#VALUE!</v>
      </c>
      <c r="U619" t="str">
        <f>IF(A619="YES",CONCATENATE(G619,"_",'Program Page'!$C$4,'Program Page'!$C$5,"_",D619,"_",E619),"")</f>
        <v/>
      </c>
      <c r="V619" t="str">
        <f>IF(U619="","",CONCATENATE(U619,"_"))</f>
        <v/>
      </c>
      <c r="W619" t="str">
        <f>IF(A619="YES",CONCATENATE("{",'Code List'!$B$4,'Code List'!$D$4,",",'Code List'!$B$5,'Code List'!$D$5,",",'Code List'!$B$6,"""",U619,"""",",",'Code List'!$B$7,'Code List'!$D$7,",",'Code List'!$B$8,'Code List'!$D$8,",",'Code List'!$B$9,'Code List'!$D$9,",",'Code List'!$B$10,'Code List'!$D$10,",",'Code List'!$B$11,"""",V619,"""",",",'Code List'!$B$12,"""",H619,"""",",",'Code List'!$B$13,"""",I619,"""",",",'Code List'!$B$14,"""",J619,"""",",",'Code List'!$B$15,"""",K619,"""",",",'Code List'!$B$16,"""",L619,"""",",",'Code List'!$B$17,"""",M619,"""",",",'Code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619" s="167" t="str">
        <f>IF(A619="YES",CONCATENATE("{",'Code List'!$B$31,"""",U619,"""",",",'Code List'!$B$32,'Code List'!$D$32,",",'Code List'!$B$33,'Code List'!$D$33,",",'Code List'!$B$34,'Code List'!$D$34,",",'Code List'!$B$35,'Code List'!$D$35,",",'Code List'!$B$36,'Code List'!$D$36,",",'Code List'!$B$37,'Code List'!$D$37,",",'Code List'!$B$38,"""",H619,"""",",",'Code List'!$B$39,"""",I619,"""",",",'Code List'!$B$40,"""",J619,"""",",",'Code List'!$B$41,"""",K619,"""",",",'Code List'!$B$42,"""",L619,"""",",",'Code List'!$B$43,"""",M619,"""",",",'Code List'!$B$44,"""",N619,"""",",",'Code List'!$B$45,"""",O619,"""",",",'Code List'!$B$46,"""",P619,"""",",",'Code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List'!$B$59,"""",T619,"""","}"),"")</f>
        <v/>
      </c>
    </row>
    <row r="620" spans="1:25" ht="18.75" x14ac:dyDescent="0.3">
      <c r="A620" s="35" t="str">
        <f>IF(OR(E620=$C$1,E620=$D$1,E620=$E$1),"YES","NO")</f>
        <v>NO</v>
      </c>
      <c r="B620" s="35">
        <f>'Expanded Base Data'!D618</f>
        <v>1.5099999999999998</v>
      </c>
      <c r="C620" s="35">
        <f>'Expanded Base Data'!E618</f>
        <v>449.53000000000003</v>
      </c>
      <c r="D620" s="36" t="str">
        <f>'Expanded Base Data'!B618</f>
        <v>12A</v>
      </c>
      <c r="E620" s="35">
        <f>'Expanded Base Data'!C618</f>
        <v>0</v>
      </c>
      <c r="F620" s="35">
        <f>'Expanded Base Data'!M618</f>
        <v>0</v>
      </c>
      <c r="G620" s="170">
        <f>F620</f>
        <v>0</v>
      </c>
      <c r="Y620" s="167" t="str">
        <f>""</f>
        <v/>
      </c>
    </row>
    <row r="621" spans="1:25" x14ac:dyDescent="0.25">
      <c r="A621" t="str">
        <f>IF(AND($A620="YES",E620=$C$1),"YES","NO")</f>
        <v>NO</v>
      </c>
      <c r="C621" t="s">
        <v>6</v>
      </c>
      <c r="D621" s="12" t="str">
        <f>D620</f>
        <v>12A</v>
      </c>
      <c r="E621" t="s">
        <v>6</v>
      </c>
      <c r="F621" t="s">
        <v>198</v>
      </c>
      <c r="G621" s="171">
        <f>F620</f>
        <v>0</v>
      </c>
      <c r="H621">
        <f>IF('Expanded Base Data'!N618="",ROUND(B620+'Slide Measurements'!$D$11,$O$1),B620+'Expanded Base Data'!N618)</f>
        <v>34.51</v>
      </c>
      <c r="I621">
        <f>IF('Expanded Base Data'!O618="",ROUND(B620+'Slide Measurements'!$D$12,$O$1),B620+'Expanded Base Data'!O618)</f>
        <v>43.11</v>
      </c>
      <c r="J621">
        <f>IF('Expanded Base Data'!P618="",C620+'Slide Measurements'!$E$13,C620+'Expanded Base Data'!P618)</f>
        <v>458.23</v>
      </c>
      <c r="K621">
        <f>IF('Expanded Base Data'!Q618="",C620+'Slide Measurements'!$E$14,C620+'Expanded Base Data'!Q618)</f>
        <v>466.83000000000004</v>
      </c>
      <c r="L621" s="5" t="str">
        <f>'Expanded Base Data'!$L618</f>
        <v/>
      </c>
      <c r="M621" s="5" t="str">
        <f>'Expanded Base Data'!$K618</f>
        <v/>
      </c>
      <c r="N621">
        <f>ROUND((I621-H621),$O$1)</f>
        <v>8.6</v>
      </c>
      <c r="O621">
        <f>ROUND((K621-J621),$O$1)</f>
        <v>8.6</v>
      </c>
      <c r="P621" s="5" t="e">
        <f>ROUND((L621-M621),$O$1)</f>
        <v>#VALUE!</v>
      </c>
      <c r="Q621">
        <f>'Code List'!$C$62</f>
        <v>5</v>
      </c>
      <c r="R621">
        <f>F622+'Code List'!$G$63</f>
        <v>2</v>
      </c>
      <c r="S621" t="e">
        <f>IF(P621=0,"1",ROUND((P621/$K$1)+$M$1,0))</f>
        <v>#VALUE!</v>
      </c>
      <c r="T621" t="e">
        <f>Q621*R621*S621</f>
        <v>#VALUE!</v>
      </c>
      <c r="U621" t="str">
        <f>IF(A621="YES",CONCATENATE(G621,"_",'Program Page'!$C$4,'Program Page'!$C$5,"_",D621,"_",E621),"")</f>
        <v/>
      </c>
      <c r="V621" t="str">
        <f>IF(U621="","",CONCATENATE(U621,"_"))</f>
        <v/>
      </c>
      <c r="W621" t="str">
        <f>IF(A621="YES",CONCATENATE("{",'Code List'!$B$4,'Code List'!$D$4,",",'Code List'!$B$5,'Code List'!$D$5,",",'Code List'!$B$6,"""",U621,"""",",",'Code List'!$B$7,'Code List'!$D$7,",",'Code List'!$B$8,'Code List'!$D$8,",",'Code List'!$B$9,'Code List'!$D$9,",",'Code List'!$B$10,'Code List'!$D$10,",",'Code List'!$B$11,"""",V621,"""",",",'Code List'!$B$12,"""",H621,"""",",",'Code List'!$B$13,"""",I621,"""",",",'Code List'!$B$14,"""",J621,"""",",",'Code List'!$B$15,"""",K621,"""",",",'Code List'!$B$16,"""",L621,"""",",",'Code List'!$B$17,"""",M621,"""",",",'Code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21" s="167" t="str">
        <f>IF(A621="YES",CONCATENATE("{",'Code List'!$B$31,"""",U621,"""",",",'Code List'!$B$32,'Code List'!$D$32,",",'Code List'!$B$33,'Code List'!$D$33,",",'Code List'!$B$34,'Code List'!$D$34,",",'Code List'!$B$35,'Code List'!$D$35,",",'Code List'!$B$36,'Code List'!$D$36,",",'Code List'!$B$37,'Code List'!$D$37,",",'Code List'!$B$38,"""",H621,"""",",",'Code List'!$B$39,"""",I621,"""",",",'Code List'!$B$40,"""",J621,"""",",",'Code List'!$B$41,"""",K621,"""",",",'Code List'!$B$42,"""",L621,"""",",",'Code List'!$B$43,"""",M621,"""",",",'Code List'!$B$44,"""",N621,"""",",",'Code List'!$B$45,"""",O621,"""",",",'Code List'!$B$46,"""",P621,"""",",",'Code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List'!$B$59,"""",T621,"""","}"),"")</f>
        <v/>
      </c>
    </row>
    <row r="622" spans="1:25" x14ac:dyDescent="0.25">
      <c r="A622" t="str">
        <f>IF(AND($A620="YES",E620=$D$1,F622&gt;0),"YES","NO")</f>
        <v>NO</v>
      </c>
      <c r="C622" t="s">
        <v>5</v>
      </c>
      <c r="D622" s="12" t="str">
        <f t="shared" ref="D622:D626" si="539">D621</f>
        <v>12A</v>
      </c>
      <c r="E622" t="s">
        <v>188</v>
      </c>
      <c r="F622">
        <f>'Expanded Base Data'!F618</f>
        <v>0</v>
      </c>
      <c r="G622" s="171">
        <f>F620</f>
        <v>0</v>
      </c>
      <c r="H622">
        <f>ROUND(B620+'Slide Measurements'!$D$17,$O$1)</f>
        <v>26.91</v>
      </c>
      <c r="I622">
        <f>ROUND(H622+(F622*'Slide Measurements'!$D$21),$O$1)</f>
        <v>26.91</v>
      </c>
      <c r="J622">
        <f>C620+'Slide Measurements'!$E$17</f>
        <v>453.83000000000004</v>
      </c>
      <c r="K622">
        <f>J622+($I$1*'Slide Measurements'!$E$23-'Slide Measurements'!$E$23)</f>
        <v>455.68000000000006</v>
      </c>
      <c r="L622" s="5" t="str">
        <f>'Expanded Base Data'!$L618</f>
        <v/>
      </c>
      <c r="M622" s="5" t="str">
        <f>'Expanded Base Data'!$K618</f>
        <v/>
      </c>
      <c r="N622">
        <f t="shared" ref="N622:N627" si="540">ROUND((I622-H622),$O$1)</f>
        <v>0</v>
      </c>
      <c r="O622">
        <f t="shared" ref="O622:O627" si="541">ROUND((K622-J622),$O$1)</f>
        <v>1.85</v>
      </c>
      <c r="P622" s="5" t="e">
        <f t="shared" ref="P622:P626" si="542">ROUND((L622-M622),$O$1)</f>
        <v>#VALUE!</v>
      </c>
      <c r="Q622">
        <f>'Code List'!$C$63</f>
        <v>3</v>
      </c>
      <c r="R622">
        <f>F623+'Code List'!$G$63</f>
        <v>2</v>
      </c>
      <c r="S622" t="e">
        <f t="shared" ref="S622:S626" si="543">IF(P622=0,"1",ROUND((P622/$K$1)+$M$1,0))</f>
        <v>#VALUE!</v>
      </c>
      <c r="T622" t="e">
        <f>Q622*R622*S622</f>
        <v>#VALUE!</v>
      </c>
      <c r="U622" t="str">
        <f>IF(A622="YES",CONCATENATE(G622,"_",'Program Page'!$C$4,'Program Page'!$C$5,"_",D622,"_",E622),"")</f>
        <v/>
      </c>
      <c r="V622" t="str">
        <f t="shared" ref="V622:V626" si="544">IF(U622="","",CONCATENATE(U622,"_"))</f>
        <v/>
      </c>
      <c r="W622" t="str">
        <f>IF(A622="YES",CONCATENATE("{",'Code List'!$B$4,'Code List'!$D$4,",",'Code List'!$B$5,'Code List'!$D$5,",",'Code List'!$B$6,"""",U622,"""",",",'Code List'!$B$7,'Code List'!$D$7,",",'Code List'!$B$8,'Code List'!$D$8,",",'Code List'!$B$9,'Code List'!$D$9,",",'Code List'!$B$10,'Code List'!$D$10,",",'Code List'!$B$11,"""",V622,"""",",",'Code List'!$B$12,"""",H622,"""",",",'Code List'!$B$13,"""",I622,"""",",",'Code List'!$B$14,"""",J622,"""",",",'Code List'!$B$15,"""",K622,"""",",",'Code List'!$B$16,"""",L622,"""",",",'Code List'!$B$17,"""",M622,"""",",",'Code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22" s="167" t="str">
        <f>IF(A622="YES",CONCATENATE("{",'Code List'!$B$31,"""",U622,"""",",",'Code List'!$B$32,'Code List'!$D$32,",",'Code List'!$B$33,'Code List'!$D$33,",",'Code List'!$B$34,'Code List'!$D$34,",",'Code List'!$B$35,'Code List'!$D$35,",",'Code List'!$B$36,'Code List'!$D$36,",",'Code List'!$B$37,'Code List'!$D$37,",",'Code List'!$B$38,"""",H622,"""",",",'Code List'!$B$39,"""",I622,"""",",",'Code List'!$B$40,"""",J622,"""",",",'Code List'!$B$41,"""",K622,"""",",",'Code List'!$B$42,"""",L622,"""",",",'Code List'!$B$43,"""",M622,"""",",",'Code List'!$B$44,"""",N622,"""",",",'Code List'!$B$45,"""",O622,"""",",",'Code List'!$B$46,"""",P622,"""",",",'Code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List'!$B$59,"""",T622,"""","}"),"")</f>
        <v/>
      </c>
    </row>
    <row r="623" spans="1:25" x14ac:dyDescent="0.25">
      <c r="A623" t="str">
        <f>IF(AND($A620="YES",E620=$D$1,F623&gt;0),"YES","NO")</f>
        <v>NO</v>
      </c>
      <c r="C623" t="s">
        <v>5</v>
      </c>
      <c r="D623" s="12" t="str">
        <f t="shared" si="539"/>
        <v>12A</v>
      </c>
      <c r="E623" t="s">
        <v>189</v>
      </c>
      <c r="F623">
        <f>'Expanded Base Data'!G618</f>
        <v>0</v>
      </c>
      <c r="G623" s="171">
        <f>F620</f>
        <v>0</v>
      </c>
      <c r="H623">
        <f>ROUND(B620+'Slide Measurements'!$D$17,$O$1)</f>
        <v>26.91</v>
      </c>
      <c r="I623">
        <f>ROUND(H623+(F623*'Slide Measurements'!$D$21),$O$1)</f>
        <v>26.91</v>
      </c>
      <c r="J623">
        <f>K622</f>
        <v>455.68000000000006</v>
      </c>
      <c r="K623">
        <f>J623+($I$1*'Slide Measurements'!$E$23-'Slide Measurements'!$E$23)</f>
        <v>457.53000000000009</v>
      </c>
      <c r="L623" s="5" t="str">
        <f>'Expanded Base Data'!$L618</f>
        <v/>
      </c>
      <c r="M623" s="5" t="str">
        <f>'Expanded Base Data'!$K618</f>
        <v/>
      </c>
      <c r="N623">
        <f t="shared" si="540"/>
        <v>0</v>
      </c>
      <c r="O623">
        <f t="shared" si="541"/>
        <v>1.85</v>
      </c>
      <c r="P623" s="5" t="e">
        <f t="shared" si="542"/>
        <v>#VALUE!</v>
      </c>
      <c r="Q623">
        <f>'Code List'!$C$63</f>
        <v>3</v>
      </c>
      <c r="R623">
        <f>F624+'Code List'!$G$63</f>
        <v>2</v>
      </c>
      <c r="S623" t="e">
        <f t="shared" si="543"/>
        <v>#VALUE!</v>
      </c>
      <c r="T623" t="e">
        <f t="shared" ref="T623:T626" si="545">Q623*R623*S623</f>
        <v>#VALUE!</v>
      </c>
      <c r="U623" t="str">
        <f>IF(A623="YES",CONCATENATE(G623,"_",'Program Page'!$C$4,'Program Page'!$C$5,"_",D623,"_",E623),"")</f>
        <v/>
      </c>
      <c r="V623" t="str">
        <f t="shared" si="544"/>
        <v/>
      </c>
      <c r="W623" t="str">
        <f>IF(A623="YES",CONCATENATE("{",'Code List'!$B$4,'Code List'!$D$4,",",'Code List'!$B$5,'Code List'!$D$5,",",'Code List'!$B$6,"""",U623,"""",",",'Code List'!$B$7,'Code List'!$D$7,",",'Code List'!$B$8,'Code List'!$D$8,",",'Code List'!$B$9,'Code List'!$D$9,",",'Code List'!$B$10,'Code List'!$D$10,",",'Code List'!$B$11,"""",V623,"""",",",'Code List'!$B$12,"""",H623,"""",",",'Code List'!$B$13,"""",I623,"""",",",'Code List'!$B$14,"""",J623,"""",",",'Code List'!$B$15,"""",K623,"""",",",'Code List'!$B$16,"""",L623,"""",",",'Code List'!$B$17,"""",M623,"""",",",'Code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23" s="167" t="str">
        <f>IF(A623="YES",CONCATENATE("{",'Code List'!$B$31,"""",U623,"""",",",'Code List'!$B$32,'Code List'!$D$32,",",'Code List'!$B$33,'Code List'!$D$33,",",'Code List'!$B$34,'Code List'!$D$34,",",'Code List'!$B$35,'Code List'!$D$35,",",'Code List'!$B$36,'Code List'!$D$36,",",'Code List'!$B$37,'Code List'!$D$37,",",'Code List'!$B$38,"""",H623,"""",",",'Code List'!$B$39,"""",I623,"""",",",'Code List'!$B$40,"""",J623,"""",",",'Code List'!$B$41,"""",K623,"""",",",'Code List'!$B$42,"""",L623,"""",",",'Code List'!$B$43,"""",M623,"""",",",'Code List'!$B$44,"""",N623,"""",",",'Code List'!$B$45,"""",O623,"""",",",'Code List'!$B$46,"""",P623,"""",",",'Code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List'!$B$59,"""",T623,"""","}"),"")</f>
        <v/>
      </c>
    </row>
    <row r="624" spans="1:25" x14ac:dyDescent="0.25">
      <c r="A624" t="str">
        <f>IF(AND($A620="YES",E620=$D$1,F624&gt;0),"YES","NO")</f>
        <v>NO</v>
      </c>
      <c r="C624" t="s">
        <v>5</v>
      </c>
      <c r="D624" s="12" t="str">
        <f t="shared" si="539"/>
        <v>12A</v>
      </c>
      <c r="E624" t="s">
        <v>190</v>
      </c>
      <c r="F624">
        <f>'Expanded Base Data'!H618</f>
        <v>0</v>
      </c>
      <c r="G624" s="171">
        <f>F620</f>
        <v>0</v>
      </c>
      <c r="H624">
        <f>ROUND(B620+'Slide Measurements'!$D$17,$O$1)</f>
        <v>26.91</v>
      </c>
      <c r="I624">
        <f>ROUND(H624+(F624*'Slide Measurements'!$D$21),$O$1)</f>
        <v>26.91</v>
      </c>
      <c r="J624">
        <f>K623</f>
        <v>457.53000000000009</v>
      </c>
      <c r="K624">
        <f>J624+($I$1*'Slide Measurements'!$E$23-'Slide Measurements'!$E$23)</f>
        <v>459.38000000000011</v>
      </c>
      <c r="L624" s="5" t="str">
        <f>'Expanded Base Data'!$L618</f>
        <v/>
      </c>
      <c r="M624" s="5" t="str">
        <f>'Expanded Base Data'!$K618</f>
        <v/>
      </c>
      <c r="N624">
        <f t="shared" si="540"/>
        <v>0</v>
      </c>
      <c r="O624">
        <f t="shared" si="541"/>
        <v>1.85</v>
      </c>
      <c r="P624" s="5" t="e">
        <f t="shared" si="542"/>
        <v>#VALUE!</v>
      </c>
      <c r="Q624">
        <f>'Code List'!$C$63</f>
        <v>3</v>
      </c>
      <c r="R624">
        <f>F625+'Code List'!$G$63</f>
        <v>2</v>
      </c>
      <c r="S624" t="e">
        <f t="shared" si="543"/>
        <v>#VALUE!</v>
      </c>
      <c r="T624" t="e">
        <f t="shared" si="545"/>
        <v>#VALUE!</v>
      </c>
      <c r="U624" t="str">
        <f>IF(A624="YES",CONCATENATE(G624,"_",'Program Page'!$C$4,'Program Page'!$C$5,"_",D624,"_",E624),"")</f>
        <v/>
      </c>
      <c r="V624" t="str">
        <f t="shared" si="544"/>
        <v/>
      </c>
      <c r="W624" t="str">
        <f>IF(A624="YES",CONCATENATE("{",'Code List'!$B$4,'Code List'!$D$4,",",'Code List'!$B$5,'Code List'!$D$5,",",'Code List'!$B$6,"""",U624,"""",",",'Code List'!$B$7,'Code List'!$D$7,",",'Code List'!$B$8,'Code List'!$D$8,",",'Code List'!$B$9,'Code List'!$D$9,",",'Code List'!$B$10,'Code List'!$D$10,",",'Code List'!$B$11,"""",V624,"""",",",'Code List'!$B$12,"""",H624,"""",",",'Code List'!$B$13,"""",I624,"""",",",'Code List'!$B$14,"""",J624,"""",",",'Code List'!$B$15,"""",K624,"""",",",'Code List'!$B$16,"""",L624,"""",",",'Code List'!$B$17,"""",M624,"""",",",'Code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24" s="167" t="str">
        <f>IF(A624="YES",CONCATENATE("{",'Code List'!$B$31,"""",U624,"""",",",'Code List'!$B$32,'Code List'!$D$32,",",'Code List'!$B$33,'Code List'!$D$33,",",'Code List'!$B$34,'Code List'!$D$34,",",'Code List'!$B$35,'Code List'!$D$35,",",'Code List'!$B$36,'Code List'!$D$36,",",'Code List'!$B$37,'Code List'!$D$37,",",'Code List'!$B$38,"""",H624,"""",",",'Code List'!$B$39,"""",I624,"""",",",'Code List'!$B$40,"""",J624,"""",",",'Code List'!$B$41,"""",K624,"""",",",'Code List'!$B$42,"""",L624,"""",",",'Code List'!$B$43,"""",M624,"""",",",'Code List'!$B$44,"""",N624,"""",",",'Code List'!$B$45,"""",O624,"""",",",'Code List'!$B$46,"""",P624,"""",",",'Code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List'!$B$59,"""",T624,"""","}"),"")</f>
        <v/>
      </c>
    </row>
    <row r="625" spans="1:25" x14ac:dyDescent="0.25">
      <c r="A625" t="str">
        <f>IF(AND($A620="YES",E620=$D$1,F625&gt;0),"YES","NO")</f>
        <v>NO</v>
      </c>
      <c r="C625" t="s">
        <v>5</v>
      </c>
      <c r="D625" s="12" t="str">
        <f t="shared" si="539"/>
        <v>12A</v>
      </c>
      <c r="E625" t="s">
        <v>191</v>
      </c>
      <c r="F625">
        <f>'Expanded Base Data'!I618</f>
        <v>0</v>
      </c>
      <c r="G625" s="171">
        <f>F620</f>
        <v>0</v>
      </c>
      <c r="H625">
        <f>ROUND(B620+'Slide Measurements'!$D$17,$O$1)</f>
        <v>26.91</v>
      </c>
      <c r="I625">
        <f>ROUND(H625+(F625*'Slide Measurements'!$D$21),$O$1)</f>
        <v>26.91</v>
      </c>
      <c r="J625">
        <f>K624</f>
        <v>459.38000000000011</v>
      </c>
      <c r="K625">
        <f>J625+($I$1*'Slide Measurements'!$E$23-'Slide Measurements'!$E$23)</f>
        <v>461.23000000000013</v>
      </c>
      <c r="L625" s="5" t="str">
        <f>'Expanded Base Data'!$L618</f>
        <v/>
      </c>
      <c r="M625" s="5" t="str">
        <f>'Expanded Base Data'!$K618</f>
        <v/>
      </c>
      <c r="N625">
        <f t="shared" si="540"/>
        <v>0</v>
      </c>
      <c r="O625">
        <f t="shared" si="541"/>
        <v>1.85</v>
      </c>
      <c r="P625" s="5" t="e">
        <f t="shared" si="542"/>
        <v>#VALUE!</v>
      </c>
      <c r="Q625">
        <f>'Code List'!$C$63</f>
        <v>3</v>
      </c>
      <c r="R625">
        <f>F626+'Code List'!$G$63</f>
        <v>2</v>
      </c>
      <c r="S625" t="e">
        <f t="shared" si="543"/>
        <v>#VALUE!</v>
      </c>
      <c r="T625" t="e">
        <f t="shared" si="545"/>
        <v>#VALUE!</v>
      </c>
      <c r="U625" t="str">
        <f>IF(A625="YES",CONCATENATE(G625,"_",'Program Page'!$C$4,'Program Page'!$C$5,"_",D625,"_",E625),"")</f>
        <v/>
      </c>
      <c r="V625" t="str">
        <f t="shared" si="544"/>
        <v/>
      </c>
      <c r="W625" t="str">
        <f>IF(A625="YES",CONCATENATE("{",'Code List'!$B$4,'Code List'!$D$4,",",'Code List'!$B$5,'Code List'!$D$5,",",'Code List'!$B$6,"""",U625,"""",",",'Code List'!$B$7,'Code List'!$D$7,",",'Code List'!$B$8,'Code List'!$D$8,",",'Code List'!$B$9,'Code List'!$D$9,",",'Code List'!$B$10,'Code List'!$D$10,",",'Code List'!$B$11,"""",V625,"""",",",'Code List'!$B$12,"""",H625,"""",",",'Code List'!$B$13,"""",I625,"""",",",'Code List'!$B$14,"""",J625,"""",",",'Code List'!$B$15,"""",K625,"""",",",'Code List'!$B$16,"""",L625,"""",",",'Code List'!$B$17,"""",M625,"""",",",'Code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25" s="167" t="str">
        <f>IF(A625="YES",CONCATENATE("{",'Code List'!$B$31,"""",U625,"""",",",'Code List'!$B$32,'Code List'!$D$32,",",'Code List'!$B$33,'Code List'!$D$33,",",'Code List'!$B$34,'Code List'!$D$34,",",'Code List'!$B$35,'Code List'!$D$35,",",'Code List'!$B$36,'Code List'!$D$36,",",'Code List'!$B$37,'Code List'!$D$37,",",'Code List'!$B$38,"""",H625,"""",",",'Code List'!$B$39,"""",I625,"""",",",'Code List'!$B$40,"""",J625,"""",",",'Code List'!$B$41,"""",K625,"""",",",'Code List'!$B$42,"""",L625,"""",",",'Code List'!$B$43,"""",M625,"""",",",'Code List'!$B$44,"""",N625,"""",",",'Code List'!$B$45,"""",O625,"""",",",'Code List'!$B$46,"""",P625,"""",",",'Code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List'!$B$59,"""",T625,"""","}"),"")</f>
        <v/>
      </c>
    </row>
    <row r="626" spans="1:25" x14ac:dyDescent="0.25">
      <c r="A626" t="str">
        <f>IF(AND($A620="YES",E620=$D$1,F626&gt;0),"YES","NO")</f>
        <v>NO</v>
      </c>
      <c r="C626" t="s">
        <v>5</v>
      </c>
      <c r="D626" s="12" t="str">
        <f t="shared" si="539"/>
        <v>12A</v>
      </c>
      <c r="E626" t="s">
        <v>196</v>
      </c>
      <c r="F626">
        <f>'Expanded Base Data'!J618</f>
        <v>0</v>
      </c>
      <c r="G626" s="171">
        <f>F620</f>
        <v>0</v>
      </c>
      <c r="H626">
        <f>ROUND(B620+'Slide Measurements'!$D$17,$O$1)</f>
        <v>26.91</v>
      </c>
      <c r="I626">
        <f>ROUND(H626+(F626*'Slide Measurements'!$D$21),$O$1)</f>
        <v>26.91</v>
      </c>
      <c r="J626">
        <f>K625</f>
        <v>461.23000000000013</v>
      </c>
      <c r="K626">
        <f>J626+($I$1*'Slide Measurements'!$E$23-'Slide Measurements'!$E$23)</f>
        <v>463.08000000000015</v>
      </c>
      <c r="L626" s="5" t="str">
        <f>'Expanded Base Data'!$L618</f>
        <v/>
      </c>
      <c r="M626" s="5" t="str">
        <f>'Expanded Base Data'!$K618</f>
        <v/>
      </c>
      <c r="N626">
        <f t="shared" si="540"/>
        <v>0</v>
      </c>
      <c r="O626">
        <f t="shared" si="541"/>
        <v>1.85</v>
      </c>
      <c r="P626" s="5" t="e">
        <f t="shared" si="542"/>
        <v>#VALUE!</v>
      </c>
      <c r="Q626">
        <f>'Code List'!$C$63</f>
        <v>3</v>
      </c>
      <c r="R626">
        <f>F627+'Code List'!$G$63</f>
        <v>2</v>
      </c>
      <c r="S626" t="e">
        <f t="shared" si="543"/>
        <v>#VALUE!</v>
      </c>
      <c r="T626" t="e">
        <f t="shared" si="545"/>
        <v>#VALUE!</v>
      </c>
      <c r="U626" t="str">
        <f>IF(A626="YES",CONCATENATE(G626,"_",'Program Page'!$C$4,'Program Page'!$C$5,"_",D626,"_",E626),"")</f>
        <v/>
      </c>
      <c r="V626" t="str">
        <f t="shared" si="544"/>
        <v/>
      </c>
      <c r="W626" t="str">
        <f>IF(A626="YES",CONCATENATE("{",'Code List'!$B$4,'Code List'!$D$4,",",'Code List'!$B$5,'Code List'!$D$5,",",'Code List'!$B$6,"""",U626,"""",",",'Code List'!$B$7,'Code List'!$D$7,",",'Code List'!$B$8,'Code List'!$D$8,",",'Code List'!$B$9,'Code List'!$D$9,",",'Code List'!$B$10,'Code List'!$D$10,",",'Code List'!$B$11,"""",V626,"""",",",'Code List'!$B$12,"""",H626,"""",",",'Code List'!$B$13,"""",I626,"""",",",'Code List'!$B$14,"""",J626,"""",",",'Code List'!$B$15,"""",K626,"""",",",'Code List'!$B$16,"""",L626,"""",",",'Code List'!$B$17,"""",M626,"""",",",'Code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26" s="167" t="str">
        <f>IF(A626="YES",CONCATENATE("{",'Code List'!$B$31,"""",U626,"""",",",'Code List'!$B$32,'Code List'!$D$32,",",'Code List'!$B$33,'Code List'!$D$33,",",'Code List'!$B$34,'Code List'!$D$34,",",'Code List'!$B$35,'Code List'!$D$35,",",'Code List'!$B$36,'Code List'!$D$36,",",'Code List'!$B$37,'Code List'!$D$37,",",'Code List'!$B$38,"""",H626,"""",",",'Code List'!$B$39,"""",I626,"""",",",'Code List'!$B$40,"""",J626,"""",",",'Code List'!$B$41,"""",K626,"""",",",'Code List'!$B$42,"""",L626,"""",",",'Code List'!$B$43,"""",M626,"""",",",'Code List'!$B$44,"""",N626,"""",",",'Code List'!$B$45,"""",O626,"""",",",'Code List'!$B$46,"""",P626,"""",",",'Code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List'!$B$59,"""",T626,"""","}"),"")</f>
        <v/>
      </c>
    </row>
    <row r="627" spans="1:25" x14ac:dyDescent="0.25">
      <c r="A627" s="162" t="str">
        <f>IF(AND($A620="YES",E620=$E$1),"YES","NO")</f>
        <v>NO</v>
      </c>
      <c r="C627" t="s">
        <v>259</v>
      </c>
      <c r="D627" s="12" t="str">
        <f>D626</f>
        <v>12A</v>
      </c>
      <c r="E627" t="s">
        <v>259</v>
      </c>
      <c r="G627" s="171">
        <f>F620</f>
        <v>0</v>
      </c>
      <c r="H627">
        <f>ROUND(B620,$O$1)</f>
        <v>1.51</v>
      </c>
      <c r="I627">
        <f>ROUND(B620+'Slide Measurements'!$D$1,$O$1)</f>
        <v>77.959999999999994</v>
      </c>
      <c r="J627">
        <f>C620</f>
        <v>449.53000000000003</v>
      </c>
      <c r="K627">
        <f>C620+'Slide Measurements'!$D$2</f>
        <v>476.93</v>
      </c>
      <c r="L627" s="5" t="str">
        <f>'Expanded Base Data'!$L618</f>
        <v/>
      </c>
      <c r="M627" s="5" t="str">
        <f>'Expanded Base Data'!$K618</f>
        <v/>
      </c>
      <c r="N627">
        <f t="shared" si="540"/>
        <v>76.45</v>
      </c>
      <c r="O627">
        <f t="shared" si="541"/>
        <v>27.4</v>
      </c>
      <c r="P627" s="5" t="e">
        <f>ROUND((L627-M627),$O$1)</f>
        <v>#VALUE!</v>
      </c>
      <c r="Q627">
        <f>'Code List'!$C$70</f>
        <v>11</v>
      </c>
      <c r="R627">
        <f>'Code List'!$D$70</f>
        <v>19</v>
      </c>
      <c r="S627" t="e">
        <f>IF(P627=0,"1",ROUND((P627/$K$1)+$M$1,0))</f>
        <v>#VALUE!</v>
      </c>
      <c r="T627" t="e">
        <f>Q627*R627*S627</f>
        <v>#VALUE!</v>
      </c>
      <c r="U627" t="str">
        <f>IF(A627="YES",CONCATENATE(G627,"_",'Program Page'!$C$4,'Program Page'!$C$5,"_",D627,"_",E627),"")</f>
        <v/>
      </c>
      <c r="V627" t="str">
        <f>IF(U627="","",CONCATENATE(U627,"_"))</f>
        <v/>
      </c>
      <c r="W627" t="str">
        <f>IF(A627="YES",CONCATENATE("{",'Code List'!$B$4,'Code List'!$D$4,",",'Code List'!$B$5,'Code List'!$D$5,",",'Code List'!$B$6,"""",U627,"""",",",'Code List'!$B$7,'Code List'!$D$7,",",'Code List'!$B$8,'Code List'!$D$8,",",'Code List'!$B$9,'Code List'!$D$9,",",'Code List'!$B$10,'Code List'!$D$10,",",'Code List'!$B$11,"""",V627,"""",",",'Code List'!$B$12,"""",H627,"""",",",'Code List'!$B$13,"""",I627,"""",",",'Code List'!$B$14,"""",J627,"""",",",'Code List'!$B$15,"""",K627,"""",",",'Code List'!$B$16,"""",L627,"""",",",'Code List'!$B$17,"""",M627,"""",",",'Code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627" s="167" t="str">
        <f>IF(A627="YES",CONCATENATE("{",'Code List'!$B$31,"""",U627,"""",",",'Code List'!$B$32,'Code List'!$D$32,",",'Code List'!$B$33,'Code List'!$D$33,",",'Code List'!$B$34,'Code List'!$D$34,",",'Code List'!$B$35,'Code List'!$D$35,",",'Code List'!$B$36,'Code List'!$D$36,",",'Code List'!$B$37,'Code List'!$D$37,",",'Code List'!$B$38,"""",H627,"""",",",'Code List'!$B$39,"""",I627,"""",",",'Code List'!$B$40,"""",J627,"""",",",'Code List'!$B$41,"""",K627,"""",",",'Code List'!$B$42,"""",L627,"""",",",'Code List'!$B$43,"""",M627,"""",",",'Code List'!$B$44,"""",N627,"""",",",'Code List'!$B$45,"""",O627,"""",",",'Code List'!$B$46,"""",P627,"""",",",'Code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List'!$B$59,"""",T627,"""","}"),"")</f>
        <v/>
      </c>
    </row>
    <row r="628" spans="1:25" ht="18.75" x14ac:dyDescent="0.3">
      <c r="A628" s="35" t="str">
        <f>IF(OR(E628=$C$1,E628=$D$1,E628=$E$1),"YES","NO")</f>
        <v>NO</v>
      </c>
      <c r="B628" s="35">
        <f>'Expanded Base Data'!D626</f>
        <v>89.51</v>
      </c>
      <c r="C628" s="35">
        <f>'Expanded Base Data'!E626</f>
        <v>449.53000000000003</v>
      </c>
      <c r="D628" s="36" t="str">
        <f>'Expanded Base Data'!B626</f>
        <v>12B</v>
      </c>
      <c r="E628" s="35">
        <f>'Expanded Base Data'!C626</f>
        <v>0</v>
      </c>
      <c r="F628" s="35">
        <f>'Expanded Base Data'!M626</f>
        <v>0</v>
      </c>
      <c r="G628" s="170">
        <f>F628</f>
        <v>0</v>
      </c>
      <c r="Y628" s="167" t="str">
        <f>""</f>
        <v/>
      </c>
    </row>
    <row r="629" spans="1:25" x14ac:dyDescent="0.25">
      <c r="A629" t="str">
        <f>IF(AND($A628="YES",E628=$C$1),"YES","NO")</f>
        <v>NO</v>
      </c>
      <c r="C629" t="s">
        <v>6</v>
      </c>
      <c r="D629" s="12" t="str">
        <f>D628</f>
        <v>12B</v>
      </c>
      <c r="E629" t="s">
        <v>6</v>
      </c>
      <c r="F629" t="s">
        <v>198</v>
      </c>
      <c r="G629" s="171">
        <f>F628</f>
        <v>0</v>
      </c>
      <c r="H629">
        <f>IF('Expanded Base Data'!N626="",ROUND(B628+'Slide Measurements'!$D$11,$O$1),B628+'Expanded Base Data'!N626)</f>
        <v>122.51</v>
      </c>
      <c r="I629">
        <f>IF('Expanded Base Data'!O626="",ROUND(B628+'Slide Measurements'!$D$12,$O$1),B628+'Expanded Base Data'!O626)</f>
        <v>131.11000000000001</v>
      </c>
      <c r="J629">
        <f>IF('Expanded Base Data'!P626="",C628+'Slide Measurements'!$E$13,C628+'Expanded Base Data'!P626)</f>
        <v>458.23</v>
      </c>
      <c r="K629">
        <f>IF('Expanded Base Data'!Q626="",C628+'Slide Measurements'!$E$14,C628+'Expanded Base Data'!Q626)</f>
        <v>466.83000000000004</v>
      </c>
      <c r="L629" s="5" t="str">
        <f>'Expanded Base Data'!$L626</f>
        <v/>
      </c>
      <c r="M629" s="5" t="str">
        <f>'Expanded Base Data'!$K626</f>
        <v/>
      </c>
      <c r="N629">
        <f>ROUND((I629-H629),$O$1)</f>
        <v>8.6</v>
      </c>
      <c r="O629">
        <f>ROUND((K629-J629),$O$1)</f>
        <v>8.6</v>
      </c>
      <c r="P629" s="5" t="e">
        <f>ROUND((L629-M629),$O$1)</f>
        <v>#VALUE!</v>
      </c>
      <c r="Q629">
        <f>'Code List'!$C$62</f>
        <v>5</v>
      </c>
      <c r="R629">
        <f>F630+'Code List'!$G$63</f>
        <v>2</v>
      </c>
      <c r="S629" t="e">
        <f>IF(P629=0,"1",ROUND((P629/$K$1)+$M$1,0))</f>
        <v>#VALUE!</v>
      </c>
      <c r="T629" t="e">
        <f>Q629*R629*S629</f>
        <v>#VALUE!</v>
      </c>
      <c r="U629" t="str">
        <f>IF(A629="YES",CONCATENATE(G629,"_",'Program Page'!$C$4,'Program Page'!$C$5,"_",D629,"_",E629),"")</f>
        <v/>
      </c>
      <c r="V629" t="str">
        <f>IF(U629="","",CONCATENATE(U629,"_"))</f>
        <v/>
      </c>
      <c r="W629" t="str">
        <f>IF(A629="YES",CONCATENATE("{",'Code List'!$B$4,'Code List'!$D$4,",",'Code List'!$B$5,'Code List'!$D$5,",",'Code List'!$B$6,"""",U629,"""",",",'Code List'!$B$7,'Code List'!$D$7,",",'Code List'!$B$8,'Code List'!$D$8,",",'Code List'!$B$9,'Code List'!$D$9,",",'Code List'!$B$10,'Code List'!$D$10,",",'Code List'!$B$11,"""",V629,"""",",",'Code List'!$B$12,"""",H629,"""",",",'Code List'!$B$13,"""",I629,"""",",",'Code List'!$B$14,"""",J629,"""",",",'Code List'!$B$15,"""",K629,"""",",",'Code List'!$B$16,"""",L629,"""",",",'Code List'!$B$17,"""",M629,"""",",",'Code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29" s="167" t="str">
        <f>IF(A629="YES",CONCATENATE("{",'Code List'!$B$31,"""",U629,"""",",",'Code List'!$B$32,'Code List'!$D$32,",",'Code List'!$B$33,'Code List'!$D$33,",",'Code List'!$B$34,'Code List'!$D$34,",",'Code List'!$B$35,'Code List'!$D$35,",",'Code List'!$B$36,'Code List'!$D$36,",",'Code List'!$B$37,'Code List'!$D$37,",",'Code List'!$B$38,"""",H629,"""",",",'Code List'!$B$39,"""",I629,"""",",",'Code List'!$B$40,"""",J629,"""",",",'Code List'!$B$41,"""",K629,"""",",",'Code List'!$B$42,"""",L629,"""",",",'Code List'!$B$43,"""",M629,"""",",",'Code List'!$B$44,"""",N629,"""",",",'Code List'!$B$45,"""",O629,"""",",",'Code List'!$B$46,"""",P629,"""",",",'Code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List'!$B$59,"""",T629,"""","}"),"")</f>
        <v/>
      </c>
    </row>
    <row r="630" spans="1:25" x14ac:dyDescent="0.25">
      <c r="A630" t="str">
        <f>IF(AND($A628="YES",E628=$D$1,F630&gt;0),"YES","NO")</f>
        <v>NO</v>
      </c>
      <c r="C630" t="s">
        <v>5</v>
      </c>
      <c r="D630" s="12" t="str">
        <f t="shared" ref="D630:D634" si="546">D629</f>
        <v>12B</v>
      </c>
      <c r="E630" t="s">
        <v>188</v>
      </c>
      <c r="F630">
        <f>'Expanded Base Data'!F626</f>
        <v>0</v>
      </c>
      <c r="G630" s="171">
        <f>F628</f>
        <v>0</v>
      </c>
      <c r="H630">
        <f>ROUND(B628+'Slide Measurements'!$D$17,$O$1)</f>
        <v>114.91</v>
      </c>
      <c r="I630">
        <f>ROUND(H630+(F630*'Slide Measurements'!$D$21),$O$1)</f>
        <v>114.91</v>
      </c>
      <c r="J630">
        <f>C628+'Slide Measurements'!$E$17</f>
        <v>453.83000000000004</v>
      </c>
      <c r="K630">
        <f>J630+($I$1*'Slide Measurements'!$E$23-'Slide Measurements'!$E$23)</f>
        <v>455.68000000000006</v>
      </c>
      <c r="L630" s="5" t="str">
        <f>'Expanded Base Data'!$L626</f>
        <v/>
      </c>
      <c r="M630" s="5" t="str">
        <f>'Expanded Base Data'!$K626</f>
        <v/>
      </c>
      <c r="N630">
        <f t="shared" ref="N630:N635" si="547">ROUND((I630-H630),$O$1)</f>
        <v>0</v>
      </c>
      <c r="O630">
        <f t="shared" ref="O630:O635" si="548">ROUND((K630-J630),$O$1)</f>
        <v>1.85</v>
      </c>
      <c r="P630" s="5" t="e">
        <f t="shared" ref="P630:P634" si="549">ROUND((L630-M630),$O$1)</f>
        <v>#VALUE!</v>
      </c>
      <c r="Q630">
        <f>'Code List'!$C$63</f>
        <v>3</v>
      </c>
      <c r="R630">
        <f>F631+'Code List'!$G$63</f>
        <v>2</v>
      </c>
      <c r="S630" t="e">
        <f t="shared" ref="S630:S634" si="550">IF(P630=0,"1",ROUND((P630/$K$1)+$M$1,0))</f>
        <v>#VALUE!</v>
      </c>
      <c r="T630" t="e">
        <f>Q630*R630*S630</f>
        <v>#VALUE!</v>
      </c>
      <c r="U630" t="str">
        <f>IF(A630="YES",CONCATENATE(G630,"_",'Program Page'!$C$4,'Program Page'!$C$5,"_",D630,"_",E630),"")</f>
        <v/>
      </c>
      <c r="V630" t="str">
        <f t="shared" ref="V630:V634" si="551">IF(U630="","",CONCATENATE(U630,"_"))</f>
        <v/>
      </c>
      <c r="W630" t="str">
        <f>IF(A630="YES",CONCATENATE("{",'Code List'!$B$4,'Code List'!$D$4,",",'Code List'!$B$5,'Code List'!$D$5,",",'Code List'!$B$6,"""",U630,"""",",",'Code List'!$B$7,'Code List'!$D$7,",",'Code List'!$B$8,'Code List'!$D$8,",",'Code List'!$B$9,'Code List'!$D$9,",",'Code List'!$B$10,'Code List'!$D$10,",",'Code List'!$B$11,"""",V630,"""",",",'Code List'!$B$12,"""",H630,"""",",",'Code List'!$B$13,"""",I630,"""",",",'Code List'!$B$14,"""",J630,"""",",",'Code List'!$B$15,"""",K630,"""",",",'Code List'!$B$16,"""",L630,"""",",",'Code List'!$B$17,"""",M630,"""",",",'Code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30" s="167" t="str">
        <f>IF(A630="YES",CONCATENATE("{",'Code List'!$B$31,"""",U630,"""",",",'Code List'!$B$32,'Code List'!$D$32,",",'Code List'!$B$33,'Code List'!$D$33,",",'Code List'!$B$34,'Code List'!$D$34,",",'Code List'!$B$35,'Code List'!$D$35,",",'Code List'!$B$36,'Code List'!$D$36,",",'Code List'!$B$37,'Code List'!$D$37,",",'Code List'!$B$38,"""",H630,"""",",",'Code List'!$B$39,"""",I630,"""",",",'Code List'!$B$40,"""",J630,"""",",",'Code List'!$B$41,"""",K630,"""",",",'Code List'!$B$42,"""",L630,"""",",",'Code List'!$B$43,"""",M630,"""",",",'Code List'!$B$44,"""",N630,"""",",",'Code List'!$B$45,"""",O630,"""",",",'Code List'!$B$46,"""",P630,"""",",",'Code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List'!$B$59,"""",T630,"""","}"),"")</f>
        <v/>
      </c>
    </row>
    <row r="631" spans="1:25" x14ac:dyDescent="0.25">
      <c r="A631" t="str">
        <f>IF(AND($A628="YES",E628=$D$1,F631&gt;0),"YES","NO")</f>
        <v>NO</v>
      </c>
      <c r="C631" t="s">
        <v>5</v>
      </c>
      <c r="D631" s="12" t="str">
        <f t="shared" si="546"/>
        <v>12B</v>
      </c>
      <c r="E631" t="s">
        <v>189</v>
      </c>
      <c r="F631">
        <f>'Expanded Base Data'!G626</f>
        <v>0</v>
      </c>
      <c r="G631" s="171">
        <f>F628</f>
        <v>0</v>
      </c>
      <c r="H631">
        <f>ROUND(B628+'Slide Measurements'!$D$17,$O$1)</f>
        <v>114.91</v>
      </c>
      <c r="I631">
        <f>ROUND(H631+(F631*'Slide Measurements'!$D$21),$O$1)</f>
        <v>114.91</v>
      </c>
      <c r="J631">
        <f>K630</f>
        <v>455.68000000000006</v>
      </c>
      <c r="K631">
        <f>J631+($I$1*'Slide Measurements'!$E$23-'Slide Measurements'!$E$23)</f>
        <v>457.53000000000009</v>
      </c>
      <c r="L631" s="5" t="str">
        <f>'Expanded Base Data'!$L626</f>
        <v/>
      </c>
      <c r="M631" s="5" t="str">
        <f>'Expanded Base Data'!$K626</f>
        <v/>
      </c>
      <c r="N631">
        <f t="shared" si="547"/>
        <v>0</v>
      </c>
      <c r="O631">
        <f t="shared" si="548"/>
        <v>1.85</v>
      </c>
      <c r="P631" s="5" t="e">
        <f t="shared" si="549"/>
        <v>#VALUE!</v>
      </c>
      <c r="Q631">
        <f>'Code List'!$C$63</f>
        <v>3</v>
      </c>
      <c r="R631">
        <f>F632+'Code List'!$G$63</f>
        <v>2</v>
      </c>
      <c r="S631" t="e">
        <f t="shared" si="550"/>
        <v>#VALUE!</v>
      </c>
      <c r="T631" t="e">
        <f t="shared" ref="T631:T634" si="552">Q631*R631*S631</f>
        <v>#VALUE!</v>
      </c>
      <c r="U631" t="str">
        <f>IF(A631="YES",CONCATENATE(G631,"_",'Program Page'!$C$4,'Program Page'!$C$5,"_",D631,"_",E631),"")</f>
        <v/>
      </c>
      <c r="V631" t="str">
        <f t="shared" si="551"/>
        <v/>
      </c>
      <c r="W631" t="str">
        <f>IF(A631="YES",CONCATENATE("{",'Code List'!$B$4,'Code List'!$D$4,",",'Code List'!$B$5,'Code List'!$D$5,",",'Code List'!$B$6,"""",U631,"""",",",'Code List'!$B$7,'Code List'!$D$7,",",'Code List'!$B$8,'Code List'!$D$8,",",'Code List'!$B$9,'Code List'!$D$9,",",'Code List'!$B$10,'Code List'!$D$10,",",'Code List'!$B$11,"""",V631,"""",",",'Code List'!$B$12,"""",H631,"""",",",'Code List'!$B$13,"""",I631,"""",",",'Code List'!$B$14,"""",J631,"""",",",'Code List'!$B$15,"""",K631,"""",",",'Code List'!$B$16,"""",L631,"""",",",'Code List'!$B$17,"""",M631,"""",",",'Code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31" s="167" t="str">
        <f>IF(A631="YES",CONCATENATE("{",'Code List'!$B$31,"""",U631,"""",",",'Code List'!$B$32,'Code List'!$D$32,",",'Code List'!$B$33,'Code List'!$D$33,",",'Code List'!$B$34,'Code List'!$D$34,",",'Code List'!$B$35,'Code List'!$D$35,",",'Code List'!$B$36,'Code List'!$D$36,",",'Code List'!$B$37,'Code List'!$D$37,",",'Code List'!$B$38,"""",H631,"""",",",'Code List'!$B$39,"""",I631,"""",",",'Code List'!$B$40,"""",J631,"""",",",'Code List'!$B$41,"""",K631,"""",",",'Code List'!$B$42,"""",L631,"""",",",'Code List'!$B$43,"""",M631,"""",",",'Code List'!$B$44,"""",N631,"""",",",'Code List'!$B$45,"""",O631,"""",",",'Code List'!$B$46,"""",P631,"""",",",'Code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List'!$B$59,"""",T631,"""","}"),"")</f>
        <v/>
      </c>
    </row>
    <row r="632" spans="1:25" x14ac:dyDescent="0.25">
      <c r="A632" t="str">
        <f>IF(AND($A628="YES",E628=$D$1,F632&gt;0),"YES","NO")</f>
        <v>NO</v>
      </c>
      <c r="C632" t="s">
        <v>5</v>
      </c>
      <c r="D632" s="12" t="str">
        <f t="shared" si="546"/>
        <v>12B</v>
      </c>
      <c r="E632" t="s">
        <v>190</v>
      </c>
      <c r="F632">
        <f>'Expanded Base Data'!H626</f>
        <v>0</v>
      </c>
      <c r="G632" s="171">
        <f>F628</f>
        <v>0</v>
      </c>
      <c r="H632">
        <f>ROUND(B628+'Slide Measurements'!$D$17,$O$1)</f>
        <v>114.91</v>
      </c>
      <c r="I632">
        <f>ROUND(H632+(F632*'Slide Measurements'!$D$21),$O$1)</f>
        <v>114.91</v>
      </c>
      <c r="J632">
        <f>K631</f>
        <v>457.53000000000009</v>
      </c>
      <c r="K632">
        <f>J632+($I$1*'Slide Measurements'!$E$23-'Slide Measurements'!$E$23)</f>
        <v>459.38000000000011</v>
      </c>
      <c r="L632" s="5" t="str">
        <f>'Expanded Base Data'!$L626</f>
        <v/>
      </c>
      <c r="M632" s="5" t="str">
        <f>'Expanded Base Data'!$K626</f>
        <v/>
      </c>
      <c r="N632">
        <f t="shared" si="547"/>
        <v>0</v>
      </c>
      <c r="O632">
        <f t="shared" si="548"/>
        <v>1.85</v>
      </c>
      <c r="P632" s="5" t="e">
        <f t="shared" si="549"/>
        <v>#VALUE!</v>
      </c>
      <c r="Q632">
        <f>'Code List'!$C$63</f>
        <v>3</v>
      </c>
      <c r="R632">
        <f>F633+'Code List'!$G$63</f>
        <v>2</v>
      </c>
      <c r="S632" t="e">
        <f t="shared" si="550"/>
        <v>#VALUE!</v>
      </c>
      <c r="T632" t="e">
        <f t="shared" si="552"/>
        <v>#VALUE!</v>
      </c>
      <c r="U632" t="str">
        <f>IF(A632="YES",CONCATENATE(G632,"_",'Program Page'!$C$4,'Program Page'!$C$5,"_",D632,"_",E632),"")</f>
        <v/>
      </c>
      <c r="V632" t="str">
        <f t="shared" si="551"/>
        <v/>
      </c>
      <c r="W632" t="str">
        <f>IF(A632="YES",CONCATENATE("{",'Code List'!$B$4,'Code List'!$D$4,",",'Code List'!$B$5,'Code List'!$D$5,",",'Code List'!$B$6,"""",U632,"""",",",'Code List'!$B$7,'Code List'!$D$7,",",'Code List'!$B$8,'Code List'!$D$8,",",'Code List'!$B$9,'Code List'!$D$9,",",'Code List'!$B$10,'Code List'!$D$10,",",'Code List'!$B$11,"""",V632,"""",",",'Code List'!$B$12,"""",H632,"""",",",'Code List'!$B$13,"""",I632,"""",",",'Code List'!$B$14,"""",J632,"""",",",'Code List'!$B$15,"""",K632,"""",",",'Code List'!$B$16,"""",L632,"""",",",'Code List'!$B$17,"""",M632,"""",",",'Code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32" s="167" t="str">
        <f>IF(A632="YES",CONCATENATE("{",'Code List'!$B$31,"""",U632,"""",",",'Code List'!$B$32,'Code List'!$D$32,",",'Code List'!$B$33,'Code List'!$D$33,",",'Code List'!$B$34,'Code List'!$D$34,",",'Code List'!$B$35,'Code List'!$D$35,",",'Code List'!$B$36,'Code List'!$D$36,",",'Code List'!$B$37,'Code List'!$D$37,",",'Code List'!$B$38,"""",H632,"""",",",'Code List'!$B$39,"""",I632,"""",",",'Code List'!$B$40,"""",J632,"""",",",'Code List'!$B$41,"""",K632,"""",",",'Code List'!$B$42,"""",L632,"""",",",'Code List'!$B$43,"""",M632,"""",",",'Code List'!$B$44,"""",N632,"""",",",'Code List'!$B$45,"""",O632,"""",",",'Code List'!$B$46,"""",P632,"""",",",'Code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List'!$B$59,"""",T632,"""","}"),"")</f>
        <v/>
      </c>
    </row>
    <row r="633" spans="1:25" x14ac:dyDescent="0.25">
      <c r="A633" t="str">
        <f>IF(AND($A628="YES",E628=$D$1,F633&gt;0),"YES","NO")</f>
        <v>NO</v>
      </c>
      <c r="C633" t="s">
        <v>5</v>
      </c>
      <c r="D633" s="12" t="str">
        <f t="shared" si="546"/>
        <v>12B</v>
      </c>
      <c r="E633" t="s">
        <v>191</v>
      </c>
      <c r="F633">
        <f>'Expanded Base Data'!I626</f>
        <v>0</v>
      </c>
      <c r="G633" s="171">
        <f>F628</f>
        <v>0</v>
      </c>
      <c r="H633">
        <f>ROUND(B628+'Slide Measurements'!$D$17,$O$1)</f>
        <v>114.91</v>
      </c>
      <c r="I633">
        <f>ROUND(H633+(F633*'Slide Measurements'!$D$21),$O$1)</f>
        <v>114.91</v>
      </c>
      <c r="J633">
        <f>K632</f>
        <v>459.38000000000011</v>
      </c>
      <c r="K633">
        <f>J633+($I$1*'Slide Measurements'!$E$23-'Slide Measurements'!$E$23)</f>
        <v>461.23000000000013</v>
      </c>
      <c r="L633" s="5" t="str">
        <f>'Expanded Base Data'!$L626</f>
        <v/>
      </c>
      <c r="M633" s="5" t="str">
        <f>'Expanded Base Data'!$K626</f>
        <v/>
      </c>
      <c r="N633">
        <f t="shared" si="547"/>
        <v>0</v>
      </c>
      <c r="O633">
        <f t="shared" si="548"/>
        <v>1.85</v>
      </c>
      <c r="P633" s="5" t="e">
        <f t="shared" si="549"/>
        <v>#VALUE!</v>
      </c>
      <c r="Q633">
        <f>'Code List'!$C$63</f>
        <v>3</v>
      </c>
      <c r="R633">
        <f>F634+'Code List'!$G$63</f>
        <v>2</v>
      </c>
      <c r="S633" t="e">
        <f t="shared" si="550"/>
        <v>#VALUE!</v>
      </c>
      <c r="T633" t="e">
        <f t="shared" si="552"/>
        <v>#VALUE!</v>
      </c>
      <c r="U633" t="str">
        <f>IF(A633="YES",CONCATENATE(G633,"_",'Program Page'!$C$4,'Program Page'!$C$5,"_",D633,"_",E633),"")</f>
        <v/>
      </c>
      <c r="V633" t="str">
        <f t="shared" si="551"/>
        <v/>
      </c>
      <c r="W633" t="str">
        <f>IF(A633="YES",CONCATENATE("{",'Code List'!$B$4,'Code List'!$D$4,",",'Code List'!$B$5,'Code List'!$D$5,",",'Code List'!$B$6,"""",U633,"""",",",'Code List'!$B$7,'Code List'!$D$7,",",'Code List'!$B$8,'Code List'!$D$8,",",'Code List'!$B$9,'Code List'!$D$9,",",'Code List'!$B$10,'Code List'!$D$10,",",'Code List'!$B$11,"""",V633,"""",",",'Code List'!$B$12,"""",H633,"""",",",'Code List'!$B$13,"""",I633,"""",",",'Code List'!$B$14,"""",J633,"""",",",'Code List'!$B$15,"""",K633,"""",",",'Code List'!$B$16,"""",L633,"""",",",'Code List'!$B$17,"""",M633,"""",",",'Code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33" s="167" t="str">
        <f>IF(A633="YES",CONCATENATE("{",'Code List'!$B$31,"""",U633,"""",",",'Code List'!$B$32,'Code List'!$D$32,",",'Code List'!$B$33,'Code List'!$D$33,",",'Code List'!$B$34,'Code List'!$D$34,",",'Code List'!$B$35,'Code List'!$D$35,",",'Code List'!$B$36,'Code List'!$D$36,",",'Code List'!$B$37,'Code List'!$D$37,",",'Code List'!$B$38,"""",H633,"""",",",'Code List'!$B$39,"""",I633,"""",",",'Code List'!$B$40,"""",J633,"""",",",'Code List'!$B$41,"""",K633,"""",",",'Code List'!$B$42,"""",L633,"""",",",'Code List'!$B$43,"""",M633,"""",",",'Code List'!$B$44,"""",N633,"""",",",'Code List'!$B$45,"""",O633,"""",",",'Code List'!$B$46,"""",P633,"""",",",'Code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List'!$B$59,"""",T633,"""","}"),"")</f>
        <v/>
      </c>
    </row>
    <row r="634" spans="1:25" x14ac:dyDescent="0.25">
      <c r="A634" t="str">
        <f>IF(AND($A628="YES",E628=$D$1,F634&gt;0),"YES","NO")</f>
        <v>NO</v>
      </c>
      <c r="C634" t="s">
        <v>5</v>
      </c>
      <c r="D634" s="12" t="str">
        <f t="shared" si="546"/>
        <v>12B</v>
      </c>
      <c r="E634" t="s">
        <v>196</v>
      </c>
      <c r="F634">
        <f>'Expanded Base Data'!J626</f>
        <v>0</v>
      </c>
      <c r="G634" s="171">
        <f>F628</f>
        <v>0</v>
      </c>
      <c r="H634">
        <f>ROUND(B628+'Slide Measurements'!$D$17,$O$1)</f>
        <v>114.91</v>
      </c>
      <c r="I634">
        <f>ROUND(H634+(F634*'Slide Measurements'!$D$21),$O$1)</f>
        <v>114.91</v>
      </c>
      <c r="J634">
        <f>K633</f>
        <v>461.23000000000013</v>
      </c>
      <c r="K634">
        <f>J634+($I$1*'Slide Measurements'!$E$23-'Slide Measurements'!$E$23)</f>
        <v>463.08000000000015</v>
      </c>
      <c r="L634" s="5" t="str">
        <f>'Expanded Base Data'!$L626</f>
        <v/>
      </c>
      <c r="M634" s="5" t="str">
        <f>'Expanded Base Data'!$K626</f>
        <v/>
      </c>
      <c r="N634">
        <f t="shared" si="547"/>
        <v>0</v>
      </c>
      <c r="O634">
        <f t="shared" si="548"/>
        <v>1.85</v>
      </c>
      <c r="P634" s="5" t="e">
        <f t="shared" si="549"/>
        <v>#VALUE!</v>
      </c>
      <c r="Q634">
        <f>'Code List'!$C$63</f>
        <v>3</v>
      </c>
      <c r="R634">
        <f>F635+'Code List'!$G$63</f>
        <v>2</v>
      </c>
      <c r="S634" t="e">
        <f t="shared" si="550"/>
        <v>#VALUE!</v>
      </c>
      <c r="T634" t="e">
        <f t="shared" si="552"/>
        <v>#VALUE!</v>
      </c>
      <c r="U634" t="str">
        <f>IF(A634="YES",CONCATENATE(G634,"_",'Program Page'!$C$4,'Program Page'!$C$5,"_",D634,"_",E634),"")</f>
        <v/>
      </c>
      <c r="V634" t="str">
        <f t="shared" si="551"/>
        <v/>
      </c>
      <c r="W634" t="str">
        <f>IF(A634="YES",CONCATENATE("{",'Code List'!$B$4,'Code List'!$D$4,",",'Code List'!$B$5,'Code List'!$D$5,",",'Code List'!$B$6,"""",U634,"""",",",'Code List'!$B$7,'Code List'!$D$7,",",'Code List'!$B$8,'Code List'!$D$8,",",'Code List'!$B$9,'Code List'!$D$9,",",'Code List'!$B$10,'Code List'!$D$10,",",'Code List'!$B$11,"""",V634,"""",",",'Code List'!$B$12,"""",H634,"""",",",'Code List'!$B$13,"""",I634,"""",",",'Code List'!$B$14,"""",J634,"""",",",'Code List'!$B$15,"""",K634,"""",",",'Code List'!$B$16,"""",L634,"""",",",'Code List'!$B$17,"""",M634,"""",",",'Code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34" s="167" t="str">
        <f>IF(A634="YES",CONCATENATE("{",'Code List'!$B$31,"""",U634,"""",",",'Code List'!$B$32,'Code List'!$D$32,",",'Code List'!$B$33,'Code List'!$D$33,",",'Code List'!$B$34,'Code List'!$D$34,",",'Code List'!$B$35,'Code List'!$D$35,",",'Code List'!$B$36,'Code List'!$D$36,",",'Code List'!$B$37,'Code List'!$D$37,",",'Code List'!$B$38,"""",H634,"""",",",'Code List'!$B$39,"""",I634,"""",",",'Code List'!$B$40,"""",J634,"""",",",'Code List'!$B$41,"""",K634,"""",",",'Code List'!$B$42,"""",L634,"""",",",'Code List'!$B$43,"""",M634,"""",",",'Code List'!$B$44,"""",N634,"""",",",'Code List'!$B$45,"""",O634,"""",",",'Code List'!$B$46,"""",P634,"""",",",'Code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List'!$B$59,"""",T634,"""","}"),"")</f>
        <v/>
      </c>
    </row>
    <row r="635" spans="1:25" x14ac:dyDescent="0.25">
      <c r="A635" s="162" t="str">
        <f>IF(AND($A628="YES",E628=$E$1),"YES","NO")</f>
        <v>NO</v>
      </c>
      <c r="C635" t="s">
        <v>259</v>
      </c>
      <c r="D635" s="12" t="str">
        <f>D634</f>
        <v>12B</v>
      </c>
      <c r="E635" t="s">
        <v>259</v>
      </c>
      <c r="G635" s="171">
        <f>F628</f>
        <v>0</v>
      </c>
      <c r="H635">
        <f>ROUND(B628,$O$1)</f>
        <v>89.51</v>
      </c>
      <c r="I635">
        <f>ROUND(B628+'Slide Measurements'!$D$1,$O$1)</f>
        <v>165.96</v>
      </c>
      <c r="J635">
        <f>C628</f>
        <v>449.53000000000003</v>
      </c>
      <c r="K635">
        <f>C628+'Slide Measurements'!$D$2</f>
        <v>476.93</v>
      </c>
      <c r="L635" s="5" t="str">
        <f>'Expanded Base Data'!$L626</f>
        <v/>
      </c>
      <c r="M635" s="5" t="str">
        <f>'Expanded Base Data'!$K626</f>
        <v/>
      </c>
      <c r="N635">
        <f t="shared" si="547"/>
        <v>76.45</v>
      </c>
      <c r="O635">
        <f t="shared" si="548"/>
        <v>27.4</v>
      </c>
      <c r="P635" s="5" t="e">
        <f>ROUND((L635-M635),$O$1)</f>
        <v>#VALUE!</v>
      </c>
      <c r="Q635">
        <f>'Code List'!$C$70</f>
        <v>11</v>
      </c>
      <c r="R635">
        <f>'Code List'!$D$70</f>
        <v>19</v>
      </c>
      <c r="S635" t="e">
        <f>IF(P635=0,"1",ROUND((P635/$K$1)+$M$1,0))</f>
        <v>#VALUE!</v>
      </c>
      <c r="T635" t="e">
        <f>Q635*R635*S635</f>
        <v>#VALUE!</v>
      </c>
      <c r="U635" t="str">
        <f>IF(A635="YES",CONCATENATE(G635,"_",'Program Page'!$C$4,'Program Page'!$C$5,"_",D635,"_",E635),"")</f>
        <v/>
      </c>
      <c r="V635" t="str">
        <f>IF(U635="","",CONCATENATE(U635,"_"))</f>
        <v/>
      </c>
      <c r="W635" t="str">
        <f>IF(A635="YES",CONCATENATE("{",'Code List'!$B$4,'Code List'!$D$4,",",'Code List'!$B$5,'Code List'!$D$5,",",'Code List'!$B$6,"""",U635,"""",",",'Code List'!$B$7,'Code List'!$D$7,",",'Code List'!$B$8,'Code List'!$D$8,",",'Code List'!$B$9,'Code List'!$D$9,",",'Code List'!$B$10,'Code List'!$D$10,",",'Code List'!$B$11,"""",V635,"""",",",'Code List'!$B$12,"""",H635,"""",",",'Code List'!$B$13,"""",I635,"""",",",'Code List'!$B$14,"""",J635,"""",",",'Code List'!$B$15,"""",K635,"""",",",'Code List'!$B$16,"""",L635,"""",",",'Code List'!$B$17,"""",M635,"""",",",'Code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635" s="167" t="str">
        <f>IF(A635="YES",CONCATENATE("{",'Code List'!$B$31,"""",U635,"""",",",'Code List'!$B$32,'Code List'!$D$32,",",'Code List'!$B$33,'Code List'!$D$33,",",'Code List'!$B$34,'Code List'!$D$34,",",'Code List'!$B$35,'Code List'!$D$35,",",'Code List'!$B$36,'Code List'!$D$36,",",'Code List'!$B$37,'Code List'!$D$37,",",'Code List'!$B$38,"""",H635,"""",",",'Code List'!$B$39,"""",I635,"""",",",'Code List'!$B$40,"""",J635,"""",",",'Code List'!$B$41,"""",K635,"""",",",'Code List'!$B$42,"""",L635,"""",",",'Code List'!$B$43,"""",M635,"""",",",'Code List'!$B$44,"""",N635,"""",",",'Code List'!$B$45,"""",O635,"""",",",'Code List'!$B$46,"""",P635,"""",",",'Code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List'!$B$59,"""",T635,"""","}"),"")</f>
        <v/>
      </c>
    </row>
    <row r="636" spans="1:25" ht="18.75" x14ac:dyDescent="0.3">
      <c r="A636" s="35" t="str">
        <f>IF(OR(E636=$C$1,E636=$D$1,E636=$E$1),"YES","NO")</f>
        <v>NO</v>
      </c>
      <c r="B636" s="35">
        <f>'Expanded Base Data'!D634</f>
        <v>176.11</v>
      </c>
      <c r="C636" s="35">
        <f>'Expanded Base Data'!E634</f>
        <v>449.53000000000003</v>
      </c>
      <c r="D636" s="36" t="str">
        <f>'Expanded Base Data'!B634</f>
        <v>12C</v>
      </c>
      <c r="E636" s="35">
        <f>'Expanded Base Data'!C634</f>
        <v>0</v>
      </c>
      <c r="F636" s="35">
        <f>'Expanded Base Data'!M634</f>
        <v>0</v>
      </c>
      <c r="G636" s="170">
        <f>F636</f>
        <v>0</v>
      </c>
      <c r="Y636" s="167" t="str">
        <f>""</f>
        <v/>
      </c>
    </row>
    <row r="637" spans="1:25" x14ac:dyDescent="0.25">
      <c r="A637" t="str">
        <f>IF(AND($A636="YES",E636=$C$1),"YES","NO")</f>
        <v>NO</v>
      </c>
      <c r="C637" t="s">
        <v>6</v>
      </c>
      <c r="D637" s="12" t="str">
        <f>D636</f>
        <v>12C</v>
      </c>
      <c r="E637" t="s">
        <v>6</v>
      </c>
      <c r="F637" t="s">
        <v>198</v>
      </c>
      <c r="G637" s="171">
        <f>F636</f>
        <v>0</v>
      </c>
      <c r="H637">
        <f>IF('Expanded Base Data'!N634="",ROUND(B636+'Slide Measurements'!$D$11,$O$1),B636+'Expanded Base Data'!N634)</f>
        <v>209.11</v>
      </c>
      <c r="I637">
        <f>IF('Expanded Base Data'!O634="",ROUND(B636+'Slide Measurements'!$D$12,$O$1),B636+'Expanded Base Data'!O634)</f>
        <v>217.71</v>
      </c>
      <c r="J637">
        <f>IF('Expanded Base Data'!P634="",C636+'Slide Measurements'!$E$13,C636+'Expanded Base Data'!P634)</f>
        <v>458.23</v>
      </c>
      <c r="K637">
        <f>IF('Expanded Base Data'!Q634="",C636+'Slide Measurements'!$E$14,C636+'Expanded Base Data'!Q634)</f>
        <v>466.83000000000004</v>
      </c>
      <c r="L637" s="5" t="str">
        <f>'Expanded Base Data'!$L634</f>
        <v/>
      </c>
      <c r="M637" s="5" t="str">
        <f>'Expanded Base Data'!$K634</f>
        <v/>
      </c>
      <c r="N637">
        <f>ROUND((I637-H637),$O$1)</f>
        <v>8.6</v>
      </c>
      <c r="O637">
        <f>ROUND((K637-J637),$O$1)</f>
        <v>8.6</v>
      </c>
      <c r="P637" s="5" t="e">
        <f>ROUND((L637-M637),$O$1)</f>
        <v>#VALUE!</v>
      </c>
      <c r="Q637">
        <f>'Code List'!$C$62</f>
        <v>5</v>
      </c>
      <c r="R637">
        <f>F638+'Code List'!$G$63</f>
        <v>2</v>
      </c>
      <c r="S637" t="e">
        <f>IF(P637=0,"1",ROUND((P637/$K$1)+$M$1,0))</f>
        <v>#VALUE!</v>
      </c>
      <c r="T637" t="e">
        <f>Q637*R637*S637</f>
        <v>#VALUE!</v>
      </c>
      <c r="U637" t="str">
        <f>IF(A637="YES",CONCATENATE(G637,"_",'Program Page'!$C$4,'Program Page'!$C$5,"_",D637,"_",E637),"")</f>
        <v/>
      </c>
      <c r="V637" t="str">
        <f>IF(U637="","",CONCATENATE(U637,"_"))</f>
        <v/>
      </c>
      <c r="W637" t="str">
        <f>IF(A637="YES",CONCATENATE("{",'Code List'!$B$4,'Code List'!$D$4,",",'Code List'!$B$5,'Code List'!$D$5,",",'Code List'!$B$6,"""",U637,"""",",",'Code List'!$B$7,'Code List'!$D$7,",",'Code List'!$B$8,'Code List'!$D$8,",",'Code List'!$B$9,'Code List'!$D$9,",",'Code List'!$B$10,'Code List'!$D$10,",",'Code List'!$B$11,"""",V637,"""",",",'Code List'!$B$12,"""",H637,"""",",",'Code List'!$B$13,"""",I637,"""",",",'Code List'!$B$14,"""",J637,"""",",",'Code List'!$B$15,"""",K637,"""",",",'Code List'!$B$16,"""",L637,"""",",",'Code List'!$B$17,"""",M637,"""",",",'Code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37" s="167" t="str">
        <f>IF(A637="YES",CONCATENATE("{",'Code List'!$B$31,"""",U637,"""",",",'Code List'!$B$32,'Code List'!$D$32,",",'Code List'!$B$33,'Code List'!$D$33,",",'Code List'!$B$34,'Code List'!$D$34,",",'Code List'!$B$35,'Code List'!$D$35,",",'Code List'!$B$36,'Code List'!$D$36,",",'Code List'!$B$37,'Code List'!$D$37,",",'Code List'!$B$38,"""",H637,"""",",",'Code List'!$B$39,"""",I637,"""",",",'Code List'!$B$40,"""",J637,"""",",",'Code List'!$B$41,"""",K637,"""",",",'Code List'!$B$42,"""",L637,"""",",",'Code List'!$B$43,"""",M637,"""",",",'Code List'!$B$44,"""",N637,"""",",",'Code List'!$B$45,"""",O637,"""",",",'Code List'!$B$46,"""",P637,"""",",",'Code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List'!$B$59,"""",T637,"""","}"),"")</f>
        <v/>
      </c>
    </row>
    <row r="638" spans="1:25" x14ac:dyDescent="0.25">
      <c r="A638" t="str">
        <f>IF(AND($A636="YES",E636=$D$1,F638&gt;0),"YES","NO")</f>
        <v>NO</v>
      </c>
      <c r="C638" t="s">
        <v>5</v>
      </c>
      <c r="D638" s="12" t="str">
        <f t="shared" ref="D638:D642" si="553">D637</f>
        <v>12C</v>
      </c>
      <c r="E638" t="s">
        <v>188</v>
      </c>
      <c r="F638">
        <f>'Expanded Base Data'!F634</f>
        <v>0</v>
      </c>
      <c r="G638" s="171">
        <f>F636</f>
        <v>0</v>
      </c>
      <c r="H638">
        <f>ROUND(B636+'Slide Measurements'!$D$17,$O$1)</f>
        <v>201.51</v>
      </c>
      <c r="I638">
        <f>ROUND(H638+(F638*'Slide Measurements'!$D$21),$O$1)</f>
        <v>201.51</v>
      </c>
      <c r="J638">
        <f>C636+'Slide Measurements'!$E$17</f>
        <v>453.83000000000004</v>
      </c>
      <c r="K638">
        <f>J638+($I$1*'Slide Measurements'!$E$23-'Slide Measurements'!$E$23)</f>
        <v>455.68000000000006</v>
      </c>
      <c r="L638" s="5" t="str">
        <f>'Expanded Base Data'!$L634</f>
        <v/>
      </c>
      <c r="M638" s="5" t="str">
        <f>'Expanded Base Data'!$K634</f>
        <v/>
      </c>
      <c r="N638">
        <f t="shared" ref="N638:N643" si="554">ROUND((I638-H638),$O$1)</f>
        <v>0</v>
      </c>
      <c r="O638">
        <f t="shared" ref="O638:O643" si="555">ROUND((K638-J638),$O$1)</f>
        <v>1.85</v>
      </c>
      <c r="P638" s="5" t="e">
        <f t="shared" ref="P638:P642" si="556">ROUND((L638-M638),$O$1)</f>
        <v>#VALUE!</v>
      </c>
      <c r="Q638">
        <f>'Code List'!$C$63</f>
        <v>3</v>
      </c>
      <c r="R638">
        <f>F639+'Code List'!$G$63</f>
        <v>2</v>
      </c>
      <c r="S638" t="e">
        <f t="shared" ref="S638:S642" si="557">IF(P638=0,"1",ROUND((P638/$K$1)+$M$1,0))</f>
        <v>#VALUE!</v>
      </c>
      <c r="T638" t="e">
        <f>Q638*R638*S638</f>
        <v>#VALUE!</v>
      </c>
      <c r="U638" t="str">
        <f>IF(A638="YES",CONCATENATE(G638,"_",'Program Page'!$C$4,'Program Page'!$C$5,"_",D638,"_",E638),"")</f>
        <v/>
      </c>
      <c r="V638" t="str">
        <f t="shared" ref="V638:V642" si="558">IF(U638="","",CONCATENATE(U638,"_"))</f>
        <v/>
      </c>
      <c r="W638" t="str">
        <f>IF(A638="YES",CONCATENATE("{",'Code List'!$B$4,'Code List'!$D$4,",",'Code List'!$B$5,'Code List'!$D$5,",",'Code List'!$B$6,"""",U638,"""",",",'Code List'!$B$7,'Code List'!$D$7,",",'Code List'!$B$8,'Code List'!$D$8,",",'Code List'!$B$9,'Code List'!$D$9,",",'Code List'!$B$10,'Code List'!$D$10,",",'Code List'!$B$11,"""",V638,"""",",",'Code List'!$B$12,"""",H638,"""",",",'Code List'!$B$13,"""",I638,"""",",",'Code List'!$B$14,"""",J638,"""",",",'Code List'!$B$15,"""",K638,"""",",",'Code List'!$B$16,"""",L638,"""",",",'Code List'!$B$17,"""",M638,"""",",",'Code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38" s="167" t="str">
        <f>IF(A638="YES",CONCATENATE("{",'Code List'!$B$31,"""",U638,"""",",",'Code List'!$B$32,'Code List'!$D$32,",",'Code List'!$B$33,'Code List'!$D$33,",",'Code List'!$B$34,'Code List'!$D$34,",",'Code List'!$B$35,'Code List'!$D$35,",",'Code List'!$B$36,'Code List'!$D$36,",",'Code List'!$B$37,'Code List'!$D$37,",",'Code List'!$B$38,"""",H638,"""",",",'Code List'!$B$39,"""",I638,"""",",",'Code List'!$B$40,"""",J638,"""",",",'Code List'!$B$41,"""",K638,"""",",",'Code List'!$B$42,"""",L638,"""",",",'Code List'!$B$43,"""",M638,"""",",",'Code List'!$B$44,"""",N638,"""",",",'Code List'!$B$45,"""",O638,"""",",",'Code List'!$B$46,"""",P638,"""",",",'Code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List'!$B$59,"""",T638,"""","}"),"")</f>
        <v/>
      </c>
    </row>
    <row r="639" spans="1:25" x14ac:dyDescent="0.25">
      <c r="A639" t="str">
        <f>IF(AND($A636="YES",E636=$D$1,F639&gt;0),"YES","NO")</f>
        <v>NO</v>
      </c>
      <c r="C639" t="s">
        <v>5</v>
      </c>
      <c r="D639" s="12" t="str">
        <f t="shared" si="553"/>
        <v>12C</v>
      </c>
      <c r="E639" t="s">
        <v>189</v>
      </c>
      <c r="F639">
        <f>'Expanded Base Data'!G634</f>
        <v>0</v>
      </c>
      <c r="G639" s="171">
        <f>F636</f>
        <v>0</v>
      </c>
      <c r="H639">
        <f>ROUND(B636+'Slide Measurements'!$D$17,$O$1)</f>
        <v>201.51</v>
      </c>
      <c r="I639">
        <f>ROUND(H639+(F639*'Slide Measurements'!$D$21),$O$1)</f>
        <v>201.51</v>
      </c>
      <c r="J639">
        <f>K638</f>
        <v>455.68000000000006</v>
      </c>
      <c r="K639">
        <f>J639+($I$1*'Slide Measurements'!$E$23-'Slide Measurements'!$E$23)</f>
        <v>457.53000000000009</v>
      </c>
      <c r="L639" s="5" t="str">
        <f>'Expanded Base Data'!$L634</f>
        <v/>
      </c>
      <c r="M639" s="5" t="str">
        <f>'Expanded Base Data'!$K634</f>
        <v/>
      </c>
      <c r="N639">
        <f t="shared" si="554"/>
        <v>0</v>
      </c>
      <c r="O639">
        <f t="shared" si="555"/>
        <v>1.85</v>
      </c>
      <c r="P639" s="5" t="e">
        <f t="shared" si="556"/>
        <v>#VALUE!</v>
      </c>
      <c r="Q639">
        <f>'Code List'!$C$63</f>
        <v>3</v>
      </c>
      <c r="R639">
        <f>F640+'Code List'!$G$63</f>
        <v>2</v>
      </c>
      <c r="S639" t="e">
        <f t="shared" si="557"/>
        <v>#VALUE!</v>
      </c>
      <c r="T639" t="e">
        <f t="shared" ref="T639:T642" si="559">Q639*R639*S639</f>
        <v>#VALUE!</v>
      </c>
      <c r="U639" t="str">
        <f>IF(A639="YES",CONCATENATE(G639,"_",'Program Page'!$C$4,'Program Page'!$C$5,"_",D639,"_",E639),"")</f>
        <v/>
      </c>
      <c r="V639" t="str">
        <f t="shared" si="558"/>
        <v/>
      </c>
      <c r="W639" t="str">
        <f>IF(A639="YES",CONCATENATE("{",'Code List'!$B$4,'Code List'!$D$4,",",'Code List'!$B$5,'Code List'!$D$5,",",'Code List'!$B$6,"""",U639,"""",",",'Code List'!$B$7,'Code List'!$D$7,",",'Code List'!$B$8,'Code List'!$D$8,",",'Code List'!$B$9,'Code List'!$D$9,",",'Code List'!$B$10,'Code List'!$D$10,",",'Code List'!$B$11,"""",V639,"""",",",'Code List'!$B$12,"""",H639,"""",",",'Code List'!$B$13,"""",I639,"""",",",'Code List'!$B$14,"""",J639,"""",",",'Code List'!$B$15,"""",K639,"""",",",'Code List'!$B$16,"""",L639,"""",",",'Code List'!$B$17,"""",M639,"""",",",'Code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39" s="167" t="str">
        <f>IF(A639="YES",CONCATENATE("{",'Code List'!$B$31,"""",U639,"""",",",'Code List'!$B$32,'Code List'!$D$32,",",'Code List'!$B$33,'Code List'!$D$33,",",'Code List'!$B$34,'Code List'!$D$34,",",'Code List'!$B$35,'Code List'!$D$35,",",'Code List'!$B$36,'Code List'!$D$36,",",'Code List'!$B$37,'Code List'!$D$37,",",'Code List'!$B$38,"""",H639,"""",",",'Code List'!$B$39,"""",I639,"""",",",'Code List'!$B$40,"""",J639,"""",",",'Code List'!$B$41,"""",K639,"""",",",'Code List'!$B$42,"""",L639,"""",",",'Code List'!$B$43,"""",M639,"""",",",'Code List'!$B$44,"""",N639,"""",",",'Code List'!$B$45,"""",O639,"""",",",'Code List'!$B$46,"""",P639,"""",",",'Code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List'!$B$59,"""",T639,"""","}"),"")</f>
        <v/>
      </c>
    </row>
    <row r="640" spans="1:25" x14ac:dyDescent="0.25">
      <c r="A640" t="str">
        <f>IF(AND($A636="YES",E636=$D$1,F640&gt;0),"YES","NO")</f>
        <v>NO</v>
      </c>
      <c r="C640" t="s">
        <v>5</v>
      </c>
      <c r="D640" s="12" t="str">
        <f t="shared" si="553"/>
        <v>12C</v>
      </c>
      <c r="E640" t="s">
        <v>190</v>
      </c>
      <c r="F640">
        <f>'Expanded Base Data'!H634</f>
        <v>0</v>
      </c>
      <c r="G640" s="171">
        <f>F636</f>
        <v>0</v>
      </c>
      <c r="H640">
        <f>ROUND(B636+'Slide Measurements'!$D$17,$O$1)</f>
        <v>201.51</v>
      </c>
      <c r="I640">
        <f>ROUND(H640+(F640*'Slide Measurements'!$D$21),$O$1)</f>
        <v>201.51</v>
      </c>
      <c r="J640">
        <f>K639</f>
        <v>457.53000000000009</v>
      </c>
      <c r="K640">
        <f>J640+($I$1*'Slide Measurements'!$E$23-'Slide Measurements'!$E$23)</f>
        <v>459.38000000000011</v>
      </c>
      <c r="L640" s="5" t="str">
        <f>'Expanded Base Data'!$L634</f>
        <v/>
      </c>
      <c r="M640" s="5" t="str">
        <f>'Expanded Base Data'!$K634</f>
        <v/>
      </c>
      <c r="N640">
        <f t="shared" si="554"/>
        <v>0</v>
      </c>
      <c r="O640">
        <f t="shared" si="555"/>
        <v>1.85</v>
      </c>
      <c r="P640" s="5" t="e">
        <f t="shared" si="556"/>
        <v>#VALUE!</v>
      </c>
      <c r="Q640">
        <f>'Code List'!$C$63</f>
        <v>3</v>
      </c>
      <c r="R640">
        <f>F641+'Code List'!$G$63</f>
        <v>2</v>
      </c>
      <c r="S640" t="e">
        <f t="shared" si="557"/>
        <v>#VALUE!</v>
      </c>
      <c r="T640" t="e">
        <f t="shared" si="559"/>
        <v>#VALUE!</v>
      </c>
      <c r="U640" t="str">
        <f>IF(A640="YES",CONCATENATE(G640,"_",'Program Page'!$C$4,'Program Page'!$C$5,"_",D640,"_",E640),"")</f>
        <v/>
      </c>
      <c r="V640" t="str">
        <f t="shared" si="558"/>
        <v/>
      </c>
      <c r="W640" t="str">
        <f>IF(A640="YES",CONCATENATE("{",'Code List'!$B$4,'Code List'!$D$4,",",'Code List'!$B$5,'Code List'!$D$5,",",'Code List'!$B$6,"""",U640,"""",",",'Code List'!$B$7,'Code List'!$D$7,",",'Code List'!$B$8,'Code List'!$D$8,",",'Code List'!$B$9,'Code List'!$D$9,",",'Code List'!$B$10,'Code List'!$D$10,",",'Code List'!$B$11,"""",V640,"""",",",'Code List'!$B$12,"""",H640,"""",",",'Code List'!$B$13,"""",I640,"""",",",'Code List'!$B$14,"""",J640,"""",",",'Code List'!$B$15,"""",K640,"""",",",'Code List'!$B$16,"""",L640,"""",",",'Code List'!$B$17,"""",M640,"""",",",'Code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40" s="167" t="str">
        <f>IF(A640="YES",CONCATENATE("{",'Code List'!$B$31,"""",U640,"""",",",'Code List'!$B$32,'Code List'!$D$32,",",'Code List'!$B$33,'Code List'!$D$33,",",'Code List'!$B$34,'Code List'!$D$34,",",'Code List'!$B$35,'Code List'!$D$35,",",'Code List'!$B$36,'Code List'!$D$36,",",'Code List'!$B$37,'Code List'!$D$37,",",'Code List'!$B$38,"""",H640,"""",",",'Code List'!$B$39,"""",I640,"""",",",'Code List'!$B$40,"""",J640,"""",",",'Code List'!$B$41,"""",K640,"""",",",'Code List'!$B$42,"""",L640,"""",",",'Code List'!$B$43,"""",M640,"""",",",'Code List'!$B$44,"""",N640,"""",",",'Code List'!$B$45,"""",O640,"""",",",'Code List'!$B$46,"""",P640,"""",",",'Code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List'!$B$59,"""",T640,"""","}"),"")</f>
        <v/>
      </c>
    </row>
    <row r="641" spans="1:25" x14ac:dyDescent="0.25">
      <c r="A641" t="str">
        <f>IF(AND($A636="YES",E636=$D$1,F641&gt;0),"YES","NO")</f>
        <v>NO</v>
      </c>
      <c r="C641" t="s">
        <v>5</v>
      </c>
      <c r="D641" s="12" t="str">
        <f t="shared" si="553"/>
        <v>12C</v>
      </c>
      <c r="E641" t="s">
        <v>191</v>
      </c>
      <c r="F641">
        <f>'Expanded Base Data'!I634</f>
        <v>0</v>
      </c>
      <c r="G641" s="171">
        <f>F636</f>
        <v>0</v>
      </c>
      <c r="H641">
        <f>ROUND(B636+'Slide Measurements'!$D$17,$O$1)</f>
        <v>201.51</v>
      </c>
      <c r="I641">
        <f>ROUND(H641+(F641*'Slide Measurements'!$D$21),$O$1)</f>
        <v>201.51</v>
      </c>
      <c r="J641">
        <f>K640</f>
        <v>459.38000000000011</v>
      </c>
      <c r="K641">
        <f>J641+($I$1*'Slide Measurements'!$E$23-'Slide Measurements'!$E$23)</f>
        <v>461.23000000000013</v>
      </c>
      <c r="L641" s="5" t="str">
        <f>'Expanded Base Data'!$L634</f>
        <v/>
      </c>
      <c r="M641" s="5" t="str">
        <f>'Expanded Base Data'!$K634</f>
        <v/>
      </c>
      <c r="N641">
        <f t="shared" si="554"/>
        <v>0</v>
      </c>
      <c r="O641">
        <f t="shared" si="555"/>
        <v>1.85</v>
      </c>
      <c r="P641" s="5" t="e">
        <f t="shared" si="556"/>
        <v>#VALUE!</v>
      </c>
      <c r="Q641">
        <f>'Code List'!$C$63</f>
        <v>3</v>
      </c>
      <c r="R641">
        <f>F642+'Code List'!$G$63</f>
        <v>2</v>
      </c>
      <c r="S641" t="e">
        <f t="shared" si="557"/>
        <v>#VALUE!</v>
      </c>
      <c r="T641" t="e">
        <f t="shared" si="559"/>
        <v>#VALUE!</v>
      </c>
      <c r="U641" t="str">
        <f>IF(A641="YES",CONCATENATE(G641,"_",'Program Page'!$C$4,'Program Page'!$C$5,"_",D641,"_",E641),"")</f>
        <v/>
      </c>
      <c r="V641" t="str">
        <f t="shared" si="558"/>
        <v/>
      </c>
      <c r="W641" t="str">
        <f>IF(A641="YES",CONCATENATE("{",'Code List'!$B$4,'Code List'!$D$4,",",'Code List'!$B$5,'Code List'!$D$5,",",'Code List'!$B$6,"""",U641,"""",",",'Code List'!$B$7,'Code List'!$D$7,",",'Code List'!$B$8,'Code List'!$D$8,",",'Code List'!$B$9,'Code List'!$D$9,",",'Code List'!$B$10,'Code List'!$D$10,",",'Code List'!$B$11,"""",V641,"""",",",'Code List'!$B$12,"""",H641,"""",",",'Code List'!$B$13,"""",I641,"""",",",'Code List'!$B$14,"""",J641,"""",",",'Code List'!$B$15,"""",K641,"""",",",'Code List'!$B$16,"""",L641,"""",",",'Code List'!$B$17,"""",M641,"""",",",'Code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41" s="167" t="str">
        <f>IF(A641="YES",CONCATENATE("{",'Code List'!$B$31,"""",U641,"""",",",'Code List'!$B$32,'Code List'!$D$32,",",'Code List'!$B$33,'Code List'!$D$33,",",'Code List'!$B$34,'Code List'!$D$34,",",'Code List'!$B$35,'Code List'!$D$35,",",'Code List'!$B$36,'Code List'!$D$36,",",'Code List'!$B$37,'Code List'!$D$37,",",'Code List'!$B$38,"""",H641,"""",",",'Code List'!$B$39,"""",I641,"""",",",'Code List'!$B$40,"""",J641,"""",",",'Code List'!$B$41,"""",K641,"""",",",'Code List'!$B$42,"""",L641,"""",",",'Code List'!$B$43,"""",M641,"""",",",'Code List'!$B$44,"""",N641,"""",",",'Code List'!$B$45,"""",O641,"""",",",'Code List'!$B$46,"""",P641,"""",",",'Code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List'!$B$59,"""",T641,"""","}"),"")</f>
        <v/>
      </c>
    </row>
    <row r="642" spans="1:25" x14ac:dyDescent="0.25">
      <c r="A642" t="str">
        <f>IF(AND($A636="YES",E636=$D$1,F642&gt;0),"YES","NO")</f>
        <v>NO</v>
      </c>
      <c r="C642" t="s">
        <v>5</v>
      </c>
      <c r="D642" s="12" t="str">
        <f t="shared" si="553"/>
        <v>12C</v>
      </c>
      <c r="E642" t="s">
        <v>196</v>
      </c>
      <c r="F642">
        <f>'Expanded Base Data'!J634</f>
        <v>0</v>
      </c>
      <c r="G642" s="171">
        <f>F636</f>
        <v>0</v>
      </c>
      <c r="H642">
        <f>ROUND(B636+'Slide Measurements'!$D$17,$O$1)</f>
        <v>201.51</v>
      </c>
      <c r="I642">
        <f>ROUND(H642+(F642*'Slide Measurements'!$D$21),$O$1)</f>
        <v>201.51</v>
      </c>
      <c r="J642">
        <f>K641</f>
        <v>461.23000000000013</v>
      </c>
      <c r="K642">
        <f>J642+($I$1*'Slide Measurements'!$E$23-'Slide Measurements'!$E$23)</f>
        <v>463.08000000000015</v>
      </c>
      <c r="L642" s="5" t="str">
        <f>'Expanded Base Data'!$L634</f>
        <v/>
      </c>
      <c r="M642" s="5" t="str">
        <f>'Expanded Base Data'!$K634</f>
        <v/>
      </c>
      <c r="N642">
        <f t="shared" si="554"/>
        <v>0</v>
      </c>
      <c r="O642">
        <f t="shared" si="555"/>
        <v>1.85</v>
      </c>
      <c r="P642" s="5" t="e">
        <f t="shared" si="556"/>
        <v>#VALUE!</v>
      </c>
      <c r="Q642">
        <f>'Code List'!$C$63</f>
        <v>3</v>
      </c>
      <c r="R642">
        <f>F643+'Code List'!$G$63</f>
        <v>2</v>
      </c>
      <c r="S642" t="e">
        <f t="shared" si="557"/>
        <v>#VALUE!</v>
      </c>
      <c r="T642" t="e">
        <f t="shared" si="559"/>
        <v>#VALUE!</v>
      </c>
      <c r="U642" t="str">
        <f>IF(A642="YES",CONCATENATE(G642,"_",'Program Page'!$C$4,'Program Page'!$C$5,"_",D642,"_",E642),"")</f>
        <v/>
      </c>
      <c r="V642" t="str">
        <f t="shared" si="558"/>
        <v/>
      </c>
      <c r="W642" t="str">
        <f>IF(A642="YES",CONCATENATE("{",'Code List'!$B$4,'Code List'!$D$4,",",'Code List'!$B$5,'Code List'!$D$5,",",'Code List'!$B$6,"""",U642,"""",",",'Code List'!$B$7,'Code List'!$D$7,",",'Code List'!$B$8,'Code List'!$D$8,",",'Code List'!$B$9,'Code List'!$D$9,",",'Code List'!$B$10,'Code List'!$D$10,",",'Code List'!$B$11,"""",V642,"""",",",'Code List'!$B$12,"""",H642,"""",",",'Code List'!$B$13,"""",I642,"""",",",'Code List'!$B$14,"""",J642,"""",",",'Code List'!$B$15,"""",K642,"""",",",'Code List'!$B$16,"""",L642,"""",",",'Code List'!$B$17,"""",M642,"""",",",'Code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42" s="167" t="str">
        <f>IF(A642="YES",CONCATENATE("{",'Code List'!$B$31,"""",U642,"""",",",'Code List'!$B$32,'Code List'!$D$32,",",'Code List'!$B$33,'Code List'!$D$33,",",'Code List'!$B$34,'Code List'!$D$34,",",'Code List'!$B$35,'Code List'!$D$35,",",'Code List'!$B$36,'Code List'!$D$36,",",'Code List'!$B$37,'Code List'!$D$37,",",'Code List'!$B$38,"""",H642,"""",",",'Code List'!$B$39,"""",I642,"""",",",'Code List'!$B$40,"""",J642,"""",",",'Code List'!$B$41,"""",K642,"""",",",'Code List'!$B$42,"""",L642,"""",",",'Code List'!$B$43,"""",M642,"""",",",'Code List'!$B$44,"""",N642,"""",",",'Code List'!$B$45,"""",O642,"""",",",'Code List'!$B$46,"""",P642,"""",",",'Code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List'!$B$59,"""",T642,"""","}"),"")</f>
        <v/>
      </c>
    </row>
    <row r="643" spans="1:25" x14ac:dyDescent="0.25">
      <c r="A643" s="162" t="str">
        <f>IF(AND($A636="YES",E636=$E$1),"YES","NO")</f>
        <v>NO</v>
      </c>
      <c r="C643" t="s">
        <v>259</v>
      </c>
      <c r="D643" s="12" t="str">
        <f>D642</f>
        <v>12C</v>
      </c>
      <c r="E643" t="s">
        <v>259</v>
      </c>
      <c r="G643" s="171">
        <f>F636</f>
        <v>0</v>
      </c>
      <c r="H643">
        <f>ROUND(B636,$O$1)</f>
        <v>176.11</v>
      </c>
      <c r="I643">
        <f>ROUND(B636+'Slide Measurements'!$D$1,$O$1)</f>
        <v>252.56</v>
      </c>
      <c r="J643">
        <f>C636</f>
        <v>449.53000000000003</v>
      </c>
      <c r="K643">
        <f>C636+'Slide Measurements'!$D$2</f>
        <v>476.93</v>
      </c>
      <c r="L643" s="5" t="str">
        <f>'Expanded Base Data'!$L634</f>
        <v/>
      </c>
      <c r="M643" s="5" t="str">
        <f>'Expanded Base Data'!$K634</f>
        <v/>
      </c>
      <c r="N643">
        <f t="shared" si="554"/>
        <v>76.45</v>
      </c>
      <c r="O643">
        <f t="shared" si="555"/>
        <v>27.4</v>
      </c>
      <c r="P643" s="5" t="e">
        <f>ROUND((L643-M643),$O$1)</f>
        <v>#VALUE!</v>
      </c>
      <c r="Q643">
        <f>'Code List'!$C$70</f>
        <v>11</v>
      </c>
      <c r="R643">
        <f>'Code List'!$D$70</f>
        <v>19</v>
      </c>
      <c r="S643" t="e">
        <f>IF(P643=0,"1",ROUND((P643/$K$1)+$M$1,0))</f>
        <v>#VALUE!</v>
      </c>
      <c r="T643" t="e">
        <f>Q643*R643*S643</f>
        <v>#VALUE!</v>
      </c>
      <c r="U643" t="str">
        <f>IF(A643="YES",CONCATENATE(G643,"_",'Program Page'!$C$4,'Program Page'!$C$5,"_",D643,"_",E643),"")</f>
        <v/>
      </c>
      <c r="V643" t="str">
        <f>IF(U643="","",CONCATENATE(U643,"_"))</f>
        <v/>
      </c>
      <c r="W643" t="str">
        <f>IF(A643="YES",CONCATENATE("{",'Code List'!$B$4,'Code List'!$D$4,",",'Code List'!$B$5,'Code List'!$D$5,",",'Code List'!$B$6,"""",U643,"""",",",'Code List'!$B$7,'Code List'!$D$7,",",'Code List'!$B$8,'Code List'!$D$8,",",'Code List'!$B$9,'Code List'!$D$9,",",'Code List'!$B$10,'Code List'!$D$10,",",'Code List'!$B$11,"""",V643,"""",",",'Code List'!$B$12,"""",H643,"""",",",'Code List'!$B$13,"""",I643,"""",",",'Code List'!$B$14,"""",J643,"""",",",'Code List'!$B$15,"""",K643,"""",",",'Code List'!$B$16,"""",L643,"""",",",'Code List'!$B$17,"""",M643,"""",",",'Code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643" s="167" t="str">
        <f>IF(A643="YES",CONCATENATE("{",'Code List'!$B$31,"""",U643,"""",",",'Code List'!$B$32,'Code List'!$D$32,",",'Code List'!$B$33,'Code List'!$D$33,",",'Code List'!$B$34,'Code List'!$D$34,",",'Code List'!$B$35,'Code List'!$D$35,",",'Code List'!$B$36,'Code List'!$D$36,",",'Code List'!$B$37,'Code List'!$D$37,",",'Code List'!$B$38,"""",H643,"""",",",'Code List'!$B$39,"""",I643,"""",",",'Code List'!$B$40,"""",J643,"""",",",'Code List'!$B$41,"""",K643,"""",",",'Code List'!$B$42,"""",L643,"""",",",'Code List'!$B$43,"""",M643,"""",",",'Code List'!$B$44,"""",N643,"""",",",'Code List'!$B$45,"""",O643,"""",",",'Code List'!$B$46,"""",P643,"""",",",'Code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List'!$B$59,"""",T643,"""","}"),"")</f>
        <v/>
      </c>
    </row>
    <row r="644" spans="1:25" ht="18.75" x14ac:dyDescent="0.3">
      <c r="A644" s="35" t="str">
        <f>IF(OR(E644=$C$1,E644=$D$1,E644=$E$1),"YES","NO")</f>
        <v>NO</v>
      </c>
      <c r="B644" s="35">
        <f>'Expanded Base Data'!D642</f>
        <v>263.11</v>
      </c>
      <c r="C644" s="35">
        <f>'Expanded Base Data'!E642</f>
        <v>449.53000000000003</v>
      </c>
      <c r="D644" s="36" t="str">
        <f>'Expanded Base Data'!B642</f>
        <v>12D</v>
      </c>
      <c r="E644" s="35">
        <f>'Expanded Base Data'!C642</f>
        <v>0</v>
      </c>
      <c r="F644" s="35">
        <f>'Expanded Base Data'!M642</f>
        <v>0</v>
      </c>
      <c r="G644" s="170">
        <f>F644</f>
        <v>0</v>
      </c>
      <c r="Y644" s="167" t="str">
        <f>""</f>
        <v/>
      </c>
    </row>
    <row r="645" spans="1:25" x14ac:dyDescent="0.25">
      <c r="A645" t="str">
        <f>IF(AND($A644="YES",E644=$C$1),"YES","NO")</f>
        <v>NO</v>
      </c>
      <c r="C645" t="s">
        <v>6</v>
      </c>
      <c r="D645" s="12" t="str">
        <f>D644</f>
        <v>12D</v>
      </c>
      <c r="E645" t="s">
        <v>6</v>
      </c>
      <c r="F645" t="s">
        <v>198</v>
      </c>
      <c r="G645" s="171">
        <f>F644</f>
        <v>0</v>
      </c>
      <c r="H645">
        <f>IF('Expanded Base Data'!N642="",ROUND(B644+'Slide Measurements'!$D$11,$O$1),B644+'Expanded Base Data'!N642)</f>
        <v>296.11</v>
      </c>
      <c r="I645">
        <f>IF('Expanded Base Data'!O642="",ROUND(B644+'Slide Measurements'!$D$12,$O$1),B644+'Expanded Base Data'!O642)</f>
        <v>304.70999999999998</v>
      </c>
      <c r="J645">
        <f>IF('Expanded Base Data'!P642="",C644+'Slide Measurements'!$E$13,C644+'Expanded Base Data'!P642)</f>
        <v>458.23</v>
      </c>
      <c r="K645">
        <f>IF('Expanded Base Data'!Q642="",C644+'Slide Measurements'!$E$14,C644+'Expanded Base Data'!Q642)</f>
        <v>466.83000000000004</v>
      </c>
      <c r="L645" s="5" t="str">
        <f>'Expanded Base Data'!$L642</f>
        <v/>
      </c>
      <c r="M645" s="5" t="str">
        <f>'Expanded Base Data'!$K642</f>
        <v/>
      </c>
      <c r="N645">
        <f>ROUND((I645-H645),$O$1)</f>
        <v>8.6</v>
      </c>
      <c r="O645">
        <f>ROUND((K645-J645),$O$1)</f>
        <v>8.6</v>
      </c>
      <c r="P645" s="5" t="e">
        <f>ROUND((L645-M645),$O$1)</f>
        <v>#VALUE!</v>
      </c>
      <c r="Q645">
        <f>'Code List'!$C$62</f>
        <v>5</v>
      </c>
      <c r="R645">
        <f>F646+'Code List'!$G$63</f>
        <v>2</v>
      </c>
      <c r="S645" t="e">
        <f>IF(P645=0,"1",ROUND((P645/$K$1)+$M$1,0))</f>
        <v>#VALUE!</v>
      </c>
      <c r="T645" t="e">
        <f>Q645*R645*S645</f>
        <v>#VALUE!</v>
      </c>
      <c r="U645" t="str">
        <f>IF(A645="YES",CONCATENATE(G645,"_",'Program Page'!$C$4,'Program Page'!$C$5,"_",D645,"_",E645),"")</f>
        <v/>
      </c>
      <c r="V645" t="str">
        <f>IF(U645="","",CONCATENATE(U645,"_"))</f>
        <v/>
      </c>
      <c r="W645" t="str">
        <f>IF(A645="YES",CONCATENATE("{",'Code List'!$B$4,'Code List'!$D$4,",",'Code List'!$B$5,'Code List'!$D$5,",",'Code List'!$B$6,"""",U645,"""",",",'Code List'!$B$7,'Code List'!$D$7,",",'Code List'!$B$8,'Code List'!$D$8,",",'Code List'!$B$9,'Code List'!$D$9,",",'Code List'!$B$10,'Code List'!$D$10,",",'Code List'!$B$11,"""",V645,"""",",",'Code List'!$B$12,"""",H645,"""",",",'Code List'!$B$13,"""",I645,"""",",",'Code List'!$B$14,"""",J645,"""",",",'Code List'!$B$15,"""",K645,"""",",",'Code List'!$B$16,"""",L645,"""",",",'Code List'!$B$17,"""",M645,"""",",",'Code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45" s="167" t="str">
        <f>IF(A645="YES",CONCATENATE("{",'Code List'!$B$31,"""",U645,"""",",",'Code List'!$B$32,'Code List'!$D$32,",",'Code List'!$B$33,'Code List'!$D$33,",",'Code List'!$B$34,'Code List'!$D$34,",",'Code List'!$B$35,'Code List'!$D$35,",",'Code List'!$B$36,'Code List'!$D$36,",",'Code List'!$B$37,'Code List'!$D$37,",",'Code List'!$B$38,"""",H645,"""",",",'Code List'!$B$39,"""",I645,"""",",",'Code List'!$B$40,"""",J645,"""",",",'Code List'!$B$41,"""",K645,"""",",",'Code List'!$B$42,"""",L645,"""",",",'Code List'!$B$43,"""",M645,"""",",",'Code List'!$B$44,"""",N645,"""",",",'Code List'!$B$45,"""",O645,"""",",",'Code List'!$B$46,"""",P645,"""",",",'Code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List'!$B$59,"""",T645,"""","}"),"")</f>
        <v/>
      </c>
    </row>
    <row r="646" spans="1:25" x14ac:dyDescent="0.25">
      <c r="A646" t="str">
        <f>IF(AND($A644="YES",E644=$D$1,F646&gt;0),"YES","NO")</f>
        <v>NO</v>
      </c>
      <c r="C646" t="s">
        <v>5</v>
      </c>
      <c r="D646" s="12" t="str">
        <f t="shared" ref="D646:D650" si="560">D645</f>
        <v>12D</v>
      </c>
      <c r="E646" t="s">
        <v>188</v>
      </c>
      <c r="F646">
        <f>'Expanded Base Data'!F642</f>
        <v>0</v>
      </c>
      <c r="G646" s="171">
        <f>F644</f>
        <v>0</v>
      </c>
      <c r="H646">
        <f>ROUND(B644+'Slide Measurements'!$D$17,$O$1)</f>
        <v>288.51</v>
      </c>
      <c r="I646">
        <f>ROUND(H646+(F646*'Slide Measurements'!$D$21),$O$1)</f>
        <v>288.51</v>
      </c>
      <c r="J646">
        <f>C644+'Slide Measurements'!$E$17</f>
        <v>453.83000000000004</v>
      </c>
      <c r="K646">
        <f>J646+($I$1*'Slide Measurements'!$E$23-'Slide Measurements'!$E$23)</f>
        <v>455.68000000000006</v>
      </c>
      <c r="L646" s="5" t="str">
        <f>'Expanded Base Data'!$L642</f>
        <v/>
      </c>
      <c r="M646" s="5" t="str">
        <f>'Expanded Base Data'!$K642</f>
        <v/>
      </c>
      <c r="N646">
        <f t="shared" ref="N646:N651" si="561">ROUND((I646-H646),$O$1)</f>
        <v>0</v>
      </c>
      <c r="O646">
        <f t="shared" ref="O646:O651" si="562">ROUND((K646-J646),$O$1)</f>
        <v>1.85</v>
      </c>
      <c r="P646" s="5" t="e">
        <f t="shared" ref="P646:P650" si="563">ROUND((L646-M646),$O$1)</f>
        <v>#VALUE!</v>
      </c>
      <c r="Q646">
        <f>'Code List'!$C$63</f>
        <v>3</v>
      </c>
      <c r="R646">
        <f>F647+'Code List'!$G$63</f>
        <v>2</v>
      </c>
      <c r="S646" t="e">
        <f t="shared" ref="S646:S650" si="564">IF(P646=0,"1",ROUND((P646/$K$1)+$M$1,0))</f>
        <v>#VALUE!</v>
      </c>
      <c r="T646" t="e">
        <f>Q646*R646*S646</f>
        <v>#VALUE!</v>
      </c>
      <c r="U646" t="str">
        <f>IF(A646="YES",CONCATENATE(G646,"_",'Program Page'!$C$4,'Program Page'!$C$5,"_",D646,"_",E646),"")</f>
        <v/>
      </c>
      <c r="V646" t="str">
        <f t="shared" ref="V646:V650" si="565">IF(U646="","",CONCATENATE(U646,"_"))</f>
        <v/>
      </c>
      <c r="W646" t="str">
        <f>IF(A646="YES",CONCATENATE("{",'Code List'!$B$4,'Code List'!$D$4,",",'Code List'!$B$5,'Code List'!$D$5,",",'Code List'!$B$6,"""",U646,"""",",",'Code List'!$B$7,'Code List'!$D$7,",",'Code List'!$B$8,'Code List'!$D$8,",",'Code List'!$B$9,'Code List'!$D$9,",",'Code List'!$B$10,'Code List'!$D$10,",",'Code List'!$B$11,"""",V646,"""",",",'Code List'!$B$12,"""",H646,"""",",",'Code List'!$B$13,"""",I646,"""",",",'Code List'!$B$14,"""",J646,"""",",",'Code List'!$B$15,"""",K646,"""",",",'Code List'!$B$16,"""",L646,"""",",",'Code List'!$B$17,"""",M646,"""",",",'Code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46" s="167" t="str">
        <f>IF(A646="YES",CONCATENATE("{",'Code List'!$B$31,"""",U646,"""",",",'Code List'!$B$32,'Code List'!$D$32,",",'Code List'!$B$33,'Code List'!$D$33,",",'Code List'!$B$34,'Code List'!$D$34,",",'Code List'!$B$35,'Code List'!$D$35,",",'Code List'!$B$36,'Code List'!$D$36,",",'Code List'!$B$37,'Code List'!$D$37,",",'Code List'!$B$38,"""",H646,"""",",",'Code List'!$B$39,"""",I646,"""",",",'Code List'!$B$40,"""",J646,"""",",",'Code List'!$B$41,"""",K646,"""",",",'Code List'!$B$42,"""",L646,"""",",",'Code List'!$B$43,"""",M646,"""",",",'Code List'!$B$44,"""",N646,"""",",",'Code List'!$B$45,"""",O646,"""",",",'Code List'!$B$46,"""",P646,"""",",",'Code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List'!$B$59,"""",T646,"""","}"),"")</f>
        <v/>
      </c>
    </row>
    <row r="647" spans="1:25" x14ac:dyDescent="0.25">
      <c r="A647" t="str">
        <f>IF(AND($A644="YES",E644=$D$1,F647&gt;0),"YES","NO")</f>
        <v>NO</v>
      </c>
      <c r="C647" t="s">
        <v>5</v>
      </c>
      <c r="D647" s="12" t="str">
        <f t="shared" si="560"/>
        <v>12D</v>
      </c>
      <c r="E647" t="s">
        <v>189</v>
      </c>
      <c r="F647">
        <f>'Expanded Base Data'!G642</f>
        <v>0</v>
      </c>
      <c r="G647" s="171">
        <f>F644</f>
        <v>0</v>
      </c>
      <c r="H647">
        <f>ROUND(B644+'Slide Measurements'!$D$17,$O$1)</f>
        <v>288.51</v>
      </c>
      <c r="I647">
        <f>ROUND(H647+(F647*'Slide Measurements'!$D$21),$O$1)</f>
        <v>288.51</v>
      </c>
      <c r="J647">
        <f>K646</f>
        <v>455.68000000000006</v>
      </c>
      <c r="K647">
        <f>J647+($I$1*'Slide Measurements'!$E$23-'Slide Measurements'!$E$23)</f>
        <v>457.53000000000009</v>
      </c>
      <c r="L647" s="5" t="str">
        <f>'Expanded Base Data'!$L642</f>
        <v/>
      </c>
      <c r="M647" s="5" t="str">
        <f>'Expanded Base Data'!$K642</f>
        <v/>
      </c>
      <c r="N647">
        <f t="shared" si="561"/>
        <v>0</v>
      </c>
      <c r="O647">
        <f t="shared" si="562"/>
        <v>1.85</v>
      </c>
      <c r="P647" s="5" t="e">
        <f t="shared" si="563"/>
        <v>#VALUE!</v>
      </c>
      <c r="Q647">
        <f>'Code List'!$C$63</f>
        <v>3</v>
      </c>
      <c r="R647">
        <f>F648+'Code List'!$G$63</f>
        <v>2</v>
      </c>
      <c r="S647" t="e">
        <f t="shared" si="564"/>
        <v>#VALUE!</v>
      </c>
      <c r="T647" t="e">
        <f t="shared" ref="T647:T650" si="566">Q647*R647*S647</f>
        <v>#VALUE!</v>
      </c>
      <c r="U647" t="str">
        <f>IF(A647="YES",CONCATENATE(G647,"_",'Program Page'!$C$4,'Program Page'!$C$5,"_",D647,"_",E647),"")</f>
        <v/>
      </c>
      <c r="V647" t="str">
        <f t="shared" si="565"/>
        <v/>
      </c>
      <c r="W647" t="str">
        <f>IF(A647="YES",CONCATENATE("{",'Code List'!$B$4,'Code List'!$D$4,",",'Code List'!$B$5,'Code List'!$D$5,",",'Code List'!$B$6,"""",U647,"""",",",'Code List'!$B$7,'Code List'!$D$7,",",'Code List'!$B$8,'Code List'!$D$8,",",'Code List'!$B$9,'Code List'!$D$9,",",'Code List'!$B$10,'Code List'!$D$10,",",'Code List'!$B$11,"""",V647,"""",",",'Code List'!$B$12,"""",H647,"""",",",'Code List'!$B$13,"""",I647,"""",",",'Code List'!$B$14,"""",J647,"""",",",'Code List'!$B$15,"""",K647,"""",",",'Code List'!$B$16,"""",L647,"""",",",'Code List'!$B$17,"""",M647,"""",",",'Code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47" s="167" t="str">
        <f>IF(A647="YES",CONCATENATE("{",'Code List'!$B$31,"""",U647,"""",",",'Code List'!$B$32,'Code List'!$D$32,",",'Code List'!$B$33,'Code List'!$D$33,",",'Code List'!$B$34,'Code List'!$D$34,",",'Code List'!$B$35,'Code List'!$D$35,",",'Code List'!$B$36,'Code List'!$D$36,",",'Code List'!$B$37,'Code List'!$D$37,",",'Code List'!$B$38,"""",H647,"""",",",'Code List'!$B$39,"""",I647,"""",",",'Code List'!$B$40,"""",J647,"""",",",'Code List'!$B$41,"""",K647,"""",",",'Code List'!$B$42,"""",L647,"""",",",'Code List'!$B$43,"""",M647,"""",",",'Code List'!$B$44,"""",N647,"""",",",'Code List'!$B$45,"""",O647,"""",",",'Code List'!$B$46,"""",P647,"""",",",'Code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List'!$B$59,"""",T647,"""","}"),"")</f>
        <v/>
      </c>
    </row>
    <row r="648" spans="1:25" x14ac:dyDescent="0.25">
      <c r="A648" t="str">
        <f>IF(AND($A644="YES",E644=$D$1,F648&gt;0),"YES","NO")</f>
        <v>NO</v>
      </c>
      <c r="C648" t="s">
        <v>5</v>
      </c>
      <c r="D648" s="12" t="str">
        <f t="shared" si="560"/>
        <v>12D</v>
      </c>
      <c r="E648" t="s">
        <v>190</v>
      </c>
      <c r="F648">
        <f>'Expanded Base Data'!H642</f>
        <v>0</v>
      </c>
      <c r="G648" s="171">
        <f>F644</f>
        <v>0</v>
      </c>
      <c r="H648">
        <f>ROUND(B644+'Slide Measurements'!$D$17,$O$1)</f>
        <v>288.51</v>
      </c>
      <c r="I648">
        <f>ROUND(H648+(F648*'Slide Measurements'!$D$21),$O$1)</f>
        <v>288.51</v>
      </c>
      <c r="J648">
        <f>K647</f>
        <v>457.53000000000009</v>
      </c>
      <c r="K648">
        <f>J648+($I$1*'Slide Measurements'!$E$23-'Slide Measurements'!$E$23)</f>
        <v>459.38000000000011</v>
      </c>
      <c r="L648" s="5" t="str">
        <f>'Expanded Base Data'!$L642</f>
        <v/>
      </c>
      <c r="M648" s="5" t="str">
        <f>'Expanded Base Data'!$K642</f>
        <v/>
      </c>
      <c r="N648">
        <f t="shared" si="561"/>
        <v>0</v>
      </c>
      <c r="O648">
        <f t="shared" si="562"/>
        <v>1.85</v>
      </c>
      <c r="P648" s="5" t="e">
        <f t="shared" si="563"/>
        <v>#VALUE!</v>
      </c>
      <c r="Q648">
        <f>'Code List'!$C$63</f>
        <v>3</v>
      </c>
      <c r="R648">
        <f>F649+'Code List'!$G$63</f>
        <v>2</v>
      </c>
      <c r="S648" t="e">
        <f t="shared" si="564"/>
        <v>#VALUE!</v>
      </c>
      <c r="T648" t="e">
        <f t="shared" si="566"/>
        <v>#VALUE!</v>
      </c>
      <c r="U648" t="str">
        <f>IF(A648="YES",CONCATENATE(G648,"_",'Program Page'!$C$4,'Program Page'!$C$5,"_",D648,"_",E648),"")</f>
        <v/>
      </c>
      <c r="V648" t="str">
        <f t="shared" si="565"/>
        <v/>
      </c>
      <c r="W648" t="str">
        <f>IF(A648="YES",CONCATENATE("{",'Code List'!$B$4,'Code List'!$D$4,",",'Code List'!$B$5,'Code List'!$D$5,",",'Code List'!$B$6,"""",U648,"""",",",'Code List'!$B$7,'Code List'!$D$7,",",'Code List'!$B$8,'Code List'!$D$8,",",'Code List'!$B$9,'Code List'!$D$9,",",'Code List'!$B$10,'Code List'!$D$10,",",'Code List'!$B$11,"""",V648,"""",",",'Code List'!$B$12,"""",H648,"""",",",'Code List'!$B$13,"""",I648,"""",",",'Code List'!$B$14,"""",J648,"""",",",'Code List'!$B$15,"""",K648,"""",",",'Code List'!$B$16,"""",L648,"""",",",'Code List'!$B$17,"""",M648,"""",",",'Code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48" s="167" t="str">
        <f>IF(A648="YES",CONCATENATE("{",'Code List'!$B$31,"""",U648,"""",",",'Code List'!$B$32,'Code List'!$D$32,",",'Code List'!$B$33,'Code List'!$D$33,",",'Code List'!$B$34,'Code List'!$D$34,",",'Code List'!$B$35,'Code List'!$D$35,",",'Code List'!$B$36,'Code List'!$D$36,",",'Code List'!$B$37,'Code List'!$D$37,",",'Code List'!$B$38,"""",H648,"""",",",'Code List'!$B$39,"""",I648,"""",",",'Code List'!$B$40,"""",J648,"""",",",'Code List'!$B$41,"""",K648,"""",",",'Code List'!$B$42,"""",L648,"""",",",'Code List'!$B$43,"""",M648,"""",",",'Code List'!$B$44,"""",N648,"""",",",'Code List'!$B$45,"""",O648,"""",",",'Code List'!$B$46,"""",P648,"""",",",'Code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List'!$B$59,"""",T648,"""","}"),"")</f>
        <v/>
      </c>
    </row>
    <row r="649" spans="1:25" x14ac:dyDescent="0.25">
      <c r="A649" t="str">
        <f>IF(AND($A644="YES",E644=$D$1,F649&gt;0),"YES","NO")</f>
        <v>NO</v>
      </c>
      <c r="C649" t="s">
        <v>5</v>
      </c>
      <c r="D649" s="12" t="str">
        <f t="shared" si="560"/>
        <v>12D</v>
      </c>
      <c r="E649" t="s">
        <v>191</v>
      </c>
      <c r="F649">
        <f>'Expanded Base Data'!I642</f>
        <v>0</v>
      </c>
      <c r="G649" s="171">
        <f>F644</f>
        <v>0</v>
      </c>
      <c r="H649">
        <f>ROUND(B644+'Slide Measurements'!$D$17,$O$1)</f>
        <v>288.51</v>
      </c>
      <c r="I649">
        <f>ROUND(H649+(F649*'Slide Measurements'!$D$21),$O$1)</f>
        <v>288.51</v>
      </c>
      <c r="J649">
        <f>K648</f>
        <v>459.38000000000011</v>
      </c>
      <c r="K649">
        <f>J649+($I$1*'Slide Measurements'!$E$23-'Slide Measurements'!$E$23)</f>
        <v>461.23000000000013</v>
      </c>
      <c r="L649" s="5" t="str">
        <f>'Expanded Base Data'!$L642</f>
        <v/>
      </c>
      <c r="M649" s="5" t="str">
        <f>'Expanded Base Data'!$K642</f>
        <v/>
      </c>
      <c r="N649">
        <f t="shared" si="561"/>
        <v>0</v>
      </c>
      <c r="O649">
        <f t="shared" si="562"/>
        <v>1.85</v>
      </c>
      <c r="P649" s="5" t="e">
        <f t="shared" si="563"/>
        <v>#VALUE!</v>
      </c>
      <c r="Q649">
        <f>'Code List'!$C$63</f>
        <v>3</v>
      </c>
      <c r="R649">
        <f>F650+'Code List'!$G$63</f>
        <v>2</v>
      </c>
      <c r="S649" t="e">
        <f t="shared" si="564"/>
        <v>#VALUE!</v>
      </c>
      <c r="T649" t="e">
        <f t="shared" si="566"/>
        <v>#VALUE!</v>
      </c>
      <c r="U649" t="str">
        <f>IF(A649="YES",CONCATENATE(G649,"_",'Program Page'!$C$4,'Program Page'!$C$5,"_",D649,"_",E649),"")</f>
        <v/>
      </c>
      <c r="V649" t="str">
        <f t="shared" si="565"/>
        <v/>
      </c>
      <c r="W649" t="str">
        <f>IF(A649="YES",CONCATENATE("{",'Code List'!$B$4,'Code List'!$D$4,",",'Code List'!$B$5,'Code List'!$D$5,",",'Code List'!$B$6,"""",U649,"""",",",'Code List'!$B$7,'Code List'!$D$7,",",'Code List'!$B$8,'Code List'!$D$8,",",'Code List'!$B$9,'Code List'!$D$9,",",'Code List'!$B$10,'Code List'!$D$10,",",'Code List'!$B$11,"""",V649,"""",",",'Code List'!$B$12,"""",H649,"""",",",'Code List'!$B$13,"""",I649,"""",",",'Code List'!$B$14,"""",J649,"""",",",'Code List'!$B$15,"""",K649,"""",",",'Code List'!$B$16,"""",L649,"""",",",'Code List'!$B$17,"""",M649,"""",",",'Code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49" s="167" t="str">
        <f>IF(A649="YES",CONCATENATE("{",'Code List'!$B$31,"""",U649,"""",",",'Code List'!$B$32,'Code List'!$D$32,",",'Code List'!$B$33,'Code List'!$D$33,",",'Code List'!$B$34,'Code List'!$D$34,",",'Code List'!$B$35,'Code List'!$D$35,",",'Code List'!$B$36,'Code List'!$D$36,",",'Code List'!$B$37,'Code List'!$D$37,",",'Code List'!$B$38,"""",H649,"""",",",'Code List'!$B$39,"""",I649,"""",",",'Code List'!$B$40,"""",J649,"""",",",'Code List'!$B$41,"""",K649,"""",",",'Code List'!$B$42,"""",L649,"""",",",'Code List'!$B$43,"""",M649,"""",",",'Code List'!$B$44,"""",N649,"""",",",'Code List'!$B$45,"""",O649,"""",",",'Code List'!$B$46,"""",P649,"""",",",'Code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List'!$B$59,"""",T649,"""","}"),"")</f>
        <v/>
      </c>
    </row>
    <row r="650" spans="1:25" x14ac:dyDescent="0.25">
      <c r="A650" t="str">
        <f>IF(AND($A644="YES",E644=$D$1,F650&gt;0),"YES","NO")</f>
        <v>NO</v>
      </c>
      <c r="C650" t="s">
        <v>5</v>
      </c>
      <c r="D650" s="12" t="str">
        <f t="shared" si="560"/>
        <v>12D</v>
      </c>
      <c r="E650" t="s">
        <v>196</v>
      </c>
      <c r="F650">
        <f>'Expanded Base Data'!J642</f>
        <v>0</v>
      </c>
      <c r="G650" s="171">
        <f>F644</f>
        <v>0</v>
      </c>
      <c r="H650">
        <f>ROUND(B644+'Slide Measurements'!$D$17,$O$1)</f>
        <v>288.51</v>
      </c>
      <c r="I650">
        <f>ROUND(H650+(F650*'Slide Measurements'!$D$21),$O$1)</f>
        <v>288.51</v>
      </c>
      <c r="J650">
        <f>K649</f>
        <v>461.23000000000013</v>
      </c>
      <c r="K650">
        <f>J650+($I$1*'Slide Measurements'!$E$23-'Slide Measurements'!$E$23)</f>
        <v>463.08000000000015</v>
      </c>
      <c r="L650" s="5" t="str">
        <f>'Expanded Base Data'!$L642</f>
        <v/>
      </c>
      <c r="M650" s="5" t="str">
        <f>'Expanded Base Data'!$K642</f>
        <v/>
      </c>
      <c r="N650">
        <f t="shared" si="561"/>
        <v>0</v>
      </c>
      <c r="O650">
        <f t="shared" si="562"/>
        <v>1.85</v>
      </c>
      <c r="P650" s="5" t="e">
        <f t="shared" si="563"/>
        <v>#VALUE!</v>
      </c>
      <c r="Q650">
        <f>'Code List'!$C$63</f>
        <v>3</v>
      </c>
      <c r="R650">
        <f>F651+'Code List'!$G$63</f>
        <v>2</v>
      </c>
      <c r="S650" t="e">
        <f t="shared" si="564"/>
        <v>#VALUE!</v>
      </c>
      <c r="T650" t="e">
        <f t="shared" si="566"/>
        <v>#VALUE!</v>
      </c>
      <c r="U650" t="str">
        <f>IF(A650="YES",CONCATENATE(G650,"_",'Program Page'!$C$4,'Program Page'!$C$5,"_",D650,"_",E650),"")</f>
        <v/>
      </c>
      <c r="V650" t="str">
        <f t="shared" si="565"/>
        <v/>
      </c>
      <c r="W650" t="str">
        <f>IF(A650="YES",CONCATENATE("{",'Code List'!$B$4,'Code List'!$D$4,",",'Code List'!$B$5,'Code List'!$D$5,",",'Code List'!$B$6,"""",U650,"""",",",'Code List'!$B$7,'Code List'!$D$7,",",'Code List'!$B$8,'Code List'!$D$8,",",'Code List'!$B$9,'Code List'!$D$9,",",'Code List'!$B$10,'Code List'!$D$10,",",'Code List'!$B$11,"""",V650,"""",",",'Code List'!$B$12,"""",H650,"""",",",'Code List'!$B$13,"""",I650,"""",",",'Code List'!$B$14,"""",J650,"""",",",'Code List'!$B$15,"""",K650,"""",",",'Code List'!$B$16,"""",L650,"""",",",'Code List'!$B$17,"""",M650,"""",",",'Code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50" s="167" t="str">
        <f>IF(A650="YES",CONCATENATE("{",'Code List'!$B$31,"""",U650,"""",",",'Code List'!$B$32,'Code List'!$D$32,",",'Code List'!$B$33,'Code List'!$D$33,",",'Code List'!$B$34,'Code List'!$D$34,",",'Code List'!$B$35,'Code List'!$D$35,",",'Code List'!$B$36,'Code List'!$D$36,",",'Code List'!$B$37,'Code List'!$D$37,",",'Code List'!$B$38,"""",H650,"""",",",'Code List'!$B$39,"""",I650,"""",",",'Code List'!$B$40,"""",J650,"""",",",'Code List'!$B$41,"""",K650,"""",",",'Code List'!$B$42,"""",L650,"""",",",'Code List'!$B$43,"""",M650,"""",",",'Code List'!$B$44,"""",N650,"""",",",'Code List'!$B$45,"""",O650,"""",",",'Code List'!$B$46,"""",P650,"""",",",'Code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List'!$B$59,"""",T650,"""","}"),"")</f>
        <v/>
      </c>
    </row>
    <row r="651" spans="1:25" x14ac:dyDescent="0.25">
      <c r="A651" s="162" t="str">
        <f>IF(AND($A644="YES",E644=$E$1),"YES","NO")</f>
        <v>NO</v>
      </c>
      <c r="C651" t="s">
        <v>259</v>
      </c>
      <c r="D651" s="12" t="str">
        <f>D650</f>
        <v>12D</v>
      </c>
      <c r="E651" t="s">
        <v>259</v>
      </c>
      <c r="G651" s="171">
        <f>F644</f>
        <v>0</v>
      </c>
      <c r="H651">
        <f>ROUND(B644,$O$1)</f>
        <v>263.11</v>
      </c>
      <c r="I651">
        <f>ROUND(B644+'Slide Measurements'!$D$1,$O$1)</f>
        <v>339.56</v>
      </c>
      <c r="J651">
        <f>C644</f>
        <v>449.53000000000003</v>
      </c>
      <c r="K651">
        <f>C644+'Slide Measurements'!$D$2</f>
        <v>476.93</v>
      </c>
      <c r="L651" s="5" t="str">
        <f>'Expanded Base Data'!$L642</f>
        <v/>
      </c>
      <c r="M651" s="5" t="str">
        <f>'Expanded Base Data'!$K642</f>
        <v/>
      </c>
      <c r="N651">
        <f t="shared" si="561"/>
        <v>76.45</v>
      </c>
      <c r="O651">
        <f t="shared" si="562"/>
        <v>27.4</v>
      </c>
      <c r="P651" s="5" t="e">
        <f>ROUND((L651-M651),$O$1)</f>
        <v>#VALUE!</v>
      </c>
      <c r="Q651">
        <f>'Code List'!$C$70</f>
        <v>11</v>
      </c>
      <c r="R651">
        <f>'Code List'!$D$70</f>
        <v>19</v>
      </c>
      <c r="S651" t="e">
        <f>IF(P651=0,"1",ROUND((P651/$K$1)+$M$1,0))</f>
        <v>#VALUE!</v>
      </c>
      <c r="T651" t="e">
        <f>Q651*R651*S651</f>
        <v>#VALUE!</v>
      </c>
      <c r="U651" t="str">
        <f>IF(A651="YES",CONCATENATE(G651,"_",'Program Page'!$C$4,'Program Page'!$C$5,"_",D651,"_",E651),"")</f>
        <v/>
      </c>
      <c r="V651" t="str">
        <f>IF(U651="","",CONCATENATE(U651,"_"))</f>
        <v/>
      </c>
      <c r="W651" t="str">
        <f>IF(A651="YES",CONCATENATE("{",'Code List'!$B$4,'Code List'!$D$4,",",'Code List'!$B$5,'Code List'!$D$5,",",'Code List'!$B$6,"""",U651,"""",",",'Code List'!$B$7,'Code List'!$D$7,",",'Code List'!$B$8,'Code List'!$D$8,",",'Code List'!$B$9,'Code List'!$D$9,",",'Code List'!$B$10,'Code List'!$D$10,",",'Code List'!$B$11,"""",V651,"""",",",'Code List'!$B$12,"""",H651,"""",",",'Code List'!$B$13,"""",I651,"""",",",'Code List'!$B$14,"""",J651,"""",",",'Code List'!$B$15,"""",K651,"""",",",'Code List'!$B$16,"""",L651,"""",",",'Code List'!$B$17,"""",M651,"""",",",'Code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651" s="167" t="str">
        <f>IF(A651="YES",CONCATENATE("{",'Code List'!$B$31,"""",U651,"""",",",'Code List'!$B$32,'Code List'!$D$32,",",'Code List'!$B$33,'Code List'!$D$33,",",'Code List'!$B$34,'Code List'!$D$34,",",'Code List'!$B$35,'Code List'!$D$35,",",'Code List'!$B$36,'Code List'!$D$36,",",'Code List'!$B$37,'Code List'!$D$37,",",'Code List'!$B$38,"""",H651,"""",",",'Code List'!$B$39,"""",I651,"""",",",'Code List'!$B$40,"""",J651,"""",",",'Code List'!$B$41,"""",K651,"""",",",'Code List'!$B$42,"""",L651,"""",",",'Code List'!$B$43,"""",M651,"""",",",'Code List'!$B$44,"""",N651,"""",",",'Code List'!$B$45,"""",O651,"""",",",'Code List'!$B$46,"""",P651,"""",",",'Code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List'!$B$59,"""",T651,"""","}"),"")</f>
        <v/>
      </c>
    </row>
    <row r="652" spans="1:25" ht="18.75" x14ac:dyDescent="0.3">
      <c r="A652" s="35" t="str">
        <f>IF(OR(E652=$C$1,E652=$D$1,E652=$E$1),"YES","NO")</f>
        <v>NO</v>
      </c>
      <c r="B652" s="35">
        <f>'Expanded Base Data'!D650</f>
        <v>349.51</v>
      </c>
      <c r="C652" s="35">
        <f>'Expanded Base Data'!E650</f>
        <v>449.53000000000003</v>
      </c>
      <c r="D652" s="36" t="str">
        <f>'Expanded Base Data'!B650</f>
        <v>12E</v>
      </c>
      <c r="E652" s="35">
        <f>'Expanded Base Data'!C650</f>
        <v>0</v>
      </c>
      <c r="F652" s="35">
        <f>'Expanded Base Data'!M650</f>
        <v>0</v>
      </c>
      <c r="G652" s="170">
        <f>F652</f>
        <v>0</v>
      </c>
      <c r="Y652" s="167" t="str">
        <f>""</f>
        <v/>
      </c>
    </row>
    <row r="653" spans="1:25" x14ac:dyDescent="0.25">
      <c r="A653" t="str">
        <f>IF(AND($A652="YES",E652=$C$1),"YES","NO")</f>
        <v>NO</v>
      </c>
      <c r="C653" t="s">
        <v>6</v>
      </c>
      <c r="D653" s="12" t="str">
        <f>D652</f>
        <v>12E</v>
      </c>
      <c r="E653" t="s">
        <v>6</v>
      </c>
      <c r="F653" t="s">
        <v>198</v>
      </c>
      <c r="G653" s="171">
        <f>F652</f>
        <v>0</v>
      </c>
      <c r="H653">
        <f>IF('Expanded Base Data'!N650="",ROUND(B652+'Slide Measurements'!$D$11,$O$1),B652+'Expanded Base Data'!N650)</f>
        <v>382.51</v>
      </c>
      <c r="I653">
        <f>IF('Expanded Base Data'!O650="",ROUND(B652+'Slide Measurements'!$D$12,$O$1),B652+'Expanded Base Data'!O650)</f>
        <v>391.11</v>
      </c>
      <c r="J653">
        <f>IF('Expanded Base Data'!P650="",C652+'Slide Measurements'!$E$13,C652+'Expanded Base Data'!P650)</f>
        <v>458.23</v>
      </c>
      <c r="K653">
        <f>IF('Expanded Base Data'!Q650="",C652+'Slide Measurements'!$E$14,C652+'Expanded Base Data'!Q650)</f>
        <v>466.83000000000004</v>
      </c>
      <c r="L653" s="5" t="str">
        <f>'Expanded Base Data'!$L650</f>
        <v/>
      </c>
      <c r="M653" s="5" t="str">
        <f>'Expanded Base Data'!$K650</f>
        <v/>
      </c>
      <c r="N653">
        <f>ROUND((I653-H653),$O$1)</f>
        <v>8.6</v>
      </c>
      <c r="O653">
        <f>ROUND((K653-J653),$O$1)</f>
        <v>8.6</v>
      </c>
      <c r="P653" s="5" t="e">
        <f>ROUND((L653-M653),$O$1)</f>
        <v>#VALUE!</v>
      </c>
      <c r="Q653">
        <f>'Code List'!$C$62</f>
        <v>5</v>
      </c>
      <c r="R653">
        <f>F654+'Code List'!$G$63</f>
        <v>2</v>
      </c>
      <c r="S653" t="e">
        <f>IF(P653=0,"1",ROUND((P653/$K$1)+$M$1,0))</f>
        <v>#VALUE!</v>
      </c>
      <c r="T653" t="e">
        <f>Q653*R653*S653</f>
        <v>#VALUE!</v>
      </c>
      <c r="U653" t="str">
        <f>IF(A653="YES",CONCATENATE(G653,"_",'Program Page'!$C$4,'Program Page'!$C$5,"_",D653,"_",E653),"")</f>
        <v/>
      </c>
      <c r="V653" t="str">
        <f>IF(U653="","",CONCATENATE(U653,"_"))</f>
        <v/>
      </c>
      <c r="W653" t="str">
        <f>IF(A653="YES",CONCATENATE("{",'Code List'!$B$4,'Code List'!$D$4,",",'Code List'!$B$5,'Code List'!$D$5,",",'Code List'!$B$6,"""",U653,"""",",",'Code List'!$B$7,'Code List'!$D$7,",",'Code List'!$B$8,'Code List'!$D$8,",",'Code List'!$B$9,'Code List'!$D$9,",",'Code List'!$B$10,'Code List'!$D$10,",",'Code List'!$B$11,"""",V653,"""",",",'Code List'!$B$12,"""",H653,"""",",",'Code List'!$B$13,"""",I653,"""",",",'Code List'!$B$14,"""",J653,"""",",",'Code List'!$B$15,"""",K653,"""",",",'Code List'!$B$16,"""",L653,"""",",",'Code List'!$B$17,"""",M653,"""",",",'Code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53" s="167" t="str">
        <f>IF(A653="YES",CONCATENATE("{",'Code List'!$B$31,"""",U653,"""",",",'Code List'!$B$32,'Code List'!$D$32,",",'Code List'!$B$33,'Code List'!$D$33,",",'Code List'!$B$34,'Code List'!$D$34,",",'Code List'!$B$35,'Code List'!$D$35,",",'Code List'!$B$36,'Code List'!$D$36,",",'Code List'!$B$37,'Code List'!$D$37,",",'Code List'!$B$38,"""",H653,"""",",",'Code List'!$B$39,"""",I653,"""",",",'Code List'!$B$40,"""",J653,"""",",",'Code List'!$B$41,"""",K653,"""",",",'Code List'!$B$42,"""",L653,"""",",",'Code List'!$B$43,"""",M653,"""",",",'Code List'!$B$44,"""",N653,"""",",",'Code List'!$B$45,"""",O653,"""",",",'Code List'!$B$46,"""",P653,"""",",",'Code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List'!$B$59,"""",T653,"""","}"),"")</f>
        <v/>
      </c>
    </row>
    <row r="654" spans="1:25" x14ac:dyDescent="0.25">
      <c r="A654" t="str">
        <f>IF(AND($A652="YES",E652=$D$1,F654&gt;0),"YES","NO")</f>
        <v>NO</v>
      </c>
      <c r="C654" t="s">
        <v>5</v>
      </c>
      <c r="D654" s="12" t="str">
        <f t="shared" ref="D654:D658" si="567">D653</f>
        <v>12E</v>
      </c>
      <c r="E654" t="s">
        <v>188</v>
      </c>
      <c r="F654">
        <f>'Expanded Base Data'!F650</f>
        <v>0</v>
      </c>
      <c r="G654" s="171">
        <f>F652</f>
        <v>0</v>
      </c>
      <c r="H654">
        <f>ROUND(B652+'Slide Measurements'!$D$17,$O$1)</f>
        <v>374.91</v>
      </c>
      <c r="I654">
        <f>ROUND(H654+(F654*'Slide Measurements'!$D$21),$O$1)</f>
        <v>374.91</v>
      </c>
      <c r="J654">
        <f>C652+'Slide Measurements'!$E$17</f>
        <v>453.83000000000004</v>
      </c>
      <c r="K654">
        <f>J654+($I$1*'Slide Measurements'!$E$23-'Slide Measurements'!$E$23)</f>
        <v>455.68000000000006</v>
      </c>
      <c r="L654" s="5" t="str">
        <f>'Expanded Base Data'!$L650</f>
        <v/>
      </c>
      <c r="M654" s="5" t="str">
        <f>'Expanded Base Data'!$K650</f>
        <v/>
      </c>
      <c r="N654">
        <f t="shared" ref="N654:N659" si="568">ROUND((I654-H654),$O$1)</f>
        <v>0</v>
      </c>
      <c r="O654">
        <f t="shared" ref="O654:O659" si="569">ROUND((K654-J654),$O$1)</f>
        <v>1.85</v>
      </c>
      <c r="P654" s="5" t="e">
        <f t="shared" ref="P654:P658" si="570">ROUND((L654-M654),$O$1)</f>
        <v>#VALUE!</v>
      </c>
      <c r="Q654">
        <f>'Code List'!$C$63</f>
        <v>3</v>
      </c>
      <c r="R654">
        <f>F655+'Code List'!$G$63</f>
        <v>2</v>
      </c>
      <c r="S654" t="e">
        <f t="shared" ref="S654:S658" si="571">IF(P654=0,"1",ROUND((P654/$K$1)+$M$1,0))</f>
        <v>#VALUE!</v>
      </c>
      <c r="T654" t="e">
        <f>Q654*R654*S654</f>
        <v>#VALUE!</v>
      </c>
      <c r="U654" t="str">
        <f>IF(A654="YES",CONCATENATE(G654,"_",'Program Page'!$C$4,'Program Page'!$C$5,"_",D654,"_",E654),"")</f>
        <v/>
      </c>
      <c r="V654" t="str">
        <f t="shared" ref="V654:V658" si="572">IF(U654="","",CONCATENATE(U654,"_"))</f>
        <v/>
      </c>
      <c r="W654" t="str">
        <f>IF(A654="YES",CONCATENATE("{",'Code List'!$B$4,'Code List'!$D$4,",",'Code List'!$B$5,'Code List'!$D$5,",",'Code List'!$B$6,"""",U654,"""",",",'Code List'!$B$7,'Code List'!$D$7,",",'Code List'!$B$8,'Code List'!$D$8,",",'Code List'!$B$9,'Code List'!$D$9,",",'Code List'!$B$10,'Code List'!$D$10,",",'Code List'!$B$11,"""",V654,"""",",",'Code List'!$B$12,"""",H654,"""",",",'Code List'!$B$13,"""",I654,"""",",",'Code List'!$B$14,"""",J654,"""",",",'Code List'!$B$15,"""",K654,"""",",",'Code List'!$B$16,"""",L654,"""",",",'Code List'!$B$17,"""",M654,"""",",",'Code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54" s="167" t="str">
        <f>IF(A654="YES",CONCATENATE("{",'Code List'!$B$31,"""",U654,"""",",",'Code List'!$B$32,'Code List'!$D$32,",",'Code List'!$B$33,'Code List'!$D$33,",",'Code List'!$B$34,'Code List'!$D$34,",",'Code List'!$B$35,'Code List'!$D$35,",",'Code List'!$B$36,'Code List'!$D$36,",",'Code List'!$B$37,'Code List'!$D$37,",",'Code List'!$B$38,"""",H654,"""",",",'Code List'!$B$39,"""",I654,"""",",",'Code List'!$B$40,"""",J654,"""",",",'Code List'!$B$41,"""",K654,"""",",",'Code List'!$B$42,"""",L654,"""",",",'Code List'!$B$43,"""",M654,"""",",",'Code List'!$B$44,"""",N654,"""",",",'Code List'!$B$45,"""",O654,"""",",",'Code List'!$B$46,"""",P654,"""",",",'Code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List'!$B$59,"""",T654,"""","}"),"")</f>
        <v/>
      </c>
    </row>
    <row r="655" spans="1:25" x14ac:dyDescent="0.25">
      <c r="A655" t="str">
        <f>IF(AND($A652="YES",E652=$D$1,F655&gt;0),"YES","NO")</f>
        <v>NO</v>
      </c>
      <c r="C655" t="s">
        <v>5</v>
      </c>
      <c r="D655" s="12" t="str">
        <f t="shared" si="567"/>
        <v>12E</v>
      </c>
      <c r="E655" t="s">
        <v>189</v>
      </c>
      <c r="F655">
        <f>'Expanded Base Data'!G650</f>
        <v>0</v>
      </c>
      <c r="G655" s="171">
        <f>F652</f>
        <v>0</v>
      </c>
      <c r="H655">
        <f>ROUND(B652+'Slide Measurements'!$D$17,$O$1)</f>
        <v>374.91</v>
      </c>
      <c r="I655">
        <f>ROUND(H655+(F655*'Slide Measurements'!$D$21),$O$1)</f>
        <v>374.91</v>
      </c>
      <c r="J655">
        <f>K654</f>
        <v>455.68000000000006</v>
      </c>
      <c r="K655">
        <f>J655+($I$1*'Slide Measurements'!$E$23-'Slide Measurements'!$E$23)</f>
        <v>457.53000000000009</v>
      </c>
      <c r="L655" s="5" t="str">
        <f>'Expanded Base Data'!$L650</f>
        <v/>
      </c>
      <c r="M655" s="5" t="str">
        <f>'Expanded Base Data'!$K650</f>
        <v/>
      </c>
      <c r="N655">
        <f t="shared" si="568"/>
        <v>0</v>
      </c>
      <c r="O655">
        <f t="shared" si="569"/>
        <v>1.85</v>
      </c>
      <c r="P655" s="5" t="e">
        <f t="shared" si="570"/>
        <v>#VALUE!</v>
      </c>
      <c r="Q655">
        <f>'Code List'!$C$63</f>
        <v>3</v>
      </c>
      <c r="R655">
        <f>F656+'Code List'!$G$63</f>
        <v>2</v>
      </c>
      <c r="S655" t="e">
        <f t="shared" si="571"/>
        <v>#VALUE!</v>
      </c>
      <c r="T655" t="e">
        <f t="shared" ref="T655:T658" si="573">Q655*R655*S655</f>
        <v>#VALUE!</v>
      </c>
      <c r="U655" t="str">
        <f>IF(A655="YES",CONCATENATE(G655,"_",'Program Page'!$C$4,'Program Page'!$C$5,"_",D655,"_",E655),"")</f>
        <v/>
      </c>
      <c r="V655" t="str">
        <f t="shared" si="572"/>
        <v/>
      </c>
      <c r="W655" t="str">
        <f>IF(A655="YES",CONCATENATE("{",'Code List'!$B$4,'Code List'!$D$4,",",'Code List'!$B$5,'Code List'!$D$5,",",'Code List'!$B$6,"""",U655,"""",",",'Code List'!$B$7,'Code List'!$D$7,",",'Code List'!$B$8,'Code List'!$D$8,",",'Code List'!$B$9,'Code List'!$D$9,",",'Code List'!$B$10,'Code List'!$D$10,",",'Code List'!$B$11,"""",V655,"""",",",'Code List'!$B$12,"""",H655,"""",",",'Code List'!$B$13,"""",I655,"""",",",'Code List'!$B$14,"""",J655,"""",",",'Code List'!$B$15,"""",K655,"""",",",'Code List'!$B$16,"""",L655,"""",",",'Code List'!$B$17,"""",M655,"""",",",'Code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55" s="167" t="str">
        <f>IF(A655="YES",CONCATENATE("{",'Code List'!$B$31,"""",U655,"""",",",'Code List'!$B$32,'Code List'!$D$32,",",'Code List'!$B$33,'Code List'!$D$33,",",'Code List'!$B$34,'Code List'!$D$34,",",'Code List'!$B$35,'Code List'!$D$35,",",'Code List'!$B$36,'Code List'!$D$36,",",'Code List'!$B$37,'Code List'!$D$37,",",'Code List'!$B$38,"""",H655,"""",",",'Code List'!$B$39,"""",I655,"""",",",'Code List'!$B$40,"""",J655,"""",",",'Code List'!$B$41,"""",K655,"""",",",'Code List'!$B$42,"""",L655,"""",",",'Code List'!$B$43,"""",M655,"""",",",'Code List'!$B$44,"""",N655,"""",",",'Code List'!$B$45,"""",O655,"""",",",'Code List'!$B$46,"""",P655,"""",",",'Code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List'!$B$59,"""",T655,"""","}"),"")</f>
        <v/>
      </c>
    </row>
    <row r="656" spans="1:25" x14ac:dyDescent="0.25">
      <c r="A656" t="str">
        <f>IF(AND($A652="YES",E652=$D$1,F656&gt;0),"YES","NO")</f>
        <v>NO</v>
      </c>
      <c r="C656" t="s">
        <v>5</v>
      </c>
      <c r="D656" s="12" t="str">
        <f t="shared" si="567"/>
        <v>12E</v>
      </c>
      <c r="E656" t="s">
        <v>190</v>
      </c>
      <c r="F656">
        <f>'Expanded Base Data'!H650</f>
        <v>0</v>
      </c>
      <c r="G656" s="171">
        <f>F652</f>
        <v>0</v>
      </c>
      <c r="H656">
        <f>ROUND(B652+'Slide Measurements'!$D$17,$O$1)</f>
        <v>374.91</v>
      </c>
      <c r="I656">
        <f>ROUND(H656+(F656*'Slide Measurements'!$D$21),$O$1)</f>
        <v>374.91</v>
      </c>
      <c r="J656">
        <f>K655</f>
        <v>457.53000000000009</v>
      </c>
      <c r="K656">
        <f>J656+($I$1*'Slide Measurements'!$E$23-'Slide Measurements'!$E$23)</f>
        <v>459.38000000000011</v>
      </c>
      <c r="L656" s="5" t="str">
        <f>'Expanded Base Data'!$L650</f>
        <v/>
      </c>
      <c r="M656" s="5" t="str">
        <f>'Expanded Base Data'!$K650</f>
        <v/>
      </c>
      <c r="N656">
        <f t="shared" si="568"/>
        <v>0</v>
      </c>
      <c r="O656">
        <f t="shared" si="569"/>
        <v>1.85</v>
      </c>
      <c r="P656" s="5" t="e">
        <f t="shared" si="570"/>
        <v>#VALUE!</v>
      </c>
      <c r="Q656">
        <f>'Code List'!$C$63</f>
        <v>3</v>
      </c>
      <c r="R656">
        <f>F657+'Code List'!$G$63</f>
        <v>2</v>
      </c>
      <c r="S656" t="e">
        <f t="shared" si="571"/>
        <v>#VALUE!</v>
      </c>
      <c r="T656" t="e">
        <f t="shared" si="573"/>
        <v>#VALUE!</v>
      </c>
      <c r="U656" t="str">
        <f>IF(A656="YES",CONCATENATE(G656,"_",'Program Page'!$C$4,'Program Page'!$C$5,"_",D656,"_",E656),"")</f>
        <v/>
      </c>
      <c r="V656" t="str">
        <f t="shared" si="572"/>
        <v/>
      </c>
      <c r="W656" t="str">
        <f>IF(A656="YES",CONCATENATE("{",'Code List'!$B$4,'Code List'!$D$4,",",'Code List'!$B$5,'Code List'!$D$5,",",'Code List'!$B$6,"""",U656,"""",",",'Code List'!$B$7,'Code List'!$D$7,",",'Code List'!$B$8,'Code List'!$D$8,",",'Code List'!$B$9,'Code List'!$D$9,",",'Code List'!$B$10,'Code List'!$D$10,",",'Code List'!$B$11,"""",V656,"""",",",'Code List'!$B$12,"""",H656,"""",",",'Code List'!$B$13,"""",I656,"""",",",'Code List'!$B$14,"""",J656,"""",",",'Code List'!$B$15,"""",K656,"""",",",'Code List'!$B$16,"""",L656,"""",",",'Code List'!$B$17,"""",M656,"""",",",'Code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56" s="167" t="str">
        <f>IF(A656="YES",CONCATENATE("{",'Code List'!$B$31,"""",U656,"""",",",'Code List'!$B$32,'Code List'!$D$32,",",'Code List'!$B$33,'Code List'!$D$33,",",'Code List'!$B$34,'Code List'!$D$34,",",'Code List'!$B$35,'Code List'!$D$35,",",'Code List'!$B$36,'Code List'!$D$36,",",'Code List'!$B$37,'Code List'!$D$37,",",'Code List'!$B$38,"""",H656,"""",",",'Code List'!$B$39,"""",I656,"""",",",'Code List'!$B$40,"""",J656,"""",",",'Code List'!$B$41,"""",K656,"""",",",'Code List'!$B$42,"""",L656,"""",",",'Code List'!$B$43,"""",M656,"""",",",'Code List'!$B$44,"""",N656,"""",",",'Code List'!$B$45,"""",O656,"""",",",'Code List'!$B$46,"""",P656,"""",",",'Code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List'!$B$59,"""",T656,"""","}"),"")</f>
        <v/>
      </c>
    </row>
    <row r="657" spans="1:25" x14ac:dyDescent="0.25">
      <c r="A657" t="str">
        <f>IF(AND($A652="YES",E652=$D$1,F657&gt;0),"YES","NO")</f>
        <v>NO</v>
      </c>
      <c r="C657" t="s">
        <v>5</v>
      </c>
      <c r="D657" s="12" t="str">
        <f t="shared" si="567"/>
        <v>12E</v>
      </c>
      <c r="E657" t="s">
        <v>191</v>
      </c>
      <c r="F657">
        <f>'Expanded Base Data'!I650</f>
        <v>0</v>
      </c>
      <c r="G657" s="171">
        <f>F652</f>
        <v>0</v>
      </c>
      <c r="H657">
        <f>ROUND(B652+'Slide Measurements'!$D$17,$O$1)</f>
        <v>374.91</v>
      </c>
      <c r="I657">
        <f>ROUND(H657+(F657*'Slide Measurements'!$D$21),$O$1)</f>
        <v>374.91</v>
      </c>
      <c r="J657">
        <f>K656</f>
        <v>459.38000000000011</v>
      </c>
      <c r="K657">
        <f>J657+($I$1*'Slide Measurements'!$E$23-'Slide Measurements'!$E$23)</f>
        <v>461.23000000000013</v>
      </c>
      <c r="L657" s="5" t="str">
        <f>'Expanded Base Data'!$L650</f>
        <v/>
      </c>
      <c r="M657" s="5" t="str">
        <f>'Expanded Base Data'!$K650</f>
        <v/>
      </c>
      <c r="N657">
        <f t="shared" si="568"/>
        <v>0</v>
      </c>
      <c r="O657">
        <f t="shared" si="569"/>
        <v>1.85</v>
      </c>
      <c r="P657" s="5" t="e">
        <f t="shared" si="570"/>
        <v>#VALUE!</v>
      </c>
      <c r="Q657">
        <f>'Code List'!$C$63</f>
        <v>3</v>
      </c>
      <c r="R657">
        <f>F658+'Code List'!$G$63</f>
        <v>2</v>
      </c>
      <c r="S657" t="e">
        <f t="shared" si="571"/>
        <v>#VALUE!</v>
      </c>
      <c r="T657" t="e">
        <f t="shared" si="573"/>
        <v>#VALUE!</v>
      </c>
      <c r="U657" t="str">
        <f>IF(A657="YES",CONCATENATE(G657,"_",'Program Page'!$C$4,'Program Page'!$C$5,"_",D657,"_",E657),"")</f>
        <v/>
      </c>
      <c r="V657" t="str">
        <f t="shared" si="572"/>
        <v/>
      </c>
      <c r="W657" t="str">
        <f>IF(A657="YES",CONCATENATE("{",'Code List'!$B$4,'Code List'!$D$4,",",'Code List'!$B$5,'Code List'!$D$5,",",'Code List'!$B$6,"""",U657,"""",",",'Code List'!$B$7,'Code List'!$D$7,",",'Code List'!$B$8,'Code List'!$D$8,",",'Code List'!$B$9,'Code List'!$D$9,",",'Code List'!$B$10,'Code List'!$D$10,",",'Code List'!$B$11,"""",V657,"""",",",'Code List'!$B$12,"""",H657,"""",",",'Code List'!$B$13,"""",I657,"""",",",'Code List'!$B$14,"""",J657,"""",",",'Code List'!$B$15,"""",K657,"""",",",'Code List'!$B$16,"""",L657,"""",",",'Code List'!$B$17,"""",M657,"""",",",'Code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57" s="167" t="str">
        <f>IF(A657="YES",CONCATENATE("{",'Code List'!$B$31,"""",U657,"""",",",'Code List'!$B$32,'Code List'!$D$32,",",'Code List'!$B$33,'Code List'!$D$33,",",'Code List'!$B$34,'Code List'!$D$34,",",'Code List'!$B$35,'Code List'!$D$35,",",'Code List'!$B$36,'Code List'!$D$36,",",'Code List'!$B$37,'Code List'!$D$37,",",'Code List'!$B$38,"""",H657,"""",",",'Code List'!$B$39,"""",I657,"""",",",'Code List'!$B$40,"""",J657,"""",",",'Code List'!$B$41,"""",K657,"""",",",'Code List'!$B$42,"""",L657,"""",",",'Code List'!$B$43,"""",M657,"""",",",'Code List'!$B$44,"""",N657,"""",",",'Code List'!$B$45,"""",O657,"""",",",'Code List'!$B$46,"""",P657,"""",",",'Code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List'!$B$59,"""",T657,"""","}"),"")</f>
        <v/>
      </c>
    </row>
    <row r="658" spans="1:25" x14ac:dyDescent="0.25">
      <c r="A658" t="str">
        <f>IF(AND($A652="YES",E652=$D$1,F658&gt;0),"YES","NO")</f>
        <v>NO</v>
      </c>
      <c r="C658" t="s">
        <v>5</v>
      </c>
      <c r="D658" s="12" t="str">
        <f t="shared" si="567"/>
        <v>12E</v>
      </c>
      <c r="E658" t="s">
        <v>196</v>
      </c>
      <c r="F658">
        <f>'Expanded Base Data'!J650</f>
        <v>0</v>
      </c>
      <c r="G658" s="171">
        <f>F652</f>
        <v>0</v>
      </c>
      <c r="H658">
        <f>ROUND(B652+'Slide Measurements'!$D$17,$O$1)</f>
        <v>374.91</v>
      </c>
      <c r="I658">
        <f>ROUND(H658+(F658*'Slide Measurements'!$D$21),$O$1)</f>
        <v>374.91</v>
      </c>
      <c r="J658">
        <f>K657</f>
        <v>461.23000000000013</v>
      </c>
      <c r="K658">
        <f>J658+($I$1*'Slide Measurements'!$E$23-'Slide Measurements'!$E$23)</f>
        <v>463.08000000000015</v>
      </c>
      <c r="L658" s="5" t="str">
        <f>'Expanded Base Data'!$L650</f>
        <v/>
      </c>
      <c r="M658" s="5" t="str">
        <f>'Expanded Base Data'!$K650</f>
        <v/>
      </c>
      <c r="N658">
        <f t="shared" si="568"/>
        <v>0</v>
      </c>
      <c r="O658">
        <f t="shared" si="569"/>
        <v>1.85</v>
      </c>
      <c r="P658" s="5" t="e">
        <f t="shared" si="570"/>
        <v>#VALUE!</v>
      </c>
      <c r="Q658">
        <f>'Code List'!$C$63</f>
        <v>3</v>
      </c>
      <c r="R658">
        <f>F659+'Code List'!$G$63</f>
        <v>2</v>
      </c>
      <c r="S658" t="e">
        <f t="shared" si="571"/>
        <v>#VALUE!</v>
      </c>
      <c r="T658" t="e">
        <f t="shared" si="573"/>
        <v>#VALUE!</v>
      </c>
      <c r="U658" t="str">
        <f>IF(A658="YES",CONCATENATE(G658,"_",'Program Page'!$C$4,'Program Page'!$C$5,"_",D658,"_",E658),"")</f>
        <v/>
      </c>
      <c r="V658" t="str">
        <f t="shared" si="572"/>
        <v/>
      </c>
      <c r="W658" t="str">
        <f>IF(A658="YES",CONCATENATE("{",'Code List'!$B$4,'Code List'!$D$4,",",'Code List'!$B$5,'Code List'!$D$5,",",'Code List'!$B$6,"""",U658,"""",",",'Code List'!$B$7,'Code List'!$D$7,",",'Code List'!$B$8,'Code List'!$D$8,",",'Code List'!$B$9,'Code List'!$D$9,",",'Code List'!$B$10,'Code List'!$D$10,",",'Code List'!$B$11,"""",V658,"""",",",'Code List'!$B$12,"""",H658,"""",",",'Code List'!$B$13,"""",I658,"""",",",'Code List'!$B$14,"""",J658,"""",",",'Code List'!$B$15,"""",K658,"""",",",'Code List'!$B$16,"""",L658,"""",",",'Code List'!$B$17,"""",M658,"""",",",'Code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58" s="167" t="str">
        <f>IF(A658="YES",CONCATENATE("{",'Code List'!$B$31,"""",U658,"""",",",'Code List'!$B$32,'Code List'!$D$32,",",'Code List'!$B$33,'Code List'!$D$33,",",'Code List'!$B$34,'Code List'!$D$34,",",'Code List'!$B$35,'Code List'!$D$35,",",'Code List'!$B$36,'Code List'!$D$36,",",'Code List'!$B$37,'Code List'!$D$37,",",'Code List'!$B$38,"""",H658,"""",",",'Code List'!$B$39,"""",I658,"""",",",'Code List'!$B$40,"""",J658,"""",",",'Code List'!$B$41,"""",K658,"""",",",'Code List'!$B$42,"""",L658,"""",",",'Code List'!$B$43,"""",M658,"""",",",'Code List'!$B$44,"""",N658,"""",",",'Code List'!$B$45,"""",O658,"""",",",'Code List'!$B$46,"""",P658,"""",",",'Code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List'!$B$59,"""",T658,"""","}"),"")</f>
        <v/>
      </c>
    </row>
    <row r="659" spans="1:25" x14ac:dyDescent="0.25">
      <c r="A659" s="162" t="str">
        <f>IF(AND($A652="YES",E652=$E$1),"YES","NO")</f>
        <v>NO</v>
      </c>
      <c r="C659" t="s">
        <v>259</v>
      </c>
      <c r="D659" s="12" t="str">
        <f>D658</f>
        <v>12E</v>
      </c>
      <c r="E659" t="s">
        <v>259</v>
      </c>
      <c r="G659" s="171">
        <f>F652</f>
        <v>0</v>
      </c>
      <c r="H659">
        <f>ROUND(B652,$O$1)</f>
        <v>349.51</v>
      </c>
      <c r="I659">
        <f>ROUND(B652+'Slide Measurements'!$D$1,$O$1)</f>
        <v>425.96</v>
      </c>
      <c r="J659">
        <f>C652</f>
        <v>449.53000000000003</v>
      </c>
      <c r="K659">
        <f>C652+'Slide Measurements'!$D$2</f>
        <v>476.93</v>
      </c>
      <c r="L659" s="5" t="str">
        <f>'Expanded Base Data'!$L650</f>
        <v/>
      </c>
      <c r="M659" s="5" t="str">
        <f>'Expanded Base Data'!$K650</f>
        <v/>
      </c>
      <c r="N659">
        <f t="shared" si="568"/>
        <v>76.45</v>
      </c>
      <c r="O659">
        <f t="shared" si="569"/>
        <v>27.4</v>
      </c>
      <c r="P659" s="5" t="e">
        <f>ROUND((L659-M659),$O$1)</f>
        <v>#VALUE!</v>
      </c>
      <c r="Q659">
        <f>'Code List'!$C$70</f>
        <v>11</v>
      </c>
      <c r="R659">
        <f>'Code List'!$D$70</f>
        <v>19</v>
      </c>
      <c r="S659" t="e">
        <f>IF(P659=0,"1",ROUND((P659/$K$1)+$M$1,0))</f>
        <v>#VALUE!</v>
      </c>
      <c r="T659" t="e">
        <f>Q659*R659*S659</f>
        <v>#VALUE!</v>
      </c>
      <c r="U659" t="str">
        <f>IF(A659="YES",CONCATENATE(G659,"_",'Program Page'!$C$4,'Program Page'!$C$5,"_",D659,"_",E659),"")</f>
        <v/>
      </c>
      <c r="V659" t="str">
        <f>IF(U659="","",CONCATENATE(U659,"_"))</f>
        <v/>
      </c>
      <c r="W659" t="str">
        <f>IF(A659="YES",CONCATENATE("{",'Code List'!$B$4,'Code List'!$D$4,",",'Code List'!$B$5,'Code List'!$D$5,",",'Code List'!$B$6,"""",U659,"""",",",'Code List'!$B$7,'Code List'!$D$7,",",'Code List'!$B$8,'Code List'!$D$8,",",'Code List'!$B$9,'Code List'!$D$9,",",'Code List'!$B$10,'Code List'!$D$10,",",'Code List'!$B$11,"""",V659,"""",",",'Code List'!$B$12,"""",H659,"""",",",'Code List'!$B$13,"""",I659,"""",",",'Code List'!$B$14,"""",J659,"""",",",'Code List'!$B$15,"""",K659,"""",",",'Code List'!$B$16,"""",L659,"""",",",'Code List'!$B$17,"""",M659,"""",",",'Code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659" s="167" t="str">
        <f>IF(A659="YES",CONCATENATE("{",'Code List'!$B$31,"""",U659,"""",",",'Code List'!$B$32,'Code List'!$D$32,",",'Code List'!$B$33,'Code List'!$D$33,",",'Code List'!$B$34,'Code List'!$D$34,",",'Code List'!$B$35,'Code List'!$D$35,",",'Code List'!$B$36,'Code List'!$D$36,",",'Code List'!$B$37,'Code List'!$D$37,",",'Code List'!$B$38,"""",H659,"""",",",'Code List'!$B$39,"""",I659,"""",",",'Code List'!$B$40,"""",J659,"""",",",'Code List'!$B$41,"""",K659,"""",",",'Code List'!$B$42,"""",L659,"""",",",'Code List'!$B$43,"""",M659,"""",",",'Code List'!$B$44,"""",N659,"""",",",'Code List'!$B$45,"""",O659,"""",",",'Code List'!$B$46,"""",P659,"""",",",'Code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List'!$B$59,"""",T659,"""","}"),"")</f>
        <v/>
      </c>
    </row>
    <row r="660" spans="1:25" ht="18.75" x14ac:dyDescent="0.3">
      <c r="A660" s="35" t="str">
        <f>IF(OR(E660=$C$1,E660=$D$1,E660=$E$1),"YES","NO")</f>
        <v>NO</v>
      </c>
      <c r="B660" s="35">
        <f>'Expanded Base Data'!D658</f>
        <v>436.11</v>
      </c>
      <c r="C660" s="35">
        <f>'Expanded Base Data'!E658</f>
        <v>449.53000000000003</v>
      </c>
      <c r="D660" s="36" t="str">
        <f>'Expanded Base Data'!B658</f>
        <v>12F</v>
      </c>
      <c r="E660" s="35">
        <f>'Expanded Base Data'!C658</f>
        <v>0</v>
      </c>
      <c r="F660" s="35">
        <f>'Expanded Base Data'!M658</f>
        <v>0</v>
      </c>
      <c r="G660" s="170">
        <f>F660</f>
        <v>0</v>
      </c>
      <c r="Y660" s="167" t="str">
        <f>""</f>
        <v/>
      </c>
    </row>
    <row r="661" spans="1:25" x14ac:dyDescent="0.25">
      <c r="A661" t="str">
        <f>IF(AND($A660="YES",E660=$C$1),"YES","NO")</f>
        <v>NO</v>
      </c>
      <c r="C661" t="s">
        <v>6</v>
      </c>
      <c r="D661" s="12" t="str">
        <f>D660</f>
        <v>12F</v>
      </c>
      <c r="E661" t="s">
        <v>6</v>
      </c>
      <c r="F661" t="s">
        <v>198</v>
      </c>
      <c r="G661" s="171">
        <f>F660</f>
        <v>0</v>
      </c>
      <c r="H661">
        <f>IF('Expanded Base Data'!N658="",ROUND(B660+'Slide Measurements'!$D$11,$O$1),B660+'Expanded Base Data'!N658)</f>
        <v>469.11</v>
      </c>
      <c r="I661">
        <f>IF('Expanded Base Data'!O658="",ROUND(B660+'Slide Measurements'!$D$12,$O$1),B660+'Expanded Base Data'!O658)</f>
        <v>477.71</v>
      </c>
      <c r="J661">
        <f>IF('Expanded Base Data'!P658="",C660+'Slide Measurements'!$E$13,C660+'Expanded Base Data'!P658)</f>
        <v>458.23</v>
      </c>
      <c r="K661">
        <f>IF('Expanded Base Data'!Q658="",C660+'Slide Measurements'!$E$14,C660+'Expanded Base Data'!Q658)</f>
        <v>466.83000000000004</v>
      </c>
      <c r="L661" s="5" t="str">
        <f>'Expanded Base Data'!$L658</f>
        <v/>
      </c>
      <c r="M661" s="5" t="str">
        <f>'Expanded Base Data'!$K658</f>
        <v/>
      </c>
      <c r="N661">
        <f>ROUND((I661-H661),$O$1)</f>
        <v>8.6</v>
      </c>
      <c r="O661">
        <f>ROUND((K661-J661),$O$1)</f>
        <v>8.6</v>
      </c>
      <c r="P661" s="5" t="e">
        <f>ROUND((L661-M661),$O$1)</f>
        <v>#VALUE!</v>
      </c>
      <c r="Q661">
        <f>'Code List'!$C$62</f>
        <v>5</v>
      </c>
      <c r="R661">
        <f>F662+'Code List'!$G$63</f>
        <v>2</v>
      </c>
      <c r="S661" t="e">
        <f>IF(P661=0,"1",ROUND((P661/$K$1)+$M$1,0))</f>
        <v>#VALUE!</v>
      </c>
      <c r="T661" t="e">
        <f>Q661*R661*S661</f>
        <v>#VALUE!</v>
      </c>
      <c r="U661" t="str">
        <f>IF(A661="YES",CONCATENATE(G661,"_",'Program Page'!$C$4,'Program Page'!$C$5,"_",D661,"_",E661),"")</f>
        <v/>
      </c>
      <c r="V661" t="str">
        <f>IF(U661="","",CONCATENATE(U661,"_"))</f>
        <v/>
      </c>
      <c r="W661" t="str">
        <f>IF(A661="YES",CONCATENATE("{",'Code List'!$B$4,'Code List'!$D$4,",",'Code List'!$B$5,'Code List'!$D$5,",",'Code List'!$B$6,"""",U661,"""",",",'Code List'!$B$7,'Code List'!$D$7,",",'Code List'!$B$8,'Code List'!$D$8,",",'Code List'!$B$9,'Code List'!$D$9,",",'Code List'!$B$10,'Code List'!$D$10,",",'Code List'!$B$11,"""",V661,"""",",",'Code List'!$B$12,"""",H661,"""",",",'Code List'!$B$13,"""",I661,"""",",",'Code List'!$B$14,"""",J661,"""",",",'Code List'!$B$15,"""",K661,"""",",",'Code List'!$B$16,"""",L661,"""",",",'Code List'!$B$17,"""",M661,"""",",",'Code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61" s="167" t="str">
        <f>IF(A661="YES",CONCATENATE("{",'Code List'!$B$31,"""",U661,"""",",",'Code List'!$B$32,'Code List'!$D$32,",",'Code List'!$B$33,'Code List'!$D$33,",",'Code List'!$B$34,'Code List'!$D$34,",",'Code List'!$B$35,'Code List'!$D$35,",",'Code List'!$B$36,'Code List'!$D$36,",",'Code List'!$B$37,'Code List'!$D$37,",",'Code List'!$B$38,"""",H661,"""",",",'Code List'!$B$39,"""",I661,"""",",",'Code List'!$B$40,"""",J661,"""",",",'Code List'!$B$41,"""",K661,"""",",",'Code List'!$B$42,"""",L661,"""",",",'Code List'!$B$43,"""",M661,"""",",",'Code List'!$B$44,"""",N661,"""",",",'Code List'!$B$45,"""",O661,"""",",",'Code List'!$B$46,"""",P661,"""",",",'Code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List'!$B$59,"""",T661,"""","}"),"")</f>
        <v/>
      </c>
    </row>
    <row r="662" spans="1:25" x14ac:dyDescent="0.25">
      <c r="A662" t="str">
        <f>IF(AND($A660="YES",E660=$D$1,F662&gt;0),"YES","NO")</f>
        <v>NO</v>
      </c>
      <c r="C662" t="s">
        <v>5</v>
      </c>
      <c r="D662" s="12" t="str">
        <f t="shared" ref="D662:D666" si="574">D661</f>
        <v>12F</v>
      </c>
      <c r="E662" t="s">
        <v>188</v>
      </c>
      <c r="F662">
        <f>'Expanded Base Data'!F658</f>
        <v>0</v>
      </c>
      <c r="G662" s="171">
        <f>F660</f>
        <v>0</v>
      </c>
      <c r="H662">
        <f>ROUND(B660+'Slide Measurements'!$D$17,$O$1)</f>
        <v>461.51</v>
      </c>
      <c r="I662">
        <f>ROUND(H662+(F662*'Slide Measurements'!$D$21),$O$1)</f>
        <v>461.51</v>
      </c>
      <c r="J662">
        <f>C660+'Slide Measurements'!$E$17</f>
        <v>453.83000000000004</v>
      </c>
      <c r="K662">
        <f>J662+($I$1*'Slide Measurements'!$E$23-'Slide Measurements'!$E$23)</f>
        <v>455.68000000000006</v>
      </c>
      <c r="L662" s="5" t="str">
        <f>'Expanded Base Data'!$L658</f>
        <v/>
      </c>
      <c r="M662" s="5" t="str">
        <f>'Expanded Base Data'!$K658</f>
        <v/>
      </c>
      <c r="N662">
        <f t="shared" ref="N662:N667" si="575">ROUND((I662-H662),$O$1)</f>
        <v>0</v>
      </c>
      <c r="O662">
        <f t="shared" ref="O662:O667" si="576">ROUND((K662-J662),$O$1)</f>
        <v>1.85</v>
      </c>
      <c r="P662" s="5" t="e">
        <f t="shared" ref="P662:P666" si="577">ROUND((L662-M662),$O$1)</f>
        <v>#VALUE!</v>
      </c>
      <c r="Q662">
        <f>'Code List'!$C$63</f>
        <v>3</v>
      </c>
      <c r="R662">
        <f>F663+'Code List'!$G$63</f>
        <v>2</v>
      </c>
      <c r="S662" t="e">
        <f t="shared" ref="S662:S666" si="578">IF(P662=0,"1",ROUND((P662/$K$1)+$M$1,0))</f>
        <v>#VALUE!</v>
      </c>
      <c r="T662" t="e">
        <f>Q662*R662*S662</f>
        <v>#VALUE!</v>
      </c>
      <c r="U662" t="str">
        <f>IF(A662="YES",CONCATENATE(G662,"_",'Program Page'!$C$4,'Program Page'!$C$5,"_",D662,"_",E662),"")</f>
        <v/>
      </c>
      <c r="V662" t="str">
        <f t="shared" ref="V662:V666" si="579">IF(U662="","",CONCATENATE(U662,"_"))</f>
        <v/>
      </c>
      <c r="W662" t="str">
        <f>IF(A662="YES",CONCATENATE("{",'Code List'!$B$4,'Code List'!$D$4,",",'Code List'!$B$5,'Code List'!$D$5,",",'Code List'!$B$6,"""",U662,"""",",",'Code List'!$B$7,'Code List'!$D$7,",",'Code List'!$B$8,'Code List'!$D$8,",",'Code List'!$B$9,'Code List'!$D$9,",",'Code List'!$B$10,'Code List'!$D$10,",",'Code List'!$B$11,"""",V662,"""",",",'Code List'!$B$12,"""",H662,"""",",",'Code List'!$B$13,"""",I662,"""",",",'Code List'!$B$14,"""",J662,"""",",",'Code List'!$B$15,"""",K662,"""",",",'Code List'!$B$16,"""",L662,"""",",",'Code List'!$B$17,"""",M662,"""",",",'Code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62" s="167" t="str">
        <f>IF(A662="YES",CONCATENATE("{",'Code List'!$B$31,"""",U662,"""",",",'Code List'!$B$32,'Code List'!$D$32,",",'Code List'!$B$33,'Code List'!$D$33,",",'Code List'!$B$34,'Code List'!$D$34,",",'Code List'!$B$35,'Code List'!$D$35,",",'Code List'!$B$36,'Code List'!$D$36,",",'Code List'!$B$37,'Code List'!$D$37,",",'Code List'!$B$38,"""",H662,"""",",",'Code List'!$B$39,"""",I662,"""",",",'Code List'!$B$40,"""",J662,"""",",",'Code List'!$B$41,"""",K662,"""",",",'Code List'!$B$42,"""",L662,"""",",",'Code List'!$B$43,"""",M662,"""",",",'Code List'!$B$44,"""",N662,"""",",",'Code List'!$B$45,"""",O662,"""",",",'Code List'!$B$46,"""",P662,"""",",",'Code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List'!$B$59,"""",T662,"""","}"),"")</f>
        <v/>
      </c>
    </row>
    <row r="663" spans="1:25" x14ac:dyDescent="0.25">
      <c r="A663" t="str">
        <f>IF(AND($A660="YES",E660=$D$1,F663&gt;0),"YES","NO")</f>
        <v>NO</v>
      </c>
      <c r="C663" t="s">
        <v>5</v>
      </c>
      <c r="D663" s="12" t="str">
        <f t="shared" si="574"/>
        <v>12F</v>
      </c>
      <c r="E663" t="s">
        <v>189</v>
      </c>
      <c r="F663">
        <f>'Expanded Base Data'!G658</f>
        <v>0</v>
      </c>
      <c r="G663" s="171">
        <f>F660</f>
        <v>0</v>
      </c>
      <c r="H663">
        <f>ROUND(B660+'Slide Measurements'!$D$17,$O$1)</f>
        <v>461.51</v>
      </c>
      <c r="I663">
        <f>ROUND(H663+(F663*'Slide Measurements'!$D$21),$O$1)</f>
        <v>461.51</v>
      </c>
      <c r="J663">
        <f>K662</f>
        <v>455.68000000000006</v>
      </c>
      <c r="K663">
        <f>J663+($I$1*'Slide Measurements'!$E$23-'Slide Measurements'!$E$23)</f>
        <v>457.53000000000009</v>
      </c>
      <c r="L663" s="5" t="str">
        <f>'Expanded Base Data'!$L658</f>
        <v/>
      </c>
      <c r="M663" s="5" t="str">
        <f>'Expanded Base Data'!$K658</f>
        <v/>
      </c>
      <c r="N663">
        <f t="shared" si="575"/>
        <v>0</v>
      </c>
      <c r="O663">
        <f t="shared" si="576"/>
        <v>1.85</v>
      </c>
      <c r="P663" s="5" t="e">
        <f t="shared" si="577"/>
        <v>#VALUE!</v>
      </c>
      <c r="Q663">
        <f>'Code List'!$C$63</f>
        <v>3</v>
      </c>
      <c r="R663">
        <f>F664+'Code List'!$G$63</f>
        <v>2</v>
      </c>
      <c r="S663" t="e">
        <f t="shared" si="578"/>
        <v>#VALUE!</v>
      </c>
      <c r="T663" t="e">
        <f t="shared" ref="T663:T666" si="580">Q663*R663*S663</f>
        <v>#VALUE!</v>
      </c>
      <c r="U663" t="str">
        <f>IF(A663="YES",CONCATENATE(G663,"_",'Program Page'!$C$4,'Program Page'!$C$5,"_",D663,"_",E663),"")</f>
        <v/>
      </c>
      <c r="V663" t="str">
        <f t="shared" si="579"/>
        <v/>
      </c>
      <c r="W663" t="str">
        <f>IF(A663="YES",CONCATENATE("{",'Code List'!$B$4,'Code List'!$D$4,",",'Code List'!$B$5,'Code List'!$D$5,",",'Code List'!$B$6,"""",U663,"""",",",'Code List'!$B$7,'Code List'!$D$7,",",'Code List'!$B$8,'Code List'!$D$8,",",'Code List'!$B$9,'Code List'!$D$9,",",'Code List'!$B$10,'Code List'!$D$10,",",'Code List'!$B$11,"""",V663,"""",",",'Code List'!$B$12,"""",H663,"""",",",'Code List'!$B$13,"""",I663,"""",",",'Code List'!$B$14,"""",J663,"""",",",'Code List'!$B$15,"""",K663,"""",",",'Code List'!$B$16,"""",L663,"""",",",'Code List'!$B$17,"""",M663,"""",",",'Code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63" s="167" t="str">
        <f>IF(A663="YES",CONCATENATE("{",'Code List'!$B$31,"""",U663,"""",",",'Code List'!$B$32,'Code List'!$D$32,",",'Code List'!$B$33,'Code List'!$D$33,",",'Code List'!$B$34,'Code List'!$D$34,",",'Code List'!$B$35,'Code List'!$D$35,",",'Code List'!$B$36,'Code List'!$D$36,",",'Code List'!$B$37,'Code List'!$D$37,",",'Code List'!$B$38,"""",H663,"""",",",'Code List'!$B$39,"""",I663,"""",",",'Code List'!$B$40,"""",J663,"""",",",'Code List'!$B$41,"""",K663,"""",",",'Code List'!$B$42,"""",L663,"""",",",'Code List'!$B$43,"""",M663,"""",",",'Code List'!$B$44,"""",N663,"""",",",'Code List'!$B$45,"""",O663,"""",",",'Code List'!$B$46,"""",P663,"""",",",'Code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List'!$B$59,"""",T663,"""","}"),"")</f>
        <v/>
      </c>
    </row>
    <row r="664" spans="1:25" x14ac:dyDescent="0.25">
      <c r="A664" t="str">
        <f>IF(AND($A660="YES",E660=$D$1,F664&gt;0),"YES","NO")</f>
        <v>NO</v>
      </c>
      <c r="C664" t="s">
        <v>5</v>
      </c>
      <c r="D664" s="12" t="str">
        <f t="shared" si="574"/>
        <v>12F</v>
      </c>
      <c r="E664" t="s">
        <v>190</v>
      </c>
      <c r="F664">
        <f>'Expanded Base Data'!H658</f>
        <v>0</v>
      </c>
      <c r="G664" s="171">
        <f>F660</f>
        <v>0</v>
      </c>
      <c r="H664">
        <f>ROUND(B660+'Slide Measurements'!$D$17,$O$1)</f>
        <v>461.51</v>
      </c>
      <c r="I664">
        <f>ROUND(H664+(F664*'Slide Measurements'!$D$21),$O$1)</f>
        <v>461.51</v>
      </c>
      <c r="J664">
        <f>K663</f>
        <v>457.53000000000009</v>
      </c>
      <c r="K664">
        <f>J664+($I$1*'Slide Measurements'!$E$23-'Slide Measurements'!$E$23)</f>
        <v>459.38000000000011</v>
      </c>
      <c r="L664" s="5" t="str">
        <f>'Expanded Base Data'!$L658</f>
        <v/>
      </c>
      <c r="M664" s="5" t="str">
        <f>'Expanded Base Data'!$K658</f>
        <v/>
      </c>
      <c r="N664">
        <f t="shared" si="575"/>
        <v>0</v>
      </c>
      <c r="O664">
        <f t="shared" si="576"/>
        <v>1.85</v>
      </c>
      <c r="P664" s="5" t="e">
        <f t="shared" si="577"/>
        <v>#VALUE!</v>
      </c>
      <c r="Q664">
        <f>'Code List'!$C$63</f>
        <v>3</v>
      </c>
      <c r="R664">
        <f>F665+'Code List'!$G$63</f>
        <v>2</v>
      </c>
      <c r="S664" t="e">
        <f t="shared" si="578"/>
        <v>#VALUE!</v>
      </c>
      <c r="T664" t="e">
        <f t="shared" si="580"/>
        <v>#VALUE!</v>
      </c>
      <c r="U664" t="str">
        <f>IF(A664="YES",CONCATENATE(G664,"_",'Program Page'!$C$4,'Program Page'!$C$5,"_",D664,"_",E664),"")</f>
        <v/>
      </c>
      <c r="V664" t="str">
        <f t="shared" si="579"/>
        <v/>
      </c>
      <c r="W664" t="str">
        <f>IF(A664="YES",CONCATENATE("{",'Code List'!$B$4,'Code List'!$D$4,",",'Code List'!$B$5,'Code List'!$D$5,",",'Code List'!$B$6,"""",U664,"""",",",'Code List'!$B$7,'Code List'!$D$7,",",'Code List'!$B$8,'Code List'!$D$8,",",'Code List'!$B$9,'Code List'!$D$9,",",'Code List'!$B$10,'Code List'!$D$10,",",'Code List'!$B$11,"""",V664,"""",",",'Code List'!$B$12,"""",H664,"""",",",'Code List'!$B$13,"""",I664,"""",",",'Code List'!$B$14,"""",J664,"""",",",'Code List'!$B$15,"""",K664,"""",",",'Code List'!$B$16,"""",L664,"""",",",'Code List'!$B$17,"""",M664,"""",",",'Code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64" s="167" t="str">
        <f>IF(A664="YES",CONCATENATE("{",'Code List'!$B$31,"""",U664,"""",",",'Code List'!$B$32,'Code List'!$D$32,",",'Code List'!$B$33,'Code List'!$D$33,",",'Code List'!$B$34,'Code List'!$D$34,",",'Code List'!$B$35,'Code List'!$D$35,",",'Code List'!$B$36,'Code List'!$D$36,",",'Code List'!$B$37,'Code List'!$D$37,",",'Code List'!$B$38,"""",H664,"""",",",'Code List'!$B$39,"""",I664,"""",",",'Code List'!$B$40,"""",J664,"""",",",'Code List'!$B$41,"""",K664,"""",",",'Code List'!$B$42,"""",L664,"""",",",'Code List'!$B$43,"""",M664,"""",",",'Code List'!$B$44,"""",N664,"""",",",'Code List'!$B$45,"""",O664,"""",",",'Code List'!$B$46,"""",P664,"""",",",'Code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List'!$B$59,"""",T664,"""","}"),"")</f>
        <v/>
      </c>
    </row>
    <row r="665" spans="1:25" x14ac:dyDescent="0.25">
      <c r="A665" t="str">
        <f>IF(AND($A660="YES",E660=$D$1,F665&gt;0),"YES","NO")</f>
        <v>NO</v>
      </c>
      <c r="C665" t="s">
        <v>5</v>
      </c>
      <c r="D665" s="12" t="str">
        <f t="shared" si="574"/>
        <v>12F</v>
      </c>
      <c r="E665" t="s">
        <v>191</v>
      </c>
      <c r="F665">
        <f>'Expanded Base Data'!I658</f>
        <v>0</v>
      </c>
      <c r="G665" s="171">
        <f>F660</f>
        <v>0</v>
      </c>
      <c r="H665">
        <f>ROUND(B660+'Slide Measurements'!$D$17,$O$1)</f>
        <v>461.51</v>
      </c>
      <c r="I665">
        <f>ROUND(H665+(F665*'Slide Measurements'!$D$21),$O$1)</f>
        <v>461.51</v>
      </c>
      <c r="J665">
        <f>K664</f>
        <v>459.38000000000011</v>
      </c>
      <c r="K665">
        <f>J665+($I$1*'Slide Measurements'!$E$23-'Slide Measurements'!$E$23)</f>
        <v>461.23000000000013</v>
      </c>
      <c r="L665" s="5" t="str">
        <f>'Expanded Base Data'!$L658</f>
        <v/>
      </c>
      <c r="M665" s="5" t="str">
        <f>'Expanded Base Data'!$K658</f>
        <v/>
      </c>
      <c r="N665">
        <f t="shared" si="575"/>
        <v>0</v>
      </c>
      <c r="O665">
        <f t="shared" si="576"/>
        <v>1.85</v>
      </c>
      <c r="P665" s="5" t="e">
        <f t="shared" si="577"/>
        <v>#VALUE!</v>
      </c>
      <c r="Q665">
        <f>'Code List'!$C$63</f>
        <v>3</v>
      </c>
      <c r="R665">
        <f>F666+'Code List'!$G$63</f>
        <v>2</v>
      </c>
      <c r="S665" t="e">
        <f t="shared" si="578"/>
        <v>#VALUE!</v>
      </c>
      <c r="T665" t="e">
        <f t="shared" si="580"/>
        <v>#VALUE!</v>
      </c>
      <c r="U665" t="str">
        <f>IF(A665="YES",CONCATENATE(G665,"_",'Program Page'!$C$4,'Program Page'!$C$5,"_",D665,"_",E665),"")</f>
        <v/>
      </c>
      <c r="V665" t="str">
        <f t="shared" si="579"/>
        <v/>
      </c>
      <c r="W665" t="str">
        <f>IF(A665="YES",CONCATENATE("{",'Code List'!$B$4,'Code List'!$D$4,",",'Code List'!$B$5,'Code List'!$D$5,",",'Code List'!$B$6,"""",U665,"""",",",'Code List'!$B$7,'Code List'!$D$7,",",'Code List'!$B$8,'Code List'!$D$8,",",'Code List'!$B$9,'Code List'!$D$9,",",'Code List'!$B$10,'Code List'!$D$10,",",'Code List'!$B$11,"""",V665,"""",",",'Code List'!$B$12,"""",H665,"""",",",'Code List'!$B$13,"""",I665,"""",",",'Code List'!$B$14,"""",J665,"""",",",'Code List'!$B$15,"""",K665,"""",",",'Code List'!$B$16,"""",L665,"""",",",'Code List'!$B$17,"""",M665,"""",",",'Code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65" s="167" t="str">
        <f>IF(A665="YES",CONCATENATE("{",'Code List'!$B$31,"""",U665,"""",",",'Code List'!$B$32,'Code List'!$D$32,",",'Code List'!$B$33,'Code List'!$D$33,",",'Code List'!$B$34,'Code List'!$D$34,",",'Code List'!$B$35,'Code List'!$D$35,",",'Code List'!$B$36,'Code List'!$D$36,",",'Code List'!$B$37,'Code List'!$D$37,",",'Code List'!$B$38,"""",H665,"""",",",'Code List'!$B$39,"""",I665,"""",",",'Code List'!$B$40,"""",J665,"""",",",'Code List'!$B$41,"""",K665,"""",",",'Code List'!$B$42,"""",L665,"""",",",'Code List'!$B$43,"""",M665,"""",",",'Code List'!$B$44,"""",N665,"""",",",'Code List'!$B$45,"""",O665,"""",",",'Code List'!$B$46,"""",P665,"""",",",'Code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List'!$B$59,"""",T665,"""","}"),"")</f>
        <v/>
      </c>
    </row>
    <row r="666" spans="1:25" x14ac:dyDescent="0.25">
      <c r="A666" t="str">
        <f>IF(AND($A660="YES",E660=$D$1,F666&gt;0),"YES","NO")</f>
        <v>NO</v>
      </c>
      <c r="C666" t="s">
        <v>5</v>
      </c>
      <c r="D666" s="12" t="str">
        <f t="shared" si="574"/>
        <v>12F</v>
      </c>
      <c r="E666" t="s">
        <v>196</v>
      </c>
      <c r="F666">
        <f>'Expanded Base Data'!J658</f>
        <v>0</v>
      </c>
      <c r="G666" s="171">
        <f>F660</f>
        <v>0</v>
      </c>
      <c r="H666">
        <f>ROUND(B660+'Slide Measurements'!$D$17,$O$1)</f>
        <v>461.51</v>
      </c>
      <c r="I666">
        <f>ROUND(H666+(F666*'Slide Measurements'!$D$21),$O$1)</f>
        <v>461.51</v>
      </c>
      <c r="J666">
        <f>K665</f>
        <v>461.23000000000013</v>
      </c>
      <c r="K666">
        <f>J666+($I$1*'Slide Measurements'!$E$23-'Slide Measurements'!$E$23)</f>
        <v>463.08000000000015</v>
      </c>
      <c r="L666" s="5" t="str">
        <f>'Expanded Base Data'!$L658</f>
        <v/>
      </c>
      <c r="M666" s="5" t="str">
        <f>'Expanded Base Data'!$K658</f>
        <v/>
      </c>
      <c r="N666">
        <f t="shared" si="575"/>
        <v>0</v>
      </c>
      <c r="O666">
        <f t="shared" si="576"/>
        <v>1.85</v>
      </c>
      <c r="P666" s="5" t="e">
        <f t="shared" si="577"/>
        <v>#VALUE!</v>
      </c>
      <c r="Q666">
        <f>'Code List'!$C$63</f>
        <v>3</v>
      </c>
      <c r="R666">
        <f>F667+'Code List'!$G$63</f>
        <v>2</v>
      </c>
      <c r="S666" t="e">
        <f t="shared" si="578"/>
        <v>#VALUE!</v>
      </c>
      <c r="T666" t="e">
        <f t="shared" si="580"/>
        <v>#VALUE!</v>
      </c>
      <c r="U666" t="str">
        <f>IF(A666="YES",CONCATENATE(G666,"_",'Program Page'!$C$4,'Program Page'!$C$5,"_",D666,"_",E666),"")</f>
        <v/>
      </c>
      <c r="V666" t="str">
        <f t="shared" si="579"/>
        <v/>
      </c>
      <c r="W666" t="str">
        <f>IF(A666="YES",CONCATENATE("{",'Code List'!$B$4,'Code List'!$D$4,",",'Code List'!$B$5,'Code List'!$D$5,",",'Code List'!$B$6,"""",U666,"""",",",'Code List'!$B$7,'Code List'!$D$7,",",'Code List'!$B$8,'Code List'!$D$8,",",'Code List'!$B$9,'Code List'!$D$9,",",'Code List'!$B$10,'Code List'!$D$10,",",'Code List'!$B$11,"""",V666,"""",",",'Code List'!$B$12,"""",H666,"""",",",'Code List'!$B$13,"""",I666,"""",",",'Code List'!$B$14,"""",J666,"""",",",'Code List'!$B$15,"""",K666,"""",",",'Code List'!$B$16,"""",L666,"""",",",'Code List'!$B$17,"""",M666,"""",",",'Code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66" s="167" t="str">
        <f>IF(A666="YES",CONCATENATE("{",'Code List'!$B$31,"""",U666,"""",",",'Code List'!$B$32,'Code List'!$D$32,",",'Code List'!$B$33,'Code List'!$D$33,",",'Code List'!$B$34,'Code List'!$D$34,",",'Code List'!$B$35,'Code List'!$D$35,",",'Code List'!$B$36,'Code List'!$D$36,",",'Code List'!$B$37,'Code List'!$D$37,",",'Code List'!$B$38,"""",H666,"""",",",'Code List'!$B$39,"""",I666,"""",",",'Code List'!$B$40,"""",J666,"""",",",'Code List'!$B$41,"""",K666,"""",",",'Code List'!$B$42,"""",L666,"""",",",'Code List'!$B$43,"""",M666,"""",",",'Code List'!$B$44,"""",N666,"""",",",'Code List'!$B$45,"""",O666,"""",",",'Code List'!$B$46,"""",P666,"""",",",'Code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List'!$B$59,"""",T666,"""","}"),"")</f>
        <v/>
      </c>
    </row>
    <row r="667" spans="1:25" x14ac:dyDescent="0.25">
      <c r="A667" s="162" t="str">
        <f>IF(AND($A660="YES",E660=$E$1),"YES","NO")</f>
        <v>NO</v>
      </c>
      <c r="C667" t="s">
        <v>259</v>
      </c>
      <c r="D667" s="12" t="str">
        <f>D666</f>
        <v>12F</v>
      </c>
      <c r="E667" t="s">
        <v>259</v>
      </c>
      <c r="G667" s="171">
        <f>F660</f>
        <v>0</v>
      </c>
      <c r="H667">
        <f>ROUND(B660,$O$1)</f>
        <v>436.11</v>
      </c>
      <c r="I667">
        <f>ROUND(B660+'Slide Measurements'!$D$1,$O$1)</f>
        <v>512.55999999999995</v>
      </c>
      <c r="J667">
        <f>C660</f>
        <v>449.53000000000003</v>
      </c>
      <c r="K667">
        <f>C660+'Slide Measurements'!$D$2</f>
        <v>476.93</v>
      </c>
      <c r="L667" s="5" t="str">
        <f>'Expanded Base Data'!$L658</f>
        <v/>
      </c>
      <c r="M667" s="5" t="str">
        <f>'Expanded Base Data'!$K658</f>
        <v/>
      </c>
      <c r="N667">
        <f t="shared" si="575"/>
        <v>76.45</v>
      </c>
      <c r="O667">
        <f t="shared" si="576"/>
        <v>27.4</v>
      </c>
      <c r="P667" s="5" t="e">
        <f>ROUND((L667-M667),$O$1)</f>
        <v>#VALUE!</v>
      </c>
      <c r="Q667">
        <f>'Code List'!$C$70</f>
        <v>11</v>
      </c>
      <c r="R667">
        <f>'Code List'!$D$70</f>
        <v>19</v>
      </c>
      <c r="S667" t="e">
        <f>IF(P667=0,"1",ROUND((P667/$K$1)+$M$1,0))</f>
        <v>#VALUE!</v>
      </c>
      <c r="T667" t="e">
        <f>Q667*R667*S667</f>
        <v>#VALUE!</v>
      </c>
      <c r="U667" t="str">
        <f>IF(A667="YES",CONCATENATE(G667,"_",'Program Page'!$C$4,'Program Page'!$C$5,"_",D667,"_",E667),"")</f>
        <v/>
      </c>
      <c r="V667" t="str">
        <f>IF(U667="","",CONCATENATE(U667,"_"))</f>
        <v/>
      </c>
      <c r="W667" t="str">
        <f>IF(A667="YES",CONCATENATE("{",'Code List'!$B$4,'Code List'!$D$4,",",'Code List'!$B$5,'Code List'!$D$5,",",'Code List'!$B$6,"""",U667,"""",",",'Code List'!$B$7,'Code List'!$D$7,",",'Code List'!$B$8,'Code List'!$D$8,",",'Code List'!$B$9,'Code List'!$D$9,",",'Code List'!$B$10,'Code List'!$D$10,",",'Code List'!$B$11,"""",V667,"""",",",'Code List'!$B$12,"""",H667,"""",",",'Code List'!$B$13,"""",I667,"""",",",'Code List'!$B$14,"""",J667,"""",",",'Code List'!$B$15,"""",K667,"""",",",'Code List'!$B$16,"""",L667,"""",",",'Code List'!$B$17,"""",M667,"""",",",'Code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667" s="167" t="str">
        <f>IF(A667="YES",CONCATENATE("{",'Code List'!$B$31,"""",U667,"""",",",'Code List'!$B$32,'Code List'!$D$32,",",'Code List'!$B$33,'Code List'!$D$33,",",'Code List'!$B$34,'Code List'!$D$34,",",'Code List'!$B$35,'Code List'!$D$35,",",'Code List'!$B$36,'Code List'!$D$36,",",'Code List'!$B$37,'Code List'!$D$37,",",'Code List'!$B$38,"""",H667,"""",",",'Code List'!$B$39,"""",I667,"""",",",'Code List'!$B$40,"""",J667,"""",",",'Code List'!$B$41,"""",K667,"""",",",'Code List'!$B$42,"""",L667,"""",",",'Code List'!$B$43,"""",M667,"""",",",'Code List'!$B$44,"""",N667,"""",",",'Code List'!$B$45,"""",O667,"""",",",'Code List'!$B$46,"""",P667,"""",",",'Code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List'!$B$59,"""",T667,"""","}"),"")</f>
        <v/>
      </c>
    </row>
    <row r="668" spans="1:25" ht="18.75" x14ac:dyDescent="0.3">
      <c r="A668" s="35" t="str">
        <f>IF(OR(E668=$C$1,E668=$D$1,E668=$E$1),"YES","NO")</f>
        <v>NO</v>
      </c>
      <c r="B668" s="35">
        <f>'Expanded Base Data'!D666</f>
        <v>523.01</v>
      </c>
      <c r="C668" s="35">
        <f>'Expanded Base Data'!E666</f>
        <v>449.53000000000003</v>
      </c>
      <c r="D668" s="36" t="str">
        <f>'Expanded Base Data'!B666</f>
        <v>12G</v>
      </c>
      <c r="E668" s="35">
        <f>'Expanded Base Data'!C666</f>
        <v>0</v>
      </c>
      <c r="F668" s="35">
        <f>'Expanded Base Data'!M666</f>
        <v>0</v>
      </c>
      <c r="G668" s="170">
        <f>F668</f>
        <v>0</v>
      </c>
      <c r="Y668" s="167" t="str">
        <f>""</f>
        <v/>
      </c>
    </row>
    <row r="669" spans="1:25" x14ac:dyDescent="0.25">
      <c r="A669" t="str">
        <f>IF(AND($A668="YES",E668=$C$1),"YES","NO")</f>
        <v>NO</v>
      </c>
      <c r="C669" t="s">
        <v>6</v>
      </c>
      <c r="D669" s="12" t="str">
        <f>D668</f>
        <v>12G</v>
      </c>
      <c r="E669" t="s">
        <v>6</v>
      </c>
      <c r="F669" t="s">
        <v>198</v>
      </c>
      <c r="G669" s="171">
        <f>F668</f>
        <v>0</v>
      </c>
      <c r="H669">
        <f>IF('Expanded Base Data'!N666="",ROUND(B668+'Slide Measurements'!$D$11,$O$1),B668+'Expanded Base Data'!N666)</f>
        <v>556.01</v>
      </c>
      <c r="I669">
        <f>IF('Expanded Base Data'!O666="",ROUND(B668+'Slide Measurements'!$D$12,$O$1),B668+'Expanded Base Data'!O666)</f>
        <v>564.61</v>
      </c>
      <c r="J669">
        <f>IF('Expanded Base Data'!P666="",C668+'Slide Measurements'!$E$13,C668+'Expanded Base Data'!P666)</f>
        <v>458.23</v>
      </c>
      <c r="K669">
        <f>IF('Expanded Base Data'!Q666="",C668+'Slide Measurements'!$E$14,C668+'Expanded Base Data'!Q666)</f>
        <v>466.83000000000004</v>
      </c>
      <c r="L669" s="5" t="str">
        <f>'Expanded Base Data'!$L666</f>
        <v/>
      </c>
      <c r="M669" s="5" t="str">
        <f>'Expanded Base Data'!$K666</f>
        <v/>
      </c>
      <c r="N669">
        <f>ROUND((I669-H669),$O$1)</f>
        <v>8.6</v>
      </c>
      <c r="O669">
        <f>ROUND((K669-J669),$O$1)</f>
        <v>8.6</v>
      </c>
      <c r="P669" s="5" t="e">
        <f>ROUND((L669-M669),$O$1)</f>
        <v>#VALUE!</v>
      </c>
      <c r="Q669">
        <f>'Code List'!$C$62</f>
        <v>5</v>
      </c>
      <c r="R669">
        <f>F670+'Code List'!$G$63</f>
        <v>2</v>
      </c>
      <c r="S669" t="e">
        <f>IF(P669=0,"1",ROUND((P669/$K$1)+$M$1,0))</f>
        <v>#VALUE!</v>
      </c>
      <c r="T669" t="e">
        <f>Q669*R669*S669</f>
        <v>#VALUE!</v>
      </c>
      <c r="U669" t="str">
        <f>IF(A669="YES",CONCATENATE(G669,"_",'Program Page'!$C$4,'Program Page'!$C$5,"_",D669,"_",E669),"")</f>
        <v/>
      </c>
      <c r="V669" t="str">
        <f>IF(U669="","",CONCATENATE(U669,"_"))</f>
        <v/>
      </c>
      <c r="W669" t="str">
        <f>IF(A669="YES",CONCATENATE("{",'Code List'!$B$4,'Code List'!$D$4,",",'Code List'!$B$5,'Code List'!$D$5,",",'Code List'!$B$6,"""",U669,"""",",",'Code List'!$B$7,'Code List'!$D$7,",",'Code List'!$B$8,'Code List'!$D$8,",",'Code List'!$B$9,'Code List'!$D$9,",",'Code List'!$B$10,'Code List'!$D$10,",",'Code List'!$B$11,"""",V669,"""",",",'Code List'!$B$12,"""",H669,"""",",",'Code List'!$B$13,"""",I669,"""",",",'Code List'!$B$14,"""",J669,"""",",",'Code List'!$B$15,"""",K669,"""",",",'Code List'!$B$16,"""",L669,"""",",",'Code List'!$B$17,"""",M669,"""",",",'Code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69" s="167" t="str">
        <f>IF(A669="YES",CONCATENATE("{",'Code List'!$B$31,"""",U669,"""",",",'Code List'!$B$32,'Code List'!$D$32,",",'Code List'!$B$33,'Code List'!$D$33,",",'Code List'!$B$34,'Code List'!$D$34,",",'Code List'!$B$35,'Code List'!$D$35,",",'Code List'!$B$36,'Code List'!$D$36,",",'Code List'!$B$37,'Code List'!$D$37,",",'Code List'!$B$38,"""",H669,"""",",",'Code List'!$B$39,"""",I669,"""",",",'Code List'!$B$40,"""",J669,"""",",",'Code List'!$B$41,"""",K669,"""",",",'Code List'!$B$42,"""",L669,"""",",",'Code List'!$B$43,"""",M669,"""",",",'Code List'!$B$44,"""",N669,"""",",",'Code List'!$B$45,"""",O669,"""",",",'Code List'!$B$46,"""",P669,"""",",",'Code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List'!$B$59,"""",T669,"""","}"),"")</f>
        <v/>
      </c>
    </row>
    <row r="670" spans="1:25" x14ac:dyDescent="0.25">
      <c r="A670" t="str">
        <f>IF(AND($A668="YES",E668=$D$1,F670&gt;0),"YES","NO")</f>
        <v>NO</v>
      </c>
      <c r="C670" t="s">
        <v>5</v>
      </c>
      <c r="D670" s="12" t="str">
        <f t="shared" ref="D670:D674" si="581">D669</f>
        <v>12G</v>
      </c>
      <c r="E670" t="s">
        <v>188</v>
      </c>
      <c r="F670">
        <f>'Expanded Base Data'!F666</f>
        <v>0</v>
      </c>
      <c r="G670" s="171">
        <f>F668</f>
        <v>0</v>
      </c>
      <c r="H670">
        <f>ROUND(B668+'Slide Measurements'!$D$17,$O$1)</f>
        <v>548.41</v>
      </c>
      <c r="I670">
        <f>ROUND(H670+(F670*'Slide Measurements'!$D$21),$O$1)</f>
        <v>548.41</v>
      </c>
      <c r="J670">
        <f>C668+'Slide Measurements'!$E$17</f>
        <v>453.83000000000004</v>
      </c>
      <c r="K670">
        <f>J670+($I$1*'Slide Measurements'!$E$23-'Slide Measurements'!$E$23)</f>
        <v>455.68000000000006</v>
      </c>
      <c r="L670" s="5" t="str">
        <f>'Expanded Base Data'!$L666</f>
        <v/>
      </c>
      <c r="M670" s="5" t="str">
        <f>'Expanded Base Data'!$K666</f>
        <v/>
      </c>
      <c r="N670">
        <f t="shared" ref="N670:N675" si="582">ROUND((I670-H670),$O$1)</f>
        <v>0</v>
      </c>
      <c r="O670">
        <f t="shared" ref="O670:O675" si="583">ROUND((K670-J670),$O$1)</f>
        <v>1.85</v>
      </c>
      <c r="P670" s="5" t="e">
        <f t="shared" ref="P670:P674" si="584">ROUND((L670-M670),$O$1)</f>
        <v>#VALUE!</v>
      </c>
      <c r="Q670">
        <f>'Code List'!$C$63</f>
        <v>3</v>
      </c>
      <c r="R670">
        <f>F671+'Code List'!$G$63</f>
        <v>2</v>
      </c>
      <c r="S670" t="e">
        <f t="shared" ref="S670:S674" si="585">IF(P670=0,"1",ROUND((P670/$K$1)+$M$1,0))</f>
        <v>#VALUE!</v>
      </c>
      <c r="T670" t="e">
        <f>Q670*R670*S670</f>
        <v>#VALUE!</v>
      </c>
      <c r="U670" t="str">
        <f>IF(A670="YES",CONCATENATE(G670,"_",'Program Page'!$C$4,'Program Page'!$C$5,"_",D670,"_",E670),"")</f>
        <v/>
      </c>
      <c r="V670" t="str">
        <f t="shared" ref="V670:V674" si="586">IF(U670="","",CONCATENATE(U670,"_"))</f>
        <v/>
      </c>
      <c r="W670" t="str">
        <f>IF(A670="YES",CONCATENATE("{",'Code List'!$B$4,'Code List'!$D$4,",",'Code List'!$B$5,'Code List'!$D$5,",",'Code List'!$B$6,"""",U670,"""",",",'Code List'!$B$7,'Code List'!$D$7,",",'Code List'!$B$8,'Code List'!$D$8,",",'Code List'!$B$9,'Code List'!$D$9,",",'Code List'!$B$10,'Code List'!$D$10,",",'Code List'!$B$11,"""",V670,"""",",",'Code List'!$B$12,"""",H670,"""",",",'Code List'!$B$13,"""",I670,"""",",",'Code List'!$B$14,"""",J670,"""",",",'Code List'!$B$15,"""",K670,"""",",",'Code List'!$B$16,"""",L670,"""",",",'Code List'!$B$17,"""",M670,"""",",",'Code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70" s="167" t="str">
        <f>IF(A670="YES",CONCATENATE("{",'Code List'!$B$31,"""",U670,"""",",",'Code List'!$B$32,'Code List'!$D$32,",",'Code List'!$B$33,'Code List'!$D$33,",",'Code List'!$B$34,'Code List'!$D$34,",",'Code List'!$B$35,'Code List'!$D$35,",",'Code List'!$B$36,'Code List'!$D$36,",",'Code List'!$B$37,'Code List'!$D$37,",",'Code List'!$B$38,"""",H670,"""",",",'Code List'!$B$39,"""",I670,"""",",",'Code List'!$B$40,"""",J670,"""",",",'Code List'!$B$41,"""",K670,"""",",",'Code List'!$B$42,"""",L670,"""",",",'Code List'!$B$43,"""",M670,"""",",",'Code List'!$B$44,"""",N670,"""",",",'Code List'!$B$45,"""",O670,"""",",",'Code List'!$B$46,"""",P670,"""",",",'Code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List'!$B$59,"""",T670,"""","}"),"")</f>
        <v/>
      </c>
    </row>
    <row r="671" spans="1:25" x14ac:dyDescent="0.25">
      <c r="A671" t="str">
        <f>IF(AND($A668="YES",E668=$D$1,F671&gt;0),"YES","NO")</f>
        <v>NO</v>
      </c>
      <c r="C671" t="s">
        <v>5</v>
      </c>
      <c r="D671" s="12" t="str">
        <f t="shared" si="581"/>
        <v>12G</v>
      </c>
      <c r="E671" t="s">
        <v>189</v>
      </c>
      <c r="F671">
        <f>'Expanded Base Data'!G666</f>
        <v>0</v>
      </c>
      <c r="G671" s="171">
        <f>F668</f>
        <v>0</v>
      </c>
      <c r="H671">
        <f>ROUND(B668+'Slide Measurements'!$D$17,$O$1)</f>
        <v>548.41</v>
      </c>
      <c r="I671">
        <f>ROUND(H671+(F671*'Slide Measurements'!$D$21),$O$1)</f>
        <v>548.41</v>
      </c>
      <c r="J671">
        <f>K670</f>
        <v>455.68000000000006</v>
      </c>
      <c r="K671">
        <f>J671+($I$1*'Slide Measurements'!$E$23-'Slide Measurements'!$E$23)</f>
        <v>457.53000000000009</v>
      </c>
      <c r="L671" s="5" t="str">
        <f>'Expanded Base Data'!$L666</f>
        <v/>
      </c>
      <c r="M671" s="5" t="str">
        <f>'Expanded Base Data'!$K666</f>
        <v/>
      </c>
      <c r="N671">
        <f t="shared" si="582"/>
        <v>0</v>
      </c>
      <c r="O671">
        <f t="shared" si="583"/>
        <v>1.85</v>
      </c>
      <c r="P671" s="5" t="e">
        <f t="shared" si="584"/>
        <v>#VALUE!</v>
      </c>
      <c r="Q671">
        <f>'Code List'!$C$63</f>
        <v>3</v>
      </c>
      <c r="R671">
        <f>F672+'Code List'!$G$63</f>
        <v>2</v>
      </c>
      <c r="S671" t="e">
        <f t="shared" si="585"/>
        <v>#VALUE!</v>
      </c>
      <c r="T671" t="e">
        <f t="shared" ref="T671:T674" si="587">Q671*R671*S671</f>
        <v>#VALUE!</v>
      </c>
      <c r="U671" t="str">
        <f>IF(A671="YES",CONCATENATE(G671,"_",'Program Page'!$C$4,'Program Page'!$C$5,"_",D671,"_",E671),"")</f>
        <v/>
      </c>
      <c r="V671" t="str">
        <f t="shared" si="586"/>
        <v/>
      </c>
      <c r="W671" t="str">
        <f>IF(A671="YES",CONCATENATE("{",'Code List'!$B$4,'Code List'!$D$4,",",'Code List'!$B$5,'Code List'!$D$5,",",'Code List'!$B$6,"""",U671,"""",",",'Code List'!$B$7,'Code List'!$D$7,",",'Code List'!$B$8,'Code List'!$D$8,",",'Code List'!$B$9,'Code List'!$D$9,",",'Code List'!$B$10,'Code List'!$D$10,",",'Code List'!$B$11,"""",V671,"""",",",'Code List'!$B$12,"""",H671,"""",",",'Code List'!$B$13,"""",I671,"""",",",'Code List'!$B$14,"""",J671,"""",",",'Code List'!$B$15,"""",K671,"""",",",'Code List'!$B$16,"""",L671,"""",",",'Code List'!$B$17,"""",M671,"""",",",'Code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71" s="167" t="str">
        <f>IF(A671="YES",CONCATENATE("{",'Code List'!$B$31,"""",U671,"""",",",'Code List'!$B$32,'Code List'!$D$32,",",'Code List'!$B$33,'Code List'!$D$33,",",'Code List'!$B$34,'Code List'!$D$34,",",'Code List'!$B$35,'Code List'!$D$35,",",'Code List'!$B$36,'Code List'!$D$36,",",'Code List'!$B$37,'Code List'!$D$37,",",'Code List'!$B$38,"""",H671,"""",",",'Code List'!$B$39,"""",I671,"""",",",'Code List'!$B$40,"""",J671,"""",",",'Code List'!$B$41,"""",K671,"""",",",'Code List'!$B$42,"""",L671,"""",",",'Code List'!$B$43,"""",M671,"""",",",'Code List'!$B$44,"""",N671,"""",",",'Code List'!$B$45,"""",O671,"""",",",'Code List'!$B$46,"""",P671,"""",",",'Code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List'!$B$59,"""",T671,"""","}"),"")</f>
        <v/>
      </c>
    </row>
    <row r="672" spans="1:25" x14ac:dyDescent="0.25">
      <c r="A672" t="str">
        <f>IF(AND($A668="YES",E668=$D$1,F672&gt;0),"YES","NO")</f>
        <v>NO</v>
      </c>
      <c r="C672" t="s">
        <v>5</v>
      </c>
      <c r="D672" s="12" t="str">
        <f t="shared" si="581"/>
        <v>12G</v>
      </c>
      <c r="E672" t="s">
        <v>190</v>
      </c>
      <c r="F672">
        <f>'Expanded Base Data'!H666</f>
        <v>0</v>
      </c>
      <c r="G672" s="171">
        <f>F668</f>
        <v>0</v>
      </c>
      <c r="H672">
        <f>ROUND(B668+'Slide Measurements'!$D$17,$O$1)</f>
        <v>548.41</v>
      </c>
      <c r="I672">
        <f>ROUND(H672+(F672*'Slide Measurements'!$D$21),$O$1)</f>
        <v>548.41</v>
      </c>
      <c r="J672">
        <f>K671</f>
        <v>457.53000000000009</v>
      </c>
      <c r="K672">
        <f>J672+($I$1*'Slide Measurements'!$E$23-'Slide Measurements'!$E$23)</f>
        <v>459.38000000000011</v>
      </c>
      <c r="L672" s="5" t="str">
        <f>'Expanded Base Data'!$L666</f>
        <v/>
      </c>
      <c r="M672" s="5" t="str">
        <f>'Expanded Base Data'!$K666</f>
        <v/>
      </c>
      <c r="N672">
        <f t="shared" si="582"/>
        <v>0</v>
      </c>
      <c r="O672">
        <f t="shared" si="583"/>
        <v>1.85</v>
      </c>
      <c r="P672" s="5" t="e">
        <f t="shared" si="584"/>
        <v>#VALUE!</v>
      </c>
      <c r="Q672">
        <f>'Code List'!$C$63</f>
        <v>3</v>
      </c>
      <c r="R672">
        <f>F673+'Code List'!$G$63</f>
        <v>2</v>
      </c>
      <c r="S672" t="e">
        <f t="shared" si="585"/>
        <v>#VALUE!</v>
      </c>
      <c r="T672" t="e">
        <f t="shared" si="587"/>
        <v>#VALUE!</v>
      </c>
      <c r="U672" t="str">
        <f>IF(A672="YES",CONCATENATE(G672,"_",'Program Page'!$C$4,'Program Page'!$C$5,"_",D672,"_",E672),"")</f>
        <v/>
      </c>
      <c r="V672" t="str">
        <f t="shared" si="586"/>
        <v/>
      </c>
      <c r="W672" t="str">
        <f>IF(A672="YES",CONCATENATE("{",'Code List'!$B$4,'Code List'!$D$4,",",'Code List'!$B$5,'Code List'!$D$5,",",'Code List'!$B$6,"""",U672,"""",",",'Code List'!$B$7,'Code List'!$D$7,",",'Code List'!$B$8,'Code List'!$D$8,",",'Code List'!$B$9,'Code List'!$D$9,",",'Code List'!$B$10,'Code List'!$D$10,",",'Code List'!$B$11,"""",V672,"""",",",'Code List'!$B$12,"""",H672,"""",",",'Code List'!$B$13,"""",I672,"""",",",'Code List'!$B$14,"""",J672,"""",",",'Code List'!$B$15,"""",K672,"""",",",'Code List'!$B$16,"""",L672,"""",",",'Code List'!$B$17,"""",M672,"""",",",'Code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72" s="167" t="str">
        <f>IF(A672="YES",CONCATENATE("{",'Code List'!$B$31,"""",U672,"""",",",'Code List'!$B$32,'Code List'!$D$32,",",'Code List'!$B$33,'Code List'!$D$33,",",'Code List'!$B$34,'Code List'!$D$34,",",'Code List'!$B$35,'Code List'!$D$35,",",'Code List'!$B$36,'Code List'!$D$36,",",'Code List'!$B$37,'Code List'!$D$37,",",'Code List'!$B$38,"""",H672,"""",",",'Code List'!$B$39,"""",I672,"""",",",'Code List'!$B$40,"""",J672,"""",",",'Code List'!$B$41,"""",K672,"""",",",'Code List'!$B$42,"""",L672,"""",",",'Code List'!$B$43,"""",M672,"""",",",'Code List'!$B$44,"""",N672,"""",",",'Code List'!$B$45,"""",O672,"""",",",'Code List'!$B$46,"""",P672,"""",",",'Code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List'!$B$59,"""",T672,"""","}"),"")</f>
        <v/>
      </c>
    </row>
    <row r="673" spans="1:25" x14ac:dyDescent="0.25">
      <c r="A673" t="str">
        <f>IF(AND($A668="YES",E668=$D$1,F673&gt;0),"YES","NO")</f>
        <v>NO</v>
      </c>
      <c r="C673" t="s">
        <v>5</v>
      </c>
      <c r="D673" s="12" t="str">
        <f t="shared" si="581"/>
        <v>12G</v>
      </c>
      <c r="E673" t="s">
        <v>191</v>
      </c>
      <c r="F673">
        <f>'Expanded Base Data'!I666</f>
        <v>0</v>
      </c>
      <c r="G673" s="171">
        <f>F668</f>
        <v>0</v>
      </c>
      <c r="H673">
        <f>ROUND(B668+'Slide Measurements'!$D$17,$O$1)</f>
        <v>548.41</v>
      </c>
      <c r="I673">
        <f>ROUND(H673+(F673*'Slide Measurements'!$D$21),$O$1)</f>
        <v>548.41</v>
      </c>
      <c r="J673">
        <f>K672</f>
        <v>459.38000000000011</v>
      </c>
      <c r="K673">
        <f>J673+($I$1*'Slide Measurements'!$E$23-'Slide Measurements'!$E$23)</f>
        <v>461.23000000000013</v>
      </c>
      <c r="L673" s="5" t="str">
        <f>'Expanded Base Data'!$L666</f>
        <v/>
      </c>
      <c r="M673" s="5" t="str">
        <f>'Expanded Base Data'!$K666</f>
        <v/>
      </c>
      <c r="N673">
        <f t="shared" si="582"/>
        <v>0</v>
      </c>
      <c r="O673">
        <f t="shared" si="583"/>
        <v>1.85</v>
      </c>
      <c r="P673" s="5" t="e">
        <f t="shared" si="584"/>
        <v>#VALUE!</v>
      </c>
      <c r="Q673">
        <f>'Code List'!$C$63</f>
        <v>3</v>
      </c>
      <c r="R673">
        <f>F674+'Code List'!$G$63</f>
        <v>2</v>
      </c>
      <c r="S673" t="e">
        <f t="shared" si="585"/>
        <v>#VALUE!</v>
      </c>
      <c r="T673" t="e">
        <f t="shared" si="587"/>
        <v>#VALUE!</v>
      </c>
      <c r="U673" t="str">
        <f>IF(A673="YES",CONCATENATE(G673,"_",'Program Page'!$C$4,'Program Page'!$C$5,"_",D673,"_",E673),"")</f>
        <v/>
      </c>
      <c r="V673" t="str">
        <f t="shared" si="586"/>
        <v/>
      </c>
      <c r="W673" t="str">
        <f>IF(A673="YES",CONCATENATE("{",'Code List'!$B$4,'Code List'!$D$4,",",'Code List'!$B$5,'Code List'!$D$5,",",'Code List'!$B$6,"""",U673,"""",",",'Code List'!$B$7,'Code List'!$D$7,",",'Code List'!$B$8,'Code List'!$D$8,",",'Code List'!$B$9,'Code List'!$D$9,",",'Code List'!$B$10,'Code List'!$D$10,",",'Code List'!$B$11,"""",V673,"""",",",'Code List'!$B$12,"""",H673,"""",",",'Code List'!$B$13,"""",I673,"""",",",'Code List'!$B$14,"""",J673,"""",",",'Code List'!$B$15,"""",K673,"""",",",'Code List'!$B$16,"""",L673,"""",",",'Code List'!$B$17,"""",M673,"""",",",'Code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73" s="167" t="str">
        <f>IF(A673="YES",CONCATENATE("{",'Code List'!$B$31,"""",U673,"""",",",'Code List'!$B$32,'Code List'!$D$32,",",'Code List'!$B$33,'Code List'!$D$33,",",'Code List'!$B$34,'Code List'!$D$34,",",'Code List'!$B$35,'Code List'!$D$35,",",'Code List'!$B$36,'Code List'!$D$36,",",'Code List'!$B$37,'Code List'!$D$37,",",'Code List'!$B$38,"""",H673,"""",",",'Code List'!$B$39,"""",I673,"""",",",'Code List'!$B$40,"""",J673,"""",",",'Code List'!$B$41,"""",K673,"""",",",'Code List'!$B$42,"""",L673,"""",",",'Code List'!$B$43,"""",M673,"""",",",'Code List'!$B$44,"""",N673,"""",",",'Code List'!$B$45,"""",O673,"""",",",'Code List'!$B$46,"""",P673,"""",",",'Code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List'!$B$59,"""",T673,"""","}"),"")</f>
        <v/>
      </c>
    </row>
    <row r="674" spans="1:25" x14ac:dyDescent="0.25">
      <c r="A674" t="str">
        <f>IF(AND($A668="YES",E668=$D$1,F674&gt;0),"YES","NO")</f>
        <v>NO</v>
      </c>
      <c r="C674" t="s">
        <v>5</v>
      </c>
      <c r="D674" s="12" t="str">
        <f t="shared" si="581"/>
        <v>12G</v>
      </c>
      <c r="E674" t="s">
        <v>196</v>
      </c>
      <c r="F674">
        <f>'Expanded Base Data'!J666</f>
        <v>0</v>
      </c>
      <c r="G674" s="171">
        <f>F668</f>
        <v>0</v>
      </c>
      <c r="H674">
        <f>ROUND(B668+'Slide Measurements'!$D$17,$O$1)</f>
        <v>548.41</v>
      </c>
      <c r="I674">
        <f>ROUND(H674+(F674*'Slide Measurements'!$D$21),$O$1)</f>
        <v>548.41</v>
      </c>
      <c r="J674">
        <f>K673</f>
        <v>461.23000000000013</v>
      </c>
      <c r="K674">
        <f>J674+($I$1*'Slide Measurements'!$E$23-'Slide Measurements'!$E$23)</f>
        <v>463.08000000000015</v>
      </c>
      <c r="L674" s="5" t="str">
        <f>'Expanded Base Data'!$L666</f>
        <v/>
      </c>
      <c r="M674" s="5" t="str">
        <f>'Expanded Base Data'!$K666</f>
        <v/>
      </c>
      <c r="N674">
        <f t="shared" si="582"/>
        <v>0</v>
      </c>
      <c r="O674">
        <f t="shared" si="583"/>
        <v>1.85</v>
      </c>
      <c r="P674" s="5" t="e">
        <f t="shared" si="584"/>
        <v>#VALUE!</v>
      </c>
      <c r="Q674">
        <f>'Code List'!$C$63</f>
        <v>3</v>
      </c>
      <c r="R674">
        <f>F675+'Code List'!$G$63</f>
        <v>2</v>
      </c>
      <c r="S674" t="e">
        <f t="shared" si="585"/>
        <v>#VALUE!</v>
      </c>
      <c r="T674" t="e">
        <f t="shared" si="587"/>
        <v>#VALUE!</v>
      </c>
      <c r="U674" t="str">
        <f>IF(A674="YES",CONCATENATE(G674,"_",'Program Page'!$C$4,'Program Page'!$C$5,"_",D674,"_",E674),"")</f>
        <v/>
      </c>
      <c r="V674" t="str">
        <f t="shared" si="586"/>
        <v/>
      </c>
      <c r="W674" t="str">
        <f>IF(A674="YES",CONCATENATE("{",'Code List'!$B$4,'Code List'!$D$4,",",'Code List'!$B$5,'Code List'!$D$5,",",'Code List'!$B$6,"""",U674,"""",",",'Code List'!$B$7,'Code List'!$D$7,",",'Code List'!$B$8,'Code List'!$D$8,",",'Code List'!$B$9,'Code List'!$D$9,",",'Code List'!$B$10,'Code List'!$D$10,",",'Code List'!$B$11,"""",V674,"""",",",'Code List'!$B$12,"""",H674,"""",",",'Code List'!$B$13,"""",I674,"""",",",'Code List'!$B$14,"""",J674,"""",",",'Code List'!$B$15,"""",K674,"""",",",'Code List'!$B$16,"""",L674,"""",",",'Code List'!$B$17,"""",M674,"""",",",'Code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List'!$D$27,",",'Code List'!$B$28,'Code List'!$D$28,"}"),"")</f>
        <v/>
      </c>
      <c r="Y674" s="167" t="str">
        <f>IF(A674="YES",CONCATENATE("{",'Code List'!$B$31,"""",U674,"""",",",'Code List'!$B$32,'Code List'!$D$32,",",'Code List'!$B$33,'Code List'!$D$33,",",'Code List'!$B$34,'Code List'!$D$34,",",'Code List'!$B$35,'Code List'!$D$35,",",'Code List'!$B$36,'Code List'!$D$36,",",'Code List'!$B$37,'Code List'!$D$37,",",'Code List'!$B$38,"""",H674,"""",",",'Code List'!$B$39,"""",I674,"""",",",'Code List'!$B$40,"""",J674,"""",",",'Code List'!$B$41,"""",K674,"""",",",'Code List'!$B$42,"""",L674,"""",",",'Code List'!$B$43,"""",M674,"""",",",'Code List'!$B$44,"""",N674,"""",",",'Code List'!$B$45,"""",O674,"""",",",'Code List'!$B$46,"""",P674,"""",",",'Code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List'!$D$56,",",'Code List'!$B$57,'Code List'!$D$57,",",'Code List'!$B$58,'Code List'!$D$58,",",'Code List'!$B$59,"""",T674,"""","}"),"")</f>
        <v/>
      </c>
    </row>
    <row r="675" spans="1:25" x14ac:dyDescent="0.25">
      <c r="A675" s="162" t="str">
        <f>IF(AND($A668="YES",E668=$E$1),"YES","NO")</f>
        <v>NO</v>
      </c>
      <c r="C675" t="s">
        <v>259</v>
      </c>
      <c r="D675" s="12" t="str">
        <f>D674</f>
        <v>12G</v>
      </c>
      <c r="E675" t="s">
        <v>259</v>
      </c>
      <c r="G675" s="171">
        <f>F668</f>
        <v>0</v>
      </c>
      <c r="H675">
        <f>ROUND(B668,$O$1)</f>
        <v>523.01</v>
      </c>
      <c r="I675">
        <f>ROUND(B668+'Slide Measurements'!$D$1,$O$1)</f>
        <v>599.46</v>
      </c>
      <c r="J675">
        <f>C668</f>
        <v>449.53000000000003</v>
      </c>
      <c r="K675">
        <f>C668+'Slide Measurements'!$D$2</f>
        <v>476.93</v>
      </c>
      <c r="L675" s="5" t="str">
        <f>'Expanded Base Data'!$L666</f>
        <v/>
      </c>
      <c r="M675" s="5" t="str">
        <f>'Expanded Base Data'!$K666</f>
        <v/>
      </c>
      <c r="N675">
        <f t="shared" si="582"/>
        <v>76.45</v>
      </c>
      <c r="O675">
        <f t="shared" si="583"/>
        <v>27.4</v>
      </c>
      <c r="P675" s="5" t="e">
        <f>ROUND((L675-M675),$O$1)</f>
        <v>#VALUE!</v>
      </c>
      <c r="Q675">
        <f>'Code List'!$C$70</f>
        <v>11</v>
      </c>
      <c r="R675">
        <f>'Code List'!$D$70</f>
        <v>19</v>
      </c>
      <c r="S675" t="e">
        <f>IF(P675=0,"1",ROUND((P675/$K$1)+$M$1,0))</f>
        <v>#VALUE!</v>
      </c>
      <c r="T675" t="e">
        <f>Q675*R675*S675</f>
        <v>#VALUE!</v>
      </c>
      <c r="U675" t="str">
        <f>IF(A675="YES",CONCATENATE(G675,"_",'Program Page'!$C$4,'Program Page'!$C$5,"_",D675,"_",E675),"")</f>
        <v/>
      </c>
      <c r="V675" t="str">
        <f>IF(U675="","",CONCATENATE(U675,"_"))</f>
        <v/>
      </c>
      <c r="W675" t="str">
        <f>IF(A675="YES",CONCATENATE("{",'Code List'!$B$4,'Code List'!$D$4,",",'Code List'!$B$5,'Code List'!$D$5,",",'Code List'!$B$6,"""",U675,"""",",",'Code List'!$B$7,'Code List'!$D$7,",",'Code List'!$B$8,'Code List'!$D$8,",",'Code List'!$B$9,'Code List'!$D$9,",",'Code List'!$B$10,'Code List'!$D$10,",",'Code List'!$B$11,"""",V675,"""",",",'Code List'!$B$12,"""",H675,"""",",",'Code List'!$B$13,"""",I675,"""",",",'Code List'!$B$14,"""",J675,"""",",",'Code List'!$B$15,"""",K675,"""",",",'Code List'!$B$16,"""",L675,"""",",",'Code List'!$B$17,"""",M675,"""",",",'Code List'!$B$18,'Code List'!$D$18,",",'Code List'!$B$19,'Code List'!$D$19,",",'Code List'!$B$20,'Code List'!$D$20,",",'Code List'!$B$21,'Code List'!$D$21,",",'Code List'!$B$22,'Code List'!$D$22,",",'Code List'!$B$23,'Code List'!$D$23,",",'Code List'!$B$24,'Code List'!$D$24,",",'Code List'!$B$25,'Code List'!$D$25,",",'Code List'!$B$26,'Code List'!$D$26,",",'Code List'!$B$27,'Code List'!$F$27,",",'Code List'!$B$28,'Code List'!$F$28,"}"),"")</f>
        <v/>
      </c>
      <c r="Y675" s="167" t="str">
        <f>IF(A675="YES",CONCATENATE("{",'Code List'!$B$31,"""",U675,"""",",",'Code List'!$B$32,'Code List'!$D$32,",",'Code List'!$B$33,'Code List'!$D$33,",",'Code List'!$B$34,'Code List'!$D$34,",",'Code List'!$B$35,'Code List'!$D$35,",",'Code List'!$B$36,'Code List'!$D$36,",",'Code List'!$B$37,'Code List'!$D$37,",",'Code List'!$B$38,"""",H675,"""",",",'Code List'!$B$39,"""",I675,"""",",",'Code List'!$B$40,"""",J675,"""",",",'Code List'!$B$41,"""",K675,"""",",",'Code List'!$B$42,"""",L675,"""",",",'Code List'!$B$43,"""",M675,"""",",",'Code List'!$B$44,"""",N675,"""",",",'Code List'!$B$45,"""",O675,"""",",",'Code List'!$B$46,"""",P675,"""",",",'Code List'!$B$47,'Code List'!$D$47,",",'Code List'!$B$48,'Code List'!$D$48,",",'Code List'!$B$49,'Code List'!$D$49,",",'Code List'!$B$50,'Code List'!$D$50,",",'Code List'!$B$51,'Code List'!$D$51,",",'Code List'!$B$52,'Code List'!$D$52,",",'Code List'!$B$53,'Code List'!$D$53,",",'Code List'!$B$54,'Code List'!$D$54,",",'Code List'!$B$55,'Code List'!$D$55,",",'Code List'!$B$56,'Code List'!$F$56,",",'Code List'!$B$57,'Code List'!$F$57,",",'Code List'!$B$58,'Code List'!$F$58,",",'Code List'!$B$59,"""",T675,"""","}"),"")</f>
        <v/>
      </c>
    </row>
    <row r="676" spans="1:25" ht="18.75" x14ac:dyDescent="0.3">
      <c r="A676" s="35"/>
      <c r="B676" s="35"/>
      <c r="C676" s="35"/>
      <c r="D676" s="36"/>
      <c r="E676" s="35"/>
      <c r="F676" s="35"/>
      <c r="G676" s="170"/>
    </row>
    <row r="677" spans="1:25" x14ac:dyDescent="0.25">
      <c r="D677" s="12"/>
      <c r="L677" s="5"/>
      <c r="M677" s="5"/>
      <c r="P677" s="5"/>
    </row>
    <row r="678" spans="1:25" x14ac:dyDescent="0.25">
      <c r="D678" s="12"/>
      <c r="L678" s="5"/>
      <c r="M678" s="5"/>
      <c r="P678" s="5"/>
    </row>
    <row r="679" spans="1:25" x14ac:dyDescent="0.25">
      <c r="D679" s="12"/>
      <c r="L679" s="5"/>
      <c r="M679" s="5"/>
      <c r="P679" s="5"/>
    </row>
    <row r="680" spans="1:25" x14ac:dyDescent="0.25">
      <c r="D680" s="12"/>
      <c r="L680" s="5"/>
      <c r="M680" s="5"/>
      <c r="P680" s="5"/>
    </row>
    <row r="681" spans="1:25" x14ac:dyDescent="0.25">
      <c r="D681" s="12"/>
      <c r="L681" s="5"/>
      <c r="M681" s="5"/>
      <c r="P681" s="5"/>
    </row>
    <row r="682" spans="1:25" x14ac:dyDescent="0.25">
      <c r="D682" s="12"/>
      <c r="L682" s="5"/>
      <c r="M682" s="5"/>
      <c r="P682" s="5"/>
    </row>
    <row r="683" spans="1:25" x14ac:dyDescent="0.25">
      <c r="A683" s="162"/>
      <c r="D683" s="12"/>
      <c r="L683" s="5"/>
      <c r="M683" s="5"/>
      <c r="P683" s="5"/>
    </row>
    <row r="684" spans="1:25" ht="18.75" x14ac:dyDescent="0.3">
      <c r="A684" s="35"/>
      <c r="B684" s="35"/>
      <c r="C684" s="35"/>
      <c r="D684" s="36"/>
      <c r="E684" s="35"/>
      <c r="F684" s="35"/>
      <c r="G684" s="170"/>
    </row>
    <row r="685" spans="1:25" x14ac:dyDescent="0.25">
      <c r="D685" s="12"/>
      <c r="L685" s="5"/>
      <c r="M685" s="5"/>
      <c r="P685" s="5"/>
    </row>
    <row r="686" spans="1:25" x14ac:dyDescent="0.25">
      <c r="D686" s="12"/>
      <c r="L686" s="5"/>
      <c r="M686" s="5"/>
      <c r="P686" s="5"/>
    </row>
    <row r="687" spans="1:25" x14ac:dyDescent="0.25">
      <c r="D687" s="12"/>
      <c r="L687" s="5"/>
      <c r="M687" s="5"/>
      <c r="P687" s="5"/>
    </row>
    <row r="688" spans="1:25" x14ac:dyDescent="0.25">
      <c r="D688" s="12"/>
      <c r="L688" s="5"/>
      <c r="M688" s="5"/>
      <c r="P688" s="5"/>
    </row>
    <row r="689" spans="1:16" x14ac:dyDescent="0.25">
      <c r="D689" s="12"/>
      <c r="L689" s="5"/>
      <c r="M689" s="5"/>
      <c r="P689" s="5"/>
    </row>
    <row r="690" spans="1:16" x14ac:dyDescent="0.25">
      <c r="D690" s="12"/>
      <c r="L690" s="5"/>
      <c r="M690" s="5"/>
      <c r="P690" s="5"/>
    </row>
    <row r="691" spans="1:16" x14ac:dyDescent="0.25">
      <c r="A691" s="162"/>
      <c r="D691" s="12"/>
      <c r="L691" s="5"/>
      <c r="M691" s="5"/>
      <c r="P691" s="5"/>
    </row>
    <row r="692" spans="1:16" ht="18.75" x14ac:dyDescent="0.3">
      <c r="A692" s="35"/>
      <c r="B692" s="35"/>
      <c r="C692" s="35"/>
      <c r="D692" s="36"/>
      <c r="E692" s="35"/>
      <c r="F692" s="35"/>
      <c r="G692" s="170"/>
    </row>
    <row r="693" spans="1:16" x14ac:dyDescent="0.25">
      <c r="D693" s="12"/>
      <c r="L693" s="5"/>
      <c r="M693" s="5"/>
      <c r="P693" s="5"/>
    </row>
    <row r="694" spans="1:16" x14ac:dyDescent="0.25">
      <c r="D694" s="12"/>
      <c r="L694" s="5"/>
      <c r="M694" s="5"/>
      <c r="P694" s="5"/>
    </row>
    <row r="695" spans="1:16" x14ac:dyDescent="0.25">
      <c r="D695" s="12"/>
      <c r="L695" s="5"/>
      <c r="M695" s="5"/>
      <c r="P695" s="5"/>
    </row>
    <row r="696" spans="1:16" x14ac:dyDescent="0.25">
      <c r="D696" s="12"/>
      <c r="L696" s="5"/>
      <c r="M696" s="5"/>
      <c r="P696" s="5"/>
    </row>
    <row r="697" spans="1:16" x14ac:dyDescent="0.25">
      <c r="D697" s="12"/>
      <c r="L697" s="5"/>
      <c r="M697" s="5"/>
      <c r="P697" s="5"/>
    </row>
    <row r="698" spans="1:16" x14ac:dyDescent="0.25">
      <c r="D698" s="12"/>
      <c r="L698" s="5"/>
      <c r="M698" s="5"/>
      <c r="P698" s="5"/>
    </row>
    <row r="699" spans="1:16" x14ac:dyDescent="0.25">
      <c r="A699" s="162"/>
      <c r="D699" s="12"/>
      <c r="L699" s="5"/>
      <c r="M699" s="5"/>
      <c r="P699" s="5"/>
    </row>
    <row r="700" spans="1:16" ht="18.75" x14ac:dyDescent="0.3">
      <c r="A700" s="35"/>
      <c r="B700" s="35"/>
      <c r="C700" s="35"/>
      <c r="D700" s="36"/>
      <c r="E700" s="35"/>
      <c r="F700" s="35"/>
      <c r="G700" s="170"/>
    </row>
    <row r="701" spans="1:16" x14ac:dyDescent="0.25">
      <c r="D701" s="12"/>
      <c r="L701" s="5"/>
      <c r="M701" s="5"/>
      <c r="P701" s="5"/>
    </row>
    <row r="702" spans="1:16" x14ac:dyDescent="0.25">
      <c r="D702" s="12"/>
      <c r="L702" s="5"/>
      <c r="M702" s="5"/>
      <c r="P702" s="5"/>
    </row>
    <row r="703" spans="1:16" x14ac:dyDescent="0.25">
      <c r="D703" s="12"/>
      <c r="L703" s="5"/>
      <c r="M703" s="5"/>
      <c r="P703" s="5"/>
    </row>
    <row r="704" spans="1:16" x14ac:dyDescent="0.25">
      <c r="D704" s="12"/>
      <c r="L704" s="5"/>
      <c r="M704" s="5"/>
      <c r="P704" s="5"/>
    </row>
    <row r="705" spans="1:16" x14ac:dyDescent="0.25">
      <c r="D705" s="12"/>
      <c r="L705" s="5"/>
      <c r="M705" s="5"/>
      <c r="P705" s="5"/>
    </row>
    <row r="706" spans="1:16" x14ac:dyDescent="0.25">
      <c r="D706" s="12"/>
      <c r="L706" s="5"/>
      <c r="M706" s="5"/>
      <c r="P706" s="5"/>
    </row>
    <row r="707" spans="1:16" x14ac:dyDescent="0.25">
      <c r="A707" s="162"/>
      <c r="D707" s="12"/>
      <c r="L707" s="5"/>
      <c r="M707" s="5"/>
      <c r="P707" s="5"/>
    </row>
    <row r="708" spans="1:16" ht="18.75" x14ac:dyDescent="0.3">
      <c r="A708" s="35"/>
      <c r="B708" s="35"/>
      <c r="C708" s="35"/>
      <c r="D708" s="36"/>
      <c r="E708" s="35"/>
      <c r="F708" s="35"/>
      <c r="G708" s="170"/>
    </row>
    <row r="709" spans="1:16" x14ac:dyDescent="0.25">
      <c r="D709" s="12"/>
      <c r="L709" s="5"/>
      <c r="M709" s="5"/>
      <c r="P709" s="5"/>
    </row>
    <row r="710" spans="1:16" x14ac:dyDescent="0.25">
      <c r="D710" s="12"/>
      <c r="L710" s="5"/>
      <c r="M710" s="5"/>
      <c r="P710" s="5"/>
    </row>
    <row r="711" spans="1:16" x14ac:dyDescent="0.25">
      <c r="D711" s="12"/>
      <c r="L711" s="5"/>
      <c r="M711" s="5"/>
      <c r="P711" s="5"/>
    </row>
    <row r="712" spans="1:16" x14ac:dyDescent="0.25">
      <c r="D712" s="12"/>
      <c r="L712" s="5"/>
      <c r="M712" s="5"/>
      <c r="P712" s="5"/>
    </row>
    <row r="713" spans="1:16" x14ac:dyDescent="0.25">
      <c r="D713" s="12"/>
      <c r="L713" s="5"/>
      <c r="M713" s="5"/>
      <c r="P713" s="5"/>
    </row>
    <row r="714" spans="1:16" x14ac:dyDescent="0.25">
      <c r="D714" s="12"/>
      <c r="L714" s="5"/>
      <c r="M714" s="5"/>
      <c r="P714" s="5"/>
    </row>
    <row r="715" spans="1:16" x14ac:dyDescent="0.25">
      <c r="A715" s="162"/>
      <c r="D715" s="12"/>
      <c r="L715" s="5"/>
      <c r="M715" s="5"/>
      <c r="P715" s="5"/>
    </row>
    <row r="716" spans="1:16" ht="18.75" x14ac:dyDescent="0.3">
      <c r="A716" s="35"/>
      <c r="B716" s="35"/>
      <c r="C716" s="35"/>
      <c r="D716" s="36"/>
      <c r="E716" s="35"/>
      <c r="F716" s="35"/>
      <c r="G716" s="170"/>
    </row>
    <row r="717" spans="1:16" x14ac:dyDescent="0.25">
      <c r="D717" s="12"/>
      <c r="L717" s="5"/>
      <c r="M717" s="5"/>
      <c r="P717" s="5"/>
    </row>
    <row r="718" spans="1:16" x14ac:dyDescent="0.25">
      <c r="D718" s="12"/>
      <c r="L718" s="5"/>
      <c r="M718" s="5"/>
      <c r="P718" s="5"/>
    </row>
    <row r="719" spans="1:16" x14ac:dyDescent="0.25">
      <c r="D719" s="12"/>
      <c r="L719" s="5"/>
      <c r="M719" s="5"/>
      <c r="P719" s="5"/>
    </row>
    <row r="720" spans="1:16" x14ac:dyDescent="0.25">
      <c r="D720" s="12"/>
      <c r="L720" s="5"/>
      <c r="M720" s="5"/>
      <c r="P720" s="5"/>
    </row>
    <row r="721" spans="1:16" x14ac:dyDescent="0.25">
      <c r="D721" s="12"/>
      <c r="L721" s="5"/>
      <c r="M721" s="5"/>
      <c r="P721" s="5"/>
    </row>
    <row r="722" spans="1:16" x14ac:dyDescent="0.25">
      <c r="D722" s="12"/>
      <c r="L722" s="5"/>
      <c r="M722" s="5"/>
      <c r="P722" s="5"/>
    </row>
    <row r="723" spans="1:16" x14ac:dyDescent="0.25">
      <c r="A723" s="162"/>
      <c r="D723" s="12"/>
      <c r="L723" s="5"/>
      <c r="M723" s="5"/>
      <c r="P723" s="5"/>
    </row>
    <row r="724" spans="1:16" ht="18.75" x14ac:dyDescent="0.3">
      <c r="A724" s="35"/>
      <c r="B724" s="35"/>
      <c r="C724" s="35"/>
      <c r="D724" s="36"/>
      <c r="E724" s="35"/>
      <c r="F724" s="35"/>
      <c r="G724" s="170"/>
    </row>
    <row r="725" spans="1:16" x14ac:dyDescent="0.25">
      <c r="D725" s="12"/>
      <c r="L725" s="5"/>
      <c r="M725" s="5"/>
      <c r="P725" s="5"/>
    </row>
    <row r="726" spans="1:16" x14ac:dyDescent="0.25">
      <c r="D726" s="12"/>
      <c r="L726" s="5"/>
      <c r="M726" s="5"/>
      <c r="P726" s="5"/>
    </row>
    <row r="727" spans="1:16" x14ac:dyDescent="0.25">
      <c r="D727" s="12"/>
      <c r="L727" s="5"/>
      <c r="M727" s="5"/>
      <c r="P727" s="5"/>
    </row>
    <row r="728" spans="1:16" x14ac:dyDescent="0.25">
      <c r="D728" s="12"/>
      <c r="L728" s="5"/>
      <c r="M728" s="5"/>
      <c r="P728" s="5"/>
    </row>
    <row r="729" spans="1:16" x14ac:dyDescent="0.25">
      <c r="D729" s="12"/>
      <c r="L729" s="5"/>
      <c r="M729" s="5"/>
      <c r="P729" s="5"/>
    </row>
    <row r="730" spans="1:16" x14ac:dyDescent="0.25">
      <c r="D730" s="12"/>
      <c r="L730" s="5"/>
      <c r="M730" s="5"/>
      <c r="P730" s="5"/>
    </row>
    <row r="731" spans="1:16" x14ac:dyDescent="0.25">
      <c r="A731" s="162"/>
      <c r="D731" s="12"/>
      <c r="L731" s="5"/>
      <c r="M731" s="5"/>
      <c r="P731" s="5"/>
    </row>
    <row r="732" spans="1:16" ht="18.75" x14ac:dyDescent="0.3">
      <c r="A732" s="35"/>
      <c r="B732" s="35"/>
      <c r="C732" s="35"/>
      <c r="D732" s="36"/>
      <c r="E732" s="35"/>
      <c r="F732" s="35"/>
      <c r="G732" s="170"/>
    </row>
    <row r="733" spans="1:16" x14ac:dyDescent="0.25">
      <c r="D733" s="12"/>
      <c r="L733" s="5"/>
      <c r="M733" s="5"/>
      <c r="P733" s="5"/>
    </row>
    <row r="734" spans="1:16" x14ac:dyDescent="0.25">
      <c r="D734" s="12"/>
      <c r="L734" s="5"/>
      <c r="M734" s="5"/>
      <c r="P734" s="5"/>
    </row>
    <row r="735" spans="1:16" x14ac:dyDescent="0.25">
      <c r="D735" s="12"/>
      <c r="L735" s="5"/>
      <c r="M735" s="5"/>
      <c r="P735" s="5"/>
    </row>
    <row r="736" spans="1:16" x14ac:dyDescent="0.25">
      <c r="D736" s="12"/>
      <c r="L736" s="5"/>
      <c r="M736" s="5"/>
      <c r="P736" s="5"/>
    </row>
    <row r="737" spans="1:16" x14ac:dyDescent="0.25">
      <c r="D737" s="12"/>
      <c r="L737" s="5"/>
      <c r="M737" s="5"/>
      <c r="P737" s="5"/>
    </row>
    <row r="738" spans="1:16" x14ac:dyDescent="0.25">
      <c r="D738" s="12"/>
      <c r="L738" s="5"/>
      <c r="M738" s="5"/>
      <c r="P738" s="5"/>
    </row>
    <row r="739" spans="1:16" x14ac:dyDescent="0.25">
      <c r="D739" s="12"/>
      <c r="L739" s="5"/>
      <c r="M739" s="5"/>
      <c r="P739" s="5"/>
    </row>
    <row r="740" spans="1:16" ht="18.75" x14ac:dyDescent="0.3">
      <c r="A740" s="35"/>
      <c r="B740" s="35"/>
      <c r="C740" s="35"/>
      <c r="D740" s="36"/>
      <c r="E740" s="35"/>
      <c r="F740" s="35"/>
      <c r="G740" s="170"/>
    </row>
    <row r="741" spans="1:16" x14ac:dyDescent="0.25">
      <c r="D741" s="12"/>
      <c r="L741" s="5"/>
      <c r="M741" s="5"/>
      <c r="P741" s="5"/>
    </row>
    <row r="742" spans="1:16" x14ac:dyDescent="0.25">
      <c r="D742" s="12"/>
      <c r="L742" s="5"/>
      <c r="M742" s="5"/>
      <c r="P742" s="5"/>
    </row>
    <row r="743" spans="1:16" x14ac:dyDescent="0.25">
      <c r="D743" s="12"/>
      <c r="L743" s="5"/>
      <c r="M743" s="5"/>
      <c r="P743" s="5"/>
    </row>
    <row r="744" spans="1:16" x14ac:dyDescent="0.25">
      <c r="D744" s="12"/>
      <c r="L744" s="5"/>
      <c r="M744" s="5"/>
      <c r="P744" s="5"/>
    </row>
    <row r="745" spans="1:16" x14ac:dyDescent="0.25">
      <c r="D745" s="12"/>
      <c r="L745" s="5"/>
      <c r="M745" s="5"/>
      <c r="P745" s="5"/>
    </row>
    <row r="746" spans="1:16" x14ac:dyDescent="0.25">
      <c r="D746" s="12"/>
      <c r="L746" s="5"/>
      <c r="M746" s="5"/>
      <c r="P746" s="5"/>
    </row>
    <row r="747" spans="1:16" x14ac:dyDescent="0.25">
      <c r="D747" s="12"/>
      <c r="L747" s="5"/>
      <c r="M747" s="5"/>
      <c r="P747" s="5"/>
    </row>
    <row r="748" spans="1:16" ht="18.75" x14ac:dyDescent="0.3">
      <c r="A748" s="35"/>
      <c r="B748" s="35"/>
      <c r="C748" s="35"/>
      <c r="D748" s="36"/>
      <c r="E748" s="35"/>
      <c r="F748" s="35"/>
      <c r="G748" s="170"/>
    </row>
    <row r="749" spans="1:16" x14ac:dyDescent="0.25">
      <c r="D749" s="12"/>
      <c r="L749" s="5"/>
      <c r="M749" s="5"/>
      <c r="P749" s="5"/>
    </row>
    <row r="750" spans="1:16" x14ac:dyDescent="0.25">
      <c r="D750" s="12"/>
      <c r="L750" s="5"/>
      <c r="M750" s="5"/>
      <c r="P750" s="5"/>
    </row>
    <row r="751" spans="1:16" x14ac:dyDescent="0.25">
      <c r="D751" s="12"/>
      <c r="L751" s="5"/>
      <c r="M751" s="5"/>
      <c r="P751" s="5"/>
    </row>
    <row r="752" spans="1:16" x14ac:dyDescent="0.25">
      <c r="D752" s="12"/>
      <c r="L752" s="5"/>
      <c r="M752" s="5"/>
      <c r="P752" s="5"/>
    </row>
    <row r="753" spans="1:16" x14ac:dyDescent="0.25">
      <c r="D753" s="12"/>
      <c r="L753" s="5"/>
      <c r="M753" s="5"/>
      <c r="P753" s="5"/>
    </row>
    <row r="754" spans="1:16" x14ac:dyDescent="0.25">
      <c r="D754" s="12"/>
      <c r="L754" s="5"/>
      <c r="M754" s="5"/>
      <c r="P754" s="5"/>
    </row>
    <row r="755" spans="1:16" x14ac:dyDescent="0.25">
      <c r="D755" s="12"/>
      <c r="L755" s="5"/>
      <c r="M755" s="5"/>
      <c r="P755" s="5"/>
    </row>
    <row r="756" spans="1:16" ht="18.75" x14ac:dyDescent="0.3">
      <c r="A756" s="35"/>
      <c r="B756" s="35"/>
      <c r="C756" s="35"/>
      <c r="D756" s="36"/>
      <c r="E756" s="35"/>
      <c r="F756" s="35"/>
      <c r="G756" s="170"/>
    </row>
    <row r="757" spans="1:16" x14ac:dyDescent="0.25">
      <c r="D757" s="12"/>
      <c r="L757" s="5"/>
      <c r="M757" s="5"/>
      <c r="P757" s="5"/>
    </row>
    <row r="758" spans="1:16" x14ac:dyDescent="0.25">
      <c r="D758" s="12"/>
      <c r="L758" s="5"/>
      <c r="M758" s="5"/>
      <c r="P758" s="5"/>
    </row>
    <row r="759" spans="1:16" x14ac:dyDescent="0.25">
      <c r="D759" s="12"/>
      <c r="L759" s="5"/>
      <c r="M759" s="5"/>
      <c r="P759" s="5"/>
    </row>
    <row r="760" spans="1:16" x14ac:dyDescent="0.25">
      <c r="D760" s="12"/>
      <c r="L760" s="5"/>
      <c r="M760" s="5"/>
      <c r="P760" s="5"/>
    </row>
    <row r="761" spans="1:16" x14ac:dyDescent="0.25">
      <c r="D761" s="12"/>
      <c r="L761" s="5"/>
      <c r="M761" s="5"/>
      <c r="P761" s="5"/>
    </row>
    <row r="762" spans="1:16" x14ac:dyDescent="0.25">
      <c r="D762" s="12"/>
      <c r="L762" s="5"/>
      <c r="M762" s="5"/>
      <c r="P762" s="5"/>
    </row>
    <row r="763" spans="1:16" x14ac:dyDescent="0.25">
      <c r="D763" s="12"/>
      <c r="L763" s="5"/>
      <c r="M763" s="5"/>
      <c r="P763" s="5"/>
    </row>
    <row r="764" spans="1:16" ht="18.75" x14ac:dyDescent="0.3">
      <c r="A764" s="35"/>
      <c r="B764" s="35"/>
      <c r="C764" s="35"/>
      <c r="D764" s="36"/>
      <c r="E764" s="35"/>
      <c r="F764" s="35"/>
      <c r="G764" s="170"/>
    </row>
    <row r="765" spans="1:16" x14ac:dyDescent="0.25">
      <c r="D765" s="12"/>
      <c r="L765" s="5"/>
      <c r="M765" s="5"/>
      <c r="P765" s="5"/>
    </row>
    <row r="766" spans="1:16" x14ac:dyDescent="0.25">
      <c r="D766" s="12"/>
      <c r="L766" s="5"/>
      <c r="M766" s="5"/>
      <c r="P766" s="5"/>
    </row>
    <row r="767" spans="1:16" x14ac:dyDescent="0.25">
      <c r="D767" s="12"/>
      <c r="L767" s="5"/>
      <c r="M767" s="5"/>
      <c r="P767" s="5"/>
    </row>
    <row r="768" spans="1:16" x14ac:dyDescent="0.25">
      <c r="D768" s="12"/>
      <c r="L768" s="5"/>
      <c r="M768" s="5"/>
      <c r="P768" s="5"/>
    </row>
    <row r="769" spans="1:16" x14ac:dyDescent="0.25">
      <c r="D769" s="12"/>
      <c r="L769" s="5"/>
      <c r="M769" s="5"/>
      <c r="P769" s="5"/>
    </row>
    <row r="770" spans="1:16" x14ac:dyDescent="0.25">
      <c r="D770" s="12"/>
      <c r="L770" s="5"/>
      <c r="M770" s="5"/>
      <c r="P770" s="5"/>
    </row>
    <row r="771" spans="1:16" x14ac:dyDescent="0.25">
      <c r="D771" s="12"/>
      <c r="L771" s="5"/>
      <c r="M771" s="5"/>
      <c r="P771" s="5"/>
    </row>
    <row r="772" spans="1:16" ht="18.75" x14ac:dyDescent="0.3">
      <c r="A772" s="35"/>
      <c r="B772" s="35"/>
      <c r="C772" s="35"/>
      <c r="D772" s="36"/>
      <c r="E772" s="35"/>
    </row>
    <row r="773" spans="1:16" x14ac:dyDescent="0.25">
      <c r="D773" s="12"/>
      <c r="L773" s="5"/>
      <c r="M773" s="5"/>
      <c r="P773" s="5"/>
    </row>
    <row r="774" spans="1:16" x14ac:dyDescent="0.25">
      <c r="D774" s="12"/>
      <c r="L774" s="5"/>
      <c r="M774" s="5"/>
      <c r="P774" s="5"/>
    </row>
    <row r="775" spans="1:16" x14ac:dyDescent="0.25">
      <c r="D775" s="12"/>
      <c r="L775" s="5"/>
      <c r="M775" s="5"/>
      <c r="P775" s="5"/>
    </row>
    <row r="776" spans="1:16" x14ac:dyDescent="0.25">
      <c r="D776" s="12"/>
      <c r="L776" s="5"/>
      <c r="M776" s="5"/>
      <c r="P776" s="5"/>
    </row>
    <row r="777" spans="1:16" x14ac:dyDescent="0.25">
      <c r="D777" s="12"/>
      <c r="L777" s="5"/>
      <c r="M777" s="5"/>
      <c r="P777" s="5"/>
    </row>
    <row r="778" spans="1:16" x14ac:dyDescent="0.25">
      <c r="D778" s="12"/>
      <c r="L778" s="5"/>
      <c r="M778" s="5"/>
      <c r="P778" s="5"/>
    </row>
    <row r="779" spans="1:16" x14ac:dyDescent="0.25">
      <c r="D779" s="12"/>
      <c r="L779" s="5"/>
      <c r="M779" s="5"/>
      <c r="P779" s="5"/>
    </row>
    <row r="780" spans="1:16" ht="18.75" x14ac:dyDescent="0.3">
      <c r="A780" s="35"/>
      <c r="B780" s="35"/>
      <c r="C780" s="35"/>
      <c r="D780" s="36"/>
      <c r="E780" s="35"/>
    </row>
    <row r="781" spans="1:16" x14ac:dyDescent="0.25">
      <c r="D781" s="12"/>
      <c r="L781" s="5"/>
      <c r="M781" s="5"/>
      <c r="P781" s="5"/>
    </row>
    <row r="782" spans="1:16" x14ac:dyDescent="0.25">
      <c r="D782" s="12"/>
      <c r="L782" s="5"/>
      <c r="M782" s="5"/>
      <c r="P782" s="5"/>
    </row>
    <row r="783" spans="1:16" x14ac:dyDescent="0.25">
      <c r="D783" s="12"/>
      <c r="L783" s="5"/>
      <c r="M783" s="5"/>
      <c r="P783" s="5"/>
    </row>
    <row r="784" spans="1:16" x14ac:dyDescent="0.25">
      <c r="D784" s="12"/>
      <c r="L784" s="5"/>
      <c r="M784" s="5"/>
      <c r="P784" s="5"/>
    </row>
    <row r="785" spans="1:16" x14ac:dyDescent="0.25">
      <c r="D785" s="12"/>
      <c r="L785" s="5"/>
      <c r="M785" s="5"/>
      <c r="P785" s="5"/>
    </row>
    <row r="786" spans="1:16" x14ac:dyDescent="0.25">
      <c r="D786" s="12"/>
      <c r="L786" s="5"/>
      <c r="M786" s="5"/>
      <c r="P786" s="5"/>
    </row>
    <row r="787" spans="1:16" x14ac:dyDescent="0.25">
      <c r="D787" s="12"/>
      <c r="L787" s="5"/>
      <c r="M787" s="5"/>
      <c r="P787" s="5"/>
    </row>
    <row r="788" spans="1:16" ht="18.75" x14ac:dyDescent="0.3">
      <c r="A788" s="35"/>
      <c r="B788" s="35"/>
      <c r="C788" s="35"/>
      <c r="D788" s="36"/>
      <c r="E788" s="35"/>
    </row>
    <row r="789" spans="1:16" x14ac:dyDescent="0.25">
      <c r="D789" s="12"/>
      <c r="L789" s="5"/>
      <c r="M789" s="5"/>
      <c r="P789" s="5"/>
    </row>
    <row r="790" spans="1:16" x14ac:dyDescent="0.25">
      <c r="D790" s="12"/>
      <c r="L790" s="5"/>
      <c r="M790" s="5"/>
      <c r="P790" s="5"/>
    </row>
    <row r="791" spans="1:16" x14ac:dyDescent="0.25">
      <c r="D791" s="12"/>
      <c r="L791" s="5"/>
      <c r="M791" s="5"/>
      <c r="P791" s="5"/>
    </row>
    <row r="792" spans="1:16" x14ac:dyDescent="0.25">
      <c r="D792" s="12"/>
      <c r="L792" s="5"/>
      <c r="M792" s="5"/>
      <c r="P792" s="5"/>
    </row>
    <row r="793" spans="1:16" x14ac:dyDescent="0.25">
      <c r="D793" s="12"/>
      <c r="L793" s="5"/>
      <c r="M793" s="5"/>
      <c r="P793" s="5"/>
    </row>
    <row r="794" spans="1:16" x14ac:dyDescent="0.25">
      <c r="D794" s="12"/>
      <c r="L794" s="5"/>
      <c r="M794" s="5"/>
      <c r="P794" s="5"/>
    </row>
    <row r="795" spans="1:16" x14ac:dyDescent="0.25">
      <c r="D795" s="12"/>
      <c r="L795" s="5"/>
      <c r="M795" s="5"/>
      <c r="P795" s="5"/>
    </row>
    <row r="796" spans="1:16" ht="18.75" x14ac:dyDescent="0.3">
      <c r="A796" s="35"/>
      <c r="B796" s="35"/>
      <c r="C796" s="35"/>
      <c r="D796" s="36"/>
      <c r="E796" s="35"/>
    </row>
    <row r="797" spans="1:16" x14ac:dyDescent="0.25">
      <c r="D797" s="12"/>
      <c r="L797" s="5"/>
      <c r="M797" s="5"/>
      <c r="P797" s="5"/>
    </row>
    <row r="798" spans="1:16" x14ac:dyDescent="0.25">
      <c r="D798" s="12"/>
      <c r="L798" s="5"/>
      <c r="M798" s="5"/>
      <c r="P798" s="5"/>
    </row>
    <row r="799" spans="1:16" x14ac:dyDescent="0.25">
      <c r="D799" s="12"/>
      <c r="L799" s="5"/>
      <c r="M799" s="5"/>
      <c r="P799" s="5"/>
    </row>
    <row r="800" spans="1:16" x14ac:dyDescent="0.25">
      <c r="D800" s="12"/>
      <c r="L800" s="5"/>
      <c r="M800" s="5"/>
      <c r="P800" s="5"/>
    </row>
    <row r="801" spans="1:16" x14ac:dyDescent="0.25">
      <c r="D801" s="12"/>
      <c r="L801" s="5"/>
      <c r="M801" s="5"/>
      <c r="P801" s="5"/>
    </row>
    <row r="802" spans="1:16" x14ac:dyDescent="0.25">
      <c r="D802" s="12"/>
      <c r="L802" s="5"/>
      <c r="M802" s="5"/>
      <c r="P802" s="5"/>
    </row>
    <row r="803" spans="1:16" x14ac:dyDescent="0.25">
      <c r="D803" s="12"/>
      <c r="L803" s="5"/>
      <c r="M803" s="5"/>
      <c r="P803" s="5"/>
    </row>
    <row r="804" spans="1:16" ht="18.75" x14ac:dyDescent="0.3">
      <c r="A804" s="35"/>
      <c r="B804" s="35"/>
      <c r="C804" s="35"/>
      <c r="D804" s="36"/>
      <c r="E804" s="35"/>
    </row>
    <row r="805" spans="1:16" x14ac:dyDescent="0.25">
      <c r="D805" s="12"/>
      <c r="L805" s="5"/>
      <c r="M805" s="5"/>
      <c r="P805" s="5"/>
    </row>
    <row r="806" spans="1:16" x14ac:dyDescent="0.25">
      <c r="D806" s="12"/>
      <c r="L806" s="5"/>
      <c r="M806" s="5"/>
      <c r="P806" s="5"/>
    </row>
    <row r="807" spans="1:16" x14ac:dyDescent="0.25">
      <c r="D807" s="12"/>
      <c r="L807" s="5"/>
      <c r="M807" s="5"/>
      <c r="P807" s="5"/>
    </row>
    <row r="808" spans="1:16" x14ac:dyDescent="0.25">
      <c r="D808" s="12"/>
      <c r="L808" s="5"/>
      <c r="M808" s="5"/>
      <c r="P808" s="5"/>
    </row>
    <row r="809" spans="1:16" x14ac:dyDescent="0.25">
      <c r="D809" s="12"/>
      <c r="L809" s="5"/>
      <c r="M809" s="5"/>
      <c r="P809" s="5"/>
    </row>
    <row r="810" spans="1:16" x14ac:dyDescent="0.25">
      <c r="D810" s="12"/>
      <c r="L810" s="5"/>
      <c r="M810" s="5"/>
      <c r="P810" s="5"/>
    </row>
    <row r="811" spans="1:16" x14ac:dyDescent="0.25">
      <c r="D811" s="12"/>
      <c r="L811" s="5"/>
      <c r="M811" s="5"/>
      <c r="P811" s="5"/>
    </row>
    <row r="812" spans="1:16" ht="18.75" x14ac:dyDescent="0.3">
      <c r="A812" s="35"/>
      <c r="B812" s="35"/>
      <c r="C812" s="35"/>
      <c r="D812" s="36"/>
      <c r="E812" s="35"/>
    </row>
    <row r="813" spans="1:16" x14ac:dyDescent="0.25">
      <c r="D813" s="12"/>
      <c r="L813" s="5"/>
      <c r="M813" s="5"/>
      <c r="P813" s="5"/>
    </row>
    <row r="814" spans="1:16" x14ac:dyDescent="0.25">
      <c r="D814" s="12"/>
      <c r="L814" s="5"/>
      <c r="M814" s="5"/>
      <c r="P814" s="5"/>
    </row>
    <row r="815" spans="1:16" x14ac:dyDescent="0.25">
      <c r="D815" s="12"/>
      <c r="L815" s="5"/>
      <c r="M815" s="5"/>
      <c r="P815" s="5"/>
    </row>
    <row r="816" spans="1:16" x14ac:dyDescent="0.25">
      <c r="D816" s="12"/>
      <c r="L816" s="5"/>
      <c r="M816" s="5"/>
      <c r="P816" s="5"/>
    </row>
    <row r="817" spans="1:16" x14ac:dyDescent="0.25">
      <c r="D817" s="12"/>
      <c r="L817" s="5"/>
      <c r="M817" s="5"/>
      <c r="P817" s="5"/>
    </row>
    <row r="818" spans="1:16" x14ac:dyDescent="0.25">
      <c r="D818" s="12"/>
      <c r="L818" s="5"/>
      <c r="M818" s="5"/>
      <c r="P818" s="5"/>
    </row>
    <row r="819" spans="1:16" x14ac:dyDescent="0.25">
      <c r="D819" s="12"/>
      <c r="L819" s="5"/>
      <c r="M819" s="5"/>
      <c r="P819" s="5"/>
    </row>
    <row r="820" spans="1:16" ht="18.75" x14ac:dyDescent="0.3">
      <c r="A820" s="35"/>
      <c r="B820" s="35"/>
      <c r="C820" s="35"/>
      <c r="D820" s="36"/>
      <c r="E820" s="35"/>
    </row>
    <row r="821" spans="1:16" x14ac:dyDescent="0.25">
      <c r="D821" s="12"/>
      <c r="L821" s="5"/>
      <c r="M821" s="5"/>
      <c r="P821" s="5"/>
    </row>
    <row r="822" spans="1:16" x14ac:dyDescent="0.25">
      <c r="D822" s="12"/>
      <c r="L822" s="5"/>
      <c r="M822" s="5"/>
      <c r="P822" s="5"/>
    </row>
    <row r="823" spans="1:16" x14ac:dyDescent="0.25">
      <c r="D823" s="12"/>
      <c r="L823" s="5"/>
      <c r="M823" s="5"/>
      <c r="P823" s="5"/>
    </row>
    <row r="824" spans="1:16" x14ac:dyDescent="0.25">
      <c r="D824" s="12"/>
      <c r="L824" s="5"/>
      <c r="M824" s="5"/>
      <c r="P824" s="5"/>
    </row>
    <row r="825" spans="1:16" x14ac:dyDescent="0.25">
      <c r="D825" s="12"/>
      <c r="L825" s="5"/>
      <c r="M825" s="5"/>
      <c r="P825" s="5"/>
    </row>
    <row r="826" spans="1:16" x14ac:dyDescent="0.25">
      <c r="D826" s="12"/>
      <c r="L826" s="5"/>
      <c r="M826" s="5"/>
      <c r="P826" s="5"/>
    </row>
    <row r="827" spans="1:16" x14ac:dyDescent="0.25">
      <c r="D827" s="12"/>
      <c r="L827" s="5"/>
      <c r="M827" s="5"/>
      <c r="P827" s="5"/>
    </row>
    <row r="828" spans="1:16" ht="18.75" x14ac:dyDescent="0.3">
      <c r="A828" s="35"/>
      <c r="B828" s="35"/>
      <c r="C828" s="35"/>
      <c r="D828" s="36"/>
      <c r="E828" s="35"/>
    </row>
    <row r="829" spans="1:16" x14ac:dyDescent="0.25">
      <c r="D829" s="12"/>
      <c r="L829" s="5"/>
      <c r="M829" s="5"/>
      <c r="P829" s="5"/>
    </row>
    <row r="830" spans="1:16" x14ac:dyDescent="0.25">
      <c r="D830" s="12"/>
      <c r="L830" s="5"/>
      <c r="M830" s="5"/>
      <c r="P830" s="5"/>
    </row>
    <row r="831" spans="1:16" x14ac:dyDescent="0.25">
      <c r="D831" s="12"/>
      <c r="L831" s="5"/>
      <c r="M831" s="5"/>
      <c r="P831" s="5"/>
    </row>
    <row r="832" spans="1:16" x14ac:dyDescent="0.25">
      <c r="D832" s="12"/>
      <c r="L832" s="5"/>
      <c r="M832" s="5"/>
      <c r="P832" s="5"/>
    </row>
    <row r="833" spans="4:16" x14ac:dyDescent="0.25">
      <c r="D833" s="12"/>
      <c r="L833" s="5"/>
      <c r="M833" s="5"/>
      <c r="P833" s="5"/>
    </row>
    <row r="834" spans="4:16" x14ac:dyDescent="0.25">
      <c r="D834" s="12"/>
      <c r="L834" s="5"/>
      <c r="M834" s="5"/>
      <c r="P834" s="5"/>
    </row>
    <row r="835" spans="4:16" x14ac:dyDescent="0.25">
      <c r="D835" s="12"/>
      <c r="L835" s="5"/>
      <c r="M835" s="5"/>
      <c r="P835" s="5"/>
    </row>
  </sheetData>
  <customSheetViews>
    <customSheetView guid="{84F0FDFB-72A1-4214-8B2B-A048953E297B}">
      <pageMargins left="0.7" right="0.7" top="0.75" bottom="0.75" header="0.3" footer="0.3"/>
      <pageSetup orientation="portrait" horizontalDpi="4294967293" verticalDpi="0" r:id="rId1"/>
    </customSheetView>
  </customSheetViews>
  <pageMargins left="0.7" right="0.7" top="0.75" bottom="0.75" header="0.3" footer="0.3"/>
  <pageSetup orientation="portrait" horizontalDpi="4294967293" verticalDpi="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Q120"/>
  <sheetViews>
    <sheetView workbookViewId="0">
      <selection activeCell="A4" sqref="A4"/>
    </sheetView>
  </sheetViews>
  <sheetFormatPr defaultRowHeight="15" x14ac:dyDescent="0.25"/>
  <cols>
    <col min="1" max="1" width="14.28515625" bestFit="1" customWidth="1"/>
    <col min="3" max="3" width="33.28515625" bestFit="1" customWidth="1"/>
    <col min="17" max="17" width="13.85546875" bestFit="1" customWidth="1"/>
  </cols>
  <sheetData>
    <row r="3" spans="1:17" x14ac:dyDescent="0.25">
      <c r="A3" s="2" t="s">
        <v>301</v>
      </c>
      <c r="C3" t="s">
        <v>1</v>
      </c>
      <c r="E3" t="s">
        <v>4</v>
      </c>
      <c r="G3" t="s">
        <v>62</v>
      </c>
      <c r="J3" t="s">
        <v>169</v>
      </c>
      <c r="L3" t="s">
        <v>172</v>
      </c>
      <c r="O3" t="s">
        <v>312</v>
      </c>
      <c r="Q3" t="s">
        <v>317</v>
      </c>
    </row>
    <row r="4" spans="1:17" x14ac:dyDescent="0.25">
      <c r="A4" s="2" t="s">
        <v>178</v>
      </c>
      <c r="C4" t="s">
        <v>3</v>
      </c>
      <c r="E4" t="s">
        <v>5</v>
      </c>
      <c r="J4">
        <v>1900</v>
      </c>
      <c r="L4" t="str">
        <f>E4</f>
        <v>Box</v>
      </c>
      <c r="Q4" s="5">
        <f>0</f>
        <v>0</v>
      </c>
    </row>
    <row r="5" spans="1:17" x14ac:dyDescent="0.25">
      <c r="C5" t="s">
        <v>2</v>
      </c>
      <c r="E5" t="s">
        <v>6</v>
      </c>
      <c r="G5">
        <v>0</v>
      </c>
      <c r="J5">
        <v>1901</v>
      </c>
      <c r="L5" t="str">
        <f>E5</f>
        <v>Well</v>
      </c>
      <c r="O5" t="s">
        <v>333</v>
      </c>
    </row>
    <row r="6" spans="1:17" x14ac:dyDescent="0.25">
      <c r="G6">
        <v>1</v>
      </c>
      <c r="J6">
        <v>1902</v>
      </c>
      <c r="L6" t="s">
        <v>173</v>
      </c>
    </row>
    <row r="7" spans="1:17" x14ac:dyDescent="0.25">
      <c r="E7" t="s">
        <v>259</v>
      </c>
      <c r="G7">
        <v>2</v>
      </c>
      <c r="J7">
        <v>1903</v>
      </c>
    </row>
    <row r="8" spans="1:17" x14ac:dyDescent="0.25">
      <c r="G8">
        <v>3</v>
      </c>
      <c r="J8">
        <v>1904</v>
      </c>
    </row>
    <row r="9" spans="1:17" x14ac:dyDescent="0.25">
      <c r="G9">
        <v>4</v>
      </c>
      <c r="J9">
        <v>1905</v>
      </c>
    </row>
    <row r="10" spans="1:17" x14ac:dyDescent="0.25">
      <c r="G10">
        <v>5</v>
      </c>
      <c r="J10">
        <v>1906</v>
      </c>
    </row>
    <row r="11" spans="1:17" x14ac:dyDescent="0.25">
      <c r="G11">
        <v>6</v>
      </c>
      <c r="J11">
        <v>1907</v>
      </c>
    </row>
    <row r="12" spans="1:17" x14ac:dyDescent="0.25">
      <c r="G12">
        <v>7</v>
      </c>
      <c r="J12">
        <v>1908</v>
      </c>
    </row>
    <row r="13" spans="1:17" x14ac:dyDescent="0.25">
      <c r="G13">
        <v>8</v>
      </c>
      <c r="J13">
        <v>1909</v>
      </c>
    </row>
    <row r="14" spans="1:17" x14ac:dyDescent="0.25">
      <c r="G14">
        <v>9</v>
      </c>
      <c r="J14">
        <v>1910</v>
      </c>
    </row>
    <row r="15" spans="1:17" x14ac:dyDescent="0.25">
      <c r="G15">
        <v>10</v>
      </c>
      <c r="J15">
        <v>1911</v>
      </c>
    </row>
    <row r="16" spans="1:17" x14ac:dyDescent="0.25">
      <c r="G16">
        <v>11</v>
      </c>
      <c r="J16">
        <v>1912</v>
      </c>
    </row>
    <row r="17" spans="7:10" x14ac:dyDescent="0.25">
      <c r="G17">
        <v>12</v>
      </c>
      <c r="J17">
        <v>1913</v>
      </c>
    </row>
    <row r="18" spans="7:10" x14ac:dyDescent="0.25">
      <c r="J18">
        <v>1914</v>
      </c>
    </row>
    <row r="19" spans="7:10" x14ac:dyDescent="0.25">
      <c r="J19">
        <v>1915</v>
      </c>
    </row>
    <row r="20" spans="7:10" x14ac:dyDescent="0.25">
      <c r="J20">
        <v>1916</v>
      </c>
    </row>
    <row r="21" spans="7:10" x14ac:dyDescent="0.25">
      <c r="J21">
        <v>1917</v>
      </c>
    </row>
    <row r="22" spans="7:10" x14ac:dyDescent="0.25">
      <c r="J22">
        <v>1918</v>
      </c>
    </row>
    <row r="23" spans="7:10" x14ac:dyDescent="0.25">
      <c r="J23">
        <v>1919</v>
      </c>
    </row>
    <row r="24" spans="7:10" x14ac:dyDescent="0.25">
      <c r="J24">
        <v>1920</v>
      </c>
    </row>
    <row r="25" spans="7:10" x14ac:dyDescent="0.25">
      <c r="J25">
        <v>1921</v>
      </c>
    </row>
    <row r="26" spans="7:10" x14ac:dyDescent="0.25">
      <c r="J26">
        <v>1922</v>
      </c>
    </row>
    <row r="27" spans="7:10" x14ac:dyDescent="0.25">
      <c r="J27">
        <v>1923</v>
      </c>
    </row>
    <row r="28" spans="7:10" x14ac:dyDescent="0.25">
      <c r="J28">
        <v>1924</v>
      </c>
    </row>
    <row r="29" spans="7:10" x14ac:dyDescent="0.25">
      <c r="J29">
        <v>1925</v>
      </c>
    </row>
    <row r="30" spans="7:10" x14ac:dyDescent="0.25">
      <c r="J30">
        <v>1926</v>
      </c>
    </row>
    <row r="31" spans="7:10" x14ac:dyDescent="0.25">
      <c r="J31">
        <v>1927</v>
      </c>
    </row>
    <row r="32" spans="7:10" x14ac:dyDescent="0.25">
      <c r="J32">
        <v>1928</v>
      </c>
    </row>
    <row r="33" spans="10:10" x14ac:dyDescent="0.25">
      <c r="J33">
        <v>1929</v>
      </c>
    </row>
    <row r="34" spans="10:10" x14ac:dyDescent="0.25">
      <c r="J34">
        <v>1930</v>
      </c>
    </row>
    <row r="35" spans="10:10" x14ac:dyDescent="0.25">
      <c r="J35">
        <v>1931</v>
      </c>
    </row>
    <row r="36" spans="10:10" x14ac:dyDescent="0.25">
      <c r="J36">
        <v>1932</v>
      </c>
    </row>
    <row r="37" spans="10:10" x14ac:dyDescent="0.25">
      <c r="J37">
        <v>1933</v>
      </c>
    </row>
    <row r="38" spans="10:10" x14ac:dyDescent="0.25">
      <c r="J38">
        <v>1934</v>
      </c>
    </row>
    <row r="39" spans="10:10" x14ac:dyDescent="0.25">
      <c r="J39">
        <v>1935</v>
      </c>
    </row>
    <row r="40" spans="10:10" x14ac:dyDescent="0.25">
      <c r="J40">
        <v>1936</v>
      </c>
    </row>
    <row r="41" spans="10:10" x14ac:dyDescent="0.25">
      <c r="J41">
        <v>1937</v>
      </c>
    </row>
    <row r="42" spans="10:10" x14ac:dyDescent="0.25">
      <c r="J42">
        <v>1938</v>
      </c>
    </row>
    <row r="43" spans="10:10" x14ac:dyDescent="0.25">
      <c r="J43">
        <v>1939</v>
      </c>
    </row>
    <row r="44" spans="10:10" x14ac:dyDescent="0.25">
      <c r="J44">
        <v>1940</v>
      </c>
    </row>
    <row r="45" spans="10:10" x14ac:dyDescent="0.25">
      <c r="J45">
        <v>1941</v>
      </c>
    </row>
    <row r="46" spans="10:10" x14ac:dyDescent="0.25">
      <c r="J46">
        <v>1942</v>
      </c>
    </row>
    <row r="47" spans="10:10" x14ac:dyDescent="0.25">
      <c r="J47">
        <v>1943</v>
      </c>
    </row>
    <row r="48" spans="10:10" x14ac:dyDescent="0.25">
      <c r="J48">
        <v>1944</v>
      </c>
    </row>
    <row r="49" spans="10:10" x14ac:dyDescent="0.25">
      <c r="J49">
        <v>1945</v>
      </c>
    </row>
    <row r="50" spans="10:10" x14ac:dyDescent="0.25">
      <c r="J50">
        <v>1946</v>
      </c>
    </row>
    <row r="51" spans="10:10" x14ac:dyDescent="0.25">
      <c r="J51">
        <v>1947</v>
      </c>
    </row>
    <row r="52" spans="10:10" x14ac:dyDescent="0.25">
      <c r="J52">
        <v>1948</v>
      </c>
    </row>
    <row r="53" spans="10:10" x14ac:dyDescent="0.25">
      <c r="J53">
        <v>1949</v>
      </c>
    </row>
    <row r="54" spans="10:10" x14ac:dyDescent="0.25">
      <c r="J54">
        <v>1950</v>
      </c>
    </row>
    <row r="55" spans="10:10" x14ac:dyDescent="0.25">
      <c r="J55">
        <v>1951</v>
      </c>
    </row>
    <row r="56" spans="10:10" x14ac:dyDescent="0.25">
      <c r="J56">
        <v>1952</v>
      </c>
    </row>
    <row r="57" spans="10:10" x14ac:dyDescent="0.25">
      <c r="J57">
        <v>1953</v>
      </c>
    </row>
    <row r="58" spans="10:10" x14ac:dyDescent="0.25">
      <c r="J58">
        <v>1954</v>
      </c>
    </row>
    <row r="59" spans="10:10" x14ac:dyDescent="0.25">
      <c r="J59">
        <v>1955</v>
      </c>
    </row>
    <row r="60" spans="10:10" x14ac:dyDescent="0.25">
      <c r="J60">
        <v>1956</v>
      </c>
    </row>
    <row r="61" spans="10:10" x14ac:dyDescent="0.25">
      <c r="J61">
        <v>1957</v>
      </c>
    </row>
    <row r="62" spans="10:10" x14ac:dyDescent="0.25">
      <c r="J62">
        <v>1958</v>
      </c>
    </row>
    <row r="63" spans="10:10" x14ac:dyDescent="0.25">
      <c r="J63">
        <v>1959</v>
      </c>
    </row>
    <row r="64" spans="10:10" x14ac:dyDescent="0.25">
      <c r="J64">
        <v>1960</v>
      </c>
    </row>
    <row r="65" spans="10:10" x14ac:dyDescent="0.25">
      <c r="J65">
        <v>1961</v>
      </c>
    </row>
    <row r="66" spans="10:10" x14ac:dyDescent="0.25">
      <c r="J66">
        <v>1962</v>
      </c>
    </row>
    <row r="67" spans="10:10" x14ac:dyDescent="0.25">
      <c r="J67">
        <v>1963</v>
      </c>
    </row>
    <row r="68" spans="10:10" x14ac:dyDescent="0.25">
      <c r="J68">
        <v>1964</v>
      </c>
    </row>
    <row r="69" spans="10:10" x14ac:dyDescent="0.25">
      <c r="J69">
        <v>1965</v>
      </c>
    </row>
    <row r="70" spans="10:10" x14ac:dyDescent="0.25">
      <c r="J70">
        <v>1966</v>
      </c>
    </row>
    <row r="71" spans="10:10" x14ac:dyDescent="0.25">
      <c r="J71">
        <v>1967</v>
      </c>
    </row>
    <row r="72" spans="10:10" x14ac:dyDescent="0.25">
      <c r="J72">
        <v>1968</v>
      </c>
    </row>
    <row r="73" spans="10:10" x14ac:dyDescent="0.25">
      <c r="J73">
        <v>1969</v>
      </c>
    </row>
    <row r="74" spans="10:10" x14ac:dyDescent="0.25">
      <c r="J74">
        <v>1970</v>
      </c>
    </row>
    <row r="75" spans="10:10" x14ac:dyDescent="0.25">
      <c r="J75">
        <v>1971</v>
      </c>
    </row>
    <row r="76" spans="10:10" x14ac:dyDescent="0.25">
      <c r="J76">
        <v>1972</v>
      </c>
    </row>
    <row r="77" spans="10:10" x14ac:dyDescent="0.25">
      <c r="J77">
        <v>1973</v>
      </c>
    </row>
    <row r="78" spans="10:10" x14ac:dyDescent="0.25">
      <c r="J78">
        <v>1974</v>
      </c>
    </row>
    <row r="79" spans="10:10" x14ac:dyDescent="0.25">
      <c r="J79">
        <v>1975</v>
      </c>
    </row>
    <row r="80" spans="10:10" x14ac:dyDescent="0.25">
      <c r="J80">
        <v>1976</v>
      </c>
    </row>
    <row r="81" spans="10:10" x14ac:dyDescent="0.25">
      <c r="J81">
        <v>1977</v>
      </c>
    </row>
    <row r="82" spans="10:10" x14ac:dyDescent="0.25">
      <c r="J82">
        <v>1978</v>
      </c>
    </row>
    <row r="83" spans="10:10" x14ac:dyDescent="0.25">
      <c r="J83">
        <v>1979</v>
      </c>
    </row>
    <row r="84" spans="10:10" x14ac:dyDescent="0.25">
      <c r="J84">
        <v>1980</v>
      </c>
    </row>
    <row r="85" spans="10:10" x14ac:dyDescent="0.25">
      <c r="J85">
        <v>1981</v>
      </c>
    </row>
    <row r="86" spans="10:10" x14ac:dyDescent="0.25">
      <c r="J86">
        <v>1982</v>
      </c>
    </row>
    <row r="87" spans="10:10" x14ac:dyDescent="0.25">
      <c r="J87">
        <v>1983</v>
      </c>
    </row>
    <row r="88" spans="10:10" x14ac:dyDescent="0.25">
      <c r="J88">
        <v>1984</v>
      </c>
    </row>
    <row r="89" spans="10:10" x14ac:dyDescent="0.25">
      <c r="J89">
        <v>1985</v>
      </c>
    </row>
    <row r="90" spans="10:10" x14ac:dyDescent="0.25">
      <c r="J90">
        <v>1986</v>
      </c>
    </row>
    <row r="91" spans="10:10" x14ac:dyDescent="0.25">
      <c r="J91">
        <v>1987</v>
      </c>
    </row>
    <row r="92" spans="10:10" x14ac:dyDescent="0.25">
      <c r="J92">
        <v>1988</v>
      </c>
    </row>
    <row r="93" spans="10:10" x14ac:dyDescent="0.25">
      <c r="J93">
        <v>1989</v>
      </c>
    </row>
    <row r="94" spans="10:10" x14ac:dyDescent="0.25">
      <c r="J94">
        <v>1990</v>
      </c>
    </row>
    <row r="95" spans="10:10" x14ac:dyDescent="0.25">
      <c r="J95">
        <v>1991</v>
      </c>
    </row>
    <row r="96" spans="10:10" x14ac:dyDescent="0.25">
      <c r="J96">
        <v>1992</v>
      </c>
    </row>
    <row r="97" spans="10:10" x14ac:dyDescent="0.25">
      <c r="J97">
        <v>1993</v>
      </c>
    </row>
    <row r="98" spans="10:10" x14ac:dyDescent="0.25">
      <c r="J98">
        <v>1994</v>
      </c>
    </row>
    <row r="99" spans="10:10" x14ac:dyDescent="0.25">
      <c r="J99">
        <v>1995</v>
      </c>
    </row>
    <row r="100" spans="10:10" x14ac:dyDescent="0.25">
      <c r="J100">
        <v>1996</v>
      </c>
    </row>
    <row r="101" spans="10:10" x14ac:dyDescent="0.25">
      <c r="J101">
        <v>1997</v>
      </c>
    </row>
    <row r="102" spans="10:10" x14ac:dyDescent="0.25">
      <c r="J102">
        <v>1998</v>
      </c>
    </row>
    <row r="103" spans="10:10" x14ac:dyDescent="0.25">
      <c r="J103">
        <v>1999</v>
      </c>
    </row>
    <row r="104" spans="10:10" x14ac:dyDescent="0.25">
      <c r="J104">
        <v>2000</v>
      </c>
    </row>
    <row r="105" spans="10:10" x14ac:dyDescent="0.25">
      <c r="J105">
        <v>2001</v>
      </c>
    </row>
    <row r="106" spans="10:10" x14ac:dyDescent="0.25">
      <c r="J106">
        <v>2002</v>
      </c>
    </row>
    <row r="107" spans="10:10" x14ac:dyDescent="0.25">
      <c r="J107">
        <v>2003</v>
      </c>
    </row>
    <row r="108" spans="10:10" x14ac:dyDescent="0.25">
      <c r="J108">
        <v>2004</v>
      </c>
    </row>
    <row r="109" spans="10:10" x14ac:dyDescent="0.25">
      <c r="J109">
        <v>2005</v>
      </c>
    </row>
    <row r="110" spans="10:10" x14ac:dyDescent="0.25">
      <c r="J110">
        <v>2006</v>
      </c>
    </row>
    <row r="111" spans="10:10" x14ac:dyDescent="0.25">
      <c r="J111">
        <v>2007</v>
      </c>
    </row>
    <row r="112" spans="10:10" x14ac:dyDescent="0.25">
      <c r="J112">
        <v>2008</v>
      </c>
    </row>
    <row r="113" spans="10:10" x14ac:dyDescent="0.25">
      <c r="J113">
        <v>2009</v>
      </c>
    </row>
    <row r="114" spans="10:10" x14ac:dyDescent="0.25">
      <c r="J114">
        <v>2010</v>
      </c>
    </row>
    <row r="115" spans="10:10" x14ac:dyDescent="0.25">
      <c r="J115">
        <v>2011</v>
      </c>
    </row>
    <row r="116" spans="10:10" x14ac:dyDescent="0.25">
      <c r="J116">
        <v>2012</v>
      </c>
    </row>
    <row r="117" spans="10:10" x14ac:dyDescent="0.25">
      <c r="J117">
        <v>2013</v>
      </c>
    </row>
    <row r="118" spans="10:10" x14ac:dyDescent="0.25">
      <c r="J118">
        <v>2014</v>
      </c>
    </row>
    <row r="119" spans="10:10" x14ac:dyDescent="0.25">
      <c r="J119">
        <v>2015</v>
      </c>
    </row>
    <row r="120" spans="10:10" x14ac:dyDescent="0.25">
      <c r="J120">
        <v>2016</v>
      </c>
    </row>
  </sheetData>
  <customSheetViews>
    <customSheetView guid="{84F0FDFB-72A1-4214-8B2B-A048953E297B}">
      <pageMargins left="0.7" right="0.7" top="0.75" bottom="0.75" header="0.3" footer="0.3"/>
    </customSheetView>
  </customSheetView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3" id="{68DCA953-4B6D-4213-AD29-C1C5072A30C0}">
            <xm:f>'Program Page'!T$7&lt;&gt;$L$6</xm:f>
            <x14:dxf>
              <font>
                <color theme="1"/>
              </font>
            </x14:dxf>
          </x14:cfRule>
          <xm:sqref>E29:CJ30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71"/>
  <sheetViews>
    <sheetView topLeftCell="A14" workbookViewId="0">
      <selection activeCell="B25" sqref="B25:B26"/>
    </sheetView>
  </sheetViews>
  <sheetFormatPr defaultRowHeight="15" x14ac:dyDescent="0.25"/>
  <cols>
    <col min="2" max="2" width="50.7109375" bestFit="1" customWidth="1"/>
    <col min="3" max="3" width="31.7109375" customWidth="1"/>
    <col min="4" max="4" width="35.7109375" customWidth="1"/>
    <col min="5" max="5" width="9.7109375" customWidth="1"/>
    <col min="6" max="6" width="23.42578125" customWidth="1"/>
  </cols>
  <sheetData>
    <row r="1" spans="2:6" x14ac:dyDescent="0.25">
      <c r="B1" t="s">
        <v>179</v>
      </c>
      <c r="C1" t="s">
        <v>180</v>
      </c>
    </row>
    <row r="2" spans="2:6" x14ac:dyDescent="0.25">
      <c r="B2" t="str">
        <f ca="1">'Program Page'!C13</f>
        <v>AZ_6-16-2017</v>
      </c>
    </row>
    <row r="3" spans="2:6" x14ac:dyDescent="0.25">
      <c r="F3" t="s">
        <v>37</v>
      </c>
    </row>
    <row r="4" spans="2:6" x14ac:dyDescent="0.25">
      <c r="B4" s="1" t="s">
        <v>7</v>
      </c>
      <c r="C4" s="1"/>
      <c r="D4" s="4" t="str">
        <f ca="1">CONCATENATE("""","Last updated on...",'Program Page'!C10," ",'Program Page'!C11,"""")</f>
        <v>"Last updated on...6-16-2017 12735"</v>
      </c>
    </row>
    <row r="5" spans="2:6" x14ac:dyDescent="0.25">
      <c r="B5" s="1" t="s">
        <v>8</v>
      </c>
      <c r="C5" s="1"/>
      <c r="D5" s="4" t="s">
        <v>9</v>
      </c>
    </row>
    <row r="6" spans="2:6" x14ac:dyDescent="0.25">
      <c r="B6" s="1" t="s">
        <v>10</v>
      </c>
      <c r="C6" s="1"/>
      <c r="D6" s="4" t="str">
        <f ca="1">CONCATENATE("""",B2,D2,"""")</f>
        <v>"AZ_6-16-2017"</v>
      </c>
      <c r="F6" t="s">
        <v>38</v>
      </c>
    </row>
    <row r="7" spans="2:6" x14ac:dyDescent="0.25">
      <c r="B7" s="1" t="s">
        <v>12</v>
      </c>
      <c r="C7" s="1"/>
      <c r="D7" s="4" t="s">
        <v>11</v>
      </c>
    </row>
    <row r="8" spans="2:6" x14ac:dyDescent="0.25">
      <c r="B8" s="1" t="s">
        <v>13</v>
      </c>
      <c r="C8" s="1"/>
      <c r="D8" s="4" t="str">
        <f>CONCATENATE("""",'Program Page'!D45,"""")</f>
        <v>""</v>
      </c>
    </row>
    <row r="9" spans="2:6" x14ac:dyDescent="0.25">
      <c r="B9" s="1" t="s">
        <v>14</v>
      </c>
      <c r="C9" s="1"/>
      <c r="D9" s="3" t="str">
        <f ca="1">CONCATENATE("""",'Program Page'!C10,"""")</f>
        <v>"6-16-2017"</v>
      </c>
    </row>
    <row r="10" spans="2:6" x14ac:dyDescent="0.25">
      <c r="B10" s="1" t="s">
        <v>15</v>
      </c>
      <c r="C10" s="1"/>
      <c r="D10" s="4" t="str">
        <f>CONCATENATE("""",'Program Page'!C9,"""")</f>
        <v>""</v>
      </c>
    </row>
    <row r="11" spans="2:6" x14ac:dyDescent="0.25">
      <c r="B11" s="1" t="s">
        <v>16</v>
      </c>
      <c r="C11" s="1"/>
      <c r="D11" s="4" t="str">
        <f ca="1">CONCATENATE("""",B2,"_","""")</f>
        <v>"AZ_6-16-2017_"</v>
      </c>
    </row>
    <row r="12" spans="2:6" x14ac:dyDescent="0.25">
      <c r="B12" s="1" t="s">
        <v>17</v>
      </c>
      <c r="C12" s="1"/>
      <c r="D12" s="4" t="str">
        <f>CONCATENATE("""",C12,"""")</f>
        <v>""</v>
      </c>
    </row>
    <row r="13" spans="2:6" x14ac:dyDescent="0.25">
      <c r="B13" s="1" t="s">
        <v>18</v>
      </c>
      <c r="C13" s="1"/>
      <c r="D13" s="4" t="str">
        <f t="shared" ref="D13:D23" si="0">CONCATENATE("""",C13,"""")</f>
        <v>""</v>
      </c>
    </row>
    <row r="14" spans="2:6" x14ac:dyDescent="0.25">
      <c r="B14" s="1" t="s">
        <v>19</v>
      </c>
      <c r="C14" s="1"/>
      <c r="D14" s="4" t="str">
        <f t="shared" si="0"/>
        <v>""</v>
      </c>
    </row>
    <row r="15" spans="2:6" x14ac:dyDescent="0.25">
      <c r="B15" s="1" t="s">
        <v>20</v>
      </c>
      <c r="C15" s="1"/>
      <c r="D15" s="4" t="str">
        <f t="shared" si="0"/>
        <v>""</v>
      </c>
    </row>
    <row r="16" spans="2:6" x14ac:dyDescent="0.25">
      <c r="B16" s="1" t="s">
        <v>21</v>
      </c>
      <c r="C16" s="5">
        <v>0</v>
      </c>
      <c r="D16" s="4" t="str">
        <f t="shared" si="0"/>
        <v>"0"</v>
      </c>
    </row>
    <row r="17" spans="2:9" x14ac:dyDescent="0.25">
      <c r="B17" s="1" t="s">
        <v>22</v>
      </c>
      <c r="C17" s="5"/>
      <c r="D17" s="4"/>
    </row>
    <row r="18" spans="2:9" x14ac:dyDescent="0.25">
      <c r="B18" s="1" t="s">
        <v>23</v>
      </c>
      <c r="C18" s="1" t="s">
        <v>194</v>
      </c>
      <c r="D18" s="4" t="str">
        <f t="shared" si="0"/>
        <v>"0"</v>
      </c>
    </row>
    <row r="19" spans="2:9" x14ac:dyDescent="0.25">
      <c r="B19" s="1" t="s">
        <v>24</v>
      </c>
      <c r="C19" s="1" t="s">
        <v>194</v>
      </c>
      <c r="D19" s="4" t="str">
        <f t="shared" si="0"/>
        <v>"0"</v>
      </c>
    </row>
    <row r="20" spans="2:9" x14ac:dyDescent="0.25">
      <c r="B20" s="1" t="s">
        <v>214</v>
      </c>
      <c r="C20" s="1" t="s">
        <v>194</v>
      </c>
      <c r="D20" s="4" t="str">
        <f t="shared" si="0"/>
        <v>"0"</v>
      </c>
    </row>
    <row r="21" spans="2:9" x14ac:dyDescent="0.25">
      <c r="B21" s="1" t="s">
        <v>25</v>
      </c>
      <c r="C21" s="1" t="s">
        <v>194</v>
      </c>
      <c r="D21" s="4" t="str">
        <f t="shared" si="0"/>
        <v>"0"</v>
      </c>
      <c r="F21" t="s">
        <v>505</v>
      </c>
      <c r="I21" s="6" t="s">
        <v>330</v>
      </c>
    </row>
    <row r="22" spans="2:9" x14ac:dyDescent="0.25">
      <c r="B22" s="1" t="s">
        <v>26</v>
      </c>
      <c r="C22" s="1" t="s">
        <v>194</v>
      </c>
      <c r="D22" s="4" t="str">
        <f t="shared" si="0"/>
        <v>"0"</v>
      </c>
    </row>
    <row r="23" spans="2:9" x14ac:dyDescent="0.25">
      <c r="B23" s="1" t="s">
        <v>27</v>
      </c>
      <c r="C23" s="1" t="s">
        <v>194</v>
      </c>
      <c r="D23" s="4" t="str">
        <f t="shared" si="0"/>
        <v>"0"</v>
      </c>
    </row>
    <row r="24" spans="2:9" x14ac:dyDescent="0.25">
      <c r="B24" s="1" t="s">
        <v>28</v>
      </c>
      <c r="C24" s="1"/>
      <c r="D24" s="4" t="s">
        <v>29</v>
      </c>
      <c r="F24" s="147">
        <v>0.3</v>
      </c>
      <c r="G24" t="s">
        <v>337</v>
      </c>
    </row>
    <row r="25" spans="2:9" x14ac:dyDescent="0.25">
      <c r="B25" s="1" t="s">
        <v>30</v>
      </c>
      <c r="C25" s="1"/>
      <c r="D25" s="4" t="s">
        <v>29</v>
      </c>
      <c r="F25" s="147">
        <v>0.3</v>
      </c>
      <c r="G25" t="s">
        <v>337</v>
      </c>
    </row>
    <row r="26" spans="2:9" x14ac:dyDescent="0.25">
      <c r="B26" s="1" t="s">
        <v>31</v>
      </c>
      <c r="C26" s="1"/>
      <c r="D26" s="4" t="s">
        <v>32</v>
      </c>
      <c r="F26" s="147">
        <v>0.2</v>
      </c>
      <c r="G26" t="s">
        <v>337</v>
      </c>
    </row>
    <row r="27" spans="2:9" x14ac:dyDescent="0.25">
      <c r="B27" s="1" t="s">
        <v>33</v>
      </c>
      <c r="C27" s="1"/>
      <c r="D27" s="4" t="s">
        <v>424</v>
      </c>
      <c r="F27" s="123" t="s">
        <v>506</v>
      </c>
      <c r="I27" s="123">
        <v>11.25</v>
      </c>
    </row>
    <row r="28" spans="2:9" x14ac:dyDescent="0.25">
      <c r="B28" s="1" t="s">
        <v>34</v>
      </c>
      <c r="C28" s="1"/>
      <c r="D28" s="4" t="s">
        <v>425</v>
      </c>
      <c r="F28" s="123" t="s">
        <v>507</v>
      </c>
      <c r="I28" s="123">
        <v>0.22</v>
      </c>
    </row>
    <row r="29" spans="2:9" x14ac:dyDescent="0.25">
      <c r="D29" s="146" t="s">
        <v>336</v>
      </c>
    </row>
    <row r="31" spans="2:9" x14ac:dyDescent="0.25">
      <c r="B31" t="s">
        <v>10</v>
      </c>
    </row>
    <row r="32" spans="2:9" x14ac:dyDescent="0.25">
      <c r="B32" t="s">
        <v>8</v>
      </c>
      <c r="D32" t="str">
        <f>D5</f>
        <v>"K:/1_Capture/"</v>
      </c>
    </row>
    <row r="33" spans="2:4" x14ac:dyDescent="0.25">
      <c r="B33" t="s">
        <v>12</v>
      </c>
      <c r="D33" t="str">
        <f>D7</f>
        <v>"--"</v>
      </c>
    </row>
    <row r="34" spans="2:4" x14ac:dyDescent="0.25">
      <c r="B34" t="s">
        <v>13</v>
      </c>
      <c r="D34" t="str">
        <f>D8</f>
        <v>""</v>
      </c>
    </row>
    <row r="35" spans="2:4" x14ac:dyDescent="0.25">
      <c r="B35" t="s">
        <v>14</v>
      </c>
      <c r="D35" s="3" t="str">
        <f ca="1">D9</f>
        <v>"6-16-2017"</v>
      </c>
    </row>
    <row r="36" spans="2:4" x14ac:dyDescent="0.25">
      <c r="B36" t="s">
        <v>15</v>
      </c>
      <c r="D36" t="str">
        <f>D10</f>
        <v>""</v>
      </c>
    </row>
    <row r="37" spans="2:4" x14ac:dyDescent="0.25">
      <c r="B37" t="s">
        <v>16</v>
      </c>
      <c r="D37" t="str">
        <f ca="1">D11</f>
        <v>"AZ_6-16-2017_"</v>
      </c>
    </row>
    <row r="38" spans="2:4" x14ac:dyDescent="0.25">
      <c r="B38" t="s">
        <v>17</v>
      </c>
    </row>
    <row r="39" spans="2:4" x14ac:dyDescent="0.25">
      <c r="B39" t="s">
        <v>18</v>
      </c>
    </row>
    <row r="40" spans="2:4" x14ac:dyDescent="0.25">
      <c r="B40" t="s">
        <v>19</v>
      </c>
    </row>
    <row r="41" spans="2:4" x14ac:dyDescent="0.25">
      <c r="B41" t="s">
        <v>20</v>
      </c>
    </row>
    <row r="42" spans="2:4" x14ac:dyDescent="0.25">
      <c r="B42" t="s">
        <v>21</v>
      </c>
    </row>
    <row r="43" spans="2:4" x14ac:dyDescent="0.25">
      <c r="B43" t="s">
        <v>22</v>
      </c>
    </row>
    <row r="44" spans="2:4" x14ac:dyDescent="0.25">
      <c r="B44" s="33" t="s">
        <v>269</v>
      </c>
      <c r="C44" t="s">
        <v>237</v>
      </c>
    </row>
    <row r="45" spans="2:4" x14ac:dyDescent="0.25">
      <c r="B45" s="33" t="s">
        <v>268</v>
      </c>
      <c r="C45" t="s">
        <v>262</v>
      </c>
    </row>
    <row r="46" spans="2:4" x14ac:dyDescent="0.25">
      <c r="B46" s="33" t="s">
        <v>267</v>
      </c>
      <c r="C46" t="s">
        <v>242</v>
      </c>
    </row>
    <row r="47" spans="2:4" x14ac:dyDescent="0.25">
      <c r="B47" t="s">
        <v>23</v>
      </c>
      <c r="D47" t="str">
        <f>D18</f>
        <v>"0"</v>
      </c>
    </row>
    <row r="48" spans="2:4" x14ac:dyDescent="0.25">
      <c r="B48" t="s">
        <v>24</v>
      </c>
      <c r="D48" t="str">
        <f t="shared" ref="D48:D52" si="1">D19</f>
        <v>"0"</v>
      </c>
    </row>
    <row r="49" spans="2:9" x14ac:dyDescent="0.25">
      <c r="B49" t="s">
        <v>214</v>
      </c>
      <c r="D49" t="str">
        <f t="shared" si="1"/>
        <v>"0"</v>
      </c>
    </row>
    <row r="50" spans="2:9" x14ac:dyDescent="0.25">
      <c r="B50" t="s">
        <v>25</v>
      </c>
      <c r="D50" t="str">
        <f t="shared" si="1"/>
        <v>"0"</v>
      </c>
      <c r="I50" s="6" t="s">
        <v>330</v>
      </c>
    </row>
    <row r="51" spans="2:9" x14ac:dyDescent="0.25">
      <c r="B51" t="s">
        <v>26</v>
      </c>
      <c r="D51" t="str">
        <f t="shared" si="1"/>
        <v>"0"</v>
      </c>
    </row>
    <row r="52" spans="2:9" x14ac:dyDescent="0.25">
      <c r="B52" t="s">
        <v>27</v>
      </c>
      <c r="D52" t="str">
        <f t="shared" si="1"/>
        <v>"0"</v>
      </c>
    </row>
    <row r="53" spans="2:9" x14ac:dyDescent="0.25">
      <c r="B53" t="s">
        <v>28</v>
      </c>
      <c r="D53" t="str">
        <f>D24</f>
        <v>"0.3"</v>
      </c>
      <c r="F53" s="122">
        <v>0.3</v>
      </c>
      <c r="G53" t="s">
        <v>337</v>
      </c>
    </row>
    <row r="54" spans="2:9" x14ac:dyDescent="0.25">
      <c r="B54" t="s">
        <v>30</v>
      </c>
      <c r="D54" t="str">
        <f>D25</f>
        <v>"0.3"</v>
      </c>
      <c r="F54" s="122">
        <v>0.3</v>
      </c>
      <c r="G54" t="s">
        <v>337</v>
      </c>
    </row>
    <row r="55" spans="2:9" x14ac:dyDescent="0.25">
      <c r="B55" t="s">
        <v>31</v>
      </c>
      <c r="D55" t="str">
        <f>D26</f>
        <v>"0.2"</v>
      </c>
      <c r="F55" s="122">
        <v>0.2</v>
      </c>
      <c r="G55" t="s">
        <v>337</v>
      </c>
    </row>
    <row r="56" spans="2:9" x14ac:dyDescent="0.25">
      <c r="B56" s="33" t="s">
        <v>266</v>
      </c>
      <c r="C56" t="s">
        <v>254</v>
      </c>
      <c r="D56" t="str">
        <f>D27</f>
        <v>"7.5"</v>
      </c>
      <c r="F56" s="123" t="s">
        <v>506</v>
      </c>
      <c r="I56" s="123">
        <v>11.25</v>
      </c>
    </row>
    <row r="57" spans="2:9" x14ac:dyDescent="0.25">
      <c r="B57" s="33" t="s">
        <v>265</v>
      </c>
      <c r="C57" t="s">
        <v>263</v>
      </c>
      <c r="D57" t="s">
        <v>426</v>
      </c>
      <c r="F57" s="123" t="s">
        <v>424</v>
      </c>
      <c r="I57" s="123">
        <v>5.7692307692307603</v>
      </c>
    </row>
    <row r="58" spans="2:9" x14ac:dyDescent="0.25">
      <c r="B58" t="s">
        <v>34</v>
      </c>
      <c r="D58" t="str">
        <f>D28</f>
        <v>"0.13"</v>
      </c>
      <c r="F58" s="123" t="s">
        <v>507</v>
      </c>
      <c r="I58" s="123">
        <v>0.22</v>
      </c>
    </row>
    <row r="59" spans="2:9" x14ac:dyDescent="0.25">
      <c r="B59" s="33" t="s">
        <v>264</v>
      </c>
      <c r="C59" t="s">
        <v>256</v>
      </c>
    </row>
    <row r="60" spans="2:9" x14ac:dyDescent="0.25">
      <c r="B60" t="s">
        <v>252</v>
      </c>
      <c r="D60" t="s">
        <v>339</v>
      </c>
    </row>
    <row r="61" spans="2:9" x14ac:dyDescent="0.25">
      <c r="C61" t="s">
        <v>272</v>
      </c>
      <c r="D61" t="s">
        <v>198</v>
      </c>
      <c r="E61" t="s">
        <v>270</v>
      </c>
      <c r="F61" t="s">
        <v>271</v>
      </c>
    </row>
    <row r="62" spans="2:9" x14ac:dyDescent="0.25">
      <c r="B62" t="s">
        <v>6</v>
      </c>
      <c r="C62">
        <v>5</v>
      </c>
      <c r="D62">
        <v>4</v>
      </c>
    </row>
    <row r="63" spans="2:9" x14ac:dyDescent="0.25">
      <c r="B63" t="s">
        <v>188</v>
      </c>
      <c r="C63">
        <v>3</v>
      </c>
      <c r="D63">
        <v>3</v>
      </c>
      <c r="G63">
        <v>2</v>
      </c>
      <c r="H63" t="s">
        <v>340</v>
      </c>
    </row>
    <row r="64" spans="2:9" x14ac:dyDescent="0.25">
      <c r="B64" t="s">
        <v>189</v>
      </c>
    </row>
    <row r="65" spans="2:6" x14ac:dyDescent="0.25">
      <c r="B65" t="s">
        <v>190</v>
      </c>
    </row>
    <row r="66" spans="2:6" x14ac:dyDescent="0.25">
      <c r="B66" t="s">
        <v>191</v>
      </c>
    </row>
    <row r="67" spans="2:6" x14ac:dyDescent="0.25">
      <c r="B67" t="s">
        <v>196</v>
      </c>
    </row>
    <row r="68" spans="2:6" x14ac:dyDescent="0.25">
      <c r="B68" t="s">
        <v>259</v>
      </c>
      <c r="C68">
        <v>12</v>
      </c>
      <c r="D68">
        <v>23</v>
      </c>
      <c r="E68">
        <v>1</v>
      </c>
      <c r="F68">
        <f>C68*D68*E68</f>
        <v>276</v>
      </c>
    </row>
    <row r="70" spans="2:6" x14ac:dyDescent="0.25">
      <c r="B70" s="6" t="s">
        <v>338</v>
      </c>
      <c r="C70" s="123">
        <v>11</v>
      </c>
      <c r="D70" s="123">
        <v>19</v>
      </c>
      <c r="E70" s="122">
        <v>1</v>
      </c>
      <c r="F70" s="123">
        <f>C70*D70*E70</f>
        <v>209</v>
      </c>
    </row>
    <row r="71" spans="2:6" x14ac:dyDescent="0.25">
      <c r="E71" t="s">
        <v>337</v>
      </c>
    </row>
  </sheetData>
  <customSheetViews>
    <customSheetView guid="{84F0FDFB-72A1-4214-8B2B-A048953E297B}">
      <selection activeCell="C63" sqref="C63"/>
      <pageMargins left="0.7" right="0.7" top="0.75" bottom="0.75" header="0.3" footer="0.3"/>
      <pageSetup orientation="portrait" horizontalDpi="4294967293" verticalDpi="0" r:id="rId1"/>
    </customSheetView>
  </customSheetViews>
  <pageMargins left="0.7" right="0.7" top="0.75" bottom="0.75" header="0.3" footer="0.3"/>
  <pageSetup orientation="portrait" horizontalDpi="4294967293" verticalDpi="0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31"/>
  <sheetViews>
    <sheetView workbookViewId="0"/>
  </sheetViews>
  <sheetFormatPr defaultRowHeight="15" x14ac:dyDescent="0.25"/>
  <cols>
    <col min="1" max="1" width="54.85546875" bestFit="1" customWidth="1"/>
    <col min="3" max="3" width="50.7109375" bestFit="1" customWidth="1"/>
    <col min="6" max="6" width="21.85546875" bestFit="1" customWidth="1"/>
  </cols>
  <sheetData>
    <row r="1" spans="1:6" x14ac:dyDescent="0.25">
      <c r="A1" t="s">
        <v>215</v>
      </c>
      <c r="C1" t="s">
        <v>215</v>
      </c>
    </row>
    <row r="2" spans="1:6" x14ac:dyDescent="0.25">
      <c r="A2" s="32" t="s">
        <v>216</v>
      </c>
      <c r="C2" t="s">
        <v>217</v>
      </c>
    </row>
    <row r="3" spans="1:6" x14ac:dyDescent="0.25">
      <c r="A3" t="s">
        <v>218</v>
      </c>
      <c r="C3" t="s">
        <v>218</v>
      </c>
    </row>
    <row r="4" spans="1:6" x14ac:dyDescent="0.25">
      <c r="A4" t="s">
        <v>219</v>
      </c>
      <c r="C4" t="s">
        <v>220</v>
      </c>
      <c r="E4" s="6"/>
      <c r="F4" s="6"/>
    </row>
    <row r="5" spans="1:6" x14ac:dyDescent="0.25">
      <c r="A5" t="s">
        <v>220</v>
      </c>
      <c r="C5" t="s">
        <v>221</v>
      </c>
    </row>
    <row r="6" spans="1:6" x14ac:dyDescent="0.25">
      <c r="A6" t="s">
        <v>221</v>
      </c>
      <c r="C6" t="s">
        <v>222</v>
      </c>
    </row>
    <row r="7" spans="1:6" x14ac:dyDescent="0.25">
      <c r="A7" t="s">
        <v>222</v>
      </c>
      <c r="C7" t="s">
        <v>223</v>
      </c>
    </row>
    <row r="8" spans="1:6" x14ac:dyDescent="0.25">
      <c r="A8" t="s">
        <v>223</v>
      </c>
      <c r="C8" t="s">
        <v>224</v>
      </c>
    </row>
    <row r="9" spans="1:6" x14ac:dyDescent="0.25">
      <c r="A9" t="s">
        <v>225</v>
      </c>
      <c r="C9" t="s">
        <v>226</v>
      </c>
    </row>
    <row r="10" spans="1:6" x14ac:dyDescent="0.25">
      <c r="A10" t="s">
        <v>227</v>
      </c>
      <c r="C10" t="s">
        <v>228</v>
      </c>
    </row>
    <row r="11" spans="1:6" x14ac:dyDescent="0.25">
      <c r="A11" t="s">
        <v>229</v>
      </c>
      <c r="C11" t="s">
        <v>230</v>
      </c>
    </row>
    <row r="12" spans="1:6" x14ac:dyDescent="0.25">
      <c r="A12" t="s">
        <v>231</v>
      </c>
      <c r="C12" t="s">
        <v>232</v>
      </c>
    </row>
    <row r="13" spans="1:6" x14ac:dyDescent="0.25">
      <c r="A13" t="s">
        <v>232</v>
      </c>
      <c r="C13" t="s">
        <v>233</v>
      </c>
    </row>
    <row r="14" spans="1:6" x14ac:dyDescent="0.25">
      <c r="A14" t="s">
        <v>233</v>
      </c>
      <c r="C14" t="s">
        <v>234</v>
      </c>
    </row>
    <row r="15" spans="1:6" x14ac:dyDescent="0.25">
      <c r="A15" t="s">
        <v>235</v>
      </c>
      <c r="C15" s="33" t="s">
        <v>236</v>
      </c>
      <c r="D15" t="s">
        <v>237</v>
      </c>
    </row>
    <row r="16" spans="1:6" x14ac:dyDescent="0.25">
      <c r="A16" t="s">
        <v>238</v>
      </c>
      <c r="C16" s="33" t="s">
        <v>239</v>
      </c>
      <c r="D16" t="s">
        <v>262</v>
      </c>
    </row>
    <row r="17" spans="1:4" x14ac:dyDescent="0.25">
      <c r="A17" t="s">
        <v>240</v>
      </c>
      <c r="C17" s="33" t="s">
        <v>241</v>
      </c>
      <c r="D17" t="s">
        <v>242</v>
      </c>
    </row>
    <row r="18" spans="1:4" x14ac:dyDescent="0.25">
      <c r="A18" t="s">
        <v>243</v>
      </c>
      <c r="C18" t="s">
        <v>238</v>
      </c>
    </row>
    <row r="19" spans="1:4" x14ac:dyDescent="0.25">
      <c r="A19" t="s">
        <v>244</v>
      </c>
      <c r="C19" t="s">
        <v>240</v>
      </c>
    </row>
    <row r="20" spans="1:4" x14ac:dyDescent="0.25">
      <c r="A20" t="s">
        <v>245</v>
      </c>
      <c r="C20" t="s">
        <v>243</v>
      </c>
    </row>
    <row r="21" spans="1:4" x14ac:dyDescent="0.25">
      <c r="A21" t="s">
        <v>246</v>
      </c>
      <c r="C21" t="s">
        <v>244</v>
      </c>
    </row>
    <row r="22" spans="1:4" x14ac:dyDescent="0.25">
      <c r="A22" t="s">
        <v>247</v>
      </c>
      <c r="C22" t="s">
        <v>245</v>
      </c>
    </row>
    <row r="23" spans="1:4" x14ac:dyDescent="0.25">
      <c r="A23" t="s">
        <v>248</v>
      </c>
      <c r="C23" t="s">
        <v>246</v>
      </c>
    </row>
    <row r="24" spans="1:4" x14ac:dyDescent="0.25">
      <c r="A24" t="s">
        <v>249</v>
      </c>
      <c r="C24" t="s">
        <v>247</v>
      </c>
    </row>
    <row r="25" spans="1:4" x14ac:dyDescent="0.25">
      <c r="A25" s="32" t="s">
        <v>250</v>
      </c>
      <c r="C25" t="s">
        <v>248</v>
      </c>
    </row>
    <row r="26" spans="1:4" x14ac:dyDescent="0.25">
      <c r="A26" t="s">
        <v>251</v>
      </c>
      <c r="C26" t="s">
        <v>249</v>
      </c>
    </row>
    <row r="27" spans="1:4" x14ac:dyDescent="0.25">
      <c r="A27" t="s">
        <v>252</v>
      </c>
      <c r="C27" s="33" t="s">
        <v>253</v>
      </c>
      <c r="D27" t="s">
        <v>254</v>
      </c>
    </row>
    <row r="28" spans="1:4" x14ac:dyDescent="0.25">
      <c r="C28" s="33" t="s">
        <v>255</v>
      </c>
      <c r="D28" t="s">
        <v>263</v>
      </c>
    </row>
    <row r="29" spans="1:4" x14ac:dyDescent="0.25">
      <c r="C29" t="s">
        <v>257</v>
      </c>
    </row>
    <row r="30" spans="1:4" x14ac:dyDescent="0.25">
      <c r="C30" s="33" t="s">
        <v>258</v>
      </c>
      <c r="D30" t="s">
        <v>256</v>
      </c>
    </row>
    <row r="31" spans="1:4" x14ac:dyDescent="0.25">
      <c r="C31" t="s">
        <v>252</v>
      </c>
    </row>
  </sheetData>
  <customSheetViews>
    <customSheetView guid="{84F0FDFB-72A1-4214-8B2B-A048953E297B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21"/>
  <sheetViews>
    <sheetView topLeftCell="A5" workbookViewId="0">
      <selection activeCell="B5" sqref="B5:C1000"/>
    </sheetView>
  </sheetViews>
  <sheetFormatPr defaultRowHeight="15" x14ac:dyDescent="0.25"/>
  <cols>
    <col min="2" max="2" width="16.85546875" bestFit="1" customWidth="1"/>
    <col min="3" max="3" width="35.42578125" bestFit="1" customWidth="1"/>
    <col min="4" max="4" width="32.42578125" bestFit="1" customWidth="1"/>
    <col min="5" max="5" width="36.140625" bestFit="1" customWidth="1"/>
    <col min="6" max="6" width="21.85546875" bestFit="1" customWidth="1"/>
  </cols>
  <sheetData>
    <row r="1" spans="1:6" x14ac:dyDescent="0.25">
      <c r="C1" s="6" t="s">
        <v>176</v>
      </c>
      <c r="D1" s="6"/>
      <c r="E1" s="6"/>
    </row>
    <row r="2" spans="1:6" x14ac:dyDescent="0.25">
      <c r="C2" t="str">
        <f ca="1">'Program Page'!C13</f>
        <v>AZ_6-16-2017</v>
      </c>
      <c r="F2" t="str">
        <f>CONCATENATE(F6,F7)</f>
        <v/>
      </c>
    </row>
    <row r="4" spans="1:6" x14ac:dyDescent="0.25">
      <c r="C4" s="6" t="s">
        <v>174</v>
      </c>
      <c r="D4" s="6" t="s">
        <v>212</v>
      </c>
      <c r="E4" s="6"/>
      <c r="F4" s="6" t="s">
        <v>175</v>
      </c>
    </row>
    <row r="5" spans="1:6" x14ac:dyDescent="0.25">
      <c r="A5">
        <v>1</v>
      </c>
      <c r="B5">
        <f ca="1">IF(F5="","",A5)</f>
        <v>1</v>
      </c>
      <c r="C5" t="str">
        <f>IF('All Projects Calculations'!U5=0,"",'All Projects Calculations'!U5)</f>
        <v>full_AZ_1A_Well</v>
      </c>
      <c r="F5" t="str">
        <f ca="1">IF('All Projects Calculations'!W5=0,"",'All Projects Calculations'!W5)</f>
        <v>{"project_last_updated":"Last updated on...6-16-2017 12735","project_path":"K:/1_Capture/","project_name":"full_AZ_1A_Well","project_subject_id":"--","project_author":"","project_date":"6-16-2017","project_notes":"","project_data_directory":"full_AZ_1A_Well_","project_boundary_left":"25.91","project_boundary_right":"73.91","project_boundary_top":"1.73","project_boundary_bottom":"25.73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</row>
    <row r="6" spans="1:6" x14ac:dyDescent="0.25">
      <c r="A6">
        <v>2</v>
      </c>
      <c r="B6" t="str">
        <f t="shared" ref="B6:B69" si="0">IF(F6="","",A6)</f>
        <v/>
      </c>
      <c r="C6" t="str">
        <f>IF('All Projects Calculations'!U6="","",'All Projects Calculations'!U6)</f>
        <v/>
      </c>
      <c r="F6" t="str">
        <f>IF('All Projects Calculations'!W6=0,"",'All Projects Calculations'!W6)</f>
        <v/>
      </c>
    </row>
    <row r="7" spans="1:6" x14ac:dyDescent="0.25">
      <c r="A7">
        <v>3</v>
      </c>
      <c r="B7" t="str">
        <f t="shared" si="0"/>
        <v/>
      </c>
      <c r="C7" t="str">
        <f>IF('All Projects Calculations'!U7="","",'All Projects Calculations'!U7)</f>
        <v/>
      </c>
      <c r="F7" t="str">
        <f>IF('All Projects Calculations'!W7=0,"",'All Projects Calculations'!W7)</f>
        <v/>
      </c>
    </row>
    <row r="8" spans="1:6" x14ac:dyDescent="0.25">
      <c r="A8">
        <v>4</v>
      </c>
      <c r="B8" t="str">
        <f t="shared" si="0"/>
        <v/>
      </c>
      <c r="C8" t="str">
        <f>IF('All Projects Calculations'!U8="","",'All Projects Calculations'!U8)</f>
        <v/>
      </c>
      <c r="F8" t="str">
        <f>IF('All Projects Calculations'!W8=0,"",'All Projects Calculations'!W8)</f>
        <v/>
      </c>
    </row>
    <row r="9" spans="1:6" x14ac:dyDescent="0.25">
      <c r="A9">
        <v>5</v>
      </c>
      <c r="B9" t="str">
        <f t="shared" si="0"/>
        <v/>
      </c>
      <c r="C9" t="str">
        <f>IF('All Projects Calculations'!U9="","",'All Projects Calculations'!U9)</f>
        <v/>
      </c>
      <c r="F9" t="str">
        <f>IF('All Projects Calculations'!W9=0,"",'All Projects Calculations'!W9)</f>
        <v/>
      </c>
    </row>
    <row r="10" spans="1:6" x14ac:dyDescent="0.25">
      <c r="A10">
        <v>6</v>
      </c>
      <c r="B10" t="str">
        <f t="shared" si="0"/>
        <v/>
      </c>
      <c r="C10" t="str">
        <f>IF('All Projects Calculations'!U10="","",'All Projects Calculations'!U10)</f>
        <v/>
      </c>
      <c r="F10" t="str">
        <f>IF('All Projects Calculations'!W10=0,"",'All Projects Calculations'!W10)</f>
        <v/>
      </c>
    </row>
    <row r="11" spans="1:6" x14ac:dyDescent="0.25">
      <c r="A11">
        <v>7</v>
      </c>
      <c r="B11" t="str">
        <f>IF(F11="","",A11)</f>
        <v/>
      </c>
      <c r="C11" t="str">
        <f>IF('All Projects Calculations'!U11="","",'All Projects Calculations'!U11)</f>
        <v/>
      </c>
      <c r="F11" t="str">
        <f>IF('All Projects Calculations'!W11=0,"",'All Projects Calculations'!W11)</f>
        <v/>
      </c>
    </row>
    <row r="12" spans="1:6" x14ac:dyDescent="0.25">
      <c r="A12">
        <v>8</v>
      </c>
      <c r="B12" t="str">
        <f t="shared" si="0"/>
        <v/>
      </c>
      <c r="C12" t="str">
        <f>IF('All Projects Calculations'!U12="","",'All Projects Calculations'!U12)</f>
        <v/>
      </c>
      <c r="F12" t="str">
        <f>IF('All Projects Calculations'!W12=0,"",'All Projects Calculations'!W12)</f>
        <v/>
      </c>
    </row>
    <row r="13" spans="1:6" x14ac:dyDescent="0.25">
      <c r="A13">
        <v>9</v>
      </c>
      <c r="B13" t="str">
        <f t="shared" si="0"/>
        <v/>
      </c>
      <c r="C13" t="str">
        <f>IF('All Projects Calculations'!U13="","",'All Projects Calculations'!U13)</f>
        <v/>
      </c>
      <c r="F13" t="str">
        <f>IF('All Projects Calculations'!W13=0,"",'All Projects Calculations'!W13)</f>
        <v/>
      </c>
    </row>
    <row r="14" spans="1:6" x14ac:dyDescent="0.25">
      <c r="A14">
        <v>10</v>
      </c>
      <c r="B14">
        <f t="shared" ca="1" si="0"/>
        <v>10</v>
      </c>
      <c r="C14" t="str">
        <f>IF('All Projects Calculations'!U14="","",'All Projects Calculations'!U14)</f>
        <v>1_AZ_1B_Row1</v>
      </c>
      <c r="F14" t="str">
        <f ca="1">IF('All Projects Calculations'!W14=0,"",'All Projects Calculations'!W14)</f>
        <v>{"project_last_updated":"Last updated on...6-16-2017 12735","project_path":"K:/1_Capture/","project_name":"1_AZ_1B_Row1","project_subject_id":"--","project_author":"","project_date":"6-16-2017","project_notes":"","project_data_directory":"1_AZ_1B_Row1_","project_boundary_left":"114.51","project_boundary_right":"158.91","project_boundary_top":"6.03","project_boundary_bottom":"7.88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</row>
    <row r="15" spans="1:6" x14ac:dyDescent="0.25">
      <c r="A15">
        <v>11</v>
      </c>
      <c r="B15" t="str">
        <f t="shared" si="0"/>
        <v/>
      </c>
      <c r="C15" t="str">
        <f>IF('All Projects Calculations'!U15="","",'All Projects Calculations'!U15)</f>
        <v/>
      </c>
      <c r="F15" t="str">
        <f>IF('All Projects Calculations'!W15=0,"",'All Projects Calculations'!W15)</f>
        <v/>
      </c>
    </row>
    <row r="16" spans="1:6" x14ac:dyDescent="0.25">
      <c r="A16">
        <v>12</v>
      </c>
      <c r="B16" t="str">
        <f t="shared" si="0"/>
        <v/>
      </c>
      <c r="C16" t="str">
        <f>IF('All Projects Calculations'!U16="","",'All Projects Calculations'!U16)</f>
        <v/>
      </c>
      <c r="F16" t="str">
        <f>IF('All Projects Calculations'!W16=0,"",'All Projects Calculations'!W16)</f>
        <v/>
      </c>
    </row>
    <row r="17" spans="1:6" x14ac:dyDescent="0.25">
      <c r="A17">
        <v>13</v>
      </c>
      <c r="B17" t="str">
        <f t="shared" si="0"/>
        <v/>
      </c>
      <c r="C17" t="str">
        <f>IF('All Projects Calculations'!U17="","",'All Projects Calculations'!U17)</f>
        <v/>
      </c>
      <c r="F17" t="str">
        <f>IF('All Projects Calculations'!W17=0,"",'All Projects Calculations'!W17)</f>
        <v/>
      </c>
    </row>
    <row r="18" spans="1:6" x14ac:dyDescent="0.25">
      <c r="A18">
        <v>14</v>
      </c>
      <c r="B18" t="str">
        <f t="shared" si="0"/>
        <v/>
      </c>
      <c r="C18" t="str">
        <f>IF('All Projects Calculations'!U18="","",'All Projects Calculations'!U18)</f>
        <v/>
      </c>
      <c r="F18" t="str">
        <f>IF('All Projects Calculations'!W18=0,"",'All Projects Calculations'!W18)</f>
        <v/>
      </c>
    </row>
    <row r="19" spans="1:6" x14ac:dyDescent="0.25">
      <c r="A19">
        <v>15</v>
      </c>
      <c r="B19" t="str">
        <f t="shared" si="0"/>
        <v/>
      </c>
      <c r="C19" t="str">
        <f>IF('All Projects Calculations'!U19="","",'All Projects Calculations'!U19)</f>
        <v/>
      </c>
      <c r="F19" t="str">
        <f>IF('All Projects Calculations'!W19=0,"",'All Projects Calculations'!W19)</f>
        <v/>
      </c>
    </row>
    <row r="20" spans="1:6" x14ac:dyDescent="0.25">
      <c r="A20">
        <v>16</v>
      </c>
      <c r="B20" t="str">
        <f t="shared" si="0"/>
        <v/>
      </c>
      <c r="C20" t="str">
        <f>IF('All Projects Calculations'!U20="","",'All Projects Calculations'!U20)</f>
        <v/>
      </c>
      <c r="F20" t="str">
        <f>IF('All Projects Calculations'!W20=0,"",'All Projects Calculations'!W20)</f>
        <v/>
      </c>
    </row>
    <row r="21" spans="1:6" x14ac:dyDescent="0.25">
      <c r="A21">
        <v>17</v>
      </c>
      <c r="B21" t="str">
        <f t="shared" si="0"/>
        <v/>
      </c>
      <c r="C21" t="str">
        <f>IF('All Projects Calculations'!U21="","",'All Projects Calculations'!U21)</f>
        <v/>
      </c>
      <c r="F21" t="str">
        <f>IF('All Projects Calculations'!W21=0,"",'All Projects Calculations'!W21)</f>
        <v/>
      </c>
    </row>
    <row r="22" spans="1:6" x14ac:dyDescent="0.25">
      <c r="A22">
        <v>18</v>
      </c>
      <c r="B22">
        <f t="shared" ca="1" si="0"/>
        <v>18</v>
      </c>
      <c r="C22" t="str">
        <f>IF('All Projects Calculations'!U22="","",'All Projects Calculations'!U22)</f>
        <v>2_AZ_1C_Row1</v>
      </c>
      <c r="F22" t="str">
        <f ca="1">IF('All Projects Calculations'!W22=0,"",'All Projects Calculations'!W22)</f>
        <v>{"project_last_updated":"Last updated on...6-16-2017 12735","project_path":"K:/1_Capture/","project_name":"2_AZ_1C_Row1","project_subject_id":"--","project_author":"","project_date":"6-16-2017","project_notes":"","project_data_directory":"2_AZ_1C_Row1_","project_boundary_left":"201.11","project_boundary_right":"245.51","project_boundary_top":"6.03","project_boundary_bottom":"7.88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</row>
    <row r="23" spans="1:6" x14ac:dyDescent="0.25">
      <c r="A23">
        <v>19</v>
      </c>
      <c r="B23">
        <f t="shared" ca="1" si="0"/>
        <v>19</v>
      </c>
      <c r="C23" t="str">
        <f>IF('All Projects Calculations'!U23="","",'All Projects Calculations'!U23)</f>
        <v>2_AZ_1C_Row2</v>
      </c>
      <c r="F23" t="str">
        <f ca="1">IF('All Projects Calculations'!W23=0,"",'All Projects Calculations'!W23)</f>
        <v>{"project_last_updated":"Last updated on...6-16-2017 12735","project_path":"K:/1_Capture/","project_name":"2_AZ_1C_Row2","project_subject_id":"--","project_author":"","project_date":"6-16-2017","project_notes":"","project_data_directory":"2_AZ_1C_Row2_","project_boundary_left":"201.11","project_boundary_right":"245.51","project_boundary_top":"7.88","project_boundary_bottom":"9.73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</row>
    <row r="24" spans="1:6" x14ac:dyDescent="0.25">
      <c r="A24">
        <v>20</v>
      </c>
      <c r="B24" t="str">
        <f t="shared" si="0"/>
        <v/>
      </c>
      <c r="C24" t="str">
        <f>IF('All Projects Calculations'!U24="","",'All Projects Calculations'!U24)</f>
        <v/>
      </c>
      <c r="F24" t="str">
        <f>IF('All Projects Calculations'!W24=0,"",'All Projects Calculations'!W24)</f>
        <v/>
      </c>
    </row>
    <row r="25" spans="1:6" x14ac:dyDescent="0.25">
      <c r="A25">
        <v>21</v>
      </c>
      <c r="B25" t="str">
        <f t="shared" si="0"/>
        <v/>
      </c>
      <c r="C25" t="str">
        <f>IF('All Projects Calculations'!U25="","",'All Projects Calculations'!U25)</f>
        <v/>
      </c>
      <c r="F25" t="str">
        <f>IF('All Projects Calculations'!W25=0,"",'All Projects Calculations'!W25)</f>
        <v/>
      </c>
    </row>
    <row r="26" spans="1:6" x14ac:dyDescent="0.25">
      <c r="A26">
        <v>22</v>
      </c>
      <c r="B26" t="str">
        <f t="shared" si="0"/>
        <v/>
      </c>
      <c r="C26" t="str">
        <f>IF('All Projects Calculations'!U26="","",'All Projects Calculations'!U26)</f>
        <v/>
      </c>
      <c r="F26" t="str">
        <f>IF('All Projects Calculations'!W26=0,"",'All Projects Calculations'!W26)</f>
        <v/>
      </c>
    </row>
    <row r="27" spans="1:6" x14ac:dyDescent="0.25">
      <c r="A27">
        <v>23</v>
      </c>
      <c r="B27" t="str">
        <f t="shared" si="0"/>
        <v/>
      </c>
      <c r="C27" t="str">
        <f>IF('All Projects Calculations'!U27="","",'All Projects Calculations'!U27)</f>
        <v/>
      </c>
      <c r="F27" t="str">
        <f>IF('All Projects Calculations'!W27=0,"",'All Projects Calculations'!W27)</f>
        <v/>
      </c>
    </row>
    <row r="28" spans="1:6" x14ac:dyDescent="0.25">
      <c r="A28">
        <v>24</v>
      </c>
      <c r="B28" t="str">
        <f t="shared" si="0"/>
        <v/>
      </c>
      <c r="C28" t="str">
        <f>IF('All Projects Calculations'!U28="","",'All Projects Calculations'!U28)</f>
        <v/>
      </c>
      <c r="F28" t="str">
        <f>IF('All Projects Calculations'!W28=0,"",'All Projects Calculations'!W28)</f>
        <v/>
      </c>
    </row>
    <row r="29" spans="1:6" x14ac:dyDescent="0.25">
      <c r="A29">
        <v>25</v>
      </c>
      <c r="B29" t="str">
        <f t="shared" si="0"/>
        <v/>
      </c>
      <c r="C29" t="str">
        <f>IF('All Projects Calculations'!U29="","",'All Projects Calculations'!U29)</f>
        <v/>
      </c>
      <c r="F29" t="str">
        <f>IF('All Projects Calculations'!W29=0,"",'All Projects Calculations'!W29)</f>
        <v/>
      </c>
    </row>
    <row r="30" spans="1:6" x14ac:dyDescent="0.25">
      <c r="A30">
        <v>26</v>
      </c>
      <c r="B30">
        <f t="shared" ca="1" si="0"/>
        <v>26</v>
      </c>
      <c r="C30" t="str">
        <f>IF('All Projects Calculations'!U30="","",'All Projects Calculations'!U30)</f>
        <v>3_AZ_1D_Row1</v>
      </c>
      <c r="F30" t="str">
        <f ca="1">IF('All Projects Calculations'!W30=0,"",'All Projects Calculations'!W30)</f>
        <v>{"project_last_updated":"Last updated on...6-16-2017 12735","project_path":"K:/1_Capture/","project_name":"3_AZ_1D_Row1","project_subject_id":"--","project_author":"","project_date":"6-16-2017","project_notes":"","project_data_directory":"3_AZ_1D_Row1_","project_boundary_left":"288.11","project_boundary_right":"332.51","project_boundary_top":"6.03","project_boundary_bottom":"7.88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</row>
    <row r="31" spans="1:6" x14ac:dyDescent="0.25">
      <c r="A31">
        <v>27</v>
      </c>
      <c r="B31">
        <f t="shared" ca="1" si="0"/>
        <v>27</v>
      </c>
      <c r="C31" t="str">
        <f>IF('All Projects Calculations'!U31="","",'All Projects Calculations'!U31)</f>
        <v>3_AZ_1D_Row2</v>
      </c>
      <c r="F31" t="str">
        <f ca="1">IF('All Projects Calculations'!W31=0,"",'All Projects Calculations'!W31)</f>
        <v>{"project_last_updated":"Last updated on...6-16-2017 12735","project_path":"K:/1_Capture/","project_name":"3_AZ_1D_Row2","project_subject_id":"--","project_author":"","project_date":"6-16-2017","project_notes":"","project_data_directory":"3_AZ_1D_Row2_","project_boundary_left":"288.11","project_boundary_right":"332.51","project_boundary_top":"7.88","project_boundary_bottom":"9.73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</row>
    <row r="32" spans="1:6" x14ac:dyDescent="0.25">
      <c r="A32">
        <v>28</v>
      </c>
      <c r="B32">
        <f t="shared" ca="1" si="0"/>
        <v>28</v>
      </c>
      <c r="C32" t="str">
        <f>IF('All Projects Calculations'!U32="","",'All Projects Calculations'!U32)</f>
        <v>3_AZ_1D_Row3</v>
      </c>
      <c r="F32" t="str">
        <f ca="1">IF('All Projects Calculations'!W32=0,"",'All Projects Calculations'!W32)</f>
        <v>{"project_last_updated":"Last updated on...6-16-2017 12735","project_path":"K:/1_Capture/","project_name":"3_AZ_1D_Row3","project_subject_id":"--","project_author":"","project_date":"6-16-2017","project_notes":"","project_data_directory":"3_AZ_1D_Row3_","project_boundary_left":"288.11","project_boundary_right":"332.51","project_boundary_top":"9.73","project_boundary_bottom":"11.58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</row>
    <row r="33" spans="1:6" x14ac:dyDescent="0.25">
      <c r="A33">
        <v>29</v>
      </c>
      <c r="B33" t="str">
        <f t="shared" si="0"/>
        <v/>
      </c>
      <c r="C33" t="str">
        <f>IF('All Projects Calculations'!U33="","",'All Projects Calculations'!U33)</f>
        <v/>
      </c>
      <c r="F33" t="str">
        <f>IF('All Projects Calculations'!W33=0,"",'All Projects Calculations'!W33)</f>
        <v/>
      </c>
    </row>
    <row r="34" spans="1:6" x14ac:dyDescent="0.25">
      <c r="A34">
        <v>30</v>
      </c>
      <c r="B34" t="str">
        <f t="shared" si="0"/>
        <v/>
      </c>
      <c r="C34" t="str">
        <f>IF('All Projects Calculations'!U34="","",'All Projects Calculations'!U34)</f>
        <v/>
      </c>
      <c r="F34" t="str">
        <f>IF('All Projects Calculations'!W34=0,"",'All Projects Calculations'!W34)</f>
        <v/>
      </c>
    </row>
    <row r="35" spans="1:6" x14ac:dyDescent="0.25">
      <c r="A35">
        <v>31</v>
      </c>
      <c r="B35" t="str">
        <f t="shared" si="0"/>
        <v/>
      </c>
      <c r="C35" t="str">
        <f>IF('All Projects Calculations'!U35="","",'All Projects Calculations'!U35)</f>
        <v/>
      </c>
      <c r="F35" t="str">
        <f>IF('All Projects Calculations'!W35=0,"",'All Projects Calculations'!W35)</f>
        <v/>
      </c>
    </row>
    <row r="36" spans="1:6" x14ac:dyDescent="0.25">
      <c r="A36">
        <v>32</v>
      </c>
      <c r="B36" t="str">
        <f t="shared" si="0"/>
        <v/>
      </c>
      <c r="C36" t="str">
        <f>IF('All Projects Calculations'!U36="","",'All Projects Calculations'!U36)</f>
        <v/>
      </c>
      <c r="F36" t="str">
        <f>IF('All Projects Calculations'!W36=0,"",'All Projects Calculations'!W36)</f>
        <v/>
      </c>
    </row>
    <row r="37" spans="1:6" x14ac:dyDescent="0.25">
      <c r="A37">
        <v>33</v>
      </c>
      <c r="B37" t="str">
        <f t="shared" si="0"/>
        <v/>
      </c>
      <c r="C37" t="str">
        <f>IF('All Projects Calculations'!U37="","",'All Projects Calculations'!U37)</f>
        <v/>
      </c>
      <c r="F37" t="str">
        <f>IF('All Projects Calculations'!W37=0,"",'All Projects Calculations'!W37)</f>
        <v/>
      </c>
    </row>
    <row r="38" spans="1:6" x14ac:dyDescent="0.25">
      <c r="A38">
        <v>34</v>
      </c>
      <c r="B38">
        <f t="shared" ca="1" si="0"/>
        <v>34</v>
      </c>
      <c r="C38" t="str">
        <f>IF('All Projects Calculations'!U38="","",'All Projects Calculations'!U38)</f>
        <v>4_AZ_1E_Row1</v>
      </c>
      <c r="F38" t="str">
        <f ca="1">IF('All Projects Calculations'!W38=0,"",'All Projects Calculations'!W38)</f>
        <v>{"project_last_updated":"Last updated on...6-16-2017 12735","project_path":"K:/1_Capture/","project_name":"4_AZ_1E_Row1","project_subject_id":"--","project_author":"","project_date":"6-16-2017","project_notes":"","project_data_directory":"4_AZ_1E_Row1_","project_boundary_left":"374.51","project_boundary_right":"418.91","project_boundary_top":"6.03","project_boundary_bottom":"7.88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</row>
    <row r="39" spans="1:6" x14ac:dyDescent="0.25">
      <c r="A39">
        <v>35</v>
      </c>
      <c r="B39">
        <f t="shared" ca="1" si="0"/>
        <v>35</v>
      </c>
      <c r="C39" t="str">
        <f>IF('All Projects Calculations'!U39="","",'All Projects Calculations'!U39)</f>
        <v>4_AZ_1E_Row2</v>
      </c>
      <c r="F39" t="str">
        <f ca="1">IF('All Projects Calculations'!W39=0,"",'All Projects Calculations'!W39)</f>
        <v>{"project_last_updated":"Last updated on...6-16-2017 12735","project_path":"K:/1_Capture/","project_name":"4_AZ_1E_Row2","project_subject_id":"--","project_author":"","project_date":"6-16-2017","project_notes":"","project_data_directory":"4_AZ_1E_Row2_","project_boundary_left":"374.51","project_boundary_right":"418.91","project_boundary_top":"7.88","project_boundary_bottom":"9.73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</row>
    <row r="40" spans="1:6" x14ac:dyDescent="0.25">
      <c r="A40">
        <v>36</v>
      </c>
      <c r="B40">
        <f t="shared" ca="1" si="0"/>
        <v>36</v>
      </c>
      <c r="C40" t="str">
        <f>IF('All Projects Calculations'!U40="","",'All Projects Calculations'!U40)</f>
        <v>4_AZ_1E_Row3</v>
      </c>
      <c r="F40" t="str">
        <f ca="1">IF('All Projects Calculations'!W40=0,"",'All Projects Calculations'!W40)</f>
        <v>{"project_last_updated":"Last updated on...6-16-2017 12735","project_path":"K:/1_Capture/","project_name":"4_AZ_1E_Row3","project_subject_id":"--","project_author":"","project_date":"6-16-2017","project_notes":"","project_data_directory":"4_AZ_1E_Row3_","project_boundary_left":"374.51","project_boundary_right":"418.91","project_boundary_top":"9.73","project_boundary_bottom":"11.58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</row>
    <row r="41" spans="1:6" x14ac:dyDescent="0.25">
      <c r="A41">
        <v>37</v>
      </c>
      <c r="B41">
        <f t="shared" ca="1" si="0"/>
        <v>37</v>
      </c>
      <c r="C41" t="str">
        <f>IF('All Projects Calculations'!U41="","",'All Projects Calculations'!U41)</f>
        <v>4_AZ_1E_Row4</v>
      </c>
      <c r="F41" t="str">
        <f ca="1">IF('All Projects Calculations'!W41=0,"",'All Projects Calculations'!W41)</f>
        <v>{"project_last_updated":"Last updated on...6-16-2017 12735","project_path":"K:/1_Capture/","project_name":"4_AZ_1E_Row4","project_subject_id":"--","project_author":"","project_date":"6-16-2017","project_notes":"","project_data_directory":"4_AZ_1E_Row4_","project_boundary_left":"374.51","project_boundary_right":"418.91","project_boundary_top":"11.58","project_boundary_bottom":"13.43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</row>
    <row r="42" spans="1:6" x14ac:dyDescent="0.25">
      <c r="A42">
        <v>38</v>
      </c>
      <c r="B42">
        <f t="shared" ca="1" si="0"/>
        <v>38</v>
      </c>
      <c r="C42" t="str">
        <f>IF('All Projects Calculations'!U42="","",'All Projects Calculations'!U42)</f>
        <v>4_AZ_1E_Row5</v>
      </c>
      <c r="F42" t="str">
        <f ca="1">IF('All Projects Calculations'!W42=0,"",'All Projects Calculations'!W42)</f>
        <v>{"project_last_updated":"Last updated on...6-16-2017 12735","project_path":"K:/1_Capture/","project_name":"4_AZ_1E_Row5","project_subject_id":"--","project_author":"","project_date":"6-16-2017","project_notes":"","project_data_directory":"4_AZ_1E_Row5_","project_boundary_left":"374.51","project_boundary_right":"418.91","project_boundary_top":"13.43","project_boundary_bottom":"15.28","project_boundary_highfocus":"1.5","project_boundary_lowfocus":"0.7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":"7.5","project_dof":"0.13"}</v>
      </c>
    </row>
    <row r="43" spans="1:6" x14ac:dyDescent="0.25">
      <c r="A43">
        <v>39</v>
      </c>
      <c r="B43" t="str">
        <f t="shared" si="0"/>
        <v/>
      </c>
      <c r="C43" t="str">
        <f>IF('All Projects Calculations'!U43="","",'All Projects Calculations'!U43)</f>
        <v/>
      </c>
      <c r="F43" t="str">
        <f>IF('All Projects Calculations'!W43=0,"",'All Projects Calculations'!W43)</f>
        <v/>
      </c>
    </row>
    <row r="44" spans="1:6" x14ac:dyDescent="0.25">
      <c r="A44">
        <v>40</v>
      </c>
      <c r="B44" t="str">
        <f t="shared" si="0"/>
        <v/>
      </c>
      <c r="C44" t="str">
        <f>IF('All Projects Calculations'!U44="","",'All Projects Calculations'!U44)</f>
        <v/>
      </c>
      <c r="F44" t="str">
        <f>IF('All Projects Calculations'!W44=0,"",'All Projects Calculations'!W44)</f>
        <v/>
      </c>
    </row>
    <row r="45" spans="1:6" x14ac:dyDescent="0.25">
      <c r="A45">
        <v>41</v>
      </c>
      <c r="B45" t="str">
        <f t="shared" si="0"/>
        <v/>
      </c>
      <c r="C45" t="str">
        <f>IF('All Projects Calculations'!U45="","",'All Projects Calculations'!U45)</f>
        <v/>
      </c>
      <c r="F45" t="str">
        <f>IF('All Projects Calculations'!W45=0,"",'All Projects Calculations'!W45)</f>
        <v/>
      </c>
    </row>
    <row r="46" spans="1:6" x14ac:dyDescent="0.25">
      <c r="A46">
        <v>42</v>
      </c>
      <c r="B46" t="str">
        <f t="shared" si="0"/>
        <v/>
      </c>
      <c r="C46" t="str">
        <f>IF('All Projects Calculations'!U46="","",'All Projects Calculations'!U46)</f>
        <v/>
      </c>
      <c r="F46" t="str">
        <f>IF('All Projects Calculations'!W46=0,"",'All Projects Calculations'!W46)</f>
        <v/>
      </c>
    </row>
    <row r="47" spans="1:6" x14ac:dyDescent="0.25">
      <c r="A47">
        <v>43</v>
      </c>
      <c r="B47" t="str">
        <f t="shared" si="0"/>
        <v/>
      </c>
      <c r="C47" t="str">
        <f>IF('All Projects Calculations'!U47="","",'All Projects Calculations'!U47)</f>
        <v/>
      </c>
      <c r="F47" t="str">
        <f>IF('All Projects Calculations'!W47=0,"",'All Projects Calculations'!W47)</f>
        <v/>
      </c>
    </row>
    <row r="48" spans="1:6" x14ac:dyDescent="0.25">
      <c r="A48">
        <v>44</v>
      </c>
      <c r="B48" t="str">
        <f t="shared" si="0"/>
        <v/>
      </c>
      <c r="C48" t="str">
        <f>IF('All Projects Calculations'!U48="","",'All Projects Calculations'!U48)</f>
        <v/>
      </c>
      <c r="F48" t="str">
        <f>IF('All Projects Calculations'!W48=0,"",'All Projects Calculations'!W48)</f>
        <v/>
      </c>
    </row>
    <row r="49" spans="1:6" x14ac:dyDescent="0.25">
      <c r="A49">
        <v>45</v>
      </c>
      <c r="B49" t="str">
        <f t="shared" si="0"/>
        <v/>
      </c>
      <c r="C49" t="str">
        <f>IF('All Projects Calculations'!U49="","",'All Projects Calculations'!U49)</f>
        <v/>
      </c>
      <c r="F49" t="str">
        <f>IF('All Projects Calculations'!W49=0,"",'All Projects Calculations'!W49)</f>
        <v/>
      </c>
    </row>
    <row r="50" spans="1:6" x14ac:dyDescent="0.25">
      <c r="A50">
        <v>46</v>
      </c>
      <c r="B50" t="str">
        <f t="shared" si="0"/>
        <v/>
      </c>
      <c r="C50" t="str">
        <f>IF('All Projects Calculations'!U50="","",'All Projects Calculations'!U50)</f>
        <v/>
      </c>
      <c r="F50" t="str">
        <f>IF('All Projects Calculations'!W50=0,"",'All Projects Calculations'!W50)</f>
        <v/>
      </c>
    </row>
    <row r="51" spans="1:6" x14ac:dyDescent="0.25">
      <c r="A51">
        <v>47</v>
      </c>
      <c r="B51" t="str">
        <f t="shared" si="0"/>
        <v/>
      </c>
      <c r="C51" t="str">
        <f>IF('All Projects Calculations'!U51="","",'All Projects Calculations'!U51)</f>
        <v/>
      </c>
      <c r="F51" t="str">
        <f>IF('All Projects Calculations'!W51=0,"",'All Projects Calculations'!W51)</f>
        <v/>
      </c>
    </row>
    <row r="52" spans="1:6" x14ac:dyDescent="0.25">
      <c r="A52">
        <v>48</v>
      </c>
      <c r="B52" t="str">
        <f t="shared" si="0"/>
        <v/>
      </c>
      <c r="C52" t="str">
        <f>IF('All Projects Calculations'!U52="","",'All Projects Calculations'!U52)</f>
        <v/>
      </c>
      <c r="F52" t="str">
        <f>IF('All Projects Calculations'!W52=0,"",'All Projects Calculations'!W52)</f>
        <v/>
      </c>
    </row>
    <row r="53" spans="1:6" x14ac:dyDescent="0.25">
      <c r="A53">
        <v>49</v>
      </c>
      <c r="B53" t="str">
        <f t="shared" si="0"/>
        <v/>
      </c>
      <c r="C53" t="str">
        <f>IF('All Projects Calculations'!U53="","",'All Projects Calculations'!U53)</f>
        <v/>
      </c>
      <c r="F53" t="str">
        <f>IF('All Projects Calculations'!W53=0,"",'All Projects Calculations'!W53)</f>
        <v/>
      </c>
    </row>
    <row r="54" spans="1:6" x14ac:dyDescent="0.25">
      <c r="A54">
        <v>50</v>
      </c>
      <c r="B54" t="str">
        <f t="shared" si="0"/>
        <v/>
      </c>
      <c r="C54" t="str">
        <f>IF('All Projects Calculations'!U54="","",'All Projects Calculations'!U54)</f>
        <v/>
      </c>
      <c r="F54" t="str">
        <f>IF('All Projects Calculations'!W54=0,"",'All Projects Calculations'!W54)</f>
        <v/>
      </c>
    </row>
    <row r="55" spans="1:6" x14ac:dyDescent="0.25">
      <c r="A55">
        <v>51</v>
      </c>
      <c r="B55" t="str">
        <f t="shared" si="0"/>
        <v/>
      </c>
      <c r="C55" t="str">
        <f>IF('All Projects Calculations'!U55="","",'All Projects Calculations'!U55)</f>
        <v/>
      </c>
      <c r="F55" t="str">
        <f>IF('All Projects Calculations'!W55=0,"",'All Projects Calculations'!W55)</f>
        <v/>
      </c>
    </row>
    <row r="56" spans="1:6" x14ac:dyDescent="0.25">
      <c r="A56">
        <v>52</v>
      </c>
      <c r="B56" t="str">
        <f t="shared" si="0"/>
        <v/>
      </c>
      <c r="C56" t="str">
        <f>IF('All Projects Calculations'!U56="","",'All Projects Calculations'!U56)</f>
        <v/>
      </c>
      <c r="F56" t="str">
        <f>IF('All Projects Calculations'!W56=0,"",'All Projects Calculations'!W56)</f>
        <v/>
      </c>
    </row>
    <row r="57" spans="1:6" x14ac:dyDescent="0.25">
      <c r="A57">
        <v>53</v>
      </c>
      <c r="B57" t="str">
        <f t="shared" si="0"/>
        <v/>
      </c>
      <c r="C57" t="str">
        <f>IF('All Projects Calculations'!U57="","",'All Projects Calculations'!U57)</f>
        <v/>
      </c>
      <c r="F57" t="str">
        <f>IF('All Projects Calculations'!W57=0,"",'All Projects Calculations'!W57)</f>
        <v/>
      </c>
    </row>
    <row r="58" spans="1:6" x14ac:dyDescent="0.25">
      <c r="A58">
        <v>54</v>
      </c>
      <c r="B58" t="str">
        <f t="shared" si="0"/>
        <v/>
      </c>
      <c r="C58" t="str">
        <f>IF('All Projects Calculations'!U58="","",'All Projects Calculations'!U58)</f>
        <v/>
      </c>
      <c r="F58" t="str">
        <f>IF('All Projects Calculations'!W58=0,"",'All Projects Calculations'!W58)</f>
        <v/>
      </c>
    </row>
    <row r="59" spans="1:6" x14ac:dyDescent="0.25">
      <c r="A59">
        <v>55</v>
      </c>
      <c r="B59" t="str">
        <f t="shared" si="0"/>
        <v/>
      </c>
      <c r="C59" t="str">
        <f>IF('All Projects Calculations'!U59="","",'All Projects Calculations'!U59)</f>
        <v/>
      </c>
      <c r="F59" t="str">
        <f>IF('All Projects Calculations'!W59=0,"",'All Projects Calculations'!W59)</f>
        <v/>
      </c>
    </row>
    <row r="60" spans="1:6" x14ac:dyDescent="0.25">
      <c r="A60">
        <v>56</v>
      </c>
      <c r="B60" t="str">
        <f t="shared" si="0"/>
        <v/>
      </c>
      <c r="C60" t="str">
        <f>IF('All Projects Calculations'!U60="","",'All Projects Calculations'!U60)</f>
        <v/>
      </c>
      <c r="F60" t="str">
        <f>IF('All Projects Calculations'!W60=0,"",'All Projects Calculations'!W60)</f>
        <v/>
      </c>
    </row>
    <row r="61" spans="1:6" x14ac:dyDescent="0.25">
      <c r="A61">
        <v>57</v>
      </c>
      <c r="B61" t="str">
        <f t="shared" si="0"/>
        <v/>
      </c>
      <c r="C61" t="str">
        <f>IF('All Projects Calculations'!U61="","",'All Projects Calculations'!U61)</f>
        <v/>
      </c>
      <c r="F61" t="str">
        <f>IF('All Projects Calculations'!W61=0,"",'All Projects Calculations'!W61)</f>
        <v/>
      </c>
    </row>
    <row r="62" spans="1:6" x14ac:dyDescent="0.25">
      <c r="A62">
        <v>58</v>
      </c>
      <c r="B62" t="str">
        <f t="shared" si="0"/>
        <v/>
      </c>
      <c r="C62" t="str">
        <f>IF('All Projects Calculations'!U62="","",'All Projects Calculations'!U62)</f>
        <v/>
      </c>
      <c r="F62" t="str">
        <f>IF('All Projects Calculations'!W62=0,"",'All Projects Calculations'!W62)</f>
        <v/>
      </c>
    </row>
    <row r="63" spans="1:6" x14ac:dyDescent="0.25">
      <c r="A63">
        <v>59</v>
      </c>
      <c r="B63" t="str">
        <f t="shared" si="0"/>
        <v/>
      </c>
      <c r="C63" t="str">
        <f>IF('All Projects Calculations'!U63="","",'All Projects Calculations'!U63)</f>
        <v/>
      </c>
      <c r="F63" t="str">
        <f>IF('All Projects Calculations'!W63=0,"",'All Projects Calculations'!W63)</f>
        <v/>
      </c>
    </row>
    <row r="64" spans="1:6" x14ac:dyDescent="0.25">
      <c r="A64">
        <v>60</v>
      </c>
      <c r="B64" t="str">
        <f t="shared" si="0"/>
        <v/>
      </c>
      <c r="C64" t="str">
        <f>IF('All Projects Calculations'!U64="","",'All Projects Calculations'!U64)</f>
        <v/>
      </c>
      <c r="F64" t="str">
        <f>IF('All Projects Calculations'!W64=0,"",'All Projects Calculations'!W64)</f>
        <v/>
      </c>
    </row>
    <row r="65" spans="1:6" x14ac:dyDescent="0.25">
      <c r="A65">
        <v>61</v>
      </c>
      <c r="B65" t="str">
        <f t="shared" si="0"/>
        <v/>
      </c>
      <c r="C65" t="str">
        <f>IF('All Projects Calculations'!U65="","",'All Projects Calculations'!U65)</f>
        <v/>
      </c>
      <c r="F65" t="str">
        <f>IF('All Projects Calculations'!W65=0,"",'All Projects Calculations'!W65)</f>
        <v/>
      </c>
    </row>
    <row r="66" spans="1:6" x14ac:dyDescent="0.25">
      <c r="A66">
        <v>62</v>
      </c>
      <c r="B66" t="str">
        <f t="shared" si="0"/>
        <v/>
      </c>
      <c r="C66" t="str">
        <f>IF('All Projects Calculations'!U66="","",'All Projects Calculations'!U66)</f>
        <v/>
      </c>
      <c r="F66" t="str">
        <f>IF('All Projects Calculations'!W66=0,"",'All Projects Calculations'!W66)</f>
        <v/>
      </c>
    </row>
    <row r="67" spans="1:6" x14ac:dyDescent="0.25">
      <c r="A67">
        <v>63</v>
      </c>
      <c r="B67" t="str">
        <f t="shared" si="0"/>
        <v/>
      </c>
      <c r="C67" t="str">
        <f>IF('All Projects Calculations'!U67="","",'All Projects Calculations'!U67)</f>
        <v/>
      </c>
      <c r="F67" t="str">
        <f>IF('All Projects Calculations'!W67=0,"",'All Projects Calculations'!W67)</f>
        <v/>
      </c>
    </row>
    <row r="68" spans="1:6" x14ac:dyDescent="0.25">
      <c r="A68">
        <v>64</v>
      </c>
      <c r="B68" t="str">
        <f t="shared" si="0"/>
        <v/>
      </c>
      <c r="C68" t="str">
        <f>IF('All Projects Calculations'!U68="","",'All Projects Calculations'!U68)</f>
        <v/>
      </c>
      <c r="F68" t="str">
        <f>IF('All Projects Calculations'!W68=0,"",'All Projects Calculations'!W68)</f>
        <v/>
      </c>
    </row>
    <row r="69" spans="1:6" x14ac:dyDescent="0.25">
      <c r="A69">
        <v>65</v>
      </c>
      <c r="B69" t="str">
        <f t="shared" si="0"/>
        <v/>
      </c>
      <c r="C69" t="str">
        <f>IF('All Projects Calculations'!U69="","",'All Projects Calculations'!U69)</f>
        <v/>
      </c>
      <c r="F69" t="str">
        <f>IF('All Projects Calculations'!W69=0,"",'All Projects Calculations'!W69)</f>
        <v/>
      </c>
    </row>
    <row r="70" spans="1:6" x14ac:dyDescent="0.25">
      <c r="A70">
        <v>66</v>
      </c>
      <c r="B70" t="str">
        <f t="shared" ref="B70:B133" si="1">IF(F70="","",A70)</f>
        <v/>
      </c>
      <c r="C70" t="str">
        <f>IF('All Projects Calculations'!U70="","",'All Projects Calculations'!U70)</f>
        <v/>
      </c>
      <c r="F70" t="str">
        <f>IF('All Projects Calculations'!W70=0,"",'All Projects Calculations'!W70)</f>
        <v/>
      </c>
    </row>
    <row r="71" spans="1:6" x14ac:dyDescent="0.25">
      <c r="A71">
        <v>67</v>
      </c>
      <c r="B71" t="str">
        <f t="shared" si="1"/>
        <v/>
      </c>
      <c r="C71" t="str">
        <f>IF('All Projects Calculations'!U71="","",'All Projects Calculations'!U71)</f>
        <v/>
      </c>
      <c r="F71" t="str">
        <f>IF('All Projects Calculations'!W71=0,"",'All Projects Calculations'!W71)</f>
        <v/>
      </c>
    </row>
    <row r="72" spans="1:6" x14ac:dyDescent="0.25">
      <c r="A72">
        <v>68</v>
      </c>
      <c r="B72" t="str">
        <f t="shared" si="1"/>
        <v/>
      </c>
      <c r="C72" t="str">
        <f>IF('All Projects Calculations'!U72="","",'All Projects Calculations'!U72)</f>
        <v/>
      </c>
      <c r="F72" t="str">
        <f>IF('All Projects Calculations'!W72=0,"",'All Projects Calculations'!W72)</f>
        <v/>
      </c>
    </row>
    <row r="73" spans="1:6" x14ac:dyDescent="0.25">
      <c r="A73">
        <v>69</v>
      </c>
      <c r="B73" t="str">
        <f t="shared" si="1"/>
        <v/>
      </c>
      <c r="C73" t="str">
        <f>IF('All Projects Calculations'!U73="","",'All Projects Calculations'!U73)</f>
        <v/>
      </c>
      <c r="F73" t="str">
        <f>IF('All Projects Calculations'!W73=0,"",'All Projects Calculations'!W73)</f>
        <v/>
      </c>
    </row>
    <row r="74" spans="1:6" x14ac:dyDescent="0.25">
      <c r="A74">
        <v>70</v>
      </c>
      <c r="B74" t="str">
        <f t="shared" si="1"/>
        <v/>
      </c>
      <c r="C74" t="str">
        <f>IF('All Projects Calculations'!U74="","",'All Projects Calculations'!U74)</f>
        <v/>
      </c>
      <c r="F74" t="str">
        <f>IF('All Projects Calculations'!W74=0,"",'All Projects Calculations'!W74)</f>
        <v/>
      </c>
    </row>
    <row r="75" spans="1:6" x14ac:dyDescent="0.25">
      <c r="A75">
        <v>71</v>
      </c>
      <c r="B75" t="str">
        <f t="shared" si="1"/>
        <v/>
      </c>
      <c r="C75" t="str">
        <f>IF('All Projects Calculations'!U75="","",'All Projects Calculations'!U75)</f>
        <v/>
      </c>
      <c r="F75" t="str">
        <f>IF('All Projects Calculations'!W75=0,"",'All Projects Calculations'!W75)</f>
        <v/>
      </c>
    </row>
    <row r="76" spans="1:6" x14ac:dyDescent="0.25">
      <c r="A76">
        <v>72</v>
      </c>
      <c r="B76" t="str">
        <f t="shared" si="1"/>
        <v/>
      </c>
      <c r="C76" t="str">
        <f>IF('All Projects Calculations'!U76="","",'All Projects Calculations'!U76)</f>
        <v/>
      </c>
      <c r="F76" t="str">
        <f>IF('All Projects Calculations'!W76=0,"",'All Projects Calculations'!W76)</f>
        <v/>
      </c>
    </row>
    <row r="77" spans="1:6" x14ac:dyDescent="0.25">
      <c r="A77">
        <v>73</v>
      </c>
      <c r="B77" t="str">
        <f t="shared" si="1"/>
        <v/>
      </c>
      <c r="C77" t="str">
        <f>IF('All Projects Calculations'!U77="","",'All Projects Calculations'!U77)</f>
        <v/>
      </c>
      <c r="F77" t="str">
        <f>IF('All Projects Calculations'!W77=0,"",'All Projects Calculations'!W77)</f>
        <v/>
      </c>
    </row>
    <row r="78" spans="1:6" x14ac:dyDescent="0.25">
      <c r="A78">
        <v>74</v>
      </c>
      <c r="B78" t="str">
        <f t="shared" si="1"/>
        <v/>
      </c>
      <c r="C78" t="str">
        <f>IF('All Projects Calculations'!U78="","",'All Projects Calculations'!U78)</f>
        <v/>
      </c>
      <c r="F78" t="str">
        <f>IF('All Projects Calculations'!W78=0,"",'All Projects Calculations'!W78)</f>
        <v/>
      </c>
    </row>
    <row r="79" spans="1:6" x14ac:dyDescent="0.25">
      <c r="A79">
        <v>75</v>
      </c>
      <c r="B79" t="str">
        <f t="shared" si="1"/>
        <v/>
      </c>
      <c r="C79" t="str">
        <f>IF('All Projects Calculations'!U79="","",'All Projects Calculations'!U79)</f>
        <v/>
      </c>
      <c r="F79" t="str">
        <f>IF('All Projects Calculations'!W79=0,"",'All Projects Calculations'!W79)</f>
        <v/>
      </c>
    </row>
    <row r="80" spans="1:6" x14ac:dyDescent="0.25">
      <c r="A80">
        <v>76</v>
      </c>
      <c r="B80" t="str">
        <f t="shared" si="1"/>
        <v/>
      </c>
      <c r="C80" t="str">
        <f>IF('All Projects Calculations'!U80="","",'All Projects Calculations'!U80)</f>
        <v/>
      </c>
      <c r="F80" t="str">
        <f>IF('All Projects Calculations'!W80=0,"",'All Projects Calculations'!W80)</f>
        <v/>
      </c>
    </row>
    <row r="81" spans="1:6" x14ac:dyDescent="0.25">
      <c r="A81">
        <v>77</v>
      </c>
      <c r="B81" t="str">
        <f t="shared" si="1"/>
        <v/>
      </c>
      <c r="C81" t="str">
        <f>IF('All Projects Calculations'!U81="","",'All Projects Calculations'!U81)</f>
        <v/>
      </c>
      <c r="F81" t="str">
        <f>IF('All Projects Calculations'!W81=0,"",'All Projects Calculations'!W81)</f>
        <v/>
      </c>
    </row>
    <row r="82" spans="1:6" x14ac:dyDescent="0.25">
      <c r="A82">
        <v>78</v>
      </c>
      <c r="B82" t="str">
        <f t="shared" si="1"/>
        <v/>
      </c>
      <c r="C82" t="str">
        <f>IF('All Projects Calculations'!U82="","",'All Projects Calculations'!U82)</f>
        <v/>
      </c>
      <c r="F82" t="str">
        <f>IF('All Projects Calculations'!W82=0,"",'All Projects Calculations'!W82)</f>
        <v/>
      </c>
    </row>
    <row r="83" spans="1:6" x14ac:dyDescent="0.25">
      <c r="A83">
        <v>79</v>
      </c>
      <c r="B83" t="str">
        <f t="shared" si="1"/>
        <v/>
      </c>
      <c r="C83" t="str">
        <f>IF('All Projects Calculations'!U83="","",'All Projects Calculations'!U83)</f>
        <v/>
      </c>
      <c r="F83" t="str">
        <f>IF('All Projects Calculations'!W83=0,"",'All Projects Calculations'!W83)</f>
        <v/>
      </c>
    </row>
    <row r="84" spans="1:6" x14ac:dyDescent="0.25">
      <c r="A84">
        <v>80</v>
      </c>
      <c r="B84" t="str">
        <f t="shared" si="1"/>
        <v/>
      </c>
      <c r="C84" t="str">
        <f>IF('All Projects Calculations'!U84="","",'All Projects Calculations'!U84)</f>
        <v/>
      </c>
      <c r="F84" t="str">
        <f>IF('All Projects Calculations'!W84=0,"",'All Projects Calculations'!W84)</f>
        <v/>
      </c>
    </row>
    <row r="85" spans="1:6" x14ac:dyDescent="0.25">
      <c r="A85">
        <v>81</v>
      </c>
      <c r="B85" t="str">
        <f t="shared" si="1"/>
        <v/>
      </c>
      <c r="C85" t="str">
        <f>IF('All Projects Calculations'!U85="","",'All Projects Calculations'!U85)</f>
        <v/>
      </c>
      <c r="F85" t="str">
        <f>IF('All Projects Calculations'!W85=0,"",'All Projects Calculations'!W85)</f>
        <v/>
      </c>
    </row>
    <row r="86" spans="1:6" x14ac:dyDescent="0.25">
      <c r="A86">
        <v>82</v>
      </c>
      <c r="B86" t="str">
        <f t="shared" si="1"/>
        <v/>
      </c>
      <c r="C86" t="str">
        <f>IF('All Projects Calculations'!U86="","",'All Projects Calculations'!U86)</f>
        <v/>
      </c>
      <c r="F86" t="str">
        <f>IF('All Projects Calculations'!W86=0,"",'All Projects Calculations'!W86)</f>
        <v/>
      </c>
    </row>
    <row r="87" spans="1:6" x14ac:dyDescent="0.25">
      <c r="A87">
        <v>83</v>
      </c>
      <c r="B87" t="str">
        <f t="shared" si="1"/>
        <v/>
      </c>
      <c r="C87" t="str">
        <f>IF('All Projects Calculations'!U87="","",'All Projects Calculations'!U87)</f>
        <v/>
      </c>
      <c r="F87" t="str">
        <f>IF('All Projects Calculations'!W87=0,"",'All Projects Calculations'!W87)</f>
        <v/>
      </c>
    </row>
    <row r="88" spans="1:6" x14ac:dyDescent="0.25">
      <c r="A88">
        <v>84</v>
      </c>
      <c r="B88" t="str">
        <f t="shared" si="1"/>
        <v/>
      </c>
      <c r="C88" t="str">
        <f>IF('All Projects Calculations'!U88="","",'All Projects Calculations'!U88)</f>
        <v/>
      </c>
      <c r="F88" t="str">
        <f>IF('All Projects Calculations'!W88=0,"",'All Projects Calculations'!W88)</f>
        <v/>
      </c>
    </row>
    <row r="89" spans="1:6" x14ac:dyDescent="0.25">
      <c r="A89">
        <v>85</v>
      </c>
      <c r="B89" t="str">
        <f t="shared" si="1"/>
        <v/>
      </c>
      <c r="C89" t="str">
        <f>IF('All Projects Calculations'!U89="","",'All Projects Calculations'!U89)</f>
        <v/>
      </c>
      <c r="F89" t="str">
        <f>IF('All Projects Calculations'!W89=0,"",'All Projects Calculations'!W89)</f>
        <v/>
      </c>
    </row>
    <row r="90" spans="1:6" x14ac:dyDescent="0.25">
      <c r="A90">
        <v>86</v>
      </c>
      <c r="B90" t="str">
        <f t="shared" si="1"/>
        <v/>
      </c>
      <c r="C90" t="str">
        <f>IF('All Projects Calculations'!U90="","",'All Projects Calculations'!U90)</f>
        <v/>
      </c>
      <c r="F90" t="str">
        <f>IF('All Projects Calculations'!W90=0,"",'All Projects Calculations'!W90)</f>
        <v/>
      </c>
    </row>
    <row r="91" spans="1:6" x14ac:dyDescent="0.25">
      <c r="A91">
        <v>87</v>
      </c>
      <c r="B91" t="str">
        <f t="shared" si="1"/>
        <v/>
      </c>
      <c r="C91" t="str">
        <f>IF('All Projects Calculations'!U91="","",'All Projects Calculations'!U91)</f>
        <v/>
      </c>
      <c r="F91" t="str">
        <f>IF('All Projects Calculations'!W91=0,"",'All Projects Calculations'!W91)</f>
        <v/>
      </c>
    </row>
    <row r="92" spans="1:6" x14ac:dyDescent="0.25">
      <c r="A92">
        <v>88</v>
      </c>
      <c r="B92" t="str">
        <f t="shared" si="1"/>
        <v/>
      </c>
      <c r="C92" t="str">
        <f>IF('All Projects Calculations'!U92="","",'All Projects Calculations'!U92)</f>
        <v/>
      </c>
      <c r="F92" t="str">
        <f>IF('All Projects Calculations'!W92=0,"",'All Projects Calculations'!W92)</f>
        <v/>
      </c>
    </row>
    <row r="93" spans="1:6" x14ac:dyDescent="0.25">
      <c r="A93">
        <v>89</v>
      </c>
      <c r="B93" t="str">
        <f t="shared" si="1"/>
        <v/>
      </c>
      <c r="C93" t="str">
        <f>IF('All Projects Calculations'!U93="","",'All Projects Calculations'!U93)</f>
        <v/>
      </c>
      <c r="F93" t="str">
        <f>IF('All Projects Calculations'!W93=0,"",'All Projects Calculations'!W93)</f>
        <v/>
      </c>
    </row>
    <row r="94" spans="1:6" x14ac:dyDescent="0.25">
      <c r="A94">
        <v>90</v>
      </c>
      <c r="B94" t="str">
        <f t="shared" si="1"/>
        <v/>
      </c>
      <c r="C94" t="str">
        <f>IF('All Projects Calculations'!U94="","",'All Projects Calculations'!U94)</f>
        <v/>
      </c>
      <c r="F94" t="str">
        <f>IF('All Projects Calculations'!W94=0,"",'All Projects Calculations'!W94)</f>
        <v/>
      </c>
    </row>
    <row r="95" spans="1:6" x14ac:dyDescent="0.25">
      <c r="A95">
        <v>91</v>
      </c>
      <c r="B95" t="str">
        <f t="shared" si="1"/>
        <v/>
      </c>
      <c r="C95" t="str">
        <f>IF('All Projects Calculations'!U95="","",'All Projects Calculations'!U95)</f>
        <v/>
      </c>
      <c r="F95" t="str">
        <f>IF('All Projects Calculations'!W95=0,"",'All Projects Calculations'!W95)</f>
        <v/>
      </c>
    </row>
    <row r="96" spans="1:6" x14ac:dyDescent="0.25">
      <c r="A96">
        <v>92</v>
      </c>
      <c r="B96" t="str">
        <f t="shared" si="1"/>
        <v/>
      </c>
      <c r="C96" t="str">
        <f>IF('All Projects Calculations'!U96="","",'All Projects Calculations'!U96)</f>
        <v/>
      </c>
      <c r="F96" t="str">
        <f>IF('All Projects Calculations'!W96=0,"",'All Projects Calculations'!W96)</f>
        <v/>
      </c>
    </row>
    <row r="97" spans="1:6" x14ac:dyDescent="0.25">
      <c r="A97">
        <v>93</v>
      </c>
      <c r="B97" t="str">
        <f t="shared" si="1"/>
        <v/>
      </c>
      <c r="C97" t="str">
        <f>IF('All Projects Calculations'!U97="","",'All Projects Calculations'!U97)</f>
        <v/>
      </c>
      <c r="F97" t="str">
        <f>IF('All Projects Calculations'!W97=0,"",'All Projects Calculations'!W97)</f>
        <v/>
      </c>
    </row>
    <row r="98" spans="1:6" x14ac:dyDescent="0.25">
      <c r="A98">
        <v>94</v>
      </c>
      <c r="B98" t="str">
        <f t="shared" si="1"/>
        <v/>
      </c>
      <c r="C98" t="str">
        <f>IF('All Projects Calculations'!U98="","",'All Projects Calculations'!U98)</f>
        <v/>
      </c>
      <c r="F98" t="str">
        <f>IF('All Projects Calculations'!W98=0,"",'All Projects Calculations'!W98)</f>
        <v/>
      </c>
    </row>
    <row r="99" spans="1:6" x14ac:dyDescent="0.25">
      <c r="A99">
        <v>95</v>
      </c>
      <c r="B99" t="str">
        <f t="shared" si="1"/>
        <v/>
      </c>
      <c r="C99" t="str">
        <f>IF('All Projects Calculations'!U99="","",'All Projects Calculations'!U99)</f>
        <v/>
      </c>
      <c r="F99" t="str">
        <f>IF('All Projects Calculations'!W99=0,"",'All Projects Calculations'!W99)</f>
        <v/>
      </c>
    </row>
    <row r="100" spans="1:6" x14ac:dyDescent="0.25">
      <c r="A100">
        <v>96</v>
      </c>
      <c r="B100" t="str">
        <f t="shared" si="1"/>
        <v/>
      </c>
      <c r="C100" t="str">
        <f>IF('All Projects Calculations'!U100="","",'All Projects Calculations'!U100)</f>
        <v/>
      </c>
      <c r="F100" t="str">
        <f>IF('All Projects Calculations'!W100=0,"",'All Projects Calculations'!W100)</f>
        <v/>
      </c>
    </row>
    <row r="101" spans="1:6" x14ac:dyDescent="0.25">
      <c r="A101">
        <v>97</v>
      </c>
      <c r="B101" t="str">
        <f t="shared" si="1"/>
        <v/>
      </c>
      <c r="C101" t="str">
        <f>IF('All Projects Calculations'!U101="","",'All Projects Calculations'!U101)</f>
        <v/>
      </c>
      <c r="F101" t="str">
        <f>IF('All Projects Calculations'!W101=0,"",'All Projects Calculations'!W101)</f>
        <v/>
      </c>
    </row>
    <row r="102" spans="1:6" x14ac:dyDescent="0.25">
      <c r="A102">
        <v>98</v>
      </c>
      <c r="B102" t="str">
        <f t="shared" si="1"/>
        <v/>
      </c>
      <c r="C102" t="str">
        <f>IF('All Projects Calculations'!U102="","",'All Projects Calculations'!U102)</f>
        <v/>
      </c>
      <c r="F102" t="str">
        <f>IF('All Projects Calculations'!W102=0,"",'All Projects Calculations'!W102)</f>
        <v/>
      </c>
    </row>
    <row r="103" spans="1:6" x14ac:dyDescent="0.25">
      <c r="A103">
        <v>99</v>
      </c>
      <c r="B103" t="str">
        <f t="shared" si="1"/>
        <v/>
      </c>
      <c r="C103" t="str">
        <f>IF('All Projects Calculations'!U103="","",'All Projects Calculations'!U103)</f>
        <v/>
      </c>
      <c r="F103" t="str">
        <f>IF('All Projects Calculations'!W103=0,"",'All Projects Calculations'!W103)</f>
        <v/>
      </c>
    </row>
    <row r="104" spans="1:6" x14ac:dyDescent="0.25">
      <c r="A104">
        <v>100</v>
      </c>
      <c r="B104" t="str">
        <f t="shared" si="1"/>
        <v/>
      </c>
      <c r="C104" t="str">
        <f>IF('All Projects Calculations'!U104="","",'All Projects Calculations'!U104)</f>
        <v/>
      </c>
      <c r="F104" t="str">
        <f>IF('All Projects Calculations'!W104=0,"",'All Projects Calculations'!W104)</f>
        <v/>
      </c>
    </row>
    <row r="105" spans="1:6" x14ac:dyDescent="0.25">
      <c r="A105">
        <v>101</v>
      </c>
      <c r="B105" t="str">
        <f t="shared" si="1"/>
        <v/>
      </c>
      <c r="C105" t="str">
        <f>IF('All Projects Calculations'!U105="","",'All Projects Calculations'!U105)</f>
        <v/>
      </c>
      <c r="F105" t="str">
        <f>IF('All Projects Calculations'!W105=0,"",'All Projects Calculations'!W105)</f>
        <v/>
      </c>
    </row>
    <row r="106" spans="1:6" x14ac:dyDescent="0.25">
      <c r="A106">
        <v>102</v>
      </c>
      <c r="B106" t="str">
        <f t="shared" si="1"/>
        <v/>
      </c>
      <c r="C106" t="str">
        <f>IF('All Projects Calculations'!U106="","",'All Projects Calculations'!U106)</f>
        <v/>
      </c>
      <c r="F106" t="str">
        <f>IF('All Projects Calculations'!W106=0,"",'All Projects Calculations'!W106)</f>
        <v/>
      </c>
    </row>
    <row r="107" spans="1:6" x14ac:dyDescent="0.25">
      <c r="A107">
        <v>103</v>
      </c>
      <c r="B107" t="str">
        <f t="shared" si="1"/>
        <v/>
      </c>
      <c r="C107" t="str">
        <f>IF('All Projects Calculations'!U107="","",'All Projects Calculations'!U107)</f>
        <v/>
      </c>
      <c r="F107" t="str">
        <f>IF('All Projects Calculations'!W107=0,"",'All Projects Calculations'!W107)</f>
        <v/>
      </c>
    </row>
    <row r="108" spans="1:6" x14ac:dyDescent="0.25">
      <c r="A108">
        <v>104</v>
      </c>
      <c r="B108" t="str">
        <f t="shared" si="1"/>
        <v/>
      </c>
      <c r="C108" t="str">
        <f>IF('All Projects Calculations'!U108="","",'All Projects Calculations'!U108)</f>
        <v/>
      </c>
      <c r="F108" t="str">
        <f>IF('All Projects Calculations'!W108=0,"",'All Projects Calculations'!W108)</f>
        <v/>
      </c>
    </row>
    <row r="109" spans="1:6" x14ac:dyDescent="0.25">
      <c r="A109">
        <v>105</v>
      </c>
      <c r="B109" t="str">
        <f t="shared" si="1"/>
        <v/>
      </c>
      <c r="C109" t="str">
        <f>IF('All Projects Calculations'!U109="","",'All Projects Calculations'!U109)</f>
        <v/>
      </c>
      <c r="F109" t="str">
        <f>IF('All Projects Calculations'!W109=0,"",'All Projects Calculations'!W109)</f>
        <v/>
      </c>
    </row>
    <row r="110" spans="1:6" x14ac:dyDescent="0.25">
      <c r="A110">
        <v>106</v>
      </c>
      <c r="B110" t="str">
        <f t="shared" si="1"/>
        <v/>
      </c>
      <c r="C110" t="str">
        <f>IF('All Projects Calculations'!U110="","",'All Projects Calculations'!U110)</f>
        <v/>
      </c>
      <c r="F110" t="str">
        <f>IF('All Projects Calculations'!W110=0,"",'All Projects Calculations'!W110)</f>
        <v/>
      </c>
    </row>
    <row r="111" spans="1:6" x14ac:dyDescent="0.25">
      <c r="A111">
        <v>107</v>
      </c>
      <c r="B111" t="str">
        <f t="shared" si="1"/>
        <v/>
      </c>
      <c r="C111" t="str">
        <f>IF('All Projects Calculations'!U111="","",'All Projects Calculations'!U111)</f>
        <v/>
      </c>
      <c r="F111" t="str">
        <f>IF('All Projects Calculations'!W111=0,"",'All Projects Calculations'!W111)</f>
        <v/>
      </c>
    </row>
    <row r="112" spans="1:6" x14ac:dyDescent="0.25">
      <c r="A112">
        <v>108</v>
      </c>
      <c r="B112" t="str">
        <f t="shared" si="1"/>
        <v/>
      </c>
      <c r="C112" t="str">
        <f>IF('All Projects Calculations'!U112="","",'All Projects Calculations'!U112)</f>
        <v/>
      </c>
      <c r="F112" t="str">
        <f>IF('All Projects Calculations'!W112=0,"",'All Projects Calculations'!W112)</f>
        <v/>
      </c>
    </row>
    <row r="113" spans="1:6" x14ac:dyDescent="0.25">
      <c r="A113">
        <v>109</v>
      </c>
      <c r="B113" t="str">
        <f t="shared" si="1"/>
        <v/>
      </c>
      <c r="C113" t="str">
        <f>IF('All Projects Calculations'!U113="","",'All Projects Calculations'!U113)</f>
        <v/>
      </c>
      <c r="F113" t="str">
        <f>IF('All Projects Calculations'!W113=0,"",'All Projects Calculations'!W113)</f>
        <v/>
      </c>
    </row>
    <row r="114" spans="1:6" x14ac:dyDescent="0.25">
      <c r="A114">
        <v>110</v>
      </c>
      <c r="B114" t="str">
        <f t="shared" si="1"/>
        <v/>
      </c>
      <c r="C114" t="str">
        <f>IF('All Projects Calculations'!U114="","",'All Projects Calculations'!U114)</f>
        <v/>
      </c>
      <c r="F114" t="str">
        <f>IF('All Projects Calculations'!W114=0,"",'All Projects Calculations'!W114)</f>
        <v/>
      </c>
    </row>
    <row r="115" spans="1:6" x14ac:dyDescent="0.25">
      <c r="A115">
        <v>111</v>
      </c>
      <c r="B115" t="str">
        <f t="shared" si="1"/>
        <v/>
      </c>
      <c r="C115" t="str">
        <f>IF('All Projects Calculations'!U115="","",'All Projects Calculations'!U115)</f>
        <v/>
      </c>
      <c r="F115" t="str">
        <f>IF('All Projects Calculations'!W115=0,"",'All Projects Calculations'!W115)</f>
        <v/>
      </c>
    </row>
    <row r="116" spans="1:6" x14ac:dyDescent="0.25">
      <c r="A116">
        <v>112</v>
      </c>
      <c r="B116" t="str">
        <f t="shared" si="1"/>
        <v/>
      </c>
      <c r="C116" t="str">
        <f>IF('All Projects Calculations'!U116="","",'All Projects Calculations'!U116)</f>
        <v/>
      </c>
      <c r="F116" t="str">
        <f>IF('All Projects Calculations'!W116=0,"",'All Projects Calculations'!W116)</f>
        <v/>
      </c>
    </row>
    <row r="117" spans="1:6" x14ac:dyDescent="0.25">
      <c r="A117">
        <v>113</v>
      </c>
      <c r="B117" t="str">
        <f t="shared" si="1"/>
        <v/>
      </c>
      <c r="C117" t="str">
        <f>IF('All Projects Calculations'!U117="","",'All Projects Calculations'!U117)</f>
        <v/>
      </c>
      <c r="F117" t="str">
        <f>IF('All Projects Calculations'!W117=0,"",'All Projects Calculations'!W117)</f>
        <v/>
      </c>
    </row>
    <row r="118" spans="1:6" x14ac:dyDescent="0.25">
      <c r="A118">
        <v>114</v>
      </c>
      <c r="B118" t="str">
        <f t="shared" si="1"/>
        <v/>
      </c>
      <c r="C118" t="str">
        <f>IF('All Projects Calculations'!U118="","",'All Projects Calculations'!U118)</f>
        <v/>
      </c>
      <c r="F118" t="str">
        <f>IF('All Projects Calculations'!W118=0,"",'All Projects Calculations'!W118)</f>
        <v/>
      </c>
    </row>
    <row r="119" spans="1:6" x14ac:dyDescent="0.25">
      <c r="A119">
        <v>115</v>
      </c>
      <c r="B119" t="str">
        <f t="shared" si="1"/>
        <v/>
      </c>
      <c r="C119" t="str">
        <f>IF('All Projects Calculations'!U119="","",'All Projects Calculations'!U119)</f>
        <v/>
      </c>
      <c r="F119" t="str">
        <f>IF('All Projects Calculations'!W119=0,"",'All Projects Calculations'!W119)</f>
        <v/>
      </c>
    </row>
    <row r="120" spans="1:6" x14ac:dyDescent="0.25">
      <c r="A120">
        <v>116</v>
      </c>
      <c r="B120" t="str">
        <f t="shared" si="1"/>
        <v/>
      </c>
      <c r="C120" t="str">
        <f>IF('All Projects Calculations'!U120="","",'All Projects Calculations'!U120)</f>
        <v/>
      </c>
      <c r="F120" t="str">
        <f>IF('All Projects Calculations'!W120=0,"",'All Projects Calculations'!W120)</f>
        <v/>
      </c>
    </row>
    <row r="121" spans="1:6" x14ac:dyDescent="0.25">
      <c r="A121">
        <v>117</v>
      </c>
      <c r="B121" t="str">
        <f t="shared" si="1"/>
        <v/>
      </c>
      <c r="C121" t="str">
        <f>IF('All Projects Calculations'!U121="","",'All Projects Calculations'!U121)</f>
        <v/>
      </c>
      <c r="F121" t="str">
        <f>IF('All Projects Calculations'!W121=0,"",'All Projects Calculations'!W121)</f>
        <v/>
      </c>
    </row>
    <row r="122" spans="1:6" x14ac:dyDescent="0.25">
      <c r="A122">
        <v>118</v>
      </c>
      <c r="B122" t="str">
        <f t="shared" si="1"/>
        <v/>
      </c>
      <c r="C122" t="str">
        <f>IF('All Projects Calculations'!U122="","",'All Projects Calculations'!U122)</f>
        <v/>
      </c>
      <c r="F122" t="str">
        <f>IF('All Projects Calculations'!W122=0,"",'All Projects Calculations'!W122)</f>
        <v/>
      </c>
    </row>
    <row r="123" spans="1:6" x14ac:dyDescent="0.25">
      <c r="A123">
        <v>119</v>
      </c>
      <c r="B123" t="str">
        <f t="shared" si="1"/>
        <v/>
      </c>
      <c r="C123" t="str">
        <f>IF('All Projects Calculations'!U123="","",'All Projects Calculations'!U123)</f>
        <v/>
      </c>
      <c r="F123" t="str">
        <f>IF('All Projects Calculations'!W123=0,"",'All Projects Calculations'!W123)</f>
        <v/>
      </c>
    </row>
    <row r="124" spans="1:6" x14ac:dyDescent="0.25">
      <c r="A124">
        <v>120</v>
      </c>
      <c r="B124" t="str">
        <f t="shared" si="1"/>
        <v/>
      </c>
      <c r="C124" t="str">
        <f>IF('All Projects Calculations'!U124="","",'All Projects Calculations'!U124)</f>
        <v/>
      </c>
      <c r="F124" t="str">
        <f>IF('All Projects Calculations'!W124=0,"",'All Projects Calculations'!W124)</f>
        <v/>
      </c>
    </row>
    <row r="125" spans="1:6" x14ac:dyDescent="0.25">
      <c r="A125">
        <v>121</v>
      </c>
      <c r="B125" t="str">
        <f t="shared" si="1"/>
        <v/>
      </c>
      <c r="C125" t="str">
        <f>IF('All Projects Calculations'!U125="","",'All Projects Calculations'!U125)</f>
        <v/>
      </c>
      <c r="F125" t="str">
        <f>IF('All Projects Calculations'!W125=0,"",'All Projects Calculations'!W125)</f>
        <v/>
      </c>
    </row>
    <row r="126" spans="1:6" x14ac:dyDescent="0.25">
      <c r="A126">
        <v>122</v>
      </c>
      <c r="B126" t="str">
        <f t="shared" si="1"/>
        <v/>
      </c>
      <c r="C126" t="str">
        <f>IF('All Projects Calculations'!U126="","",'All Projects Calculations'!U126)</f>
        <v/>
      </c>
      <c r="F126" t="str">
        <f>IF('All Projects Calculations'!W126=0,"",'All Projects Calculations'!W126)</f>
        <v/>
      </c>
    </row>
    <row r="127" spans="1:6" x14ac:dyDescent="0.25">
      <c r="A127">
        <v>123</v>
      </c>
      <c r="B127" t="str">
        <f t="shared" si="1"/>
        <v/>
      </c>
      <c r="C127" t="str">
        <f>IF('All Projects Calculations'!U127="","",'All Projects Calculations'!U127)</f>
        <v/>
      </c>
      <c r="F127" t="str">
        <f>IF('All Projects Calculations'!W127=0,"",'All Projects Calculations'!W127)</f>
        <v/>
      </c>
    </row>
    <row r="128" spans="1:6" x14ac:dyDescent="0.25">
      <c r="A128">
        <v>124</v>
      </c>
      <c r="B128" t="str">
        <f t="shared" si="1"/>
        <v/>
      </c>
      <c r="C128" t="str">
        <f>IF('All Projects Calculations'!U128="","",'All Projects Calculations'!U128)</f>
        <v/>
      </c>
      <c r="F128" t="str">
        <f>IF('All Projects Calculations'!W128=0,"",'All Projects Calculations'!W128)</f>
        <v/>
      </c>
    </row>
    <row r="129" spans="1:6" x14ac:dyDescent="0.25">
      <c r="A129">
        <v>125</v>
      </c>
      <c r="B129" t="str">
        <f t="shared" si="1"/>
        <v/>
      </c>
      <c r="C129" t="str">
        <f>IF('All Projects Calculations'!U129="","",'All Projects Calculations'!U129)</f>
        <v/>
      </c>
      <c r="F129" t="str">
        <f>IF('All Projects Calculations'!W129=0,"",'All Projects Calculations'!W129)</f>
        <v/>
      </c>
    </row>
    <row r="130" spans="1:6" x14ac:dyDescent="0.25">
      <c r="A130">
        <v>126</v>
      </c>
      <c r="B130" t="str">
        <f t="shared" si="1"/>
        <v/>
      </c>
      <c r="C130" t="str">
        <f>IF('All Projects Calculations'!U130="","",'All Projects Calculations'!U130)</f>
        <v/>
      </c>
      <c r="F130" t="str">
        <f>IF('All Projects Calculations'!W130=0,"",'All Projects Calculations'!W130)</f>
        <v/>
      </c>
    </row>
    <row r="131" spans="1:6" x14ac:dyDescent="0.25">
      <c r="A131">
        <v>127</v>
      </c>
      <c r="B131" t="str">
        <f t="shared" si="1"/>
        <v/>
      </c>
      <c r="C131" t="str">
        <f>IF('All Projects Calculations'!U131="","",'All Projects Calculations'!U131)</f>
        <v/>
      </c>
      <c r="F131" t="str">
        <f>IF('All Projects Calculations'!W131=0,"",'All Projects Calculations'!W131)</f>
        <v/>
      </c>
    </row>
    <row r="132" spans="1:6" x14ac:dyDescent="0.25">
      <c r="A132">
        <v>128</v>
      </c>
      <c r="B132" t="str">
        <f t="shared" si="1"/>
        <v/>
      </c>
      <c r="C132" t="str">
        <f>IF('All Projects Calculations'!U132="","",'All Projects Calculations'!U132)</f>
        <v/>
      </c>
      <c r="F132" t="str">
        <f>IF('All Projects Calculations'!W132=0,"",'All Projects Calculations'!W132)</f>
        <v/>
      </c>
    </row>
    <row r="133" spans="1:6" x14ac:dyDescent="0.25">
      <c r="A133">
        <v>129</v>
      </c>
      <c r="B133" t="str">
        <f t="shared" si="1"/>
        <v/>
      </c>
      <c r="C133" t="str">
        <f>IF('All Projects Calculations'!U133="","",'All Projects Calculations'!U133)</f>
        <v/>
      </c>
      <c r="F133" t="str">
        <f>IF('All Projects Calculations'!W133=0,"",'All Projects Calculations'!W133)</f>
        <v/>
      </c>
    </row>
    <row r="134" spans="1:6" x14ac:dyDescent="0.25">
      <c r="A134">
        <v>130</v>
      </c>
      <c r="B134" t="str">
        <f t="shared" ref="B134:B197" si="2">IF(F134="","",A134)</f>
        <v/>
      </c>
      <c r="C134" t="str">
        <f>IF('All Projects Calculations'!U134="","",'All Projects Calculations'!U134)</f>
        <v/>
      </c>
      <c r="F134" t="str">
        <f>IF('All Projects Calculations'!W134=0,"",'All Projects Calculations'!W134)</f>
        <v/>
      </c>
    </row>
    <row r="135" spans="1:6" x14ac:dyDescent="0.25">
      <c r="A135">
        <v>131</v>
      </c>
      <c r="B135" t="str">
        <f t="shared" si="2"/>
        <v/>
      </c>
      <c r="C135" t="str">
        <f>IF('All Projects Calculations'!U135="","",'All Projects Calculations'!U135)</f>
        <v/>
      </c>
      <c r="F135" t="str">
        <f>IF('All Projects Calculations'!W135=0,"",'All Projects Calculations'!W135)</f>
        <v/>
      </c>
    </row>
    <row r="136" spans="1:6" x14ac:dyDescent="0.25">
      <c r="A136">
        <v>132</v>
      </c>
      <c r="B136" t="str">
        <f t="shared" si="2"/>
        <v/>
      </c>
      <c r="C136" t="str">
        <f>IF('All Projects Calculations'!U136="","",'All Projects Calculations'!U136)</f>
        <v/>
      </c>
      <c r="F136" t="str">
        <f>IF('All Projects Calculations'!W136=0,"",'All Projects Calculations'!W136)</f>
        <v/>
      </c>
    </row>
    <row r="137" spans="1:6" x14ac:dyDescent="0.25">
      <c r="A137">
        <v>133</v>
      </c>
      <c r="B137" t="str">
        <f t="shared" si="2"/>
        <v/>
      </c>
      <c r="C137" t="str">
        <f>IF('All Projects Calculations'!U137="","",'All Projects Calculations'!U137)</f>
        <v/>
      </c>
      <c r="F137" t="str">
        <f>IF('All Projects Calculations'!W137=0,"",'All Projects Calculations'!W137)</f>
        <v/>
      </c>
    </row>
    <row r="138" spans="1:6" x14ac:dyDescent="0.25">
      <c r="A138">
        <v>134</v>
      </c>
      <c r="B138" t="str">
        <f t="shared" si="2"/>
        <v/>
      </c>
      <c r="C138" t="str">
        <f>IF('All Projects Calculations'!U138="","",'All Projects Calculations'!U138)</f>
        <v/>
      </c>
      <c r="F138" t="str">
        <f>IF('All Projects Calculations'!W138=0,"",'All Projects Calculations'!W138)</f>
        <v/>
      </c>
    </row>
    <row r="139" spans="1:6" x14ac:dyDescent="0.25">
      <c r="A139">
        <v>135</v>
      </c>
      <c r="B139" t="str">
        <f t="shared" si="2"/>
        <v/>
      </c>
      <c r="C139" t="str">
        <f>IF('All Projects Calculations'!U139="","",'All Projects Calculations'!U139)</f>
        <v/>
      </c>
      <c r="F139" t="str">
        <f>IF('All Projects Calculations'!W139=0,"",'All Projects Calculations'!W139)</f>
        <v/>
      </c>
    </row>
    <row r="140" spans="1:6" x14ac:dyDescent="0.25">
      <c r="A140">
        <v>136</v>
      </c>
      <c r="B140" t="str">
        <f t="shared" si="2"/>
        <v/>
      </c>
      <c r="C140" t="str">
        <f>IF('All Projects Calculations'!U140="","",'All Projects Calculations'!U140)</f>
        <v/>
      </c>
      <c r="F140" t="str">
        <f>IF('All Projects Calculations'!W140=0,"",'All Projects Calculations'!W140)</f>
        <v/>
      </c>
    </row>
    <row r="141" spans="1:6" x14ac:dyDescent="0.25">
      <c r="A141">
        <v>137</v>
      </c>
      <c r="B141" t="str">
        <f t="shared" si="2"/>
        <v/>
      </c>
      <c r="C141" t="str">
        <f>IF('All Projects Calculations'!U141="","",'All Projects Calculations'!U141)</f>
        <v/>
      </c>
      <c r="F141" t="str">
        <f>IF('All Projects Calculations'!W141=0,"",'All Projects Calculations'!W141)</f>
        <v/>
      </c>
    </row>
    <row r="142" spans="1:6" x14ac:dyDescent="0.25">
      <c r="A142">
        <v>138</v>
      </c>
      <c r="B142" t="str">
        <f t="shared" si="2"/>
        <v/>
      </c>
      <c r="C142" t="str">
        <f>IF('All Projects Calculations'!U142="","",'All Projects Calculations'!U142)</f>
        <v/>
      </c>
      <c r="F142" t="str">
        <f>IF('All Projects Calculations'!W142=0,"",'All Projects Calculations'!W142)</f>
        <v/>
      </c>
    </row>
    <row r="143" spans="1:6" x14ac:dyDescent="0.25">
      <c r="A143">
        <v>139</v>
      </c>
      <c r="B143" t="str">
        <f t="shared" si="2"/>
        <v/>
      </c>
      <c r="C143" t="str">
        <f>IF('All Projects Calculations'!U143="","",'All Projects Calculations'!U143)</f>
        <v/>
      </c>
      <c r="F143" t="str">
        <f>IF('All Projects Calculations'!W143=0,"",'All Projects Calculations'!W143)</f>
        <v/>
      </c>
    </row>
    <row r="144" spans="1:6" x14ac:dyDescent="0.25">
      <c r="A144">
        <v>140</v>
      </c>
      <c r="B144" t="str">
        <f t="shared" si="2"/>
        <v/>
      </c>
      <c r="C144" t="str">
        <f>IF('All Projects Calculations'!U144="","",'All Projects Calculations'!U144)</f>
        <v/>
      </c>
      <c r="F144" t="str">
        <f>IF('All Projects Calculations'!W144=0,"",'All Projects Calculations'!W144)</f>
        <v/>
      </c>
    </row>
    <row r="145" spans="1:6" x14ac:dyDescent="0.25">
      <c r="A145">
        <v>141</v>
      </c>
      <c r="B145" t="str">
        <f t="shared" si="2"/>
        <v/>
      </c>
      <c r="C145" t="str">
        <f>IF('All Projects Calculations'!U145="","",'All Projects Calculations'!U145)</f>
        <v/>
      </c>
      <c r="F145" t="str">
        <f>IF('All Projects Calculations'!W145=0,"",'All Projects Calculations'!W145)</f>
        <v/>
      </c>
    </row>
    <row r="146" spans="1:6" x14ac:dyDescent="0.25">
      <c r="A146">
        <v>142</v>
      </c>
      <c r="B146" t="str">
        <f t="shared" si="2"/>
        <v/>
      </c>
      <c r="C146" t="str">
        <f>IF('All Projects Calculations'!U146="","",'All Projects Calculations'!U146)</f>
        <v/>
      </c>
      <c r="F146" t="str">
        <f>IF('All Projects Calculations'!W146=0,"",'All Projects Calculations'!W146)</f>
        <v/>
      </c>
    </row>
    <row r="147" spans="1:6" x14ac:dyDescent="0.25">
      <c r="A147">
        <v>143</v>
      </c>
      <c r="B147" t="str">
        <f t="shared" si="2"/>
        <v/>
      </c>
      <c r="C147" t="str">
        <f>IF('All Projects Calculations'!U147="","",'All Projects Calculations'!U147)</f>
        <v/>
      </c>
      <c r="F147" t="str">
        <f>IF('All Projects Calculations'!W147=0,"",'All Projects Calculations'!W147)</f>
        <v/>
      </c>
    </row>
    <row r="148" spans="1:6" x14ac:dyDescent="0.25">
      <c r="A148">
        <v>144</v>
      </c>
      <c r="B148" t="str">
        <f t="shared" si="2"/>
        <v/>
      </c>
      <c r="C148" t="str">
        <f>IF('All Projects Calculations'!U148="","",'All Projects Calculations'!U148)</f>
        <v/>
      </c>
      <c r="F148" t="str">
        <f>IF('All Projects Calculations'!W148=0,"",'All Projects Calculations'!W148)</f>
        <v/>
      </c>
    </row>
    <row r="149" spans="1:6" x14ac:dyDescent="0.25">
      <c r="A149">
        <v>145</v>
      </c>
      <c r="B149" t="str">
        <f t="shared" si="2"/>
        <v/>
      </c>
      <c r="C149" t="str">
        <f>IF('All Projects Calculations'!U149="","",'All Projects Calculations'!U149)</f>
        <v/>
      </c>
      <c r="F149" t="str">
        <f>IF('All Projects Calculations'!W149=0,"",'All Projects Calculations'!W149)</f>
        <v/>
      </c>
    </row>
    <row r="150" spans="1:6" x14ac:dyDescent="0.25">
      <c r="A150">
        <v>146</v>
      </c>
      <c r="B150" t="str">
        <f t="shared" si="2"/>
        <v/>
      </c>
      <c r="C150" t="str">
        <f>IF('All Projects Calculations'!U150="","",'All Projects Calculations'!U150)</f>
        <v/>
      </c>
      <c r="F150" t="str">
        <f>IF('All Projects Calculations'!W150=0,"",'All Projects Calculations'!W150)</f>
        <v/>
      </c>
    </row>
    <row r="151" spans="1:6" x14ac:dyDescent="0.25">
      <c r="A151">
        <v>147</v>
      </c>
      <c r="B151" t="str">
        <f t="shared" si="2"/>
        <v/>
      </c>
      <c r="C151" t="str">
        <f>IF('All Projects Calculations'!U151="","",'All Projects Calculations'!U151)</f>
        <v/>
      </c>
      <c r="F151" t="str">
        <f>IF('All Projects Calculations'!W151=0,"",'All Projects Calculations'!W151)</f>
        <v/>
      </c>
    </row>
    <row r="152" spans="1:6" x14ac:dyDescent="0.25">
      <c r="A152">
        <v>148</v>
      </c>
      <c r="B152" t="str">
        <f t="shared" si="2"/>
        <v/>
      </c>
      <c r="C152" t="str">
        <f>IF('All Projects Calculations'!U152="","",'All Projects Calculations'!U152)</f>
        <v/>
      </c>
      <c r="F152" t="str">
        <f>IF('All Projects Calculations'!W152=0,"",'All Projects Calculations'!W152)</f>
        <v/>
      </c>
    </row>
    <row r="153" spans="1:6" x14ac:dyDescent="0.25">
      <c r="A153">
        <v>149</v>
      </c>
      <c r="B153" t="str">
        <f t="shared" si="2"/>
        <v/>
      </c>
      <c r="C153" t="str">
        <f>IF('All Projects Calculations'!U153="","",'All Projects Calculations'!U153)</f>
        <v/>
      </c>
      <c r="F153" t="str">
        <f>IF('All Projects Calculations'!W153=0,"",'All Projects Calculations'!W153)</f>
        <v/>
      </c>
    </row>
    <row r="154" spans="1:6" x14ac:dyDescent="0.25">
      <c r="A154">
        <v>150</v>
      </c>
      <c r="B154" t="str">
        <f t="shared" si="2"/>
        <v/>
      </c>
      <c r="C154" t="str">
        <f>IF('All Projects Calculations'!U154="","",'All Projects Calculations'!U154)</f>
        <v/>
      </c>
      <c r="F154" t="str">
        <f>IF('All Projects Calculations'!W154=0,"",'All Projects Calculations'!W154)</f>
        <v/>
      </c>
    </row>
    <row r="155" spans="1:6" x14ac:dyDescent="0.25">
      <c r="A155">
        <v>151</v>
      </c>
      <c r="B155" t="str">
        <f t="shared" si="2"/>
        <v/>
      </c>
      <c r="C155" t="str">
        <f>IF('All Projects Calculations'!U155="","",'All Projects Calculations'!U155)</f>
        <v/>
      </c>
      <c r="F155" t="str">
        <f>IF('All Projects Calculations'!W155=0,"",'All Projects Calculations'!W155)</f>
        <v/>
      </c>
    </row>
    <row r="156" spans="1:6" x14ac:dyDescent="0.25">
      <c r="A156">
        <v>152</v>
      </c>
      <c r="B156" t="str">
        <f t="shared" si="2"/>
        <v/>
      </c>
      <c r="C156" t="str">
        <f>IF('All Projects Calculations'!U156="","",'All Projects Calculations'!U156)</f>
        <v/>
      </c>
      <c r="F156" t="str">
        <f>IF('All Projects Calculations'!W156=0,"",'All Projects Calculations'!W156)</f>
        <v/>
      </c>
    </row>
    <row r="157" spans="1:6" x14ac:dyDescent="0.25">
      <c r="A157">
        <v>153</v>
      </c>
      <c r="B157" t="str">
        <f t="shared" si="2"/>
        <v/>
      </c>
      <c r="C157" t="str">
        <f>IF('All Projects Calculations'!U157="","",'All Projects Calculations'!U157)</f>
        <v/>
      </c>
      <c r="F157" t="str">
        <f>IF('All Projects Calculations'!W157=0,"",'All Projects Calculations'!W157)</f>
        <v/>
      </c>
    </row>
    <row r="158" spans="1:6" x14ac:dyDescent="0.25">
      <c r="A158">
        <v>154</v>
      </c>
      <c r="B158" t="str">
        <f t="shared" si="2"/>
        <v/>
      </c>
      <c r="C158" t="str">
        <f>IF('All Projects Calculations'!U158="","",'All Projects Calculations'!U158)</f>
        <v/>
      </c>
      <c r="F158" t="str">
        <f>IF('All Projects Calculations'!W158=0,"",'All Projects Calculations'!W158)</f>
        <v/>
      </c>
    </row>
    <row r="159" spans="1:6" x14ac:dyDescent="0.25">
      <c r="A159">
        <v>155</v>
      </c>
      <c r="B159" t="str">
        <f t="shared" si="2"/>
        <v/>
      </c>
      <c r="C159" t="str">
        <f>IF('All Projects Calculations'!U159="","",'All Projects Calculations'!U159)</f>
        <v/>
      </c>
      <c r="F159" t="str">
        <f>IF('All Projects Calculations'!W159=0,"",'All Projects Calculations'!W159)</f>
        <v/>
      </c>
    </row>
    <row r="160" spans="1:6" x14ac:dyDescent="0.25">
      <c r="A160">
        <v>156</v>
      </c>
      <c r="B160" t="str">
        <f t="shared" si="2"/>
        <v/>
      </c>
      <c r="C160" t="str">
        <f>IF('All Projects Calculations'!U160="","",'All Projects Calculations'!U160)</f>
        <v/>
      </c>
      <c r="F160" t="str">
        <f>IF('All Projects Calculations'!W160=0,"",'All Projects Calculations'!W160)</f>
        <v/>
      </c>
    </row>
    <row r="161" spans="1:6" x14ac:dyDescent="0.25">
      <c r="A161">
        <v>157</v>
      </c>
      <c r="B161" t="str">
        <f t="shared" si="2"/>
        <v/>
      </c>
      <c r="C161" t="str">
        <f>IF('All Projects Calculations'!U161="","",'All Projects Calculations'!U161)</f>
        <v/>
      </c>
      <c r="F161" t="str">
        <f>IF('All Projects Calculations'!W161=0,"",'All Projects Calculations'!W161)</f>
        <v/>
      </c>
    </row>
    <row r="162" spans="1:6" x14ac:dyDescent="0.25">
      <c r="A162">
        <v>158</v>
      </c>
      <c r="B162" t="str">
        <f t="shared" si="2"/>
        <v/>
      </c>
      <c r="C162" t="str">
        <f>IF('All Projects Calculations'!U162="","",'All Projects Calculations'!U162)</f>
        <v/>
      </c>
      <c r="F162" t="str">
        <f>IF('All Projects Calculations'!W162=0,"",'All Projects Calculations'!W162)</f>
        <v/>
      </c>
    </row>
    <row r="163" spans="1:6" x14ac:dyDescent="0.25">
      <c r="A163">
        <v>159</v>
      </c>
      <c r="B163" t="str">
        <f t="shared" si="2"/>
        <v/>
      </c>
      <c r="C163" t="str">
        <f>IF('All Projects Calculations'!U163="","",'All Projects Calculations'!U163)</f>
        <v/>
      </c>
      <c r="F163" t="str">
        <f>IF('All Projects Calculations'!W163=0,"",'All Projects Calculations'!W163)</f>
        <v/>
      </c>
    </row>
    <row r="164" spans="1:6" x14ac:dyDescent="0.25">
      <c r="A164">
        <v>160</v>
      </c>
      <c r="B164" t="str">
        <f t="shared" si="2"/>
        <v/>
      </c>
      <c r="C164" t="str">
        <f>IF('All Projects Calculations'!U164="","",'All Projects Calculations'!U164)</f>
        <v/>
      </c>
      <c r="F164" t="str">
        <f>IF('All Projects Calculations'!W164=0,"",'All Projects Calculations'!W164)</f>
        <v/>
      </c>
    </row>
    <row r="165" spans="1:6" x14ac:dyDescent="0.25">
      <c r="A165">
        <v>161</v>
      </c>
      <c r="B165" t="str">
        <f t="shared" si="2"/>
        <v/>
      </c>
      <c r="C165" t="str">
        <f>IF('All Projects Calculations'!U165="","",'All Projects Calculations'!U165)</f>
        <v/>
      </c>
      <c r="F165" t="str">
        <f>IF('All Projects Calculations'!W165=0,"",'All Projects Calculations'!W165)</f>
        <v/>
      </c>
    </row>
    <row r="166" spans="1:6" x14ac:dyDescent="0.25">
      <c r="A166">
        <v>162</v>
      </c>
      <c r="B166" t="str">
        <f t="shared" si="2"/>
        <v/>
      </c>
      <c r="C166" t="str">
        <f>IF('All Projects Calculations'!U166="","",'All Projects Calculations'!U166)</f>
        <v/>
      </c>
      <c r="F166" t="str">
        <f>IF('All Projects Calculations'!W166=0,"",'All Projects Calculations'!W166)</f>
        <v/>
      </c>
    </row>
    <row r="167" spans="1:6" x14ac:dyDescent="0.25">
      <c r="A167">
        <v>163</v>
      </c>
      <c r="B167" t="str">
        <f t="shared" si="2"/>
        <v/>
      </c>
      <c r="C167" t="str">
        <f>IF('All Projects Calculations'!U167="","",'All Projects Calculations'!U167)</f>
        <v/>
      </c>
      <c r="F167" t="str">
        <f>IF('All Projects Calculations'!W167=0,"",'All Projects Calculations'!W167)</f>
        <v/>
      </c>
    </row>
    <row r="168" spans="1:6" x14ac:dyDescent="0.25">
      <c r="A168">
        <v>164</v>
      </c>
      <c r="B168" t="str">
        <f t="shared" si="2"/>
        <v/>
      </c>
      <c r="C168" t="str">
        <f>IF('All Projects Calculations'!U168="","",'All Projects Calculations'!U168)</f>
        <v/>
      </c>
      <c r="F168" t="str">
        <f>IF('All Projects Calculations'!W168=0,"",'All Projects Calculations'!W168)</f>
        <v/>
      </c>
    </row>
    <row r="169" spans="1:6" x14ac:dyDescent="0.25">
      <c r="A169">
        <v>165</v>
      </c>
      <c r="B169" t="str">
        <f t="shared" si="2"/>
        <v/>
      </c>
      <c r="C169" t="str">
        <f>IF('All Projects Calculations'!U169="","",'All Projects Calculations'!U169)</f>
        <v/>
      </c>
      <c r="F169" t="str">
        <f>IF('All Projects Calculations'!W169=0,"",'All Projects Calculations'!W169)</f>
        <v/>
      </c>
    </row>
    <row r="170" spans="1:6" x14ac:dyDescent="0.25">
      <c r="A170">
        <v>166</v>
      </c>
      <c r="B170" t="str">
        <f t="shared" si="2"/>
        <v/>
      </c>
      <c r="C170" t="str">
        <f>IF('All Projects Calculations'!U170="","",'All Projects Calculations'!U170)</f>
        <v/>
      </c>
      <c r="F170" t="str">
        <f>IF('All Projects Calculations'!W170=0,"",'All Projects Calculations'!W170)</f>
        <v/>
      </c>
    </row>
    <row r="171" spans="1:6" x14ac:dyDescent="0.25">
      <c r="A171">
        <v>167</v>
      </c>
      <c r="B171" t="str">
        <f t="shared" si="2"/>
        <v/>
      </c>
      <c r="C171" t="str">
        <f>IF('All Projects Calculations'!U171="","",'All Projects Calculations'!U171)</f>
        <v/>
      </c>
      <c r="F171" t="str">
        <f>IF('All Projects Calculations'!W171=0,"",'All Projects Calculations'!W171)</f>
        <v/>
      </c>
    </row>
    <row r="172" spans="1:6" x14ac:dyDescent="0.25">
      <c r="A172">
        <v>168</v>
      </c>
      <c r="B172" t="str">
        <f t="shared" si="2"/>
        <v/>
      </c>
      <c r="C172" t="str">
        <f>IF('All Projects Calculations'!U172="","",'All Projects Calculations'!U172)</f>
        <v/>
      </c>
      <c r="F172" t="str">
        <f>IF('All Projects Calculations'!W172=0,"",'All Projects Calculations'!W172)</f>
        <v/>
      </c>
    </row>
    <row r="173" spans="1:6" x14ac:dyDescent="0.25">
      <c r="A173">
        <v>169</v>
      </c>
      <c r="B173" t="str">
        <f t="shared" si="2"/>
        <v/>
      </c>
      <c r="C173" t="str">
        <f>IF('All Projects Calculations'!U173="","",'All Projects Calculations'!U173)</f>
        <v/>
      </c>
      <c r="F173" t="str">
        <f>IF('All Projects Calculations'!W173=0,"",'All Projects Calculations'!W173)</f>
        <v/>
      </c>
    </row>
    <row r="174" spans="1:6" x14ac:dyDescent="0.25">
      <c r="A174">
        <v>170</v>
      </c>
      <c r="B174" t="str">
        <f t="shared" si="2"/>
        <v/>
      </c>
      <c r="C174" t="str">
        <f>IF('All Projects Calculations'!U174="","",'All Projects Calculations'!U174)</f>
        <v/>
      </c>
      <c r="F174" t="str">
        <f>IF('All Projects Calculations'!W174=0,"",'All Projects Calculations'!W174)</f>
        <v/>
      </c>
    </row>
    <row r="175" spans="1:6" x14ac:dyDescent="0.25">
      <c r="A175">
        <v>171</v>
      </c>
      <c r="B175" t="str">
        <f t="shared" si="2"/>
        <v/>
      </c>
      <c r="C175" t="str">
        <f>IF('All Projects Calculations'!U175="","",'All Projects Calculations'!U175)</f>
        <v/>
      </c>
      <c r="F175" t="str">
        <f>IF('All Projects Calculations'!W175=0,"",'All Projects Calculations'!W175)</f>
        <v/>
      </c>
    </row>
    <row r="176" spans="1:6" x14ac:dyDescent="0.25">
      <c r="A176">
        <v>172</v>
      </c>
      <c r="B176" t="str">
        <f t="shared" si="2"/>
        <v/>
      </c>
      <c r="C176" t="str">
        <f>IF('All Projects Calculations'!U176="","",'All Projects Calculations'!U176)</f>
        <v/>
      </c>
      <c r="F176" t="str">
        <f>IF('All Projects Calculations'!W176=0,"",'All Projects Calculations'!W176)</f>
        <v/>
      </c>
    </row>
    <row r="177" spans="1:6" x14ac:dyDescent="0.25">
      <c r="A177">
        <v>173</v>
      </c>
      <c r="B177" t="str">
        <f t="shared" si="2"/>
        <v/>
      </c>
      <c r="C177" t="str">
        <f>IF('All Projects Calculations'!U177="","",'All Projects Calculations'!U177)</f>
        <v/>
      </c>
      <c r="F177" t="str">
        <f>IF('All Projects Calculations'!W177=0,"",'All Projects Calculations'!W177)</f>
        <v/>
      </c>
    </row>
    <row r="178" spans="1:6" x14ac:dyDescent="0.25">
      <c r="A178">
        <v>174</v>
      </c>
      <c r="B178" t="str">
        <f t="shared" si="2"/>
        <v/>
      </c>
      <c r="C178" t="str">
        <f>IF('All Projects Calculations'!U178="","",'All Projects Calculations'!U178)</f>
        <v/>
      </c>
      <c r="F178" t="str">
        <f>IF('All Projects Calculations'!W178=0,"",'All Projects Calculations'!W178)</f>
        <v/>
      </c>
    </row>
    <row r="179" spans="1:6" x14ac:dyDescent="0.25">
      <c r="A179">
        <v>175</v>
      </c>
      <c r="B179" t="str">
        <f t="shared" si="2"/>
        <v/>
      </c>
      <c r="C179" t="str">
        <f>IF('All Projects Calculations'!U179="","",'All Projects Calculations'!U179)</f>
        <v/>
      </c>
      <c r="F179" t="str">
        <f>IF('All Projects Calculations'!W179=0,"",'All Projects Calculations'!W179)</f>
        <v/>
      </c>
    </row>
    <row r="180" spans="1:6" x14ac:dyDescent="0.25">
      <c r="A180">
        <v>176</v>
      </c>
      <c r="B180" t="str">
        <f t="shared" si="2"/>
        <v/>
      </c>
      <c r="C180" t="str">
        <f>IF('All Projects Calculations'!U180="","",'All Projects Calculations'!U180)</f>
        <v/>
      </c>
      <c r="F180" t="str">
        <f>IF('All Projects Calculations'!W180=0,"",'All Projects Calculations'!W180)</f>
        <v/>
      </c>
    </row>
    <row r="181" spans="1:6" x14ac:dyDescent="0.25">
      <c r="A181">
        <v>177</v>
      </c>
      <c r="B181" t="str">
        <f t="shared" si="2"/>
        <v/>
      </c>
      <c r="C181" t="str">
        <f>IF('All Projects Calculations'!U181="","",'All Projects Calculations'!U181)</f>
        <v/>
      </c>
      <c r="F181" t="str">
        <f>IF('All Projects Calculations'!W181=0,"",'All Projects Calculations'!W181)</f>
        <v/>
      </c>
    </row>
    <row r="182" spans="1:6" x14ac:dyDescent="0.25">
      <c r="A182">
        <v>178</v>
      </c>
      <c r="B182" t="str">
        <f t="shared" si="2"/>
        <v/>
      </c>
      <c r="C182" t="str">
        <f>IF('All Projects Calculations'!U182="","",'All Projects Calculations'!U182)</f>
        <v/>
      </c>
      <c r="F182" t="str">
        <f>IF('All Projects Calculations'!W182=0,"",'All Projects Calculations'!W182)</f>
        <v/>
      </c>
    </row>
    <row r="183" spans="1:6" x14ac:dyDescent="0.25">
      <c r="A183">
        <v>179</v>
      </c>
      <c r="B183" t="str">
        <f t="shared" si="2"/>
        <v/>
      </c>
      <c r="C183" t="str">
        <f>IF('All Projects Calculations'!U183="","",'All Projects Calculations'!U183)</f>
        <v/>
      </c>
      <c r="F183" t="str">
        <f>IF('All Projects Calculations'!W183=0,"",'All Projects Calculations'!W183)</f>
        <v/>
      </c>
    </row>
    <row r="184" spans="1:6" x14ac:dyDescent="0.25">
      <c r="A184">
        <v>180</v>
      </c>
      <c r="B184" t="str">
        <f t="shared" si="2"/>
        <v/>
      </c>
      <c r="C184" t="str">
        <f>IF('All Projects Calculations'!U184="","",'All Projects Calculations'!U184)</f>
        <v/>
      </c>
      <c r="F184" t="str">
        <f>IF('All Projects Calculations'!W184=0,"",'All Projects Calculations'!W184)</f>
        <v/>
      </c>
    </row>
    <row r="185" spans="1:6" x14ac:dyDescent="0.25">
      <c r="A185">
        <v>181</v>
      </c>
      <c r="B185" t="str">
        <f t="shared" si="2"/>
        <v/>
      </c>
      <c r="C185" t="str">
        <f>IF('All Projects Calculations'!U185="","",'All Projects Calculations'!U185)</f>
        <v/>
      </c>
      <c r="F185" t="str">
        <f>IF('All Projects Calculations'!W185=0,"",'All Projects Calculations'!W185)</f>
        <v/>
      </c>
    </row>
    <row r="186" spans="1:6" x14ac:dyDescent="0.25">
      <c r="A186">
        <v>182</v>
      </c>
      <c r="B186" t="str">
        <f t="shared" si="2"/>
        <v/>
      </c>
      <c r="C186" t="str">
        <f>IF('All Projects Calculations'!U186="","",'All Projects Calculations'!U186)</f>
        <v/>
      </c>
      <c r="F186" t="str">
        <f>IF('All Projects Calculations'!W186=0,"",'All Projects Calculations'!W186)</f>
        <v/>
      </c>
    </row>
    <row r="187" spans="1:6" x14ac:dyDescent="0.25">
      <c r="A187">
        <v>183</v>
      </c>
      <c r="B187" t="str">
        <f t="shared" si="2"/>
        <v/>
      </c>
      <c r="C187" t="str">
        <f>IF('All Projects Calculations'!U187="","",'All Projects Calculations'!U187)</f>
        <v/>
      </c>
      <c r="F187" t="str">
        <f>IF('All Projects Calculations'!W187=0,"",'All Projects Calculations'!W187)</f>
        <v/>
      </c>
    </row>
    <row r="188" spans="1:6" x14ac:dyDescent="0.25">
      <c r="A188">
        <v>184</v>
      </c>
      <c r="B188" t="str">
        <f t="shared" si="2"/>
        <v/>
      </c>
      <c r="C188" t="str">
        <f>IF('All Projects Calculations'!U188="","",'All Projects Calculations'!U188)</f>
        <v/>
      </c>
      <c r="F188" t="str">
        <f>IF('All Projects Calculations'!W188=0,"",'All Projects Calculations'!W188)</f>
        <v/>
      </c>
    </row>
    <row r="189" spans="1:6" x14ac:dyDescent="0.25">
      <c r="A189">
        <v>185</v>
      </c>
      <c r="B189" t="str">
        <f t="shared" si="2"/>
        <v/>
      </c>
      <c r="C189" t="str">
        <f>IF('All Projects Calculations'!U189="","",'All Projects Calculations'!U189)</f>
        <v/>
      </c>
      <c r="F189" t="str">
        <f>IF('All Projects Calculations'!W189=0,"",'All Projects Calculations'!W189)</f>
        <v/>
      </c>
    </row>
    <row r="190" spans="1:6" x14ac:dyDescent="0.25">
      <c r="A190">
        <v>186</v>
      </c>
      <c r="B190" t="str">
        <f t="shared" si="2"/>
        <v/>
      </c>
      <c r="C190" t="str">
        <f>IF('All Projects Calculations'!U190="","",'All Projects Calculations'!U190)</f>
        <v/>
      </c>
      <c r="F190" t="str">
        <f>IF('All Projects Calculations'!W190=0,"",'All Projects Calculations'!W190)</f>
        <v/>
      </c>
    </row>
    <row r="191" spans="1:6" x14ac:dyDescent="0.25">
      <c r="A191">
        <v>187</v>
      </c>
      <c r="B191" t="str">
        <f t="shared" si="2"/>
        <v/>
      </c>
      <c r="C191" t="str">
        <f>IF('All Projects Calculations'!U191="","",'All Projects Calculations'!U191)</f>
        <v/>
      </c>
      <c r="F191" t="str">
        <f>IF('All Projects Calculations'!W191=0,"",'All Projects Calculations'!W191)</f>
        <v/>
      </c>
    </row>
    <row r="192" spans="1:6" x14ac:dyDescent="0.25">
      <c r="A192">
        <v>188</v>
      </c>
      <c r="B192" t="str">
        <f t="shared" si="2"/>
        <v/>
      </c>
      <c r="C192" t="str">
        <f>IF('All Projects Calculations'!U192="","",'All Projects Calculations'!U192)</f>
        <v/>
      </c>
      <c r="F192" t="str">
        <f>IF('All Projects Calculations'!W192=0,"",'All Projects Calculations'!W192)</f>
        <v/>
      </c>
    </row>
    <row r="193" spans="1:6" x14ac:dyDescent="0.25">
      <c r="A193">
        <v>189</v>
      </c>
      <c r="B193" t="str">
        <f t="shared" si="2"/>
        <v/>
      </c>
      <c r="C193" t="str">
        <f>IF('All Projects Calculations'!U193="","",'All Projects Calculations'!U193)</f>
        <v/>
      </c>
      <c r="F193" t="str">
        <f>IF('All Projects Calculations'!W193=0,"",'All Projects Calculations'!W193)</f>
        <v/>
      </c>
    </row>
    <row r="194" spans="1:6" x14ac:dyDescent="0.25">
      <c r="A194">
        <v>190</v>
      </c>
      <c r="B194" t="str">
        <f t="shared" si="2"/>
        <v/>
      </c>
      <c r="C194" t="str">
        <f>IF('All Projects Calculations'!U194="","",'All Projects Calculations'!U194)</f>
        <v/>
      </c>
      <c r="F194" t="str">
        <f>IF('All Projects Calculations'!W194=0,"",'All Projects Calculations'!W194)</f>
        <v/>
      </c>
    </row>
    <row r="195" spans="1:6" x14ac:dyDescent="0.25">
      <c r="A195">
        <v>191</v>
      </c>
      <c r="B195" t="str">
        <f t="shared" si="2"/>
        <v/>
      </c>
      <c r="C195" t="str">
        <f>IF('All Projects Calculations'!U195="","",'All Projects Calculations'!U195)</f>
        <v/>
      </c>
      <c r="F195" t="str">
        <f>IF('All Projects Calculations'!W195=0,"",'All Projects Calculations'!W195)</f>
        <v/>
      </c>
    </row>
    <row r="196" spans="1:6" x14ac:dyDescent="0.25">
      <c r="A196">
        <v>192</v>
      </c>
      <c r="B196" t="str">
        <f t="shared" si="2"/>
        <v/>
      </c>
      <c r="C196" t="str">
        <f>IF('All Projects Calculations'!U196="","",'All Projects Calculations'!U196)</f>
        <v/>
      </c>
      <c r="F196" t="str">
        <f>IF('All Projects Calculations'!W196=0,"",'All Projects Calculations'!W196)</f>
        <v/>
      </c>
    </row>
    <row r="197" spans="1:6" x14ac:dyDescent="0.25">
      <c r="A197">
        <v>193</v>
      </c>
      <c r="B197" t="str">
        <f t="shared" si="2"/>
        <v/>
      </c>
      <c r="C197" t="str">
        <f>IF('All Projects Calculations'!U197="","",'All Projects Calculations'!U197)</f>
        <v/>
      </c>
      <c r="F197" t="str">
        <f>IF('All Projects Calculations'!W197=0,"",'All Projects Calculations'!W197)</f>
        <v/>
      </c>
    </row>
    <row r="198" spans="1:6" x14ac:dyDescent="0.25">
      <c r="A198">
        <v>194</v>
      </c>
      <c r="B198" t="str">
        <f t="shared" ref="B198:B261" si="3">IF(F198="","",A198)</f>
        <v/>
      </c>
      <c r="C198" t="str">
        <f>IF('All Projects Calculations'!U198="","",'All Projects Calculations'!U198)</f>
        <v/>
      </c>
      <c r="F198" t="str">
        <f>IF('All Projects Calculations'!W198=0,"",'All Projects Calculations'!W198)</f>
        <v/>
      </c>
    </row>
    <row r="199" spans="1:6" x14ac:dyDescent="0.25">
      <c r="A199">
        <v>195</v>
      </c>
      <c r="B199" t="str">
        <f t="shared" si="3"/>
        <v/>
      </c>
      <c r="C199" t="str">
        <f>IF('All Projects Calculations'!U199="","",'All Projects Calculations'!U199)</f>
        <v/>
      </c>
      <c r="F199" t="str">
        <f>IF('All Projects Calculations'!W199=0,"",'All Projects Calculations'!W199)</f>
        <v/>
      </c>
    </row>
    <row r="200" spans="1:6" x14ac:dyDescent="0.25">
      <c r="A200">
        <v>196</v>
      </c>
      <c r="B200" t="str">
        <f t="shared" si="3"/>
        <v/>
      </c>
      <c r="C200" t="str">
        <f>IF('All Projects Calculations'!U200="","",'All Projects Calculations'!U200)</f>
        <v/>
      </c>
      <c r="F200" t="str">
        <f>IF('All Projects Calculations'!W200=0,"",'All Projects Calculations'!W200)</f>
        <v/>
      </c>
    </row>
    <row r="201" spans="1:6" x14ac:dyDescent="0.25">
      <c r="A201">
        <v>197</v>
      </c>
      <c r="B201" t="str">
        <f t="shared" si="3"/>
        <v/>
      </c>
      <c r="C201" t="str">
        <f>IF('All Projects Calculations'!U201="","",'All Projects Calculations'!U201)</f>
        <v/>
      </c>
      <c r="F201" t="str">
        <f>IF('All Projects Calculations'!W201=0,"",'All Projects Calculations'!W201)</f>
        <v/>
      </c>
    </row>
    <row r="202" spans="1:6" x14ac:dyDescent="0.25">
      <c r="A202">
        <v>198</v>
      </c>
      <c r="B202" t="str">
        <f t="shared" si="3"/>
        <v/>
      </c>
      <c r="C202" t="str">
        <f>IF('All Projects Calculations'!U202="","",'All Projects Calculations'!U202)</f>
        <v/>
      </c>
      <c r="F202" t="str">
        <f>IF('All Projects Calculations'!W202=0,"",'All Projects Calculations'!W202)</f>
        <v/>
      </c>
    </row>
    <row r="203" spans="1:6" x14ac:dyDescent="0.25">
      <c r="A203">
        <v>199</v>
      </c>
      <c r="B203" t="str">
        <f t="shared" si="3"/>
        <v/>
      </c>
      <c r="C203" t="str">
        <f>IF('All Projects Calculations'!U203="","",'All Projects Calculations'!U203)</f>
        <v/>
      </c>
      <c r="F203" t="str">
        <f>IF('All Projects Calculations'!W203=0,"",'All Projects Calculations'!W203)</f>
        <v/>
      </c>
    </row>
    <row r="204" spans="1:6" x14ac:dyDescent="0.25">
      <c r="A204">
        <v>200</v>
      </c>
      <c r="B204" t="str">
        <f t="shared" si="3"/>
        <v/>
      </c>
      <c r="C204" t="str">
        <f>IF('All Projects Calculations'!U204="","",'All Projects Calculations'!U204)</f>
        <v/>
      </c>
      <c r="F204" t="str">
        <f>IF('All Projects Calculations'!W204=0,"",'All Projects Calculations'!W204)</f>
        <v/>
      </c>
    </row>
    <row r="205" spans="1:6" x14ac:dyDescent="0.25">
      <c r="A205">
        <v>201</v>
      </c>
      <c r="B205" t="str">
        <f t="shared" si="3"/>
        <v/>
      </c>
      <c r="C205" t="str">
        <f>IF('All Projects Calculations'!U205="","",'All Projects Calculations'!U205)</f>
        <v/>
      </c>
      <c r="F205" t="str">
        <f>IF('All Projects Calculations'!W205=0,"",'All Projects Calculations'!W205)</f>
        <v/>
      </c>
    </row>
    <row r="206" spans="1:6" x14ac:dyDescent="0.25">
      <c r="A206">
        <v>202</v>
      </c>
      <c r="B206" t="str">
        <f t="shared" si="3"/>
        <v/>
      </c>
      <c r="C206" t="str">
        <f>IF('All Projects Calculations'!U206="","",'All Projects Calculations'!U206)</f>
        <v/>
      </c>
      <c r="F206" t="str">
        <f>IF('All Projects Calculations'!W206=0,"",'All Projects Calculations'!W206)</f>
        <v/>
      </c>
    </row>
    <row r="207" spans="1:6" x14ac:dyDescent="0.25">
      <c r="A207">
        <v>203</v>
      </c>
      <c r="B207" t="str">
        <f t="shared" si="3"/>
        <v/>
      </c>
      <c r="C207" t="str">
        <f>IF('All Projects Calculations'!U207="","",'All Projects Calculations'!U207)</f>
        <v/>
      </c>
      <c r="F207" t="str">
        <f>IF('All Projects Calculations'!W207=0,"",'All Projects Calculations'!W207)</f>
        <v/>
      </c>
    </row>
    <row r="208" spans="1:6" x14ac:dyDescent="0.25">
      <c r="A208">
        <v>204</v>
      </c>
      <c r="B208" t="str">
        <f t="shared" si="3"/>
        <v/>
      </c>
      <c r="C208" t="str">
        <f>IF('All Projects Calculations'!U208="","",'All Projects Calculations'!U208)</f>
        <v/>
      </c>
      <c r="F208" t="str">
        <f>IF('All Projects Calculations'!W208=0,"",'All Projects Calculations'!W208)</f>
        <v/>
      </c>
    </row>
    <row r="209" spans="1:6" x14ac:dyDescent="0.25">
      <c r="A209">
        <v>205</v>
      </c>
      <c r="B209" t="str">
        <f t="shared" si="3"/>
        <v/>
      </c>
      <c r="C209" t="str">
        <f>IF('All Projects Calculations'!U209="","",'All Projects Calculations'!U209)</f>
        <v/>
      </c>
      <c r="F209" t="str">
        <f>IF('All Projects Calculations'!W209=0,"",'All Projects Calculations'!W209)</f>
        <v/>
      </c>
    </row>
    <row r="210" spans="1:6" x14ac:dyDescent="0.25">
      <c r="A210">
        <v>206</v>
      </c>
      <c r="B210" t="str">
        <f t="shared" si="3"/>
        <v/>
      </c>
      <c r="C210" t="str">
        <f>IF('All Projects Calculations'!U210="","",'All Projects Calculations'!U210)</f>
        <v/>
      </c>
      <c r="F210" t="str">
        <f>IF('All Projects Calculations'!W210=0,"",'All Projects Calculations'!W210)</f>
        <v/>
      </c>
    </row>
    <row r="211" spans="1:6" x14ac:dyDescent="0.25">
      <c r="A211">
        <v>207</v>
      </c>
      <c r="B211" t="str">
        <f t="shared" si="3"/>
        <v/>
      </c>
      <c r="C211" t="str">
        <f>IF('All Projects Calculations'!U211="","",'All Projects Calculations'!U211)</f>
        <v/>
      </c>
      <c r="F211" t="str">
        <f>IF('All Projects Calculations'!W211=0,"",'All Projects Calculations'!W211)</f>
        <v/>
      </c>
    </row>
    <row r="212" spans="1:6" x14ac:dyDescent="0.25">
      <c r="A212">
        <v>208</v>
      </c>
      <c r="B212" t="str">
        <f t="shared" si="3"/>
        <v/>
      </c>
      <c r="C212" t="str">
        <f>IF('All Projects Calculations'!U212="","",'All Projects Calculations'!U212)</f>
        <v/>
      </c>
      <c r="F212" t="str">
        <f>IF('All Projects Calculations'!W212=0,"",'All Projects Calculations'!W212)</f>
        <v/>
      </c>
    </row>
    <row r="213" spans="1:6" x14ac:dyDescent="0.25">
      <c r="A213">
        <v>209</v>
      </c>
      <c r="B213" t="str">
        <f t="shared" si="3"/>
        <v/>
      </c>
      <c r="C213" t="str">
        <f>IF('All Projects Calculations'!U213="","",'All Projects Calculations'!U213)</f>
        <v/>
      </c>
      <c r="F213" t="str">
        <f>IF('All Projects Calculations'!W213=0,"",'All Projects Calculations'!W213)</f>
        <v/>
      </c>
    </row>
    <row r="214" spans="1:6" x14ac:dyDescent="0.25">
      <c r="A214">
        <v>210</v>
      </c>
      <c r="B214" t="str">
        <f t="shared" si="3"/>
        <v/>
      </c>
      <c r="C214" t="str">
        <f>IF('All Projects Calculations'!U214="","",'All Projects Calculations'!U214)</f>
        <v/>
      </c>
      <c r="F214" t="str">
        <f>IF('All Projects Calculations'!W214=0,"",'All Projects Calculations'!W214)</f>
        <v/>
      </c>
    </row>
    <row r="215" spans="1:6" x14ac:dyDescent="0.25">
      <c r="A215">
        <v>211</v>
      </c>
      <c r="B215" t="str">
        <f t="shared" si="3"/>
        <v/>
      </c>
      <c r="C215" t="str">
        <f>IF('All Projects Calculations'!U215="","",'All Projects Calculations'!U215)</f>
        <v/>
      </c>
      <c r="F215" t="str">
        <f>IF('All Projects Calculations'!W215=0,"",'All Projects Calculations'!W215)</f>
        <v/>
      </c>
    </row>
    <row r="216" spans="1:6" x14ac:dyDescent="0.25">
      <c r="A216">
        <v>212</v>
      </c>
      <c r="B216" t="str">
        <f t="shared" si="3"/>
        <v/>
      </c>
      <c r="C216" t="str">
        <f>IF('All Projects Calculations'!U216="","",'All Projects Calculations'!U216)</f>
        <v/>
      </c>
      <c r="F216" t="str">
        <f>IF('All Projects Calculations'!W216=0,"",'All Projects Calculations'!W216)</f>
        <v/>
      </c>
    </row>
    <row r="217" spans="1:6" x14ac:dyDescent="0.25">
      <c r="A217">
        <v>213</v>
      </c>
      <c r="B217" t="str">
        <f t="shared" si="3"/>
        <v/>
      </c>
      <c r="C217" t="str">
        <f>IF('All Projects Calculations'!U217="","",'All Projects Calculations'!U217)</f>
        <v/>
      </c>
      <c r="F217" t="str">
        <f>IF('All Projects Calculations'!W217=0,"",'All Projects Calculations'!W217)</f>
        <v/>
      </c>
    </row>
    <row r="218" spans="1:6" x14ac:dyDescent="0.25">
      <c r="A218">
        <v>214</v>
      </c>
      <c r="B218" t="str">
        <f t="shared" si="3"/>
        <v/>
      </c>
      <c r="C218" t="str">
        <f>IF('All Projects Calculations'!U218="","",'All Projects Calculations'!U218)</f>
        <v/>
      </c>
      <c r="F218" t="str">
        <f>IF('All Projects Calculations'!W218=0,"",'All Projects Calculations'!W218)</f>
        <v/>
      </c>
    </row>
    <row r="219" spans="1:6" x14ac:dyDescent="0.25">
      <c r="A219">
        <v>215</v>
      </c>
      <c r="B219" t="str">
        <f t="shared" si="3"/>
        <v/>
      </c>
      <c r="C219" t="str">
        <f>IF('All Projects Calculations'!U219="","",'All Projects Calculations'!U219)</f>
        <v/>
      </c>
      <c r="F219" t="str">
        <f>IF('All Projects Calculations'!W219=0,"",'All Projects Calculations'!W219)</f>
        <v/>
      </c>
    </row>
    <row r="220" spans="1:6" x14ac:dyDescent="0.25">
      <c r="A220">
        <v>216</v>
      </c>
      <c r="B220" t="str">
        <f t="shared" si="3"/>
        <v/>
      </c>
      <c r="C220" t="str">
        <f>IF('All Projects Calculations'!U220="","",'All Projects Calculations'!U220)</f>
        <v/>
      </c>
      <c r="F220" t="str">
        <f>IF('All Projects Calculations'!W220=0,"",'All Projects Calculations'!W220)</f>
        <v/>
      </c>
    </row>
    <row r="221" spans="1:6" x14ac:dyDescent="0.25">
      <c r="A221">
        <v>217</v>
      </c>
      <c r="B221" t="str">
        <f t="shared" si="3"/>
        <v/>
      </c>
      <c r="C221" t="str">
        <f>IF('All Projects Calculations'!U221="","",'All Projects Calculations'!U221)</f>
        <v/>
      </c>
      <c r="F221" t="str">
        <f>IF('All Projects Calculations'!W221=0,"",'All Projects Calculations'!W221)</f>
        <v/>
      </c>
    </row>
    <row r="222" spans="1:6" x14ac:dyDescent="0.25">
      <c r="A222">
        <v>218</v>
      </c>
      <c r="B222" t="str">
        <f t="shared" si="3"/>
        <v/>
      </c>
      <c r="C222" t="str">
        <f>IF('All Projects Calculations'!U222="","",'All Projects Calculations'!U222)</f>
        <v/>
      </c>
      <c r="F222" t="str">
        <f>IF('All Projects Calculations'!W222=0,"",'All Projects Calculations'!W222)</f>
        <v/>
      </c>
    </row>
    <row r="223" spans="1:6" x14ac:dyDescent="0.25">
      <c r="A223">
        <v>219</v>
      </c>
      <c r="B223" t="str">
        <f t="shared" si="3"/>
        <v/>
      </c>
      <c r="C223" t="str">
        <f>IF('All Projects Calculations'!U223="","",'All Projects Calculations'!U223)</f>
        <v/>
      </c>
      <c r="F223" t="str">
        <f>IF('All Projects Calculations'!W223=0,"",'All Projects Calculations'!W223)</f>
        <v/>
      </c>
    </row>
    <row r="224" spans="1:6" x14ac:dyDescent="0.25">
      <c r="A224">
        <v>220</v>
      </c>
      <c r="B224" t="str">
        <f t="shared" si="3"/>
        <v/>
      </c>
      <c r="C224" t="str">
        <f>IF('All Projects Calculations'!U224="","",'All Projects Calculations'!U224)</f>
        <v/>
      </c>
      <c r="F224" t="str">
        <f>IF('All Projects Calculations'!W224=0,"",'All Projects Calculations'!W224)</f>
        <v/>
      </c>
    </row>
    <row r="225" spans="1:6" x14ac:dyDescent="0.25">
      <c r="A225">
        <v>221</v>
      </c>
      <c r="B225" t="str">
        <f t="shared" si="3"/>
        <v/>
      </c>
      <c r="C225" t="str">
        <f>IF('All Projects Calculations'!U225="","",'All Projects Calculations'!U225)</f>
        <v/>
      </c>
      <c r="F225" t="str">
        <f>IF('All Projects Calculations'!W225=0,"",'All Projects Calculations'!W225)</f>
        <v/>
      </c>
    </row>
    <row r="226" spans="1:6" x14ac:dyDescent="0.25">
      <c r="A226">
        <v>222</v>
      </c>
      <c r="B226" t="str">
        <f t="shared" si="3"/>
        <v/>
      </c>
      <c r="C226" t="str">
        <f>IF('All Projects Calculations'!U226="","",'All Projects Calculations'!U226)</f>
        <v/>
      </c>
      <c r="F226" t="str">
        <f>IF('All Projects Calculations'!W226=0,"",'All Projects Calculations'!W226)</f>
        <v/>
      </c>
    </row>
    <row r="227" spans="1:6" x14ac:dyDescent="0.25">
      <c r="A227">
        <v>223</v>
      </c>
      <c r="B227" t="str">
        <f t="shared" si="3"/>
        <v/>
      </c>
      <c r="C227" t="str">
        <f>IF('All Projects Calculations'!U227="","",'All Projects Calculations'!U227)</f>
        <v/>
      </c>
      <c r="F227" t="str">
        <f>IF('All Projects Calculations'!W227=0,"",'All Projects Calculations'!W227)</f>
        <v/>
      </c>
    </row>
    <row r="228" spans="1:6" x14ac:dyDescent="0.25">
      <c r="A228">
        <v>224</v>
      </c>
      <c r="B228" t="str">
        <f t="shared" si="3"/>
        <v/>
      </c>
      <c r="C228" t="str">
        <f>IF('All Projects Calculations'!U228="","",'All Projects Calculations'!U228)</f>
        <v/>
      </c>
      <c r="F228" t="str">
        <f>IF('All Projects Calculations'!W228=0,"",'All Projects Calculations'!W228)</f>
        <v/>
      </c>
    </row>
    <row r="229" spans="1:6" x14ac:dyDescent="0.25">
      <c r="A229">
        <v>225</v>
      </c>
      <c r="B229" t="str">
        <f t="shared" si="3"/>
        <v/>
      </c>
      <c r="C229" t="str">
        <f>IF('All Projects Calculations'!U229="","",'All Projects Calculations'!U229)</f>
        <v/>
      </c>
      <c r="F229" t="str">
        <f>IF('All Projects Calculations'!W229=0,"",'All Projects Calculations'!W229)</f>
        <v/>
      </c>
    </row>
    <row r="230" spans="1:6" x14ac:dyDescent="0.25">
      <c r="A230">
        <v>226</v>
      </c>
      <c r="B230" t="str">
        <f t="shared" si="3"/>
        <v/>
      </c>
      <c r="C230" t="str">
        <f>IF('All Projects Calculations'!U230="","",'All Projects Calculations'!U230)</f>
        <v/>
      </c>
      <c r="F230" t="str">
        <f>IF('All Projects Calculations'!W230=0,"",'All Projects Calculations'!W230)</f>
        <v/>
      </c>
    </row>
    <row r="231" spans="1:6" x14ac:dyDescent="0.25">
      <c r="A231">
        <v>227</v>
      </c>
      <c r="B231" t="str">
        <f t="shared" si="3"/>
        <v/>
      </c>
      <c r="C231" t="str">
        <f>IF('All Projects Calculations'!U231="","",'All Projects Calculations'!U231)</f>
        <v/>
      </c>
      <c r="F231" t="str">
        <f>IF('All Projects Calculations'!W231=0,"",'All Projects Calculations'!W231)</f>
        <v/>
      </c>
    </row>
    <row r="232" spans="1:6" x14ac:dyDescent="0.25">
      <c r="A232">
        <v>228</v>
      </c>
      <c r="B232" t="str">
        <f t="shared" si="3"/>
        <v/>
      </c>
      <c r="C232" t="str">
        <f>IF('All Projects Calculations'!U232="","",'All Projects Calculations'!U232)</f>
        <v/>
      </c>
      <c r="F232" t="str">
        <f>IF('All Projects Calculations'!W232=0,"",'All Projects Calculations'!W232)</f>
        <v/>
      </c>
    </row>
    <row r="233" spans="1:6" x14ac:dyDescent="0.25">
      <c r="A233">
        <v>229</v>
      </c>
      <c r="B233" t="str">
        <f t="shared" si="3"/>
        <v/>
      </c>
      <c r="C233" t="str">
        <f>IF('All Projects Calculations'!U233="","",'All Projects Calculations'!U233)</f>
        <v/>
      </c>
      <c r="F233" t="str">
        <f>IF('All Projects Calculations'!W233=0,"",'All Projects Calculations'!W233)</f>
        <v/>
      </c>
    </row>
    <row r="234" spans="1:6" x14ac:dyDescent="0.25">
      <c r="A234">
        <v>230</v>
      </c>
      <c r="B234" t="str">
        <f t="shared" si="3"/>
        <v/>
      </c>
      <c r="C234" t="str">
        <f>IF('All Projects Calculations'!U234="","",'All Projects Calculations'!U234)</f>
        <v/>
      </c>
      <c r="F234" t="str">
        <f>IF('All Projects Calculations'!W234=0,"",'All Projects Calculations'!W234)</f>
        <v/>
      </c>
    </row>
    <row r="235" spans="1:6" x14ac:dyDescent="0.25">
      <c r="A235">
        <v>231</v>
      </c>
      <c r="B235" t="str">
        <f t="shared" si="3"/>
        <v/>
      </c>
      <c r="C235" t="str">
        <f>IF('All Projects Calculations'!U235="","",'All Projects Calculations'!U235)</f>
        <v/>
      </c>
      <c r="F235" t="str">
        <f>IF('All Projects Calculations'!W235=0,"",'All Projects Calculations'!W235)</f>
        <v/>
      </c>
    </row>
    <row r="236" spans="1:6" x14ac:dyDescent="0.25">
      <c r="A236">
        <v>232</v>
      </c>
      <c r="B236" t="str">
        <f t="shared" si="3"/>
        <v/>
      </c>
      <c r="C236" t="str">
        <f>IF('All Projects Calculations'!U236="","",'All Projects Calculations'!U236)</f>
        <v/>
      </c>
      <c r="F236" t="str">
        <f>IF('All Projects Calculations'!W236=0,"",'All Projects Calculations'!W236)</f>
        <v/>
      </c>
    </row>
    <row r="237" spans="1:6" x14ac:dyDescent="0.25">
      <c r="A237">
        <v>233</v>
      </c>
      <c r="B237" t="str">
        <f t="shared" si="3"/>
        <v/>
      </c>
      <c r="C237" t="str">
        <f>IF('All Projects Calculations'!U237="","",'All Projects Calculations'!U237)</f>
        <v/>
      </c>
      <c r="F237" t="str">
        <f>IF('All Projects Calculations'!W237=0,"",'All Projects Calculations'!W237)</f>
        <v/>
      </c>
    </row>
    <row r="238" spans="1:6" x14ac:dyDescent="0.25">
      <c r="A238">
        <v>234</v>
      </c>
      <c r="B238" t="str">
        <f t="shared" si="3"/>
        <v/>
      </c>
      <c r="C238" t="str">
        <f>IF('All Projects Calculations'!U238="","",'All Projects Calculations'!U238)</f>
        <v/>
      </c>
      <c r="F238" t="str">
        <f>IF('All Projects Calculations'!W238=0,"",'All Projects Calculations'!W238)</f>
        <v/>
      </c>
    </row>
    <row r="239" spans="1:6" x14ac:dyDescent="0.25">
      <c r="A239">
        <v>235</v>
      </c>
      <c r="B239" t="str">
        <f t="shared" si="3"/>
        <v/>
      </c>
      <c r="C239" t="str">
        <f>IF('All Projects Calculations'!U239="","",'All Projects Calculations'!U239)</f>
        <v/>
      </c>
      <c r="F239" t="str">
        <f>IF('All Projects Calculations'!W239=0,"",'All Projects Calculations'!W239)</f>
        <v/>
      </c>
    </row>
    <row r="240" spans="1:6" x14ac:dyDescent="0.25">
      <c r="A240">
        <v>236</v>
      </c>
      <c r="B240" t="str">
        <f t="shared" si="3"/>
        <v/>
      </c>
      <c r="C240" t="str">
        <f>IF('All Projects Calculations'!U240="","",'All Projects Calculations'!U240)</f>
        <v/>
      </c>
      <c r="F240" t="str">
        <f>IF('All Projects Calculations'!W240=0,"",'All Projects Calculations'!W240)</f>
        <v/>
      </c>
    </row>
    <row r="241" spans="1:6" x14ac:dyDescent="0.25">
      <c r="A241">
        <v>237</v>
      </c>
      <c r="B241" t="str">
        <f t="shared" si="3"/>
        <v/>
      </c>
      <c r="C241" t="str">
        <f>IF('All Projects Calculations'!U241="","",'All Projects Calculations'!U241)</f>
        <v/>
      </c>
      <c r="F241" t="str">
        <f>IF('All Projects Calculations'!W241=0,"",'All Projects Calculations'!W241)</f>
        <v/>
      </c>
    </row>
    <row r="242" spans="1:6" x14ac:dyDescent="0.25">
      <c r="A242">
        <v>238</v>
      </c>
      <c r="B242" t="str">
        <f t="shared" si="3"/>
        <v/>
      </c>
      <c r="C242" t="str">
        <f>IF('All Projects Calculations'!U242="","",'All Projects Calculations'!U242)</f>
        <v/>
      </c>
      <c r="F242" t="str">
        <f>IF('All Projects Calculations'!W242=0,"",'All Projects Calculations'!W242)</f>
        <v/>
      </c>
    </row>
    <row r="243" spans="1:6" x14ac:dyDescent="0.25">
      <c r="A243">
        <v>239</v>
      </c>
      <c r="B243" t="str">
        <f t="shared" si="3"/>
        <v/>
      </c>
      <c r="C243" t="str">
        <f>IF('All Projects Calculations'!U243="","",'All Projects Calculations'!U243)</f>
        <v/>
      </c>
      <c r="F243" t="str">
        <f>IF('All Projects Calculations'!W243=0,"",'All Projects Calculations'!W243)</f>
        <v/>
      </c>
    </row>
    <row r="244" spans="1:6" x14ac:dyDescent="0.25">
      <c r="A244">
        <v>240</v>
      </c>
      <c r="B244" t="str">
        <f t="shared" si="3"/>
        <v/>
      </c>
      <c r="C244" t="str">
        <f>IF('All Projects Calculations'!U244="","",'All Projects Calculations'!U244)</f>
        <v/>
      </c>
      <c r="F244" t="str">
        <f>IF('All Projects Calculations'!W244=0,"",'All Projects Calculations'!W244)</f>
        <v/>
      </c>
    </row>
    <row r="245" spans="1:6" x14ac:dyDescent="0.25">
      <c r="A245">
        <v>241</v>
      </c>
      <c r="B245" t="str">
        <f t="shared" si="3"/>
        <v/>
      </c>
      <c r="C245" t="str">
        <f>IF('All Projects Calculations'!U245="","",'All Projects Calculations'!U245)</f>
        <v/>
      </c>
      <c r="F245" t="str">
        <f>IF('All Projects Calculations'!W245=0,"",'All Projects Calculations'!W245)</f>
        <v/>
      </c>
    </row>
    <row r="246" spans="1:6" x14ac:dyDescent="0.25">
      <c r="A246">
        <v>242</v>
      </c>
      <c r="B246" t="str">
        <f t="shared" si="3"/>
        <v/>
      </c>
      <c r="C246" t="str">
        <f>IF('All Projects Calculations'!U246="","",'All Projects Calculations'!U246)</f>
        <v/>
      </c>
      <c r="F246" t="str">
        <f>IF('All Projects Calculations'!W246=0,"",'All Projects Calculations'!W246)</f>
        <v/>
      </c>
    </row>
    <row r="247" spans="1:6" x14ac:dyDescent="0.25">
      <c r="A247">
        <v>243</v>
      </c>
      <c r="B247" t="str">
        <f t="shared" si="3"/>
        <v/>
      </c>
      <c r="C247" t="str">
        <f>IF('All Projects Calculations'!U247="","",'All Projects Calculations'!U247)</f>
        <v/>
      </c>
      <c r="F247" t="str">
        <f>IF('All Projects Calculations'!W247=0,"",'All Projects Calculations'!W247)</f>
        <v/>
      </c>
    </row>
    <row r="248" spans="1:6" x14ac:dyDescent="0.25">
      <c r="A248">
        <v>244</v>
      </c>
      <c r="B248" t="str">
        <f t="shared" si="3"/>
        <v/>
      </c>
      <c r="C248" t="str">
        <f>IF('All Projects Calculations'!U248="","",'All Projects Calculations'!U248)</f>
        <v/>
      </c>
      <c r="F248" t="str">
        <f>IF('All Projects Calculations'!W248=0,"",'All Projects Calculations'!W248)</f>
        <v/>
      </c>
    </row>
    <row r="249" spans="1:6" x14ac:dyDescent="0.25">
      <c r="A249">
        <v>245</v>
      </c>
      <c r="B249" t="str">
        <f t="shared" si="3"/>
        <v/>
      </c>
      <c r="C249" t="str">
        <f>IF('All Projects Calculations'!U249="","",'All Projects Calculations'!U249)</f>
        <v/>
      </c>
      <c r="F249" t="str">
        <f>IF('All Projects Calculations'!W249=0,"",'All Projects Calculations'!W249)</f>
        <v/>
      </c>
    </row>
    <row r="250" spans="1:6" x14ac:dyDescent="0.25">
      <c r="A250">
        <v>246</v>
      </c>
      <c r="B250" t="str">
        <f t="shared" si="3"/>
        <v/>
      </c>
      <c r="C250" t="str">
        <f>IF('All Projects Calculations'!U250="","",'All Projects Calculations'!U250)</f>
        <v/>
      </c>
      <c r="F250" t="str">
        <f>IF('All Projects Calculations'!W250=0,"",'All Projects Calculations'!W250)</f>
        <v/>
      </c>
    </row>
    <row r="251" spans="1:6" x14ac:dyDescent="0.25">
      <c r="A251">
        <v>247</v>
      </c>
      <c r="B251" t="str">
        <f t="shared" si="3"/>
        <v/>
      </c>
      <c r="C251" t="str">
        <f>IF('All Projects Calculations'!U251="","",'All Projects Calculations'!U251)</f>
        <v/>
      </c>
      <c r="F251" t="str">
        <f>IF('All Projects Calculations'!W251=0,"",'All Projects Calculations'!W251)</f>
        <v/>
      </c>
    </row>
    <row r="252" spans="1:6" x14ac:dyDescent="0.25">
      <c r="A252">
        <v>248</v>
      </c>
      <c r="B252" t="str">
        <f t="shared" si="3"/>
        <v/>
      </c>
      <c r="C252" t="str">
        <f>IF('All Projects Calculations'!U252="","",'All Projects Calculations'!U252)</f>
        <v/>
      </c>
      <c r="F252" t="str">
        <f>IF('All Projects Calculations'!W252=0,"",'All Projects Calculations'!W252)</f>
        <v/>
      </c>
    </row>
    <row r="253" spans="1:6" x14ac:dyDescent="0.25">
      <c r="A253">
        <v>249</v>
      </c>
      <c r="B253" t="str">
        <f t="shared" si="3"/>
        <v/>
      </c>
      <c r="C253" t="str">
        <f>IF('All Projects Calculations'!U253="","",'All Projects Calculations'!U253)</f>
        <v/>
      </c>
      <c r="F253" t="str">
        <f>IF('All Projects Calculations'!W253=0,"",'All Projects Calculations'!W253)</f>
        <v/>
      </c>
    </row>
    <row r="254" spans="1:6" x14ac:dyDescent="0.25">
      <c r="A254">
        <v>250</v>
      </c>
      <c r="B254" t="str">
        <f t="shared" si="3"/>
        <v/>
      </c>
      <c r="C254" t="str">
        <f>IF('All Projects Calculations'!U254="","",'All Projects Calculations'!U254)</f>
        <v/>
      </c>
      <c r="F254" t="str">
        <f>IF('All Projects Calculations'!W254=0,"",'All Projects Calculations'!W254)</f>
        <v/>
      </c>
    </row>
    <row r="255" spans="1:6" x14ac:dyDescent="0.25">
      <c r="A255">
        <v>251</v>
      </c>
      <c r="B255" t="str">
        <f t="shared" si="3"/>
        <v/>
      </c>
      <c r="C255" t="str">
        <f>IF('All Projects Calculations'!U255="","",'All Projects Calculations'!U255)</f>
        <v/>
      </c>
      <c r="F255" t="str">
        <f>IF('All Projects Calculations'!W255=0,"",'All Projects Calculations'!W255)</f>
        <v/>
      </c>
    </row>
    <row r="256" spans="1:6" x14ac:dyDescent="0.25">
      <c r="A256">
        <v>252</v>
      </c>
      <c r="B256" t="str">
        <f t="shared" si="3"/>
        <v/>
      </c>
      <c r="C256" t="str">
        <f>IF('All Projects Calculations'!U256="","",'All Projects Calculations'!U256)</f>
        <v/>
      </c>
      <c r="F256" t="str">
        <f>IF('All Projects Calculations'!W256=0,"",'All Projects Calculations'!W256)</f>
        <v/>
      </c>
    </row>
    <row r="257" spans="1:6" x14ac:dyDescent="0.25">
      <c r="A257">
        <v>253</v>
      </c>
      <c r="B257" t="str">
        <f t="shared" si="3"/>
        <v/>
      </c>
      <c r="C257" t="str">
        <f>IF('All Projects Calculations'!U257="","",'All Projects Calculations'!U257)</f>
        <v/>
      </c>
      <c r="F257" t="str">
        <f>IF('All Projects Calculations'!W257=0,"",'All Projects Calculations'!W257)</f>
        <v/>
      </c>
    </row>
    <row r="258" spans="1:6" x14ac:dyDescent="0.25">
      <c r="A258">
        <v>254</v>
      </c>
      <c r="B258" t="str">
        <f t="shared" si="3"/>
        <v/>
      </c>
      <c r="C258" t="str">
        <f>IF('All Projects Calculations'!U258="","",'All Projects Calculations'!U258)</f>
        <v/>
      </c>
      <c r="F258" t="str">
        <f>IF('All Projects Calculations'!W258=0,"",'All Projects Calculations'!W258)</f>
        <v/>
      </c>
    </row>
    <row r="259" spans="1:6" x14ac:dyDescent="0.25">
      <c r="A259">
        <v>255</v>
      </c>
      <c r="B259" t="str">
        <f t="shared" si="3"/>
        <v/>
      </c>
      <c r="C259" t="str">
        <f>IF('All Projects Calculations'!U259="","",'All Projects Calculations'!U259)</f>
        <v/>
      </c>
      <c r="F259" t="str">
        <f>IF('All Projects Calculations'!W259=0,"",'All Projects Calculations'!W259)</f>
        <v/>
      </c>
    </row>
    <row r="260" spans="1:6" x14ac:dyDescent="0.25">
      <c r="A260">
        <v>256</v>
      </c>
      <c r="B260" t="str">
        <f t="shared" si="3"/>
        <v/>
      </c>
      <c r="C260" t="str">
        <f>IF('All Projects Calculations'!U260="","",'All Projects Calculations'!U260)</f>
        <v/>
      </c>
      <c r="F260" t="str">
        <f>IF('All Projects Calculations'!W260=0,"",'All Projects Calculations'!W260)</f>
        <v/>
      </c>
    </row>
    <row r="261" spans="1:6" x14ac:dyDescent="0.25">
      <c r="A261">
        <v>257</v>
      </c>
      <c r="B261" t="str">
        <f t="shared" si="3"/>
        <v/>
      </c>
      <c r="C261" t="str">
        <f>IF('All Projects Calculations'!U261="","",'All Projects Calculations'!U261)</f>
        <v/>
      </c>
      <c r="F261" t="str">
        <f>IF('All Projects Calculations'!W261=0,"",'All Projects Calculations'!W261)</f>
        <v/>
      </c>
    </row>
    <row r="262" spans="1:6" x14ac:dyDescent="0.25">
      <c r="A262">
        <v>258</v>
      </c>
      <c r="B262" t="str">
        <f t="shared" ref="B262:B325" si="4">IF(F262="","",A262)</f>
        <v/>
      </c>
      <c r="C262" t="str">
        <f>IF('All Projects Calculations'!U262="","",'All Projects Calculations'!U262)</f>
        <v/>
      </c>
      <c r="F262" t="str">
        <f>IF('All Projects Calculations'!W262=0,"",'All Projects Calculations'!W262)</f>
        <v/>
      </c>
    </row>
    <row r="263" spans="1:6" x14ac:dyDescent="0.25">
      <c r="A263">
        <v>259</v>
      </c>
      <c r="B263" t="str">
        <f t="shared" si="4"/>
        <v/>
      </c>
      <c r="C263" t="str">
        <f>IF('All Projects Calculations'!U263="","",'All Projects Calculations'!U263)</f>
        <v/>
      </c>
      <c r="F263" t="str">
        <f>IF('All Projects Calculations'!W263=0,"",'All Projects Calculations'!W263)</f>
        <v/>
      </c>
    </row>
    <row r="264" spans="1:6" x14ac:dyDescent="0.25">
      <c r="A264">
        <v>260</v>
      </c>
      <c r="B264" t="str">
        <f t="shared" si="4"/>
        <v/>
      </c>
      <c r="C264" t="str">
        <f>IF('All Projects Calculations'!U264="","",'All Projects Calculations'!U264)</f>
        <v/>
      </c>
      <c r="F264" t="str">
        <f>IF('All Projects Calculations'!W264=0,"",'All Projects Calculations'!W264)</f>
        <v/>
      </c>
    </row>
    <row r="265" spans="1:6" x14ac:dyDescent="0.25">
      <c r="A265">
        <v>261</v>
      </c>
      <c r="B265" t="str">
        <f t="shared" si="4"/>
        <v/>
      </c>
      <c r="C265" t="str">
        <f>IF('All Projects Calculations'!U265="","",'All Projects Calculations'!U265)</f>
        <v/>
      </c>
      <c r="F265" t="str">
        <f>IF('All Projects Calculations'!W265=0,"",'All Projects Calculations'!W265)</f>
        <v/>
      </c>
    </row>
    <row r="266" spans="1:6" x14ac:dyDescent="0.25">
      <c r="A266">
        <v>262</v>
      </c>
      <c r="B266" t="str">
        <f t="shared" si="4"/>
        <v/>
      </c>
      <c r="C266" t="str">
        <f>IF('All Projects Calculations'!U266="","",'All Projects Calculations'!U266)</f>
        <v/>
      </c>
      <c r="F266" t="str">
        <f>IF('All Projects Calculations'!W266=0,"",'All Projects Calculations'!W266)</f>
        <v/>
      </c>
    </row>
    <row r="267" spans="1:6" x14ac:dyDescent="0.25">
      <c r="A267">
        <v>263</v>
      </c>
      <c r="B267" t="str">
        <f t="shared" si="4"/>
        <v/>
      </c>
      <c r="C267" t="str">
        <f>IF('All Projects Calculations'!U267="","",'All Projects Calculations'!U267)</f>
        <v/>
      </c>
      <c r="F267" t="str">
        <f>IF('All Projects Calculations'!W267=0,"",'All Projects Calculations'!W267)</f>
        <v/>
      </c>
    </row>
    <row r="268" spans="1:6" x14ac:dyDescent="0.25">
      <c r="A268">
        <v>264</v>
      </c>
      <c r="B268" t="str">
        <f t="shared" si="4"/>
        <v/>
      </c>
      <c r="C268" t="str">
        <f>IF('All Projects Calculations'!U268="","",'All Projects Calculations'!U268)</f>
        <v/>
      </c>
      <c r="F268" t="str">
        <f>IF('All Projects Calculations'!W268=0,"",'All Projects Calculations'!W268)</f>
        <v/>
      </c>
    </row>
    <row r="269" spans="1:6" x14ac:dyDescent="0.25">
      <c r="A269">
        <v>265</v>
      </c>
      <c r="B269" t="str">
        <f t="shared" si="4"/>
        <v/>
      </c>
      <c r="C269" t="str">
        <f>IF('All Projects Calculations'!U269="","",'All Projects Calculations'!U269)</f>
        <v/>
      </c>
      <c r="F269" t="str">
        <f>IF('All Projects Calculations'!W269=0,"",'All Projects Calculations'!W269)</f>
        <v/>
      </c>
    </row>
    <row r="270" spans="1:6" x14ac:dyDescent="0.25">
      <c r="A270">
        <v>266</v>
      </c>
      <c r="B270" t="str">
        <f t="shared" si="4"/>
        <v/>
      </c>
      <c r="C270" t="str">
        <f>IF('All Projects Calculations'!U270="","",'All Projects Calculations'!U270)</f>
        <v/>
      </c>
      <c r="F270" t="str">
        <f>IF('All Projects Calculations'!W270=0,"",'All Projects Calculations'!W270)</f>
        <v/>
      </c>
    </row>
    <row r="271" spans="1:6" x14ac:dyDescent="0.25">
      <c r="A271">
        <v>267</v>
      </c>
      <c r="B271" t="str">
        <f t="shared" si="4"/>
        <v/>
      </c>
      <c r="C271" t="str">
        <f>IF('All Projects Calculations'!U271="","",'All Projects Calculations'!U271)</f>
        <v/>
      </c>
      <c r="F271" t="str">
        <f>IF('All Projects Calculations'!W271=0,"",'All Projects Calculations'!W271)</f>
        <v/>
      </c>
    </row>
    <row r="272" spans="1:6" x14ac:dyDescent="0.25">
      <c r="A272">
        <v>268</v>
      </c>
      <c r="B272" t="str">
        <f t="shared" si="4"/>
        <v/>
      </c>
      <c r="C272" t="str">
        <f>IF('All Projects Calculations'!U272="","",'All Projects Calculations'!U272)</f>
        <v/>
      </c>
      <c r="F272" t="str">
        <f>IF('All Projects Calculations'!W272=0,"",'All Projects Calculations'!W272)</f>
        <v/>
      </c>
    </row>
    <row r="273" spans="1:6" x14ac:dyDescent="0.25">
      <c r="A273">
        <v>269</v>
      </c>
      <c r="B273" t="str">
        <f t="shared" si="4"/>
        <v/>
      </c>
      <c r="C273" t="str">
        <f>IF('All Projects Calculations'!U273="","",'All Projects Calculations'!U273)</f>
        <v/>
      </c>
      <c r="F273" t="str">
        <f>IF('All Projects Calculations'!W273=0,"",'All Projects Calculations'!W273)</f>
        <v/>
      </c>
    </row>
    <row r="274" spans="1:6" x14ac:dyDescent="0.25">
      <c r="A274">
        <v>270</v>
      </c>
      <c r="B274" t="str">
        <f t="shared" si="4"/>
        <v/>
      </c>
      <c r="C274" t="str">
        <f>IF('All Projects Calculations'!U274="","",'All Projects Calculations'!U274)</f>
        <v/>
      </c>
      <c r="F274" t="str">
        <f>IF('All Projects Calculations'!W274=0,"",'All Projects Calculations'!W274)</f>
        <v/>
      </c>
    </row>
    <row r="275" spans="1:6" x14ac:dyDescent="0.25">
      <c r="A275">
        <v>271</v>
      </c>
      <c r="B275" t="str">
        <f t="shared" si="4"/>
        <v/>
      </c>
      <c r="C275" t="str">
        <f>IF('All Projects Calculations'!U275="","",'All Projects Calculations'!U275)</f>
        <v/>
      </c>
      <c r="F275" t="str">
        <f>IF('All Projects Calculations'!W275=0,"",'All Projects Calculations'!W275)</f>
        <v/>
      </c>
    </row>
    <row r="276" spans="1:6" x14ac:dyDescent="0.25">
      <c r="A276">
        <v>272</v>
      </c>
      <c r="B276" t="str">
        <f t="shared" si="4"/>
        <v/>
      </c>
      <c r="C276" t="str">
        <f>IF('All Projects Calculations'!U276="","",'All Projects Calculations'!U276)</f>
        <v/>
      </c>
      <c r="F276" t="str">
        <f>IF('All Projects Calculations'!W276=0,"",'All Projects Calculations'!W276)</f>
        <v/>
      </c>
    </row>
    <row r="277" spans="1:6" x14ac:dyDescent="0.25">
      <c r="A277">
        <v>273</v>
      </c>
      <c r="B277" t="str">
        <f t="shared" si="4"/>
        <v/>
      </c>
      <c r="C277" t="str">
        <f>IF('All Projects Calculations'!U277="","",'All Projects Calculations'!U277)</f>
        <v/>
      </c>
      <c r="F277" t="str">
        <f>IF('All Projects Calculations'!W277=0,"",'All Projects Calculations'!W277)</f>
        <v/>
      </c>
    </row>
    <row r="278" spans="1:6" x14ac:dyDescent="0.25">
      <c r="A278">
        <v>274</v>
      </c>
      <c r="B278" t="str">
        <f t="shared" si="4"/>
        <v/>
      </c>
      <c r="C278" t="str">
        <f>IF('All Projects Calculations'!U278="","",'All Projects Calculations'!U278)</f>
        <v/>
      </c>
      <c r="F278" t="str">
        <f>IF('All Projects Calculations'!W278=0,"",'All Projects Calculations'!W278)</f>
        <v/>
      </c>
    </row>
    <row r="279" spans="1:6" x14ac:dyDescent="0.25">
      <c r="A279">
        <v>275</v>
      </c>
      <c r="B279" t="str">
        <f t="shared" si="4"/>
        <v/>
      </c>
      <c r="C279" t="str">
        <f>IF('All Projects Calculations'!U279="","",'All Projects Calculations'!U279)</f>
        <v/>
      </c>
      <c r="F279" t="str">
        <f>IF('All Projects Calculations'!W279=0,"",'All Projects Calculations'!W279)</f>
        <v/>
      </c>
    </row>
    <row r="280" spans="1:6" x14ac:dyDescent="0.25">
      <c r="A280">
        <v>276</v>
      </c>
      <c r="B280" t="str">
        <f t="shared" si="4"/>
        <v/>
      </c>
      <c r="C280" t="str">
        <f>IF('All Projects Calculations'!U280="","",'All Projects Calculations'!U280)</f>
        <v/>
      </c>
      <c r="F280" t="str">
        <f>IF('All Projects Calculations'!W280=0,"",'All Projects Calculations'!W280)</f>
        <v/>
      </c>
    </row>
    <row r="281" spans="1:6" x14ac:dyDescent="0.25">
      <c r="A281">
        <v>277</v>
      </c>
      <c r="B281" t="str">
        <f t="shared" si="4"/>
        <v/>
      </c>
      <c r="C281" t="str">
        <f>IF('All Projects Calculations'!U281="","",'All Projects Calculations'!U281)</f>
        <v/>
      </c>
      <c r="F281" t="str">
        <f>IF('All Projects Calculations'!W281=0,"",'All Projects Calculations'!W281)</f>
        <v/>
      </c>
    </row>
    <row r="282" spans="1:6" x14ac:dyDescent="0.25">
      <c r="A282">
        <v>278</v>
      </c>
      <c r="B282" t="str">
        <f t="shared" si="4"/>
        <v/>
      </c>
      <c r="C282" t="str">
        <f>IF('All Projects Calculations'!U282="","",'All Projects Calculations'!U282)</f>
        <v/>
      </c>
      <c r="F282" t="str">
        <f>IF('All Projects Calculations'!W282=0,"",'All Projects Calculations'!W282)</f>
        <v/>
      </c>
    </row>
    <row r="283" spans="1:6" x14ac:dyDescent="0.25">
      <c r="A283">
        <v>279</v>
      </c>
      <c r="B283" t="str">
        <f t="shared" si="4"/>
        <v/>
      </c>
      <c r="C283" t="str">
        <f>IF('All Projects Calculations'!U283="","",'All Projects Calculations'!U283)</f>
        <v/>
      </c>
      <c r="F283" t="str">
        <f>IF('All Projects Calculations'!W283=0,"",'All Projects Calculations'!W283)</f>
        <v/>
      </c>
    </row>
    <row r="284" spans="1:6" x14ac:dyDescent="0.25">
      <c r="A284">
        <v>280</v>
      </c>
      <c r="B284" t="str">
        <f t="shared" si="4"/>
        <v/>
      </c>
      <c r="C284" t="str">
        <f>IF('All Projects Calculations'!U284="","",'All Projects Calculations'!U284)</f>
        <v/>
      </c>
      <c r="F284" t="str">
        <f>IF('All Projects Calculations'!W284=0,"",'All Projects Calculations'!W284)</f>
        <v/>
      </c>
    </row>
    <row r="285" spans="1:6" x14ac:dyDescent="0.25">
      <c r="A285">
        <v>281</v>
      </c>
      <c r="B285" t="str">
        <f t="shared" si="4"/>
        <v/>
      </c>
      <c r="C285" t="str">
        <f>IF('All Projects Calculations'!U285="","",'All Projects Calculations'!U285)</f>
        <v/>
      </c>
      <c r="F285" t="str">
        <f>IF('All Projects Calculations'!W285=0,"",'All Projects Calculations'!W285)</f>
        <v/>
      </c>
    </row>
    <row r="286" spans="1:6" x14ac:dyDescent="0.25">
      <c r="A286">
        <v>282</v>
      </c>
      <c r="B286" t="str">
        <f t="shared" si="4"/>
        <v/>
      </c>
      <c r="C286" t="str">
        <f>IF('All Projects Calculations'!U286="","",'All Projects Calculations'!U286)</f>
        <v/>
      </c>
      <c r="F286" t="str">
        <f>IF('All Projects Calculations'!W286=0,"",'All Projects Calculations'!W286)</f>
        <v/>
      </c>
    </row>
    <row r="287" spans="1:6" x14ac:dyDescent="0.25">
      <c r="A287">
        <v>283</v>
      </c>
      <c r="B287" t="str">
        <f t="shared" si="4"/>
        <v/>
      </c>
      <c r="C287" t="str">
        <f>IF('All Projects Calculations'!U287="","",'All Projects Calculations'!U287)</f>
        <v/>
      </c>
      <c r="F287" t="str">
        <f>IF('All Projects Calculations'!W287=0,"",'All Projects Calculations'!W287)</f>
        <v/>
      </c>
    </row>
    <row r="288" spans="1:6" x14ac:dyDescent="0.25">
      <c r="A288">
        <v>284</v>
      </c>
      <c r="B288" t="str">
        <f t="shared" si="4"/>
        <v/>
      </c>
      <c r="C288" t="str">
        <f>IF('All Projects Calculations'!U288="","",'All Projects Calculations'!U288)</f>
        <v/>
      </c>
      <c r="F288" t="str">
        <f>IF('All Projects Calculations'!W288=0,"",'All Projects Calculations'!W288)</f>
        <v/>
      </c>
    </row>
    <row r="289" spans="1:6" x14ac:dyDescent="0.25">
      <c r="A289">
        <v>285</v>
      </c>
      <c r="B289" t="str">
        <f t="shared" si="4"/>
        <v/>
      </c>
      <c r="C289" t="str">
        <f>IF('All Projects Calculations'!U289="","",'All Projects Calculations'!U289)</f>
        <v/>
      </c>
      <c r="F289" t="str">
        <f>IF('All Projects Calculations'!W289=0,"",'All Projects Calculations'!W289)</f>
        <v/>
      </c>
    </row>
    <row r="290" spans="1:6" x14ac:dyDescent="0.25">
      <c r="A290">
        <v>286</v>
      </c>
      <c r="B290" t="str">
        <f t="shared" si="4"/>
        <v/>
      </c>
      <c r="C290" t="str">
        <f>IF('All Projects Calculations'!U290="","",'All Projects Calculations'!U290)</f>
        <v/>
      </c>
      <c r="F290" t="str">
        <f>IF('All Projects Calculations'!W290=0,"",'All Projects Calculations'!W290)</f>
        <v/>
      </c>
    </row>
    <row r="291" spans="1:6" x14ac:dyDescent="0.25">
      <c r="A291">
        <v>287</v>
      </c>
      <c r="B291" t="str">
        <f t="shared" si="4"/>
        <v/>
      </c>
      <c r="C291" t="str">
        <f>IF('All Projects Calculations'!U291="","",'All Projects Calculations'!U291)</f>
        <v/>
      </c>
      <c r="F291" t="str">
        <f>IF('All Projects Calculations'!W291=0,"",'All Projects Calculations'!W291)</f>
        <v/>
      </c>
    </row>
    <row r="292" spans="1:6" x14ac:dyDescent="0.25">
      <c r="A292">
        <v>288</v>
      </c>
      <c r="B292" t="str">
        <f t="shared" si="4"/>
        <v/>
      </c>
      <c r="C292" t="str">
        <f>IF('All Projects Calculations'!U292="","",'All Projects Calculations'!U292)</f>
        <v/>
      </c>
      <c r="F292" t="str">
        <f>IF('All Projects Calculations'!W292=0,"",'All Projects Calculations'!W292)</f>
        <v/>
      </c>
    </row>
    <row r="293" spans="1:6" x14ac:dyDescent="0.25">
      <c r="A293">
        <v>289</v>
      </c>
      <c r="B293" t="str">
        <f t="shared" si="4"/>
        <v/>
      </c>
      <c r="C293" t="str">
        <f>IF('All Projects Calculations'!U293="","",'All Projects Calculations'!U293)</f>
        <v/>
      </c>
      <c r="F293" t="str">
        <f>IF('All Projects Calculations'!W293=0,"",'All Projects Calculations'!W293)</f>
        <v/>
      </c>
    </row>
    <row r="294" spans="1:6" x14ac:dyDescent="0.25">
      <c r="A294">
        <v>290</v>
      </c>
      <c r="B294" t="str">
        <f t="shared" si="4"/>
        <v/>
      </c>
      <c r="C294" t="str">
        <f>IF('All Projects Calculations'!U294="","",'All Projects Calculations'!U294)</f>
        <v/>
      </c>
      <c r="F294" t="str">
        <f>IF('All Projects Calculations'!W294=0,"",'All Projects Calculations'!W294)</f>
        <v/>
      </c>
    </row>
    <row r="295" spans="1:6" x14ac:dyDescent="0.25">
      <c r="A295">
        <v>291</v>
      </c>
      <c r="B295" t="str">
        <f t="shared" si="4"/>
        <v/>
      </c>
      <c r="C295" t="str">
        <f>IF('All Projects Calculations'!U295="","",'All Projects Calculations'!U295)</f>
        <v/>
      </c>
      <c r="F295" t="str">
        <f>IF('All Projects Calculations'!W295=0,"",'All Projects Calculations'!W295)</f>
        <v/>
      </c>
    </row>
    <row r="296" spans="1:6" x14ac:dyDescent="0.25">
      <c r="A296">
        <v>292</v>
      </c>
      <c r="B296" t="str">
        <f t="shared" si="4"/>
        <v/>
      </c>
      <c r="C296" t="str">
        <f>IF('All Projects Calculations'!U296="","",'All Projects Calculations'!U296)</f>
        <v/>
      </c>
      <c r="F296" t="str">
        <f>IF('All Projects Calculations'!W296=0,"",'All Projects Calculations'!W296)</f>
        <v/>
      </c>
    </row>
    <row r="297" spans="1:6" x14ac:dyDescent="0.25">
      <c r="A297">
        <v>293</v>
      </c>
      <c r="B297" t="str">
        <f t="shared" si="4"/>
        <v/>
      </c>
      <c r="C297" t="str">
        <f>IF('All Projects Calculations'!U297="","",'All Projects Calculations'!U297)</f>
        <v/>
      </c>
      <c r="F297" t="str">
        <f>IF('All Projects Calculations'!W297=0,"",'All Projects Calculations'!W297)</f>
        <v/>
      </c>
    </row>
    <row r="298" spans="1:6" x14ac:dyDescent="0.25">
      <c r="A298">
        <v>294</v>
      </c>
      <c r="B298" t="str">
        <f t="shared" si="4"/>
        <v/>
      </c>
      <c r="C298" t="str">
        <f>IF('All Projects Calculations'!U298="","",'All Projects Calculations'!U298)</f>
        <v/>
      </c>
      <c r="F298" t="str">
        <f>IF('All Projects Calculations'!W298=0,"",'All Projects Calculations'!W298)</f>
        <v/>
      </c>
    </row>
    <row r="299" spans="1:6" x14ac:dyDescent="0.25">
      <c r="A299">
        <v>295</v>
      </c>
      <c r="B299" t="str">
        <f t="shared" si="4"/>
        <v/>
      </c>
      <c r="C299" t="str">
        <f>IF('All Projects Calculations'!U299="","",'All Projects Calculations'!U299)</f>
        <v/>
      </c>
      <c r="F299" t="str">
        <f>IF('All Projects Calculations'!W299=0,"",'All Projects Calculations'!W299)</f>
        <v/>
      </c>
    </row>
    <row r="300" spans="1:6" x14ac:dyDescent="0.25">
      <c r="A300">
        <v>296</v>
      </c>
      <c r="B300" t="str">
        <f t="shared" si="4"/>
        <v/>
      </c>
      <c r="C300" t="str">
        <f>IF('All Projects Calculations'!U300="","",'All Projects Calculations'!U300)</f>
        <v/>
      </c>
      <c r="F300" t="str">
        <f>IF('All Projects Calculations'!W300=0,"",'All Projects Calculations'!W300)</f>
        <v/>
      </c>
    </row>
    <row r="301" spans="1:6" x14ac:dyDescent="0.25">
      <c r="A301">
        <v>297</v>
      </c>
      <c r="B301" t="str">
        <f t="shared" si="4"/>
        <v/>
      </c>
      <c r="C301" t="str">
        <f>IF('All Projects Calculations'!U301="","",'All Projects Calculations'!U301)</f>
        <v/>
      </c>
      <c r="F301" t="str">
        <f>IF('All Projects Calculations'!W301=0,"",'All Projects Calculations'!W301)</f>
        <v/>
      </c>
    </row>
    <row r="302" spans="1:6" x14ac:dyDescent="0.25">
      <c r="A302">
        <v>298</v>
      </c>
      <c r="B302" t="str">
        <f t="shared" si="4"/>
        <v/>
      </c>
      <c r="C302" t="str">
        <f>IF('All Projects Calculations'!U302="","",'All Projects Calculations'!U302)</f>
        <v/>
      </c>
      <c r="F302" t="str">
        <f>IF('All Projects Calculations'!W302=0,"",'All Projects Calculations'!W302)</f>
        <v/>
      </c>
    </row>
    <row r="303" spans="1:6" x14ac:dyDescent="0.25">
      <c r="A303">
        <v>299</v>
      </c>
      <c r="B303" t="str">
        <f t="shared" si="4"/>
        <v/>
      </c>
      <c r="C303" t="str">
        <f>IF('All Projects Calculations'!U303="","",'All Projects Calculations'!U303)</f>
        <v/>
      </c>
      <c r="F303" t="str">
        <f>IF('All Projects Calculations'!W303=0,"",'All Projects Calculations'!W303)</f>
        <v/>
      </c>
    </row>
    <row r="304" spans="1:6" x14ac:dyDescent="0.25">
      <c r="A304">
        <v>300</v>
      </c>
      <c r="B304" t="str">
        <f t="shared" si="4"/>
        <v/>
      </c>
      <c r="C304" t="str">
        <f>IF('All Projects Calculations'!U304="","",'All Projects Calculations'!U304)</f>
        <v/>
      </c>
      <c r="F304" t="str">
        <f>IF('All Projects Calculations'!W304=0,"",'All Projects Calculations'!W304)</f>
        <v/>
      </c>
    </row>
    <row r="305" spans="1:6" x14ac:dyDescent="0.25">
      <c r="A305">
        <v>301</v>
      </c>
      <c r="B305" t="str">
        <f t="shared" si="4"/>
        <v/>
      </c>
      <c r="C305" t="str">
        <f>IF('All Projects Calculations'!U305="","",'All Projects Calculations'!U305)</f>
        <v/>
      </c>
      <c r="F305" t="str">
        <f>IF('All Projects Calculations'!W305=0,"",'All Projects Calculations'!W305)</f>
        <v/>
      </c>
    </row>
    <row r="306" spans="1:6" x14ac:dyDescent="0.25">
      <c r="A306">
        <v>302</v>
      </c>
      <c r="B306" t="str">
        <f t="shared" si="4"/>
        <v/>
      </c>
      <c r="C306" t="str">
        <f>IF('All Projects Calculations'!U306="","",'All Projects Calculations'!U306)</f>
        <v/>
      </c>
      <c r="F306" t="str">
        <f>IF('All Projects Calculations'!W306=0,"",'All Projects Calculations'!W306)</f>
        <v/>
      </c>
    </row>
    <row r="307" spans="1:6" x14ac:dyDescent="0.25">
      <c r="A307">
        <v>303</v>
      </c>
      <c r="B307" t="str">
        <f t="shared" si="4"/>
        <v/>
      </c>
      <c r="C307" t="str">
        <f>IF('All Projects Calculations'!U307="","",'All Projects Calculations'!U307)</f>
        <v/>
      </c>
      <c r="F307" t="str">
        <f>IF('All Projects Calculations'!W307=0,"",'All Projects Calculations'!W307)</f>
        <v/>
      </c>
    </row>
    <row r="308" spans="1:6" x14ac:dyDescent="0.25">
      <c r="A308">
        <v>304</v>
      </c>
      <c r="B308" t="str">
        <f t="shared" si="4"/>
        <v/>
      </c>
      <c r="C308" t="str">
        <f>IF('All Projects Calculations'!U308="","",'All Projects Calculations'!U308)</f>
        <v/>
      </c>
      <c r="F308" t="str">
        <f>IF('All Projects Calculations'!W308=0,"",'All Projects Calculations'!W308)</f>
        <v/>
      </c>
    </row>
    <row r="309" spans="1:6" x14ac:dyDescent="0.25">
      <c r="A309">
        <v>305</v>
      </c>
      <c r="B309" t="str">
        <f t="shared" si="4"/>
        <v/>
      </c>
      <c r="C309" t="str">
        <f>IF('All Projects Calculations'!U309="","",'All Projects Calculations'!U309)</f>
        <v/>
      </c>
      <c r="F309" t="str">
        <f>IF('All Projects Calculations'!W309=0,"",'All Projects Calculations'!W309)</f>
        <v/>
      </c>
    </row>
    <row r="310" spans="1:6" x14ac:dyDescent="0.25">
      <c r="A310">
        <v>306</v>
      </c>
      <c r="B310" t="str">
        <f t="shared" si="4"/>
        <v/>
      </c>
      <c r="C310" t="str">
        <f>IF('All Projects Calculations'!U310="","",'All Projects Calculations'!U310)</f>
        <v/>
      </c>
      <c r="F310" t="str">
        <f>IF('All Projects Calculations'!W310=0,"",'All Projects Calculations'!W310)</f>
        <v/>
      </c>
    </row>
    <row r="311" spans="1:6" x14ac:dyDescent="0.25">
      <c r="A311">
        <v>307</v>
      </c>
      <c r="B311" t="str">
        <f t="shared" si="4"/>
        <v/>
      </c>
      <c r="C311" t="str">
        <f>IF('All Projects Calculations'!U311="","",'All Projects Calculations'!U311)</f>
        <v/>
      </c>
      <c r="F311" t="str">
        <f>IF('All Projects Calculations'!W311=0,"",'All Projects Calculations'!W311)</f>
        <v/>
      </c>
    </row>
    <row r="312" spans="1:6" x14ac:dyDescent="0.25">
      <c r="A312">
        <v>308</v>
      </c>
      <c r="B312" t="str">
        <f t="shared" si="4"/>
        <v/>
      </c>
      <c r="C312" t="str">
        <f>IF('All Projects Calculations'!U312="","",'All Projects Calculations'!U312)</f>
        <v/>
      </c>
      <c r="F312" t="str">
        <f>IF('All Projects Calculations'!W312=0,"",'All Projects Calculations'!W312)</f>
        <v/>
      </c>
    </row>
    <row r="313" spans="1:6" x14ac:dyDescent="0.25">
      <c r="A313">
        <v>309</v>
      </c>
      <c r="B313" t="str">
        <f t="shared" si="4"/>
        <v/>
      </c>
      <c r="C313" t="str">
        <f>IF('All Projects Calculations'!U313="","",'All Projects Calculations'!U313)</f>
        <v/>
      </c>
      <c r="F313" t="str">
        <f>IF('All Projects Calculations'!W313=0,"",'All Projects Calculations'!W313)</f>
        <v/>
      </c>
    </row>
    <row r="314" spans="1:6" x14ac:dyDescent="0.25">
      <c r="A314">
        <v>310</v>
      </c>
      <c r="B314" t="str">
        <f t="shared" si="4"/>
        <v/>
      </c>
      <c r="C314" t="str">
        <f>IF('All Projects Calculations'!U314="","",'All Projects Calculations'!U314)</f>
        <v/>
      </c>
      <c r="F314" t="str">
        <f>IF('All Projects Calculations'!W314=0,"",'All Projects Calculations'!W314)</f>
        <v/>
      </c>
    </row>
    <row r="315" spans="1:6" x14ac:dyDescent="0.25">
      <c r="A315">
        <v>311</v>
      </c>
      <c r="B315" t="str">
        <f t="shared" si="4"/>
        <v/>
      </c>
      <c r="C315" t="str">
        <f>IF('All Projects Calculations'!U315="","",'All Projects Calculations'!U315)</f>
        <v/>
      </c>
      <c r="F315" t="str">
        <f>IF('All Projects Calculations'!W315=0,"",'All Projects Calculations'!W315)</f>
        <v/>
      </c>
    </row>
    <row r="316" spans="1:6" x14ac:dyDescent="0.25">
      <c r="A316">
        <v>312</v>
      </c>
      <c r="B316" t="str">
        <f t="shared" si="4"/>
        <v/>
      </c>
      <c r="C316" t="str">
        <f>IF('All Projects Calculations'!U316="","",'All Projects Calculations'!U316)</f>
        <v/>
      </c>
      <c r="F316" t="str">
        <f>IF('All Projects Calculations'!W316=0,"",'All Projects Calculations'!W316)</f>
        <v/>
      </c>
    </row>
    <row r="317" spans="1:6" x14ac:dyDescent="0.25">
      <c r="A317">
        <v>313</v>
      </c>
      <c r="B317" t="str">
        <f t="shared" si="4"/>
        <v/>
      </c>
      <c r="C317" t="str">
        <f>IF('All Projects Calculations'!U317="","",'All Projects Calculations'!U317)</f>
        <v/>
      </c>
      <c r="F317" t="str">
        <f>IF('All Projects Calculations'!W317=0,"",'All Projects Calculations'!W317)</f>
        <v/>
      </c>
    </row>
    <row r="318" spans="1:6" x14ac:dyDescent="0.25">
      <c r="A318">
        <v>314</v>
      </c>
      <c r="B318" t="str">
        <f t="shared" si="4"/>
        <v/>
      </c>
      <c r="C318" t="str">
        <f>IF('All Projects Calculations'!U318="","",'All Projects Calculations'!U318)</f>
        <v/>
      </c>
      <c r="F318" t="str">
        <f>IF('All Projects Calculations'!W318=0,"",'All Projects Calculations'!W318)</f>
        <v/>
      </c>
    </row>
    <row r="319" spans="1:6" x14ac:dyDescent="0.25">
      <c r="A319">
        <v>315</v>
      </c>
      <c r="B319" t="str">
        <f t="shared" si="4"/>
        <v/>
      </c>
      <c r="C319" t="str">
        <f>IF('All Projects Calculations'!U319="","",'All Projects Calculations'!U319)</f>
        <v/>
      </c>
      <c r="F319" t="str">
        <f>IF('All Projects Calculations'!W319=0,"",'All Projects Calculations'!W319)</f>
        <v/>
      </c>
    </row>
    <row r="320" spans="1:6" x14ac:dyDescent="0.25">
      <c r="A320">
        <v>316</v>
      </c>
      <c r="B320" t="str">
        <f t="shared" si="4"/>
        <v/>
      </c>
      <c r="C320" t="str">
        <f>IF('All Projects Calculations'!U320="","",'All Projects Calculations'!U320)</f>
        <v/>
      </c>
      <c r="F320" t="str">
        <f>IF('All Projects Calculations'!W320=0,"",'All Projects Calculations'!W320)</f>
        <v/>
      </c>
    </row>
    <row r="321" spans="1:6" x14ac:dyDescent="0.25">
      <c r="A321">
        <v>317</v>
      </c>
      <c r="B321" t="str">
        <f t="shared" si="4"/>
        <v/>
      </c>
      <c r="C321" t="str">
        <f>IF('All Projects Calculations'!U321="","",'All Projects Calculations'!U321)</f>
        <v/>
      </c>
      <c r="F321" t="str">
        <f>IF('All Projects Calculations'!W321=0,"",'All Projects Calculations'!W321)</f>
        <v/>
      </c>
    </row>
    <row r="322" spans="1:6" x14ac:dyDescent="0.25">
      <c r="A322">
        <v>318</v>
      </c>
      <c r="B322" t="str">
        <f t="shared" si="4"/>
        <v/>
      </c>
      <c r="C322" t="str">
        <f>IF('All Projects Calculations'!U322="","",'All Projects Calculations'!U322)</f>
        <v/>
      </c>
      <c r="F322" t="str">
        <f>IF('All Projects Calculations'!W322=0,"",'All Projects Calculations'!W322)</f>
        <v/>
      </c>
    </row>
    <row r="323" spans="1:6" x14ac:dyDescent="0.25">
      <c r="A323">
        <v>319</v>
      </c>
      <c r="B323" t="str">
        <f t="shared" si="4"/>
        <v/>
      </c>
      <c r="C323" t="str">
        <f>IF('All Projects Calculations'!U323="","",'All Projects Calculations'!U323)</f>
        <v/>
      </c>
      <c r="F323" t="str">
        <f>IF('All Projects Calculations'!W323=0,"",'All Projects Calculations'!W323)</f>
        <v/>
      </c>
    </row>
    <row r="324" spans="1:6" x14ac:dyDescent="0.25">
      <c r="A324">
        <v>320</v>
      </c>
      <c r="B324" t="str">
        <f t="shared" si="4"/>
        <v/>
      </c>
      <c r="C324" t="str">
        <f>IF('All Projects Calculations'!U324="","",'All Projects Calculations'!U324)</f>
        <v/>
      </c>
      <c r="F324" t="str">
        <f>IF('All Projects Calculations'!W324=0,"",'All Projects Calculations'!W324)</f>
        <v/>
      </c>
    </row>
    <row r="325" spans="1:6" x14ac:dyDescent="0.25">
      <c r="A325">
        <v>321</v>
      </c>
      <c r="B325" t="str">
        <f t="shared" si="4"/>
        <v/>
      </c>
      <c r="C325" t="str">
        <f>IF('All Projects Calculations'!U325="","",'All Projects Calculations'!U325)</f>
        <v/>
      </c>
      <c r="F325" t="str">
        <f>IF('All Projects Calculations'!W325=0,"",'All Projects Calculations'!W325)</f>
        <v/>
      </c>
    </row>
    <row r="326" spans="1:6" x14ac:dyDescent="0.25">
      <c r="A326">
        <v>322</v>
      </c>
      <c r="B326" t="str">
        <f t="shared" ref="B326:B389" si="5">IF(F326="","",A326)</f>
        <v/>
      </c>
      <c r="C326" t="str">
        <f>IF('All Projects Calculations'!U326="","",'All Projects Calculations'!U326)</f>
        <v/>
      </c>
      <c r="F326" t="str">
        <f>IF('All Projects Calculations'!W326=0,"",'All Projects Calculations'!W326)</f>
        <v/>
      </c>
    </row>
    <row r="327" spans="1:6" x14ac:dyDescent="0.25">
      <c r="A327">
        <v>323</v>
      </c>
      <c r="B327" t="str">
        <f t="shared" si="5"/>
        <v/>
      </c>
      <c r="C327" t="str">
        <f>IF('All Projects Calculations'!U327="","",'All Projects Calculations'!U327)</f>
        <v/>
      </c>
      <c r="F327" t="str">
        <f>IF('All Projects Calculations'!W327=0,"",'All Projects Calculations'!W327)</f>
        <v/>
      </c>
    </row>
    <row r="328" spans="1:6" x14ac:dyDescent="0.25">
      <c r="A328">
        <v>324</v>
      </c>
      <c r="B328" t="str">
        <f t="shared" si="5"/>
        <v/>
      </c>
      <c r="C328" t="str">
        <f>IF('All Projects Calculations'!U328="","",'All Projects Calculations'!U328)</f>
        <v/>
      </c>
      <c r="F328" t="str">
        <f>IF('All Projects Calculations'!W328=0,"",'All Projects Calculations'!W328)</f>
        <v/>
      </c>
    </row>
    <row r="329" spans="1:6" x14ac:dyDescent="0.25">
      <c r="A329">
        <v>325</v>
      </c>
      <c r="B329" t="str">
        <f t="shared" si="5"/>
        <v/>
      </c>
      <c r="C329" t="str">
        <f>IF('All Projects Calculations'!U329="","",'All Projects Calculations'!U329)</f>
        <v/>
      </c>
      <c r="F329" t="str">
        <f>IF('All Projects Calculations'!W329=0,"",'All Projects Calculations'!W329)</f>
        <v/>
      </c>
    </row>
    <row r="330" spans="1:6" x14ac:dyDescent="0.25">
      <c r="A330">
        <v>326</v>
      </c>
      <c r="B330" t="str">
        <f t="shared" si="5"/>
        <v/>
      </c>
      <c r="C330" t="str">
        <f>IF('All Projects Calculations'!U330="","",'All Projects Calculations'!U330)</f>
        <v/>
      </c>
      <c r="F330" t="str">
        <f>IF('All Projects Calculations'!W330=0,"",'All Projects Calculations'!W330)</f>
        <v/>
      </c>
    </row>
    <row r="331" spans="1:6" x14ac:dyDescent="0.25">
      <c r="A331">
        <v>327</v>
      </c>
      <c r="B331" t="str">
        <f t="shared" si="5"/>
        <v/>
      </c>
      <c r="C331" t="str">
        <f>IF('All Projects Calculations'!U331="","",'All Projects Calculations'!U331)</f>
        <v/>
      </c>
      <c r="F331" t="str">
        <f>IF('All Projects Calculations'!W331=0,"",'All Projects Calculations'!W331)</f>
        <v/>
      </c>
    </row>
    <row r="332" spans="1:6" x14ac:dyDescent="0.25">
      <c r="A332">
        <v>328</v>
      </c>
      <c r="B332" t="str">
        <f t="shared" si="5"/>
        <v/>
      </c>
      <c r="C332" t="str">
        <f>IF('All Projects Calculations'!U332="","",'All Projects Calculations'!U332)</f>
        <v/>
      </c>
      <c r="F332" t="str">
        <f>IF('All Projects Calculations'!W332=0,"",'All Projects Calculations'!W332)</f>
        <v/>
      </c>
    </row>
    <row r="333" spans="1:6" x14ac:dyDescent="0.25">
      <c r="A333">
        <v>329</v>
      </c>
      <c r="B333" t="str">
        <f t="shared" si="5"/>
        <v/>
      </c>
      <c r="C333" t="str">
        <f>IF('All Projects Calculations'!U333="","",'All Projects Calculations'!U333)</f>
        <v/>
      </c>
      <c r="F333" t="str">
        <f>IF('All Projects Calculations'!W333=0,"",'All Projects Calculations'!W333)</f>
        <v/>
      </c>
    </row>
    <row r="334" spans="1:6" x14ac:dyDescent="0.25">
      <c r="A334">
        <v>330</v>
      </c>
      <c r="B334" t="str">
        <f t="shared" si="5"/>
        <v/>
      </c>
      <c r="C334" t="str">
        <f>IF('All Projects Calculations'!U334="","",'All Projects Calculations'!U334)</f>
        <v/>
      </c>
      <c r="F334" t="str">
        <f>IF('All Projects Calculations'!W334=0,"",'All Projects Calculations'!W334)</f>
        <v/>
      </c>
    </row>
    <row r="335" spans="1:6" x14ac:dyDescent="0.25">
      <c r="A335">
        <v>331</v>
      </c>
      <c r="B335" t="str">
        <f t="shared" si="5"/>
        <v/>
      </c>
      <c r="C335" t="str">
        <f>IF('All Projects Calculations'!U335="","",'All Projects Calculations'!U335)</f>
        <v/>
      </c>
      <c r="F335" t="str">
        <f>IF('All Projects Calculations'!W335=0,"",'All Projects Calculations'!W335)</f>
        <v/>
      </c>
    </row>
    <row r="336" spans="1:6" x14ac:dyDescent="0.25">
      <c r="A336">
        <v>332</v>
      </c>
      <c r="B336" t="str">
        <f t="shared" si="5"/>
        <v/>
      </c>
      <c r="C336" t="str">
        <f>IF('All Projects Calculations'!U336="","",'All Projects Calculations'!U336)</f>
        <v/>
      </c>
      <c r="F336" t="str">
        <f>IF('All Projects Calculations'!W336=0,"",'All Projects Calculations'!W336)</f>
        <v/>
      </c>
    </row>
    <row r="337" spans="1:6" x14ac:dyDescent="0.25">
      <c r="A337">
        <v>333</v>
      </c>
      <c r="B337" t="str">
        <f t="shared" si="5"/>
        <v/>
      </c>
      <c r="C337" t="str">
        <f>IF('All Projects Calculations'!U337="","",'All Projects Calculations'!U337)</f>
        <v/>
      </c>
      <c r="F337" t="str">
        <f>IF('All Projects Calculations'!W337=0,"",'All Projects Calculations'!W337)</f>
        <v/>
      </c>
    </row>
    <row r="338" spans="1:6" x14ac:dyDescent="0.25">
      <c r="A338">
        <v>334</v>
      </c>
      <c r="B338" t="str">
        <f t="shared" si="5"/>
        <v/>
      </c>
      <c r="C338" t="str">
        <f>IF('All Projects Calculations'!U338="","",'All Projects Calculations'!U338)</f>
        <v/>
      </c>
      <c r="F338" t="str">
        <f>IF('All Projects Calculations'!W338=0,"",'All Projects Calculations'!W338)</f>
        <v/>
      </c>
    </row>
    <row r="339" spans="1:6" x14ac:dyDescent="0.25">
      <c r="A339">
        <v>335</v>
      </c>
      <c r="B339" t="str">
        <f t="shared" si="5"/>
        <v/>
      </c>
      <c r="C339" t="str">
        <f>IF('All Projects Calculations'!U339="","",'All Projects Calculations'!U339)</f>
        <v/>
      </c>
      <c r="F339" t="str">
        <f>IF('All Projects Calculations'!W339=0,"",'All Projects Calculations'!W339)</f>
        <v/>
      </c>
    </row>
    <row r="340" spans="1:6" x14ac:dyDescent="0.25">
      <c r="A340">
        <v>336</v>
      </c>
      <c r="B340" t="str">
        <f t="shared" si="5"/>
        <v/>
      </c>
      <c r="C340" t="str">
        <f>IF('All Projects Calculations'!U340="","",'All Projects Calculations'!U340)</f>
        <v/>
      </c>
      <c r="F340" t="str">
        <f>IF('All Projects Calculations'!W340=0,"",'All Projects Calculations'!W340)</f>
        <v/>
      </c>
    </row>
    <row r="341" spans="1:6" x14ac:dyDescent="0.25">
      <c r="A341">
        <v>337</v>
      </c>
      <c r="B341" t="str">
        <f t="shared" si="5"/>
        <v/>
      </c>
      <c r="C341" t="str">
        <f>IF('All Projects Calculations'!U341="","",'All Projects Calculations'!U341)</f>
        <v/>
      </c>
      <c r="F341" t="str">
        <f>IF('All Projects Calculations'!W341=0,"",'All Projects Calculations'!W341)</f>
        <v/>
      </c>
    </row>
    <row r="342" spans="1:6" x14ac:dyDescent="0.25">
      <c r="A342">
        <v>338</v>
      </c>
      <c r="B342" t="str">
        <f t="shared" si="5"/>
        <v/>
      </c>
      <c r="C342" t="str">
        <f>IF('All Projects Calculations'!U342="","",'All Projects Calculations'!U342)</f>
        <v/>
      </c>
      <c r="F342" t="str">
        <f>IF('All Projects Calculations'!W342=0,"",'All Projects Calculations'!W342)</f>
        <v/>
      </c>
    </row>
    <row r="343" spans="1:6" x14ac:dyDescent="0.25">
      <c r="A343">
        <v>339</v>
      </c>
      <c r="B343" t="str">
        <f t="shared" si="5"/>
        <v/>
      </c>
      <c r="C343" t="str">
        <f>IF('All Projects Calculations'!U343="","",'All Projects Calculations'!U343)</f>
        <v/>
      </c>
      <c r="F343" t="str">
        <f>IF('All Projects Calculations'!W343=0,"",'All Projects Calculations'!W343)</f>
        <v/>
      </c>
    </row>
    <row r="344" spans="1:6" x14ac:dyDescent="0.25">
      <c r="A344">
        <v>340</v>
      </c>
      <c r="B344" t="str">
        <f t="shared" si="5"/>
        <v/>
      </c>
      <c r="C344" t="str">
        <f>IF('All Projects Calculations'!U344="","",'All Projects Calculations'!U344)</f>
        <v/>
      </c>
      <c r="F344" t="str">
        <f>IF('All Projects Calculations'!W344=0,"",'All Projects Calculations'!W344)</f>
        <v/>
      </c>
    </row>
    <row r="345" spans="1:6" x14ac:dyDescent="0.25">
      <c r="A345">
        <v>341</v>
      </c>
      <c r="B345" t="str">
        <f t="shared" si="5"/>
        <v/>
      </c>
      <c r="C345" t="str">
        <f>IF('All Projects Calculations'!U345="","",'All Projects Calculations'!U345)</f>
        <v/>
      </c>
      <c r="F345" t="str">
        <f>IF('All Projects Calculations'!W345=0,"",'All Projects Calculations'!W345)</f>
        <v/>
      </c>
    </row>
    <row r="346" spans="1:6" x14ac:dyDescent="0.25">
      <c r="A346">
        <v>342</v>
      </c>
      <c r="B346" t="str">
        <f t="shared" si="5"/>
        <v/>
      </c>
      <c r="C346" t="str">
        <f>IF('All Projects Calculations'!U346="","",'All Projects Calculations'!U346)</f>
        <v/>
      </c>
      <c r="F346" t="str">
        <f>IF('All Projects Calculations'!W346=0,"",'All Projects Calculations'!W346)</f>
        <v/>
      </c>
    </row>
    <row r="347" spans="1:6" x14ac:dyDescent="0.25">
      <c r="A347">
        <v>343</v>
      </c>
      <c r="B347" t="str">
        <f t="shared" si="5"/>
        <v/>
      </c>
      <c r="C347" t="str">
        <f>IF('All Projects Calculations'!U347="","",'All Projects Calculations'!U347)</f>
        <v/>
      </c>
      <c r="F347" t="str">
        <f>IF('All Projects Calculations'!W347=0,"",'All Projects Calculations'!W347)</f>
        <v/>
      </c>
    </row>
    <row r="348" spans="1:6" x14ac:dyDescent="0.25">
      <c r="A348">
        <v>344</v>
      </c>
      <c r="B348" t="str">
        <f t="shared" si="5"/>
        <v/>
      </c>
      <c r="C348" t="str">
        <f>IF('All Projects Calculations'!U348="","",'All Projects Calculations'!U348)</f>
        <v/>
      </c>
      <c r="F348" t="str">
        <f>IF('All Projects Calculations'!W348=0,"",'All Projects Calculations'!W348)</f>
        <v/>
      </c>
    </row>
    <row r="349" spans="1:6" x14ac:dyDescent="0.25">
      <c r="A349">
        <v>345</v>
      </c>
      <c r="B349" t="str">
        <f t="shared" si="5"/>
        <v/>
      </c>
      <c r="C349" t="str">
        <f>IF('All Projects Calculations'!U349="","",'All Projects Calculations'!U349)</f>
        <v/>
      </c>
      <c r="F349" t="str">
        <f>IF('All Projects Calculations'!W349=0,"",'All Projects Calculations'!W349)</f>
        <v/>
      </c>
    </row>
    <row r="350" spans="1:6" x14ac:dyDescent="0.25">
      <c r="A350">
        <v>346</v>
      </c>
      <c r="B350" t="str">
        <f t="shared" si="5"/>
        <v/>
      </c>
      <c r="C350" t="str">
        <f>IF('All Projects Calculations'!U350="","",'All Projects Calculations'!U350)</f>
        <v/>
      </c>
      <c r="F350" t="str">
        <f>IF('All Projects Calculations'!W350=0,"",'All Projects Calculations'!W350)</f>
        <v/>
      </c>
    </row>
    <row r="351" spans="1:6" x14ac:dyDescent="0.25">
      <c r="A351">
        <v>347</v>
      </c>
      <c r="B351" t="str">
        <f t="shared" si="5"/>
        <v/>
      </c>
      <c r="C351" t="str">
        <f>IF('All Projects Calculations'!U351="","",'All Projects Calculations'!U351)</f>
        <v/>
      </c>
      <c r="F351" t="str">
        <f>IF('All Projects Calculations'!W351=0,"",'All Projects Calculations'!W351)</f>
        <v/>
      </c>
    </row>
    <row r="352" spans="1:6" x14ac:dyDescent="0.25">
      <c r="A352">
        <v>348</v>
      </c>
      <c r="B352" t="str">
        <f t="shared" si="5"/>
        <v/>
      </c>
      <c r="C352" t="str">
        <f>IF('All Projects Calculations'!U352="","",'All Projects Calculations'!U352)</f>
        <v/>
      </c>
      <c r="F352" t="str">
        <f>IF('All Projects Calculations'!W352=0,"",'All Projects Calculations'!W352)</f>
        <v/>
      </c>
    </row>
    <row r="353" spans="1:6" x14ac:dyDescent="0.25">
      <c r="A353">
        <v>349</v>
      </c>
      <c r="B353" t="str">
        <f t="shared" si="5"/>
        <v/>
      </c>
      <c r="C353" t="str">
        <f>IF('All Projects Calculations'!U353="","",'All Projects Calculations'!U353)</f>
        <v/>
      </c>
      <c r="F353" t="str">
        <f>IF('All Projects Calculations'!W353=0,"",'All Projects Calculations'!W353)</f>
        <v/>
      </c>
    </row>
    <row r="354" spans="1:6" x14ac:dyDescent="0.25">
      <c r="A354">
        <v>350</v>
      </c>
      <c r="B354" t="str">
        <f t="shared" si="5"/>
        <v/>
      </c>
      <c r="C354" t="str">
        <f>IF('All Projects Calculations'!U354="","",'All Projects Calculations'!U354)</f>
        <v/>
      </c>
      <c r="F354" t="str">
        <f>IF('All Projects Calculations'!W354=0,"",'All Projects Calculations'!W354)</f>
        <v/>
      </c>
    </row>
    <row r="355" spans="1:6" x14ac:dyDescent="0.25">
      <c r="A355">
        <v>351</v>
      </c>
      <c r="B355" t="str">
        <f t="shared" si="5"/>
        <v/>
      </c>
      <c r="C355" t="str">
        <f>IF('All Projects Calculations'!U355="","",'All Projects Calculations'!U355)</f>
        <v/>
      </c>
      <c r="F355" t="str">
        <f>IF('All Projects Calculations'!W355=0,"",'All Projects Calculations'!W355)</f>
        <v/>
      </c>
    </row>
    <row r="356" spans="1:6" x14ac:dyDescent="0.25">
      <c r="A356">
        <v>352</v>
      </c>
      <c r="B356" t="str">
        <f t="shared" si="5"/>
        <v/>
      </c>
      <c r="C356" t="str">
        <f>IF('All Projects Calculations'!U356="","",'All Projects Calculations'!U356)</f>
        <v/>
      </c>
      <c r="F356" t="str">
        <f>IF('All Projects Calculations'!W356=0,"",'All Projects Calculations'!W356)</f>
        <v/>
      </c>
    </row>
    <row r="357" spans="1:6" x14ac:dyDescent="0.25">
      <c r="A357">
        <v>353</v>
      </c>
      <c r="B357" t="str">
        <f t="shared" si="5"/>
        <v/>
      </c>
      <c r="C357" t="str">
        <f>IF('All Projects Calculations'!U357="","",'All Projects Calculations'!U357)</f>
        <v/>
      </c>
      <c r="F357" t="str">
        <f>IF('All Projects Calculations'!W357=0,"",'All Projects Calculations'!W357)</f>
        <v/>
      </c>
    </row>
    <row r="358" spans="1:6" x14ac:dyDescent="0.25">
      <c r="A358">
        <v>354</v>
      </c>
      <c r="B358" t="str">
        <f t="shared" si="5"/>
        <v/>
      </c>
      <c r="C358" t="str">
        <f>IF('All Projects Calculations'!U358="","",'All Projects Calculations'!U358)</f>
        <v/>
      </c>
      <c r="F358" t="str">
        <f>IF('All Projects Calculations'!W358=0,"",'All Projects Calculations'!W358)</f>
        <v/>
      </c>
    </row>
    <row r="359" spans="1:6" x14ac:dyDescent="0.25">
      <c r="A359">
        <v>355</v>
      </c>
      <c r="B359" t="str">
        <f t="shared" si="5"/>
        <v/>
      </c>
      <c r="C359" t="str">
        <f>IF('All Projects Calculations'!U359="","",'All Projects Calculations'!U359)</f>
        <v/>
      </c>
      <c r="F359" t="str">
        <f>IF('All Projects Calculations'!W359=0,"",'All Projects Calculations'!W359)</f>
        <v/>
      </c>
    </row>
    <row r="360" spans="1:6" x14ac:dyDescent="0.25">
      <c r="A360">
        <v>356</v>
      </c>
      <c r="B360" t="str">
        <f t="shared" si="5"/>
        <v/>
      </c>
      <c r="C360" t="str">
        <f>IF('All Projects Calculations'!U360="","",'All Projects Calculations'!U360)</f>
        <v/>
      </c>
      <c r="F360" t="str">
        <f>IF('All Projects Calculations'!W360=0,"",'All Projects Calculations'!W360)</f>
        <v/>
      </c>
    </row>
    <row r="361" spans="1:6" x14ac:dyDescent="0.25">
      <c r="A361">
        <v>357</v>
      </c>
      <c r="B361" t="str">
        <f t="shared" si="5"/>
        <v/>
      </c>
      <c r="C361" t="str">
        <f>IF('All Projects Calculations'!U361="","",'All Projects Calculations'!U361)</f>
        <v/>
      </c>
      <c r="F361" t="str">
        <f>IF('All Projects Calculations'!W361=0,"",'All Projects Calculations'!W361)</f>
        <v/>
      </c>
    </row>
    <row r="362" spans="1:6" x14ac:dyDescent="0.25">
      <c r="A362">
        <v>358</v>
      </c>
      <c r="B362" t="str">
        <f t="shared" si="5"/>
        <v/>
      </c>
      <c r="C362" t="str">
        <f>IF('All Projects Calculations'!U362="","",'All Projects Calculations'!U362)</f>
        <v/>
      </c>
      <c r="F362" t="str">
        <f>IF('All Projects Calculations'!W362=0,"",'All Projects Calculations'!W362)</f>
        <v/>
      </c>
    </row>
    <row r="363" spans="1:6" x14ac:dyDescent="0.25">
      <c r="A363">
        <v>359</v>
      </c>
      <c r="B363" t="str">
        <f t="shared" si="5"/>
        <v/>
      </c>
      <c r="C363" t="str">
        <f>IF('All Projects Calculations'!U363="","",'All Projects Calculations'!U363)</f>
        <v/>
      </c>
      <c r="F363" t="str">
        <f>IF('All Projects Calculations'!W363=0,"",'All Projects Calculations'!W363)</f>
        <v/>
      </c>
    </row>
    <row r="364" spans="1:6" x14ac:dyDescent="0.25">
      <c r="A364">
        <v>360</v>
      </c>
      <c r="B364" t="str">
        <f t="shared" si="5"/>
        <v/>
      </c>
      <c r="C364" t="str">
        <f>IF('All Projects Calculations'!U364="","",'All Projects Calculations'!U364)</f>
        <v/>
      </c>
      <c r="F364" t="str">
        <f>IF('All Projects Calculations'!W364=0,"",'All Projects Calculations'!W364)</f>
        <v/>
      </c>
    </row>
    <row r="365" spans="1:6" x14ac:dyDescent="0.25">
      <c r="A365">
        <v>361</v>
      </c>
      <c r="B365" t="str">
        <f t="shared" si="5"/>
        <v/>
      </c>
      <c r="C365" t="str">
        <f>IF('All Projects Calculations'!U365="","",'All Projects Calculations'!U365)</f>
        <v/>
      </c>
      <c r="F365" t="str">
        <f>IF('All Projects Calculations'!W365=0,"",'All Projects Calculations'!W365)</f>
        <v/>
      </c>
    </row>
    <row r="366" spans="1:6" x14ac:dyDescent="0.25">
      <c r="A366">
        <v>362</v>
      </c>
      <c r="B366" t="str">
        <f t="shared" si="5"/>
        <v/>
      </c>
      <c r="C366" t="str">
        <f>IF('All Projects Calculations'!U366="","",'All Projects Calculations'!U366)</f>
        <v/>
      </c>
      <c r="F366" t="str">
        <f>IF('All Projects Calculations'!W366=0,"",'All Projects Calculations'!W366)</f>
        <v/>
      </c>
    </row>
    <row r="367" spans="1:6" x14ac:dyDescent="0.25">
      <c r="A367">
        <v>363</v>
      </c>
      <c r="B367" t="str">
        <f t="shared" si="5"/>
        <v/>
      </c>
      <c r="C367" t="str">
        <f>IF('All Projects Calculations'!U367="","",'All Projects Calculations'!U367)</f>
        <v/>
      </c>
      <c r="F367" t="str">
        <f>IF('All Projects Calculations'!W367=0,"",'All Projects Calculations'!W367)</f>
        <v/>
      </c>
    </row>
    <row r="368" spans="1:6" x14ac:dyDescent="0.25">
      <c r="A368">
        <v>364</v>
      </c>
      <c r="B368" t="str">
        <f t="shared" si="5"/>
        <v/>
      </c>
      <c r="C368" t="str">
        <f>IF('All Projects Calculations'!U368="","",'All Projects Calculations'!U368)</f>
        <v/>
      </c>
      <c r="F368" t="str">
        <f>IF('All Projects Calculations'!W368=0,"",'All Projects Calculations'!W368)</f>
        <v/>
      </c>
    </row>
    <row r="369" spans="1:6" x14ac:dyDescent="0.25">
      <c r="A369">
        <v>365</v>
      </c>
      <c r="B369" t="str">
        <f t="shared" si="5"/>
        <v/>
      </c>
      <c r="C369" t="str">
        <f>IF('All Projects Calculations'!U369="","",'All Projects Calculations'!U369)</f>
        <v/>
      </c>
      <c r="F369" t="str">
        <f>IF('All Projects Calculations'!W369=0,"",'All Projects Calculations'!W369)</f>
        <v/>
      </c>
    </row>
    <row r="370" spans="1:6" x14ac:dyDescent="0.25">
      <c r="A370">
        <v>366</v>
      </c>
      <c r="B370" t="str">
        <f t="shared" si="5"/>
        <v/>
      </c>
      <c r="C370" t="str">
        <f>IF('All Projects Calculations'!U370="","",'All Projects Calculations'!U370)</f>
        <v/>
      </c>
      <c r="F370" t="str">
        <f>IF('All Projects Calculations'!W370=0,"",'All Projects Calculations'!W370)</f>
        <v/>
      </c>
    </row>
    <row r="371" spans="1:6" x14ac:dyDescent="0.25">
      <c r="A371">
        <v>367</v>
      </c>
      <c r="B371" t="str">
        <f t="shared" si="5"/>
        <v/>
      </c>
      <c r="C371" t="str">
        <f>IF('All Projects Calculations'!U371="","",'All Projects Calculations'!U371)</f>
        <v/>
      </c>
      <c r="F371" t="str">
        <f>IF('All Projects Calculations'!W371=0,"",'All Projects Calculations'!W371)</f>
        <v/>
      </c>
    </row>
    <row r="372" spans="1:6" x14ac:dyDescent="0.25">
      <c r="A372">
        <v>368</v>
      </c>
      <c r="B372" t="str">
        <f t="shared" si="5"/>
        <v/>
      </c>
      <c r="C372" t="str">
        <f>IF('All Projects Calculations'!U372="","",'All Projects Calculations'!U372)</f>
        <v/>
      </c>
      <c r="F372" t="str">
        <f>IF('All Projects Calculations'!W372=0,"",'All Projects Calculations'!W372)</f>
        <v/>
      </c>
    </row>
    <row r="373" spans="1:6" x14ac:dyDescent="0.25">
      <c r="A373">
        <v>369</v>
      </c>
      <c r="B373" t="str">
        <f t="shared" si="5"/>
        <v/>
      </c>
      <c r="C373" t="str">
        <f>IF('All Projects Calculations'!U373="","",'All Projects Calculations'!U373)</f>
        <v/>
      </c>
      <c r="F373" t="str">
        <f>IF('All Projects Calculations'!W373=0,"",'All Projects Calculations'!W373)</f>
        <v/>
      </c>
    </row>
    <row r="374" spans="1:6" x14ac:dyDescent="0.25">
      <c r="A374">
        <v>370</v>
      </c>
      <c r="B374" t="str">
        <f t="shared" si="5"/>
        <v/>
      </c>
      <c r="C374" t="str">
        <f>IF('All Projects Calculations'!U374="","",'All Projects Calculations'!U374)</f>
        <v/>
      </c>
      <c r="F374" t="str">
        <f>IF('All Projects Calculations'!W374=0,"",'All Projects Calculations'!W374)</f>
        <v/>
      </c>
    </row>
    <row r="375" spans="1:6" x14ac:dyDescent="0.25">
      <c r="A375">
        <v>371</v>
      </c>
      <c r="B375" t="str">
        <f t="shared" si="5"/>
        <v/>
      </c>
      <c r="C375" t="str">
        <f>IF('All Projects Calculations'!U375="","",'All Projects Calculations'!U375)</f>
        <v/>
      </c>
      <c r="F375" t="str">
        <f>IF('All Projects Calculations'!W375=0,"",'All Projects Calculations'!W375)</f>
        <v/>
      </c>
    </row>
    <row r="376" spans="1:6" x14ac:dyDescent="0.25">
      <c r="A376">
        <v>372</v>
      </c>
      <c r="B376" t="str">
        <f t="shared" si="5"/>
        <v/>
      </c>
      <c r="C376" t="str">
        <f>IF('All Projects Calculations'!U376="","",'All Projects Calculations'!U376)</f>
        <v/>
      </c>
      <c r="F376" t="str">
        <f>IF('All Projects Calculations'!W376=0,"",'All Projects Calculations'!W376)</f>
        <v/>
      </c>
    </row>
    <row r="377" spans="1:6" x14ac:dyDescent="0.25">
      <c r="A377">
        <v>373</v>
      </c>
      <c r="B377" t="str">
        <f t="shared" si="5"/>
        <v/>
      </c>
      <c r="C377" t="str">
        <f>IF('All Projects Calculations'!U377="","",'All Projects Calculations'!U377)</f>
        <v/>
      </c>
      <c r="F377" t="str">
        <f>IF('All Projects Calculations'!W377=0,"",'All Projects Calculations'!W377)</f>
        <v/>
      </c>
    </row>
    <row r="378" spans="1:6" x14ac:dyDescent="0.25">
      <c r="A378">
        <v>374</v>
      </c>
      <c r="B378" t="str">
        <f t="shared" si="5"/>
        <v/>
      </c>
      <c r="C378" t="str">
        <f>IF('All Projects Calculations'!U378="","",'All Projects Calculations'!U378)</f>
        <v/>
      </c>
      <c r="F378" t="str">
        <f>IF('All Projects Calculations'!W378=0,"",'All Projects Calculations'!W378)</f>
        <v/>
      </c>
    </row>
    <row r="379" spans="1:6" x14ac:dyDescent="0.25">
      <c r="A379">
        <v>375</v>
      </c>
      <c r="B379" t="str">
        <f t="shared" si="5"/>
        <v/>
      </c>
      <c r="C379" t="str">
        <f>IF('All Projects Calculations'!U379="","",'All Projects Calculations'!U379)</f>
        <v/>
      </c>
      <c r="F379" t="str">
        <f>IF('All Projects Calculations'!W379=0,"",'All Projects Calculations'!W379)</f>
        <v/>
      </c>
    </row>
    <row r="380" spans="1:6" x14ac:dyDescent="0.25">
      <c r="A380">
        <v>376</v>
      </c>
      <c r="B380" t="str">
        <f t="shared" si="5"/>
        <v/>
      </c>
      <c r="C380" t="str">
        <f>IF('All Projects Calculations'!U380="","",'All Projects Calculations'!U380)</f>
        <v/>
      </c>
      <c r="F380" t="str">
        <f>IF('All Projects Calculations'!W380=0,"",'All Projects Calculations'!W380)</f>
        <v/>
      </c>
    </row>
    <row r="381" spans="1:6" x14ac:dyDescent="0.25">
      <c r="A381">
        <v>377</v>
      </c>
      <c r="B381" t="str">
        <f t="shared" si="5"/>
        <v/>
      </c>
      <c r="C381" t="str">
        <f>IF('All Projects Calculations'!U381="","",'All Projects Calculations'!U381)</f>
        <v/>
      </c>
      <c r="F381" t="str">
        <f>IF('All Projects Calculations'!W381=0,"",'All Projects Calculations'!W381)</f>
        <v/>
      </c>
    </row>
    <row r="382" spans="1:6" x14ac:dyDescent="0.25">
      <c r="A382">
        <v>378</v>
      </c>
      <c r="B382" t="str">
        <f t="shared" si="5"/>
        <v/>
      </c>
      <c r="C382" t="str">
        <f>IF('All Projects Calculations'!U382="","",'All Projects Calculations'!U382)</f>
        <v/>
      </c>
      <c r="F382" t="str">
        <f>IF('All Projects Calculations'!W382=0,"",'All Projects Calculations'!W382)</f>
        <v/>
      </c>
    </row>
    <row r="383" spans="1:6" x14ac:dyDescent="0.25">
      <c r="A383">
        <v>379</v>
      </c>
      <c r="B383" t="str">
        <f t="shared" si="5"/>
        <v/>
      </c>
      <c r="C383" t="str">
        <f>IF('All Projects Calculations'!U383="","",'All Projects Calculations'!U383)</f>
        <v/>
      </c>
      <c r="F383" t="str">
        <f>IF('All Projects Calculations'!W383=0,"",'All Projects Calculations'!W383)</f>
        <v/>
      </c>
    </row>
    <row r="384" spans="1:6" x14ac:dyDescent="0.25">
      <c r="A384">
        <v>380</v>
      </c>
      <c r="B384" t="str">
        <f t="shared" si="5"/>
        <v/>
      </c>
      <c r="C384" t="str">
        <f>IF('All Projects Calculations'!U384="","",'All Projects Calculations'!U384)</f>
        <v/>
      </c>
      <c r="F384" t="str">
        <f>IF('All Projects Calculations'!W384=0,"",'All Projects Calculations'!W384)</f>
        <v/>
      </c>
    </row>
    <row r="385" spans="1:6" x14ac:dyDescent="0.25">
      <c r="A385">
        <v>381</v>
      </c>
      <c r="B385" t="str">
        <f t="shared" si="5"/>
        <v/>
      </c>
      <c r="C385" t="str">
        <f>IF('All Projects Calculations'!U385="","",'All Projects Calculations'!U385)</f>
        <v/>
      </c>
      <c r="F385" t="str">
        <f>IF('All Projects Calculations'!W385=0,"",'All Projects Calculations'!W385)</f>
        <v/>
      </c>
    </row>
    <row r="386" spans="1:6" x14ac:dyDescent="0.25">
      <c r="A386">
        <v>382</v>
      </c>
      <c r="B386" t="str">
        <f t="shared" si="5"/>
        <v/>
      </c>
      <c r="C386" t="str">
        <f>IF('All Projects Calculations'!U386="","",'All Projects Calculations'!U386)</f>
        <v/>
      </c>
      <c r="F386" t="str">
        <f>IF('All Projects Calculations'!W386=0,"",'All Projects Calculations'!W386)</f>
        <v/>
      </c>
    </row>
    <row r="387" spans="1:6" x14ac:dyDescent="0.25">
      <c r="A387">
        <v>383</v>
      </c>
      <c r="B387" t="str">
        <f t="shared" si="5"/>
        <v/>
      </c>
      <c r="C387" t="str">
        <f>IF('All Projects Calculations'!U387="","",'All Projects Calculations'!U387)</f>
        <v/>
      </c>
      <c r="F387" t="str">
        <f>IF('All Projects Calculations'!W387=0,"",'All Projects Calculations'!W387)</f>
        <v/>
      </c>
    </row>
    <row r="388" spans="1:6" x14ac:dyDescent="0.25">
      <c r="A388">
        <v>384</v>
      </c>
      <c r="B388" t="str">
        <f t="shared" si="5"/>
        <v/>
      </c>
      <c r="C388" t="str">
        <f>IF('All Projects Calculations'!U388="","",'All Projects Calculations'!U388)</f>
        <v/>
      </c>
      <c r="F388" t="str">
        <f>IF('All Projects Calculations'!W388=0,"",'All Projects Calculations'!W388)</f>
        <v/>
      </c>
    </row>
    <row r="389" spans="1:6" x14ac:dyDescent="0.25">
      <c r="A389">
        <v>385</v>
      </c>
      <c r="B389" t="str">
        <f t="shared" si="5"/>
        <v/>
      </c>
      <c r="C389" t="str">
        <f>IF('All Projects Calculations'!U389="","",'All Projects Calculations'!U389)</f>
        <v/>
      </c>
      <c r="F389" t="str">
        <f>IF('All Projects Calculations'!W389=0,"",'All Projects Calculations'!W389)</f>
        <v/>
      </c>
    </row>
    <row r="390" spans="1:6" x14ac:dyDescent="0.25">
      <c r="A390">
        <v>386</v>
      </c>
      <c r="B390" t="str">
        <f t="shared" ref="B390:B453" si="6">IF(F390="","",A390)</f>
        <v/>
      </c>
      <c r="C390" t="str">
        <f>IF('All Projects Calculations'!U390="","",'All Projects Calculations'!U390)</f>
        <v/>
      </c>
      <c r="F390" t="str">
        <f>IF('All Projects Calculations'!W390=0,"",'All Projects Calculations'!W390)</f>
        <v/>
      </c>
    </row>
    <row r="391" spans="1:6" x14ac:dyDescent="0.25">
      <c r="A391">
        <v>387</v>
      </c>
      <c r="B391" t="str">
        <f t="shared" si="6"/>
        <v/>
      </c>
      <c r="C391" t="str">
        <f>IF('All Projects Calculations'!U391="","",'All Projects Calculations'!U391)</f>
        <v/>
      </c>
      <c r="F391" t="str">
        <f>IF('All Projects Calculations'!W391=0,"",'All Projects Calculations'!W391)</f>
        <v/>
      </c>
    </row>
    <row r="392" spans="1:6" x14ac:dyDescent="0.25">
      <c r="A392">
        <v>388</v>
      </c>
      <c r="B392" t="str">
        <f t="shared" si="6"/>
        <v/>
      </c>
      <c r="C392" t="str">
        <f>IF('All Projects Calculations'!U392="","",'All Projects Calculations'!U392)</f>
        <v/>
      </c>
      <c r="F392" t="str">
        <f>IF('All Projects Calculations'!W392=0,"",'All Projects Calculations'!W392)</f>
        <v/>
      </c>
    </row>
    <row r="393" spans="1:6" x14ac:dyDescent="0.25">
      <c r="A393">
        <v>389</v>
      </c>
      <c r="B393" t="str">
        <f t="shared" si="6"/>
        <v/>
      </c>
      <c r="C393" t="str">
        <f>IF('All Projects Calculations'!U393="","",'All Projects Calculations'!U393)</f>
        <v/>
      </c>
      <c r="F393" t="str">
        <f>IF('All Projects Calculations'!W393=0,"",'All Projects Calculations'!W393)</f>
        <v/>
      </c>
    </row>
    <row r="394" spans="1:6" x14ac:dyDescent="0.25">
      <c r="A394">
        <v>390</v>
      </c>
      <c r="B394" t="str">
        <f t="shared" si="6"/>
        <v/>
      </c>
      <c r="C394" t="str">
        <f>IF('All Projects Calculations'!U394="","",'All Projects Calculations'!U394)</f>
        <v/>
      </c>
      <c r="F394" t="str">
        <f>IF('All Projects Calculations'!W394=0,"",'All Projects Calculations'!W394)</f>
        <v/>
      </c>
    </row>
    <row r="395" spans="1:6" x14ac:dyDescent="0.25">
      <c r="A395">
        <v>391</v>
      </c>
      <c r="B395" t="str">
        <f t="shared" si="6"/>
        <v/>
      </c>
      <c r="C395" t="str">
        <f>IF('All Projects Calculations'!U395="","",'All Projects Calculations'!U395)</f>
        <v/>
      </c>
      <c r="F395" t="str">
        <f>IF('All Projects Calculations'!W395=0,"",'All Projects Calculations'!W395)</f>
        <v/>
      </c>
    </row>
    <row r="396" spans="1:6" x14ac:dyDescent="0.25">
      <c r="A396">
        <v>392</v>
      </c>
      <c r="B396" t="str">
        <f t="shared" si="6"/>
        <v/>
      </c>
      <c r="C396" t="str">
        <f>IF('All Projects Calculations'!U396="","",'All Projects Calculations'!U396)</f>
        <v/>
      </c>
      <c r="F396" t="str">
        <f>IF('All Projects Calculations'!W396=0,"",'All Projects Calculations'!W396)</f>
        <v/>
      </c>
    </row>
    <row r="397" spans="1:6" x14ac:dyDescent="0.25">
      <c r="A397">
        <v>393</v>
      </c>
      <c r="B397" t="str">
        <f t="shared" si="6"/>
        <v/>
      </c>
      <c r="C397" t="str">
        <f>IF('All Projects Calculations'!U397="","",'All Projects Calculations'!U397)</f>
        <v/>
      </c>
      <c r="F397" t="str">
        <f>IF('All Projects Calculations'!W397=0,"",'All Projects Calculations'!W397)</f>
        <v/>
      </c>
    </row>
    <row r="398" spans="1:6" x14ac:dyDescent="0.25">
      <c r="A398">
        <v>394</v>
      </c>
      <c r="B398" t="str">
        <f t="shared" si="6"/>
        <v/>
      </c>
      <c r="C398" t="str">
        <f>IF('All Projects Calculations'!U398="","",'All Projects Calculations'!U398)</f>
        <v/>
      </c>
      <c r="F398" t="str">
        <f>IF('All Projects Calculations'!W398=0,"",'All Projects Calculations'!W398)</f>
        <v/>
      </c>
    </row>
    <row r="399" spans="1:6" x14ac:dyDescent="0.25">
      <c r="A399">
        <v>395</v>
      </c>
      <c r="B399" t="str">
        <f t="shared" si="6"/>
        <v/>
      </c>
      <c r="C399" t="str">
        <f>IF('All Projects Calculations'!U399="","",'All Projects Calculations'!U399)</f>
        <v/>
      </c>
      <c r="F399" t="str">
        <f>IF('All Projects Calculations'!W399=0,"",'All Projects Calculations'!W399)</f>
        <v/>
      </c>
    </row>
    <row r="400" spans="1:6" x14ac:dyDescent="0.25">
      <c r="A400">
        <v>396</v>
      </c>
      <c r="B400" t="str">
        <f t="shared" si="6"/>
        <v/>
      </c>
      <c r="C400" t="str">
        <f>IF('All Projects Calculations'!U400="","",'All Projects Calculations'!U400)</f>
        <v/>
      </c>
      <c r="F400" t="str">
        <f>IF('All Projects Calculations'!W400=0,"",'All Projects Calculations'!W400)</f>
        <v/>
      </c>
    </row>
    <row r="401" spans="1:6" x14ac:dyDescent="0.25">
      <c r="A401">
        <v>397</v>
      </c>
      <c r="B401" t="str">
        <f t="shared" si="6"/>
        <v/>
      </c>
      <c r="C401" t="str">
        <f>IF('All Projects Calculations'!U401="","",'All Projects Calculations'!U401)</f>
        <v/>
      </c>
      <c r="F401" t="str">
        <f>IF('All Projects Calculations'!W401=0,"",'All Projects Calculations'!W401)</f>
        <v/>
      </c>
    </row>
    <row r="402" spans="1:6" x14ac:dyDescent="0.25">
      <c r="A402">
        <v>398</v>
      </c>
      <c r="B402" t="str">
        <f t="shared" si="6"/>
        <v/>
      </c>
      <c r="C402" t="str">
        <f>IF('All Projects Calculations'!U402="","",'All Projects Calculations'!U402)</f>
        <v/>
      </c>
      <c r="F402" t="str">
        <f>IF('All Projects Calculations'!W402=0,"",'All Projects Calculations'!W402)</f>
        <v/>
      </c>
    </row>
    <row r="403" spans="1:6" x14ac:dyDescent="0.25">
      <c r="A403">
        <v>399</v>
      </c>
      <c r="B403" t="str">
        <f t="shared" si="6"/>
        <v/>
      </c>
      <c r="C403" t="str">
        <f>IF('All Projects Calculations'!U403="","",'All Projects Calculations'!U403)</f>
        <v/>
      </c>
      <c r="F403" t="str">
        <f>IF('All Projects Calculations'!W403=0,"",'All Projects Calculations'!W403)</f>
        <v/>
      </c>
    </row>
    <row r="404" spans="1:6" x14ac:dyDescent="0.25">
      <c r="A404">
        <v>400</v>
      </c>
      <c r="B404" t="str">
        <f t="shared" si="6"/>
        <v/>
      </c>
      <c r="C404" t="str">
        <f>IF('All Projects Calculations'!U404="","",'All Projects Calculations'!U404)</f>
        <v/>
      </c>
      <c r="F404" t="str">
        <f>IF('All Projects Calculations'!W404=0,"",'All Projects Calculations'!W404)</f>
        <v/>
      </c>
    </row>
    <row r="405" spans="1:6" x14ac:dyDescent="0.25">
      <c r="A405">
        <v>401</v>
      </c>
      <c r="B405" t="str">
        <f t="shared" si="6"/>
        <v/>
      </c>
      <c r="C405" t="str">
        <f>IF('All Projects Calculations'!U405="","",'All Projects Calculations'!U405)</f>
        <v/>
      </c>
      <c r="F405" t="str">
        <f>IF('All Projects Calculations'!W405=0,"",'All Projects Calculations'!W405)</f>
        <v/>
      </c>
    </row>
    <row r="406" spans="1:6" x14ac:dyDescent="0.25">
      <c r="A406">
        <v>402</v>
      </c>
      <c r="B406" t="str">
        <f t="shared" si="6"/>
        <v/>
      </c>
      <c r="C406" t="str">
        <f>IF('All Projects Calculations'!U406="","",'All Projects Calculations'!U406)</f>
        <v/>
      </c>
      <c r="F406" t="str">
        <f>IF('All Projects Calculations'!W406=0,"",'All Projects Calculations'!W406)</f>
        <v/>
      </c>
    </row>
    <row r="407" spans="1:6" x14ac:dyDescent="0.25">
      <c r="A407">
        <v>403</v>
      </c>
      <c r="B407" t="str">
        <f t="shared" si="6"/>
        <v/>
      </c>
      <c r="C407" t="str">
        <f>IF('All Projects Calculations'!U407="","",'All Projects Calculations'!U407)</f>
        <v/>
      </c>
      <c r="F407" t="str">
        <f>IF('All Projects Calculations'!W407=0,"",'All Projects Calculations'!W407)</f>
        <v/>
      </c>
    </row>
    <row r="408" spans="1:6" x14ac:dyDescent="0.25">
      <c r="A408">
        <v>404</v>
      </c>
      <c r="B408" t="str">
        <f t="shared" si="6"/>
        <v/>
      </c>
      <c r="C408" t="str">
        <f>IF('All Projects Calculations'!U408="","",'All Projects Calculations'!U408)</f>
        <v/>
      </c>
      <c r="F408" t="str">
        <f>IF('All Projects Calculations'!W408=0,"",'All Projects Calculations'!W408)</f>
        <v/>
      </c>
    </row>
    <row r="409" spans="1:6" x14ac:dyDescent="0.25">
      <c r="A409">
        <v>405</v>
      </c>
      <c r="B409" t="str">
        <f t="shared" si="6"/>
        <v/>
      </c>
      <c r="C409" t="str">
        <f>IF('All Projects Calculations'!U409="","",'All Projects Calculations'!U409)</f>
        <v/>
      </c>
      <c r="F409" t="str">
        <f>IF('All Projects Calculations'!W409=0,"",'All Projects Calculations'!W409)</f>
        <v/>
      </c>
    </row>
    <row r="410" spans="1:6" x14ac:dyDescent="0.25">
      <c r="A410">
        <v>406</v>
      </c>
      <c r="B410" t="str">
        <f t="shared" si="6"/>
        <v/>
      </c>
      <c r="C410" t="str">
        <f>IF('All Projects Calculations'!U410="","",'All Projects Calculations'!U410)</f>
        <v/>
      </c>
      <c r="F410" t="str">
        <f>IF('All Projects Calculations'!W410=0,"",'All Projects Calculations'!W410)</f>
        <v/>
      </c>
    </row>
    <row r="411" spans="1:6" x14ac:dyDescent="0.25">
      <c r="A411">
        <v>407</v>
      </c>
      <c r="B411" t="str">
        <f t="shared" si="6"/>
        <v/>
      </c>
      <c r="C411" t="str">
        <f>IF('All Projects Calculations'!U411="","",'All Projects Calculations'!U411)</f>
        <v/>
      </c>
      <c r="F411" t="str">
        <f>IF('All Projects Calculations'!W411=0,"",'All Projects Calculations'!W411)</f>
        <v/>
      </c>
    </row>
    <row r="412" spans="1:6" x14ac:dyDescent="0.25">
      <c r="A412">
        <v>408</v>
      </c>
      <c r="B412" t="str">
        <f t="shared" si="6"/>
        <v/>
      </c>
      <c r="C412" t="str">
        <f>IF('All Projects Calculations'!U412="","",'All Projects Calculations'!U412)</f>
        <v/>
      </c>
      <c r="F412" t="str">
        <f>IF('All Projects Calculations'!W412=0,"",'All Projects Calculations'!W412)</f>
        <v/>
      </c>
    </row>
    <row r="413" spans="1:6" x14ac:dyDescent="0.25">
      <c r="A413">
        <v>409</v>
      </c>
      <c r="B413" t="str">
        <f t="shared" si="6"/>
        <v/>
      </c>
      <c r="C413" t="str">
        <f>IF('All Projects Calculations'!U413="","",'All Projects Calculations'!U413)</f>
        <v/>
      </c>
      <c r="F413" t="str">
        <f>IF('All Projects Calculations'!W413=0,"",'All Projects Calculations'!W413)</f>
        <v/>
      </c>
    </row>
    <row r="414" spans="1:6" x14ac:dyDescent="0.25">
      <c r="A414">
        <v>410</v>
      </c>
      <c r="B414" t="str">
        <f t="shared" si="6"/>
        <v/>
      </c>
      <c r="C414" t="str">
        <f>IF('All Projects Calculations'!U414="","",'All Projects Calculations'!U414)</f>
        <v/>
      </c>
      <c r="F414" t="str">
        <f>IF('All Projects Calculations'!W414=0,"",'All Projects Calculations'!W414)</f>
        <v/>
      </c>
    </row>
    <row r="415" spans="1:6" x14ac:dyDescent="0.25">
      <c r="A415">
        <v>411</v>
      </c>
      <c r="B415" t="str">
        <f t="shared" si="6"/>
        <v/>
      </c>
      <c r="C415" t="str">
        <f>IF('All Projects Calculations'!U415="","",'All Projects Calculations'!U415)</f>
        <v/>
      </c>
      <c r="F415" t="str">
        <f>IF('All Projects Calculations'!W415=0,"",'All Projects Calculations'!W415)</f>
        <v/>
      </c>
    </row>
    <row r="416" spans="1:6" x14ac:dyDescent="0.25">
      <c r="A416">
        <v>412</v>
      </c>
      <c r="B416" t="str">
        <f t="shared" si="6"/>
        <v/>
      </c>
      <c r="C416" t="str">
        <f>IF('All Projects Calculations'!U416="","",'All Projects Calculations'!U416)</f>
        <v/>
      </c>
      <c r="F416" t="str">
        <f>IF('All Projects Calculations'!W416=0,"",'All Projects Calculations'!W416)</f>
        <v/>
      </c>
    </row>
    <row r="417" spans="1:6" x14ac:dyDescent="0.25">
      <c r="A417">
        <v>413</v>
      </c>
      <c r="B417" t="str">
        <f t="shared" si="6"/>
        <v/>
      </c>
      <c r="C417" t="str">
        <f>IF('All Projects Calculations'!U417="","",'All Projects Calculations'!U417)</f>
        <v/>
      </c>
      <c r="F417" t="str">
        <f>IF('All Projects Calculations'!W417=0,"",'All Projects Calculations'!W417)</f>
        <v/>
      </c>
    </row>
    <row r="418" spans="1:6" x14ac:dyDescent="0.25">
      <c r="A418">
        <v>414</v>
      </c>
      <c r="B418" t="str">
        <f t="shared" si="6"/>
        <v/>
      </c>
      <c r="C418" t="str">
        <f>IF('All Projects Calculations'!U418="","",'All Projects Calculations'!U418)</f>
        <v/>
      </c>
      <c r="F418" t="str">
        <f>IF('All Projects Calculations'!W418=0,"",'All Projects Calculations'!W418)</f>
        <v/>
      </c>
    </row>
    <row r="419" spans="1:6" x14ac:dyDescent="0.25">
      <c r="A419">
        <v>415</v>
      </c>
      <c r="B419" t="str">
        <f t="shared" si="6"/>
        <v/>
      </c>
      <c r="C419" t="str">
        <f>IF('All Projects Calculations'!U419="","",'All Projects Calculations'!U419)</f>
        <v/>
      </c>
      <c r="F419" t="str">
        <f>IF('All Projects Calculations'!W419=0,"",'All Projects Calculations'!W419)</f>
        <v/>
      </c>
    </row>
    <row r="420" spans="1:6" x14ac:dyDescent="0.25">
      <c r="A420">
        <v>416</v>
      </c>
      <c r="B420" t="str">
        <f t="shared" si="6"/>
        <v/>
      </c>
      <c r="C420" t="str">
        <f>IF('All Projects Calculations'!U420="","",'All Projects Calculations'!U420)</f>
        <v/>
      </c>
      <c r="F420" t="str">
        <f>IF('All Projects Calculations'!W420=0,"",'All Projects Calculations'!W420)</f>
        <v/>
      </c>
    </row>
    <row r="421" spans="1:6" x14ac:dyDescent="0.25">
      <c r="A421">
        <v>417</v>
      </c>
      <c r="B421" t="str">
        <f t="shared" si="6"/>
        <v/>
      </c>
      <c r="C421" t="str">
        <f>IF('All Projects Calculations'!U421="","",'All Projects Calculations'!U421)</f>
        <v/>
      </c>
      <c r="F421" t="str">
        <f>IF('All Projects Calculations'!W421=0,"",'All Projects Calculations'!W421)</f>
        <v/>
      </c>
    </row>
    <row r="422" spans="1:6" x14ac:dyDescent="0.25">
      <c r="A422">
        <v>418</v>
      </c>
      <c r="B422" t="str">
        <f t="shared" si="6"/>
        <v/>
      </c>
      <c r="C422" t="str">
        <f>IF('All Projects Calculations'!U422="","",'All Projects Calculations'!U422)</f>
        <v/>
      </c>
      <c r="F422" t="str">
        <f>IF('All Projects Calculations'!W422=0,"",'All Projects Calculations'!W422)</f>
        <v/>
      </c>
    </row>
    <row r="423" spans="1:6" x14ac:dyDescent="0.25">
      <c r="A423">
        <v>419</v>
      </c>
      <c r="B423" t="str">
        <f t="shared" si="6"/>
        <v/>
      </c>
      <c r="C423" t="str">
        <f>IF('All Projects Calculations'!U423="","",'All Projects Calculations'!U423)</f>
        <v/>
      </c>
      <c r="F423" t="str">
        <f>IF('All Projects Calculations'!W423=0,"",'All Projects Calculations'!W423)</f>
        <v/>
      </c>
    </row>
    <row r="424" spans="1:6" x14ac:dyDescent="0.25">
      <c r="A424">
        <v>420</v>
      </c>
      <c r="B424" t="str">
        <f t="shared" si="6"/>
        <v/>
      </c>
      <c r="C424" t="str">
        <f>IF('All Projects Calculations'!U424="","",'All Projects Calculations'!U424)</f>
        <v/>
      </c>
      <c r="F424" t="str">
        <f>IF('All Projects Calculations'!W424=0,"",'All Projects Calculations'!W424)</f>
        <v/>
      </c>
    </row>
    <row r="425" spans="1:6" x14ac:dyDescent="0.25">
      <c r="A425">
        <v>421</v>
      </c>
      <c r="B425" t="str">
        <f t="shared" si="6"/>
        <v/>
      </c>
      <c r="C425" t="str">
        <f>IF('All Projects Calculations'!U425="","",'All Projects Calculations'!U425)</f>
        <v/>
      </c>
      <c r="F425" t="str">
        <f>IF('All Projects Calculations'!W425=0,"",'All Projects Calculations'!W425)</f>
        <v/>
      </c>
    </row>
    <row r="426" spans="1:6" x14ac:dyDescent="0.25">
      <c r="A426">
        <v>422</v>
      </c>
      <c r="B426" t="str">
        <f t="shared" si="6"/>
        <v/>
      </c>
      <c r="C426" t="str">
        <f>IF('All Projects Calculations'!U426="","",'All Projects Calculations'!U426)</f>
        <v/>
      </c>
      <c r="F426" t="str">
        <f>IF('All Projects Calculations'!W426=0,"",'All Projects Calculations'!W426)</f>
        <v/>
      </c>
    </row>
    <row r="427" spans="1:6" x14ac:dyDescent="0.25">
      <c r="A427">
        <v>423</v>
      </c>
      <c r="B427" t="str">
        <f t="shared" si="6"/>
        <v/>
      </c>
      <c r="C427" t="str">
        <f>IF('All Projects Calculations'!U427="","",'All Projects Calculations'!U427)</f>
        <v/>
      </c>
      <c r="F427" t="str">
        <f>IF('All Projects Calculations'!W427=0,"",'All Projects Calculations'!W427)</f>
        <v/>
      </c>
    </row>
    <row r="428" spans="1:6" x14ac:dyDescent="0.25">
      <c r="A428">
        <v>424</v>
      </c>
      <c r="B428" t="str">
        <f t="shared" si="6"/>
        <v/>
      </c>
      <c r="C428" t="str">
        <f>IF('All Projects Calculations'!U428="","",'All Projects Calculations'!U428)</f>
        <v/>
      </c>
      <c r="F428" t="str">
        <f>IF('All Projects Calculations'!W428=0,"",'All Projects Calculations'!W428)</f>
        <v/>
      </c>
    </row>
    <row r="429" spans="1:6" x14ac:dyDescent="0.25">
      <c r="A429">
        <v>425</v>
      </c>
      <c r="B429" t="str">
        <f t="shared" si="6"/>
        <v/>
      </c>
      <c r="C429" t="str">
        <f>IF('All Projects Calculations'!U429="","",'All Projects Calculations'!U429)</f>
        <v/>
      </c>
      <c r="F429" t="str">
        <f>IF('All Projects Calculations'!W429=0,"",'All Projects Calculations'!W429)</f>
        <v/>
      </c>
    </row>
    <row r="430" spans="1:6" x14ac:dyDescent="0.25">
      <c r="A430">
        <v>426</v>
      </c>
      <c r="B430" t="str">
        <f t="shared" si="6"/>
        <v/>
      </c>
      <c r="C430" t="str">
        <f>IF('All Projects Calculations'!U430="","",'All Projects Calculations'!U430)</f>
        <v/>
      </c>
      <c r="F430" t="str">
        <f>IF('All Projects Calculations'!W430=0,"",'All Projects Calculations'!W430)</f>
        <v/>
      </c>
    </row>
    <row r="431" spans="1:6" x14ac:dyDescent="0.25">
      <c r="A431">
        <v>427</v>
      </c>
      <c r="B431" t="str">
        <f t="shared" si="6"/>
        <v/>
      </c>
      <c r="C431" t="str">
        <f>IF('All Projects Calculations'!U431="","",'All Projects Calculations'!U431)</f>
        <v/>
      </c>
      <c r="F431" t="str">
        <f>IF('All Projects Calculations'!W431=0,"",'All Projects Calculations'!W431)</f>
        <v/>
      </c>
    </row>
    <row r="432" spans="1:6" x14ac:dyDescent="0.25">
      <c r="A432">
        <v>428</v>
      </c>
      <c r="B432" t="str">
        <f t="shared" si="6"/>
        <v/>
      </c>
      <c r="C432" t="str">
        <f>IF('All Projects Calculations'!U432="","",'All Projects Calculations'!U432)</f>
        <v/>
      </c>
      <c r="F432" t="str">
        <f>IF('All Projects Calculations'!W432=0,"",'All Projects Calculations'!W432)</f>
        <v/>
      </c>
    </row>
    <row r="433" spans="1:6" x14ac:dyDescent="0.25">
      <c r="A433">
        <v>429</v>
      </c>
      <c r="B433" t="str">
        <f t="shared" si="6"/>
        <v/>
      </c>
      <c r="C433" t="str">
        <f>IF('All Projects Calculations'!U433="","",'All Projects Calculations'!U433)</f>
        <v/>
      </c>
      <c r="F433" t="str">
        <f>IF('All Projects Calculations'!W433=0,"",'All Projects Calculations'!W433)</f>
        <v/>
      </c>
    </row>
    <row r="434" spans="1:6" x14ac:dyDescent="0.25">
      <c r="A434">
        <v>430</v>
      </c>
      <c r="B434" t="str">
        <f t="shared" si="6"/>
        <v/>
      </c>
      <c r="C434" t="str">
        <f>IF('All Projects Calculations'!U434="","",'All Projects Calculations'!U434)</f>
        <v/>
      </c>
      <c r="F434" t="str">
        <f>IF('All Projects Calculations'!W434=0,"",'All Projects Calculations'!W434)</f>
        <v/>
      </c>
    </row>
    <row r="435" spans="1:6" x14ac:dyDescent="0.25">
      <c r="A435">
        <v>431</v>
      </c>
      <c r="B435" t="str">
        <f t="shared" si="6"/>
        <v/>
      </c>
      <c r="C435" t="str">
        <f>IF('All Projects Calculations'!U435="","",'All Projects Calculations'!U435)</f>
        <v/>
      </c>
      <c r="F435" t="str">
        <f>IF('All Projects Calculations'!W435=0,"",'All Projects Calculations'!W435)</f>
        <v/>
      </c>
    </row>
    <row r="436" spans="1:6" x14ac:dyDescent="0.25">
      <c r="A436">
        <v>432</v>
      </c>
      <c r="B436" t="str">
        <f t="shared" si="6"/>
        <v/>
      </c>
      <c r="C436" t="str">
        <f>IF('All Projects Calculations'!U436="","",'All Projects Calculations'!U436)</f>
        <v/>
      </c>
      <c r="F436" t="str">
        <f>IF('All Projects Calculations'!W436=0,"",'All Projects Calculations'!W436)</f>
        <v/>
      </c>
    </row>
    <row r="437" spans="1:6" x14ac:dyDescent="0.25">
      <c r="A437">
        <v>433</v>
      </c>
      <c r="B437" t="str">
        <f t="shared" si="6"/>
        <v/>
      </c>
      <c r="C437" t="str">
        <f>IF('All Projects Calculations'!U437="","",'All Projects Calculations'!U437)</f>
        <v/>
      </c>
      <c r="F437" t="str">
        <f>IF('All Projects Calculations'!W437=0,"",'All Projects Calculations'!W437)</f>
        <v/>
      </c>
    </row>
    <row r="438" spans="1:6" x14ac:dyDescent="0.25">
      <c r="A438">
        <v>434</v>
      </c>
      <c r="B438" t="str">
        <f t="shared" si="6"/>
        <v/>
      </c>
      <c r="C438" t="str">
        <f>IF('All Projects Calculations'!U438="","",'All Projects Calculations'!U438)</f>
        <v/>
      </c>
      <c r="F438" t="str">
        <f>IF('All Projects Calculations'!W438=0,"",'All Projects Calculations'!W438)</f>
        <v/>
      </c>
    </row>
    <row r="439" spans="1:6" x14ac:dyDescent="0.25">
      <c r="A439">
        <v>435</v>
      </c>
      <c r="B439" t="str">
        <f t="shared" si="6"/>
        <v/>
      </c>
      <c r="C439" t="str">
        <f>IF('All Projects Calculations'!U439="","",'All Projects Calculations'!U439)</f>
        <v/>
      </c>
      <c r="F439" t="str">
        <f>IF('All Projects Calculations'!W439=0,"",'All Projects Calculations'!W439)</f>
        <v/>
      </c>
    </row>
    <row r="440" spans="1:6" x14ac:dyDescent="0.25">
      <c r="A440">
        <v>436</v>
      </c>
      <c r="B440" t="str">
        <f t="shared" si="6"/>
        <v/>
      </c>
      <c r="C440" t="str">
        <f>IF('All Projects Calculations'!U440="","",'All Projects Calculations'!U440)</f>
        <v/>
      </c>
      <c r="F440" t="str">
        <f>IF('All Projects Calculations'!W440=0,"",'All Projects Calculations'!W440)</f>
        <v/>
      </c>
    </row>
    <row r="441" spans="1:6" x14ac:dyDescent="0.25">
      <c r="A441">
        <v>437</v>
      </c>
      <c r="B441" t="str">
        <f t="shared" si="6"/>
        <v/>
      </c>
      <c r="C441" t="str">
        <f>IF('All Projects Calculations'!U441="","",'All Projects Calculations'!U441)</f>
        <v/>
      </c>
      <c r="F441" t="str">
        <f>IF('All Projects Calculations'!W441=0,"",'All Projects Calculations'!W441)</f>
        <v/>
      </c>
    </row>
    <row r="442" spans="1:6" x14ac:dyDescent="0.25">
      <c r="A442">
        <v>438</v>
      </c>
      <c r="B442" t="str">
        <f t="shared" si="6"/>
        <v/>
      </c>
      <c r="C442" t="str">
        <f>IF('All Projects Calculations'!U442="","",'All Projects Calculations'!U442)</f>
        <v/>
      </c>
      <c r="F442" t="str">
        <f>IF('All Projects Calculations'!W442=0,"",'All Projects Calculations'!W442)</f>
        <v/>
      </c>
    </row>
    <row r="443" spans="1:6" x14ac:dyDescent="0.25">
      <c r="A443">
        <v>439</v>
      </c>
      <c r="B443" t="str">
        <f t="shared" si="6"/>
        <v/>
      </c>
      <c r="C443" t="str">
        <f>IF('All Projects Calculations'!U443="","",'All Projects Calculations'!U443)</f>
        <v/>
      </c>
      <c r="F443" t="str">
        <f>IF('All Projects Calculations'!W443=0,"",'All Projects Calculations'!W443)</f>
        <v/>
      </c>
    </row>
    <row r="444" spans="1:6" x14ac:dyDescent="0.25">
      <c r="A444">
        <v>440</v>
      </c>
      <c r="B444" t="str">
        <f t="shared" si="6"/>
        <v/>
      </c>
      <c r="C444" t="str">
        <f>IF('All Projects Calculations'!U444="","",'All Projects Calculations'!U444)</f>
        <v/>
      </c>
      <c r="F444" t="str">
        <f>IF('All Projects Calculations'!W444=0,"",'All Projects Calculations'!W444)</f>
        <v/>
      </c>
    </row>
    <row r="445" spans="1:6" x14ac:dyDescent="0.25">
      <c r="A445">
        <v>441</v>
      </c>
      <c r="B445" t="str">
        <f t="shared" si="6"/>
        <v/>
      </c>
      <c r="C445" t="str">
        <f>IF('All Projects Calculations'!U445="","",'All Projects Calculations'!U445)</f>
        <v/>
      </c>
      <c r="F445" t="str">
        <f>IF('All Projects Calculations'!W445=0,"",'All Projects Calculations'!W445)</f>
        <v/>
      </c>
    </row>
    <row r="446" spans="1:6" x14ac:dyDescent="0.25">
      <c r="A446">
        <v>442</v>
      </c>
      <c r="B446" t="str">
        <f t="shared" si="6"/>
        <v/>
      </c>
      <c r="C446" t="str">
        <f>IF('All Projects Calculations'!U446="","",'All Projects Calculations'!U446)</f>
        <v/>
      </c>
      <c r="F446" t="str">
        <f>IF('All Projects Calculations'!W446=0,"",'All Projects Calculations'!W446)</f>
        <v/>
      </c>
    </row>
    <row r="447" spans="1:6" x14ac:dyDescent="0.25">
      <c r="A447">
        <v>443</v>
      </c>
      <c r="B447" t="str">
        <f t="shared" si="6"/>
        <v/>
      </c>
      <c r="C447" t="str">
        <f>IF('All Projects Calculations'!U447="","",'All Projects Calculations'!U447)</f>
        <v/>
      </c>
      <c r="F447" t="str">
        <f>IF('All Projects Calculations'!W447=0,"",'All Projects Calculations'!W447)</f>
        <v/>
      </c>
    </row>
    <row r="448" spans="1:6" x14ac:dyDescent="0.25">
      <c r="A448">
        <v>444</v>
      </c>
      <c r="B448" t="str">
        <f t="shared" si="6"/>
        <v/>
      </c>
      <c r="C448" t="str">
        <f>IF('All Projects Calculations'!U448="","",'All Projects Calculations'!U448)</f>
        <v/>
      </c>
      <c r="F448" t="str">
        <f>IF('All Projects Calculations'!W448=0,"",'All Projects Calculations'!W448)</f>
        <v/>
      </c>
    </row>
    <row r="449" spans="1:6" x14ac:dyDescent="0.25">
      <c r="A449">
        <v>445</v>
      </c>
      <c r="B449" t="str">
        <f t="shared" si="6"/>
        <v/>
      </c>
      <c r="C449" t="str">
        <f>IF('All Projects Calculations'!U449="","",'All Projects Calculations'!U449)</f>
        <v/>
      </c>
      <c r="F449" t="str">
        <f>IF('All Projects Calculations'!W449=0,"",'All Projects Calculations'!W449)</f>
        <v/>
      </c>
    </row>
    <row r="450" spans="1:6" x14ac:dyDescent="0.25">
      <c r="A450">
        <v>446</v>
      </c>
      <c r="B450" t="str">
        <f t="shared" si="6"/>
        <v/>
      </c>
      <c r="C450" t="str">
        <f>IF('All Projects Calculations'!U450="","",'All Projects Calculations'!U450)</f>
        <v/>
      </c>
      <c r="F450" t="str">
        <f>IF('All Projects Calculations'!W450=0,"",'All Projects Calculations'!W450)</f>
        <v/>
      </c>
    </row>
    <row r="451" spans="1:6" x14ac:dyDescent="0.25">
      <c r="A451">
        <v>447</v>
      </c>
      <c r="B451" t="str">
        <f t="shared" si="6"/>
        <v/>
      </c>
      <c r="C451" t="str">
        <f>IF('All Projects Calculations'!U451="","",'All Projects Calculations'!U451)</f>
        <v/>
      </c>
      <c r="F451" t="str">
        <f>IF('All Projects Calculations'!W451=0,"",'All Projects Calculations'!W451)</f>
        <v/>
      </c>
    </row>
    <row r="452" spans="1:6" x14ac:dyDescent="0.25">
      <c r="A452">
        <v>448</v>
      </c>
      <c r="B452" t="str">
        <f t="shared" si="6"/>
        <v/>
      </c>
      <c r="C452" t="str">
        <f>IF('All Projects Calculations'!U452="","",'All Projects Calculations'!U452)</f>
        <v/>
      </c>
      <c r="F452" t="str">
        <f>IF('All Projects Calculations'!W452=0,"",'All Projects Calculations'!W452)</f>
        <v/>
      </c>
    </row>
    <row r="453" spans="1:6" x14ac:dyDescent="0.25">
      <c r="A453">
        <v>449</v>
      </c>
      <c r="B453" t="str">
        <f t="shared" si="6"/>
        <v/>
      </c>
      <c r="C453" t="str">
        <f>IF('All Projects Calculations'!U453="","",'All Projects Calculations'!U453)</f>
        <v/>
      </c>
      <c r="F453" t="str">
        <f>IF('All Projects Calculations'!W453=0,"",'All Projects Calculations'!W453)</f>
        <v/>
      </c>
    </row>
    <row r="454" spans="1:6" x14ac:dyDescent="0.25">
      <c r="A454">
        <v>450</v>
      </c>
      <c r="B454" t="str">
        <f t="shared" ref="B454:B517" si="7">IF(F454="","",A454)</f>
        <v/>
      </c>
      <c r="C454" t="str">
        <f>IF('All Projects Calculations'!U454="","",'All Projects Calculations'!U454)</f>
        <v/>
      </c>
      <c r="F454" t="str">
        <f>IF('All Projects Calculations'!W454=0,"",'All Projects Calculations'!W454)</f>
        <v/>
      </c>
    </row>
    <row r="455" spans="1:6" x14ac:dyDescent="0.25">
      <c r="A455">
        <v>451</v>
      </c>
      <c r="B455" t="str">
        <f t="shared" si="7"/>
        <v/>
      </c>
      <c r="C455" t="str">
        <f>IF('All Projects Calculations'!U455="","",'All Projects Calculations'!U455)</f>
        <v/>
      </c>
      <c r="F455" t="str">
        <f>IF('All Projects Calculations'!W455=0,"",'All Projects Calculations'!W455)</f>
        <v/>
      </c>
    </row>
    <row r="456" spans="1:6" x14ac:dyDescent="0.25">
      <c r="A456">
        <v>452</v>
      </c>
      <c r="B456" t="str">
        <f t="shared" si="7"/>
        <v/>
      </c>
      <c r="C456" t="str">
        <f>IF('All Projects Calculations'!U456="","",'All Projects Calculations'!U456)</f>
        <v/>
      </c>
      <c r="F456" t="str">
        <f>IF('All Projects Calculations'!W456=0,"",'All Projects Calculations'!W456)</f>
        <v/>
      </c>
    </row>
    <row r="457" spans="1:6" x14ac:dyDescent="0.25">
      <c r="A457">
        <v>453</v>
      </c>
      <c r="B457" t="str">
        <f t="shared" si="7"/>
        <v/>
      </c>
      <c r="C457" t="str">
        <f>IF('All Projects Calculations'!U457="","",'All Projects Calculations'!U457)</f>
        <v/>
      </c>
      <c r="F457" t="str">
        <f>IF('All Projects Calculations'!W457=0,"",'All Projects Calculations'!W457)</f>
        <v/>
      </c>
    </row>
    <row r="458" spans="1:6" x14ac:dyDescent="0.25">
      <c r="A458">
        <v>454</v>
      </c>
      <c r="B458" t="str">
        <f t="shared" si="7"/>
        <v/>
      </c>
      <c r="C458" t="str">
        <f>IF('All Projects Calculations'!U458="","",'All Projects Calculations'!U458)</f>
        <v/>
      </c>
      <c r="F458" t="str">
        <f>IF('All Projects Calculations'!W458=0,"",'All Projects Calculations'!W458)</f>
        <v/>
      </c>
    </row>
    <row r="459" spans="1:6" x14ac:dyDescent="0.25">
      <c r="A459">
        <v>455</v>
      </c>
      <c r="B459" t="str">
        <f t="shared" si="7"/>
        <v/>
      </c>
      <c r="C459" t="str">
        <f>IF('All Projects Calculations'!U459="","",'All Projects Calculations'!U459)</f>
        <v/>
      </c>
      <c r="F459" t="str">
        <f>IF('All Projects Calculations'!W459=0,"",'All Projects Calculations'!W459)</f>
        <v/>
      </c>
    </row>
    <row r="460" spans="1:6" x14ac:dyDescent="0.25">
      <c r="A460">
        <v>456</v>
      </c>
      <c r="B460" t="str">
        <f t="shared" si="7"/>
        <v/>
      </c>
      <c r="C460" t="str">
        <f>IF('All Projects Calculations'!U460="","",'All Projects Calculations'!U460)</f>
        <v/>
      </c>
      <c r="F460" t="str">
        <f>IF('All Projects Calculations'!W460=0,"",'All Projects Calculations'!W460)</f>
        <v/>
      </c>
    </row>
    <row r="461" spans="1:6" x14ac:dyDescent="0.25">
      <c r="A461">
        <v>457</v>
      </c>
      <c r="B461" t="str">
        <f t="shared" si="7"/>
        <v/>
      </c>
      <c r="C461" t="str">
        <f>IF('All Projects Calculations'!U461="","",'All Projects Calculations'!U461)</f>
        <v/>
      </c>
      <c r="F461" t="str">
        <f>IF('All Projects Calculations'!W461=0,"",'All Projects Calculations'!W461)</f>
        <v/>
      </c>
    </row>
    <row r="462" spans="1:6" x14ac:dyDescent="0.25">
      <c r="A462">
        <v>458</v>
      </c>
      <c r="B462" t="str">
        <f t="shared" si="7"/>
        <v/>
      </c>
      <c r="C462" t="str">
        <f>IF('All Projects Calculations'!U462="","",'All Projects Calculations'!U462)</f>
        <v/>
      </c>
      <c r="F462" t="str">
        <f>IF('All Projects Calculations'!W462=0,"",'All Projects Calculations'!W462)</f>
        <v/>
      </c>
    </row>
    <row r="463" spans="1:6" x14ac:dyDescent="0.25">
      <c r="A463">
        <v>459</v>
      </c>
      <c r="B463" t="str">
        <f t="shared" si="7"/>
        <v/>
      </c>
      <c r="C463" t="str">
        <f>IF('All Projects Calculations'!U463="","",'All Projects Calculations'!U463)</f>
        <v/>
      </c>
      <c r="F463" t="str">
        <f>IF('All Projects Calculations'!W463=0,"",'All Projects Calculations'!W463)</f>
        <v/>
      </c>
    </row>
    <row r="464" spans="1:6" x14ac:dyDescent="0.25">
      <c r="A464">
        <v>460</v>
      </c>
      <c r="B464" t="str">
        <f t="shared" si="7"/>
        <v/>
      </c>
      <c r="C464" t="str">
        <f>IF('All Projects Calculations'!U464="","",'All Projects Calculations'!U464)</f>
        <v/>
      </c>
      <c r="F464" t="str">
        <f>IF('All Projects Calculations'!W464=0,"",'All Projects Calculations'!W464)</f>
        <v/>
      </c>
    </row>
    <row r="465" spans="1:6" x14ac:dyDescent="0.25">
      <c r="A465">
        <v>461</v>
      </c>
      <c r="B465" t="str">
        <f t="shared" si="7"/>
        <v/>
      </c>
      <c r="C465" t="str">
        <f>IF('All Projects Calculations'!U465="","",'All Projects Calculations'!U465)</f>
        <v/>
      </c>
      <c r="F465" t="str">
        <f>IF('All Projects Calculations'!W465=0,"",'All Projects Calculations'!W465)</f>
        <v/>
      </c>
    </row>
    <row r="466" spans="1:6" x14ac:dyDescent="0.25">
      <c r="A466">
        <v>462</v>
      </c>
      <c r="B466" t="str">
        <f t="shared" si="7"/>
        <v/>
      </c>
      <c r="C466" t="str">
        <f>IF('All Projects Calculations'!U466="","",'All Projects Calculations'!U466)</f>
        <v/>
      </c>
      <c r="F466" t="str">
        <f>IF('All Projects Calculations'!W466=0,"",'All Projects Calculations'!W466)</f>
        <v/>
      </c>
    </row>
    <row r="467" spans="1:6" x14ac:dyDescent="0.25">
      <c r="A467">
        <v>463</v>
      </c>
      <c r="B467" t="str">
        <f t="shared" si="7"/>
        <v/>
      </c>
      <c r="C467" t="str">
        <f>IF('All Projects Calculations'!U467="","",'All Projects Calculations'!U467)</f>
        <v/>
      </c>
      <c r="F467" t="str">
        <f>IF('All Projects Calculations'!W467=0,"",'All Projects Calculations'!W467)</f>
        <v/>
      </c>
    </row>
    <row r="468" spans="1:6" x14ac:dyDescent="0.25">
      <c r="A468">
        <v>464</v>
      </c>
      <c r="B468" t="str">
        <f t="shared" si="7"/>
        <v/>
      </c>
      <c r="C468" t="str">
        <f>IF('All Projects Calculations'!U468="","",'All Projects Calculations'!U468)</f>
        <v/>
      </c>
      <c r="F468" t="str">
        <f>IF('All Projects Calculations'!W468=0,"",'All Projects Calculations'!W468)</f>
        <v/>
      </c>
    </row>
    <row r="469" spans="1:6" x14ac:dyDescent="0.25">
      <c r="A469">
        <v>465</v>
      </c>
      <c r="B469" t="str">
        <f t="shared" si="7"/>
        <v/>
      </c>
      <c r="C469" t="str">
        <f>IF('All Projects Calculations'!U469="","",'All Projects Calculations'!U469)</f>
        <v/>
      </c>
      <c r="F469" t="str">
        <f>IF('All Projects Calculations'!W469=0,"",'All Projects Calculations'!W469)</f>
        <v/>
      </c>
    </row>
    <row r="470" spans="1:6" x14ac:dyDescent="0.25">
      <c r="A470">
        <v>466</v>
      </c>
      <c r="B470" t="str">
        <f t="shared" si="7"/>
        <v/>
      </c>
      <c r="C470" t="str">
        <f>IF('All Projects Calculations'!U470="","",'All Projects Calculations'!U470)</f>
        <v/>
      </c>
      <c r="F470" t="str">
        <f>IF('All Projects Calculations'!W470=0,"",'All Projects Calculations'!W470)</f>
        <v/>
      </c>
    </row>
    <row r="471" spans="1:6" x14ac:dyDescent="0.25">
      <c r="A471">
        <v>467</v>
      </c>
      <c r="B471" t="str">
        <f t="shared" si="7"/>
        <v/>
      </c>
      <c r="C471" t="str">
        <f>IF('All Projects Calculations'!U471="","",'All Projects Calculations'!U471)</f>
        <v/>
      </c>
      <c r="F471" t="str">
        <f>IF('All Projects Calculations'!W471=0,"",'All Projects Calculations'!W471)</f>
        <v/>
      </c>
    </row>
    <row r="472" spans="1:6" x14ac:dyDescent="0.25">
      <c r="A472">
        <v>468</v>
      </c>
      <c r="B472" t="str">
        <f t="shared" si="7"/>
        <v/>
      </c>
      <c r="C472" t="str">
        <f>IF('All Projects Calculations'!U472="","",'All Projects Calculations'!U472)</f>
        <v/>
      </c>
      <c r="F472" t="str">
        <f>IF('All Projects Calculations'!W472=0,"",'All Projects Calculations'!W472)</f>
        <v/>
      </c>
    </row>
    <row r="473" spans="1:6" x14ac:dyDescent="0.25">
      <c r="A473">
        <v>469</v>
      </c>
      <c r="B473" t="str">
        <f t="shared" si="7"/>
        <v/>
      </c>
      <c r="C473" t="str">
        <f>IF('All Projects Calculations'!U473="","",'All Projects Calculations'!U473)</f>
        <v/>
      </c>
      <c r="F473" t="str">
        <f>IF('All Projects Calculations'!W473=0,"",'All Projects Calculations'!W473)</f>
        <v/>
      </c>
    </row>
    <row r="474" spans="1:6" x14ac:dyDescent="0.25">
      <c r="A474">
        <v>470</v>
      </c>
      <c r="B474" t="str">
        <f t="shared" si="7"/>
        <v/>
      </c>
      <c r="C474" t="str">
        <f>IF('All Projects Calculations'!U474="","",'All Projects Calculations'!U474)</f>
        <v/>
      </c>
      <c r="F474" t="str">
        <f>IF('All Projects Calculations'!W474=0,"",'All Projects Calculations'!W474)</f>
        <v/>
      </c>
    </row>
    <row r="475" spans="1:6" x14ac:dyDescent="0.25">
      <c r="A475">
        <v>471</v>
      </c>
      <c r="B475" t="str">
        <f t="shared" si="7"/>
        <v/>
      </c>
      <c r="C475" t="str">
        <f>IF('All Projects Calculations'!U475="","",'All Projects Calculations'!U475)</f>
        <v/>
      </c>
      <c r="F475" t="str">
        <f>IF('All Projects Calculations'!W475=0,"",'All Projects Calculations'!W475)</f>
        <v/>
      </c>
    </row>
    <row r="476" spans="1:6" x14ac:dyDescent="0.25">
      <c r="A476">
        <v>472</v>
      </c>
      <c r="B476" t="str">
        <f t="shared" si="7"/>
        <v/>
      </c>
      <c r="C476" t="str">
        <f>IF('All Projects Calculations'!U476="","",'All Projects Calculations'!U476)</f>
        <v/>
      </c>
      <c r="F476" t="str">
        <f>IF('All Projects Calculations'!W476=0,"",'All Projects Calculations'!W476)</f>
        <v/>
      </c>
    </row>
    <row r="477" spans="1:6" x14ac:dyDescent="0.25">
      <c r="A477">
        <v>473</v>
      </c>
      <c r="B477" t="str">
        <f t="shared" si="7"/>
        <v/>
      </c>
      <c r="C477" t="str">
        <f>IF('All Projects Calculations'!U477="","",'All Projects Calculations'!U477)</f>
        <v/>
      </c>
      <c r="F477" t="str">
        <f>IF('All Projects Calculations'!W477=0,"",'All Projects Calculations'!W477)</f>
        <v/>
      </c>
    </row>
    <row r="478" spans="1:6" x14ac:dyDescent="0.25">
      <c r="A478">
        <v>474</v>
      </c>
      <c r="B478" t="str">
        <f t="shared" si="7"/>
        <v/>
      </c>
      <c r="C478" t="str">
        <f>IF('All Projects Calculations'!U478="","",'All Projects Calculations'!U478)</f>
        <v/>
      </c>
      <c r="F478" t="str">
        <f>IF('All Projects Calculations'!W478=0,"",'All Projects Calculations'!W478)</f>
        <v/>
      </c>
    </row>
    <row r="479" spans="1:6" x14ac:dyDescent="0.25">
      <c r="A479">
        <v>475</v>
      </c>
      <c r="B479" t="str">
        <f t="shared" si="7"/>
        <v/>
      </c>
      <c r="C479" t="str">
        <f>IF('All Projects Calculations'!U479="","",'All Projects Calculations'!U479)</f>
        <v/>
      </c>
      <c r="F479" t="str">
        <f>IF('All Projects Calculations'!W479=0,"",'All Projects Calculations'!W479)</f>
        <v/>
      </c>
    </row>
    <row r="480" spans="1:6" x14ac:dyDescent="0.25">
      <c r="A480">
        <v>476</v>
      </c>
      <c r="B480" t="str">
        <f t="shared" si="7"/>
        <v/>
      </c>
      <c r="C480" t="str">
        <f>IF('All Projects Calculations'!U480="","",'All Projects Calculations'!U480)</f>
        <v/>
      </c>
      <c r="F480" t="str">
        <f>IF('All Projects Calculations'!W480=0,"",'All Projects Calculations'!W480)</f>
        <v/>
      </c>
    </row>
    <row r="481" spans="1:6" x14ac:dyDescent="0.25">
      <c r="A481">
        <v>477</v>
      </c>
      <c r="B481" t="str">
        <f t="shared" si="7"/>
        <v/>
      </c>
      <c r="C481" t="str">
        <f>IF('All Projects Calculations'!U481="","",'All Projects Calculations'!U481)</f>
        <v/>
      </c>
      <c r="F481" t="str">
        <f>IF('All Projects Calculations'!W481=0,"",'All Projects Calculations'!W481)</f>
        <v/>
      </c>
    </row>
    <row r="482" spans="1:6" x14ac:dyDescent="0.25">
      <c r="A482">
        <v>478</v>
      </c>
      <c r="B482" t="str">
        <f t="shared" si="7"/>
        <v/>
      </c>
      <c r="C482" t="str">
        <f>IF('All Projects Calculations'!U482="","",'All Projects Calculations'!U482)</f>
        <v/>
      </c>
      <c r="F482" t="str">
        <f>IF('All Projects Calculations'!W482=0,"",'All Projects Calculations'!W482)</f>
        <v/>
      </c>
    </row>
    <row r="483" spans="1:6" x14ac:dyDescent="0.25">
      <c r="A483">
        <v>479</v>
      </c>
      <c r="B483" t="str">
        <f t="shared" si="7"/>
        <v/>
      </c>
      <c r="C483" t="str">
        <f>IF('All Projects Calculations'!U483="","",'All Projects Calculations'!U483)</f>
        <v/>
      </c>
      <c r="F483" t="str">
        <f>IF('All Projects Calculations'!W483=0,"",'All Projects Calculations'!W483)</f>
        <v/>
      </c>
    </row>
    <row r="484" spans="1:6" x14ac:dyDescent="0.25">
      <c r="A484">
        <v>480</v>
      </c>
      <c r="B484" t="str">
        <f t="shared" si="7"/>
        <v/>
      </c>
      <c r="C484" t="str">
        <f>IF('All Projects Calculations'!U484="","",'All Projects Calculations'!U484)</f>
        <v/>
      </c>
      <c r="F484" t="str">
        <f>IF('All Projects Calculations'!W484=0,"",'All Projects Calculations'!W484)</f>
        <v/>
      </c>
    </row>
    <row r="485" spans="1:6" x14ac:dyDescent="0.25">
      <c r="A485">
        <v>481</v>
      </c>
      <c r="B485" t="str">
        <f t="shared" si="7"/>
        <v/>
      </c>
      <c r="C485" t="str">
        <f>IF('All Projects Calculations'!U485="","",'All Projects Calculations'!U485)</f>
        <v/>
      </c>
      <c r="F485" t="str">
        <f>IF('All Projects Calculations'!W485=0,"",'All Projects Calculations'!W485)</f>
        <v/>
      </c>
    </row>
    <row r="486" spans="1:6" x14ac:dyDescent="0.25">
      <c r="A486">
        <v>482</v>
      </c>
      <c r="B486" t="str">
        <f t="shared" si="7"/>
        <v/>
      </c>
      <c r="C486" t="str">
        <f>IF('All Projects Calculations'!U486="","",'All Projects Calculations'!U486)</f>
        <v/>
      </c>
      <c r="F486" t="str">
        <f>IF('All Projects Calculations'!W486=0,"",'All Projects Calculations'!W486)</f>
        <v/>
      </c>
    </row>
    <row r="487" spans="1:6" x14ac:dyDescent="0.25">
      <c r="A487">
        <v>483</v>
      </c>
      <c r="B487" t="str">
        <f t="shared" si="7"/>
        <v/>
      </c>
      <c r="C487" t="str">
        <f>IF('All Projects Calculations'!U487="","",'All Projects Calculations'!U487)</f>
        <v/>
      </c>
      <c r="F487" t="str">
        <f>IF('All Projects Calculations'!W487=0,"",'All Projects Calculations'!W487)</f>
        <v/>
      </c>
    </row>
    <row r="488" spans="1:6" x14ac:dyDescent="0.25">
      <c r="A488">
        <v>484</v>
      </c>
      <c r="B488" t="str">
        <f t="shared" si="7"/>
        <v/>
      </c>
      <c r="C488" t="str">
        <f>IF('All Projects Calculations'!U488="","",'All Projects Calculations'!U488)</f>
        <v/>
      </c>
      <c r="F488" t="str">
        <f>IF('All Projects Calculations'!W488=0,"",'All Projects Calculations'!W488)</f>
        <v/>
      </c>
    </row>
    <row r="489" spans="1:6" x14ac:dyDescent="0.25">
      <c r="A489">
        <v>485</v>
      </c>
      <c r="B489" t="str">
        <f t="shared" si="7"/>
        <v/>
      </c>
      <c r="C489" t="str">
        <f>IF('All Projects Calculations'!U489="","",'All Projects Calculations'!U489)</f>
        <v/>
      </c>
      <c r="F489" t="str">
        <f>IF('All Projects Calculations'!W489=0,"",'All Projects Calculations'!W489)</f>
        <v/>
      </c>
    </row>
    <row r="490" spans="1:6" x14ac:dyDescent="0.25">
      <c r="A490">
        <v>486</v>
      </c>
      <c r="B490" t="str">
        <f t="shared" si="7"/>
        <v/>
      </c>
      <c r="C490" t="str">
        <f>IF('All Projects Calculations'!U490="","",'All Projects Calculations'!U490)</f>
        <v/>
      </c>
      <c r="F490" t="str">
        <f>IF('All Projects Calculations'!W490=0,"",'All Projects Calculations'!W490)</f>
        <v/>
      </c>
    </row>
    <row r="491" spans="1:6" x14ac:dyDescent="0.25">
      <c r="A491">
        <v>487</v>
      </c>
      <c r="B491" t="str">
        <f t="shared" si="7"/>
        <v/>
      </c>
      <c r="C491" t="str">
        <f>IF('All Projects Calculations'!U491="","",'All Projects Calculations'!U491)</f>
        <v/>
      </c>
      <c r="F491" t="str">
        <f>IF('All Projects Calculations'!W491=0,"",'All Projects Calculations'!W491)</f>
        <v/>
      </c>
    </row>
    <row r="492" spans="1:6" x14ac:dyDescent="0.25">
      <c r="A492">
        <v>488</v>
      </c>
      <c r="B492" t="str">
        <f t="shared" si="7"/>
        <v/>
      </c>
      <c r="C492" t="str">
        <f>IF('All Projects Calculations'!U492="","",'All Projects Calculations'!U492)</f>
        <v/>
      </c>
      <c r="F492" t="str">
        <f>IF('All Projects Calculations'!W492=0,"",'All Projects Calculations'!W492)</f>
        <v/>
      </c>
    </row>
    <row r="493" spans="1:6" x14ac:dyDescent="0.25">
      <c r="A493">
        <v>489</v>
      </c>
      <c r="B493" t="str">
        <f t="shared" si="7"/>
        <v/>
      </c>
      <c r="C493" t="str">
        <f>IF('All Projects Calculations'!U493="","",'All Projects Calculations'!U493)</f>
        <v/>
      </c>
      <c r="F493" t="str">
        <f>IF('All Projects Calculations'!W493=0,"",'All Projects Calculations'!W493)</f>
        <v/>
      </c>
    </row>
    <row r="494" spans="1:6" x14ac:dyDescent="0.25">
      <c r="A494">
        <v>490</v>
      </c>
      <c r="B494" t="str">
        <f t="shared" si="7"/>
        <v/>
      </c>
      <c r="C494" t="str">
        <f>IF('All Projects Calculations'!U494="","",'All Projects Calculations'!U494)</f>
        <v/>
      </c>
      <c r="F494" t="str">
        <f>IF('All Projects Calculations'!W494=0,"",'All Projects Calculations'!W494)</f>
        <v/>
      </c>
    </row>
    <row r="495" spans="1:6" x14ac:dyDescent="0.25">
      <c r="A495">
        <v>491</v>
      </c>
      <c r="B495" t="str">
        <f t="shared" si="7"/>
        <v/>
      </c>
      <c r="C495" t="str">
        <f>IF('All Projects Calculations'!U495="","",'All Projects Calculations'!U495)</f>
        <v/>
      </c>
      <c r="F495" t="str">
        <f>IF('All Projects Calculations'!W495=0,"",'All Projects Calculations'!W495)</f>
        <v/>
      </c>
    </row>
    <row r="496" spans="1:6" x14ac:dyDescent="0.25">
      <c r="A496">
        <v>492</v>
      </c>
      <c r="B496" t="str">
        <f t="shared" si="7"/>
        <v/>
      </c>
      <c r="C496" t="str">
        <f>IF('All Projects Calculations'!U496="","",'All Projects Calculations'!U496)</f>
        <v/>
      </c>
      <c r="F496" t="str">
        <f>IF('All Projects Calculations'!W496=0,"",'All Projects Calculations'!W496)</f>
        <v/>
      </c>
    </row>
    <row r="497" spans="1:6" x14ac:dyDescent="0.25">
      <c r="A497">
        <v>493</v>
      </c>
      <c r="B497" t="str">
        <f t="shared" si="7"/>
        <v/>
      </c>
      <c r="C497" t="str">
        <f>IF('All Projects Calculations'!U497="","",'All Projects Calculations'!U497)</f>
        <v/>
      </c>
      <c r="F497" t="str">
        <f>IF('All Projects Calculations'!W497=0,"",'All Projects Calculations'!W497)</f>
        <v/>
      </c>
    </row>
    <row r="498" spans="1:6" x14ac:dyDescent="0.25">
      <c r="A498">
        <v>494</v>
      </c>
      <c r="B498" t="str">
        <f t="shared" si="7"/>
        <v/>
      </c>
      <c r="C498" t="str">
        <f>IF('All Projects Calculations'!U498="","",'All Projects Calculations'!U498)</f>
        <v/>
      </c>
      <c r="F498" t="str">
        <f>IF('All Projects Calculations'!W498=0,"",'All Projects Calculations'!W498)</f>
        <v/>
      </c>
    </row>
    <row r="499" spans="1:6" x14ac:dyDescent="0.25">
      <c r="A499">
        <v>495</v>
      </c>
      <c r="B499" t="str">
        <f t="shared" si="7"/>
        <v/>
      </c>
      <c r="C499" t="str">
        <f>IF('All Projects Calculations'!U499="","",'All Projects Calculations'!U499)</f>
        <v/>
      </c>
      <c r="F499" t="str">
        <f>IF('All Projects Calculations'!W499=0,"",'All Projects Calculations'!W499)</f>
        <v/>
      </c>
    </row>
    <row r="500" spans="1:6" x14ac:dyDescent="0.25">
      <c r="A500">
        <v>496</v>
      </c>
      <c r="B500" t="str">
        <f t="shared" si="7"/>
        <v/>
      </c>
      <c r="C500" t="str">
        <f>IF('All Projects Calculations'!U500="","",'All Projects Calculations'!U500)</f>
        <v/>
      </c>
      <c r="F500" t="str">
        <f>IF('All Projects Calculations'!W500=0,"",'All Projects Calculations'!W500)</f>
        <v/>
      </c>
    </row>
    <row r="501" spans="1:6" x14ac:dyDescent="0.25">
      <c r="A501">
        <v>497</v>
      </c>
      <c r="B501" t="str">
        <f t="shared" si="7"/>
        <v/>
      </c>
      <c r="C501" t="str">
        <f>IF('All Projects Calculations'!U501="","",'All Projects Calculations'!U501)</f>
        <v/>
      </c>
      <c r="F501" t="str">
        <f>IF('All Projects Calculations'!W501=0,"",'All Projects Calculations'!W501)</f>
        <v/>
      </c>
    </row>
    <row r="502" spans="1:6" x14ac:dyDescent="0.25">
      <c r="A502">
        <v>498</v>
      </c>
      <c r="B502" t="str">
        <f t="shared" si="7"/>
        <v/>
      </c>
      <c r="C502" t="str">
        <f>IF('All Projects Calculations'!U502="","",'All Projects Calculations'!U502)</f>
        <v/>
      </c>
      <c r="F502" t="str">
        <f>IF('All Projects Calculations'!W502=0,"",'All Projects Calculations'!W502)</f>
        <v/>
      </c>
    </row>
    <row r="503" spans="1:6" x14ac:dyDescent="0.25">
      <c r="A503">
        <v>499</v>
      </c>
      <c r="B503" t="str">
        <f t="shared" si="7"/>
        <v/>
      </c>
      <c r="C503" t="str">
        <f>IF('All Projects Calculations'!U503="","",'All Projects Calculations'!U503)</f>
        <v/>
      </c>
      <c r="F503" t="str">
        <f>IF('All Projects Calculations'!W503=0,"",'All Projects Calculations'!W503)</f>
        <v/>
      </c>
    </row>
    <row r="504" spans="1:6" x14ac:dyDescent="0.25">
      <c r="A504">
        <v>500</v>
      </c>
      <c r="B504" t="str">
        <f t="shared" si="7"/>
        <v/>
      </c>
      <c r="C504" t="str">
        <f>IF('All Projects Calculations'!U504="","",'All Projects Calculations'!U504)</f>
        <v/>
      </c>
      <c r="F504" t="str">
        <f>IF('All Projects Calculations'!W504=0,"",'All Projects Calculations'!W504)</f>
        <v/>
      </c>
    </row>
    <row r="505" spans="1:6" x14ac:dyDescent="0.25">
      <c r="A505">
        <v>501</v>
      </c>
      <c r="B505" t="str">
        <f t="shared" si="7"/>
        <v/>
      </c>
      <c r="C505" t="str">
        <f>IF('All Projects Calculations'!U505="","",'All Projects Calculations'!U505)</f>
        <v/>
      </c>
      <c r="F505" t="str">
        <f>IF('All Projects Calculations'!W505=0,"",'All Projects Calculations'!W505)</f>
        <v/>
      </c>
    </row>
    <row r="506" spans="1:6" x14ac:dyDescent="0.25">
      <c r="A506">
        <v>502</v>
      </c>
      <c r="B506" t="str">
        <f t="shared" si="7"/>
        <v/>
      </c>
      <c r="C506" t="str">
        <f>IF('All Projects Calculations'!U506="","",'All Projects Calculations'!U506)</f>
        <v/>
      </c>
      <c r="F506" t="str">
        <f>IF('All Projects Calculations'!W506=0,"",'All Projects Calculations'!W506)</f>
        <v/>
      </c>
    </row>
    <row r="507" spans="1:6" x14ac:dyDescent="0.25">
      <c r="A507">
        <v>503</v>
      </c>
      <c r="B507" t="str">
        <f t="shared" si="7"/>
        <v/>
      </c>
      <c r="C507" t="str">
        <f>IF('All Projects Calculations'!U507="","",'All Projects Calculations'!U507)</f>
        <v/>
      </c>
      <c r="F507" t="str">
        <f>IF('All Projects Calculations'!W507=0,"",'All Projects Calculations'!W507)</f>
        <v/>
      </c>
    </row>
    <row r="508" spans="1:6" x14ac:dyDescent="0.25">
      <c r="A508">
        <v>504</v>
      </c>
      <c r="B508" t="str">
        <f t="shared" si="7"/>
        <v/>
      </c>
      <c r="C508" t="str">
        <f>IF('All Projects Calculations'!U508="","",'All Projects Calculations'!U508)</f>
        <v/>
      </c>
      <c r="F508" t="str">
        <f>IF('All Projects Calculations'!W508=0,"",'All Projects Calculations'!W508)</f>
        <v/>
      </c>
    </row>
    <row r="509" spans="1:6" x14ac:dyDescent="0.25">
      <c r="A509">
        <v>505</v>
      </c>
      <c r="B509" t="str">
        <f t="shared" si="7"/>
        <v/>
      </c>
      <c r="C509" t="str">
        <f>IF('All Projects Calculations'!U509="","",'All Projects Calculations'!U509)</f>
        <v/>
      </c>
      <c r="F509" t="str">
        <f>IF('All Projects Calculations'!W509=0,"",'All Projects Calculations'!W509)</f>
        <v/>
      </c>
    </row>
    <row r="510" spans="1:6" x14ac:dyDescent="0.25">
      <c r="A510">
        <v>506</v>
      </c>
      <c r="B510" t="str">
        <f t="shared" si="7"/>
        <v/>
      </c>
      <c r="C510" t="str">
        <f>IF('All Projects Calculations'!U510="","",'All Projects Calculations'!U510)</f>
        <v/>
      </c>
      <c r="F510" t="str">
        <f>IF('All Projects Calculations'!W510=0,"",'All Projects Calculations'!W510)</f>
        <v/>
      </c>
    </row>
    <row r="511" spans="1:6" x14ac:dyDescent="0.25">
      <c r="A511">
        <v>507</v>
      </c>
      <c r="B511" t="str">
        <f t="shared" si="7"/>
        <v/>
      </c>
      <c r="C511" t="str">
        <f>IF('All Projects Calculations'!U511="","",'All Projects Calculations'!U511)</f>
        <v/>
      </c>
      <c r="F511" t="str">
        <f>IF('All Projects Calculations'!W511=0,"",'All Projects Calculations'!W511)</f>
        <v/>
      </c>
    </row>
    <row r="512" spans="1:6" x14ac:dyDescent="0.25">
      <c r="A512">
        <v>508</v>
      </c>
      <c r="B512" t="str">
        <f t="shared" si="7"/>
        <v/>
      </c>
      <c r="C512" t="str">
        <f>IF('All Projects Calculations'!U512="","",'All Projects Calculations'!U512)</f>
        <v/>
      </c>
      <c r="F512" t="str">
        <f>IF('All Projects Calculations'!W512=0,"",'All Projects Calculations'!W512)</f>
        <v/>
      </c>
    </row>
    <row r="513" spans="1:6" x14ac:dyDescent="0.25">
      <c r="A513">
        <v>509</v>
      </c>
      <c r="B513" t="str">
        <f t="shared" si="7"/>
        <v/>
      </c>
      <c r="C513" t="str">
        <f>IF('All Projects Calculations'!U513="","",'All Projects Calculations'!U513)</f>
        <v/>
      </c>
      <c r="F513" t="str">
        <f>IF('All Projects Calculations'!W513=0,"",'All Projects Calculations'!W513)</f>
        <v/>
      </c>
    </row>
    <row r="514" spans="1:6" x14ac:dyDescent="0.25">
      <c r="A514">
        <v>510</v>
      </c>
      <c r="B514" t="str">
        <f t="shared" si="7"/>
        <v/>
      </c>
      <c r="C514" t="str">
        <f>IF('All Projects Calculations'!U514="","",'All Projects Calculations'!U514)</f>
        <v/>
      </c>
      <c r="F514" t="str">
        <f>IF('All Projects Calculations'!W514=0,"",'All Projects Calculations'!W514)</f>
        <v/>
      </c>
    </row>
    <row r="515" spans="1:6" x14ac:dyDescent="0.25">
      <c r="A515">
        <v>511</v>
      </c>
      <c r="B515" t="str">
        <f t="shared" si="7"/>
        <v/>
      </c>
      <c r="C515" t="str">
        <f>IF('All Projects Calculations'!U515="","",'All Projects Calculations'!U515)</f>
        <v/>
      </c>
      <c r="F515" t="str">
        <f>IF('All Projects Calculations'!W515=0,"",'All Projects Calculations'!W515)</f>
        <v/>
      </c>
    </row>
    <row r="516" spans="1:6" x14ac:dyDescent="0.25">
      <c r="A516">
        <v>512</v>
      </c>
      <c r="B516" t="str">
        <f t="shared" si="7"/>
        <v/>
      </c>
      <c r="C516" t="str">
        <f>IF('All Projects Calculations'!U516="","",'All Projects Calculations'!U516)</f>
        <v/>
      </c>
      <c r="F516" t="str">
        <f>IF('All Projects Calculations'!W516=0,"",'All Projects Calculations'!W516)</f>
        <v/>
      </c>
    </row>
    <row r="517" spans="1:6" x14ac:dyDescent="0.25">
      <c r="A517">
        <v>513</v>
      </c>
      <c r="B517" t="str">
        <f t="shared" si="7"/>
        <v/>
      </c>
      <c r="C517" t="str">
        <f>IF('All Projects Calculations'!U517="","",'All Projects Calculations'!U517)</f>
        <v/>
      </c>
      <c r="F517" t="str">
        <f>IF('All Projects Calculations'!W517=0,"",'All Projects Calculations'!W517)</f>
        <v/>
      </c>
    </row>
    <row r="518" spans="1:6" x14ac:dyDescent="0.25">
      <c r="A518">
        <v>514</v>
      </c>
      <c r="B518" t="str">
        <f t="shared" ref="B518:B581" si="8">IF(F518="","",A518)</f>
        <v/>
      </c>
      <c r="C518" t="str">
        <f>IF('All Projects Calculations'!U518="","",'All Projects Calculations'!U518)</f>
        <v/>
      </c>
      <c r="F518" t="str">
        <f>IF('All Projects Calculations'!W518=0,"",'All Projects Calculations'!W518)</f>
        <v/>
      </c>
    </row>
    <row r="519" spans="1:6" x14ac:dyDescent="0.25">
      <c r="A519">
        <v>515</v>
      </c>
      <c r="B519" t="str">
        <f t="shared" si="8"/>
        <v/>
      </c>
      <c r="C519" t="str">
        <f>IF('All Projects Calculations'!U519="","",'All Projects Calculations'!U519)</f>
        <v/>
      </c>
      <c r="F519" t="str">
        <f>IF('All Projects Calculations'!W519=0,"",'All Projects Calculations'!W519)</f>
        <v/>
      </c>
    </row>
    <row r="520" spans="1:6" x14ac:dyDescent="0.25">
      <c r="A520">
        <v>516</v>
      </c>
      <c r="B520" t="str">
        <f t="shared" si="8"/>
        <v/>
      </c>
      <c r="C520" t="str">
        <f>IF('All Projects Calculations'!U520="","",'All Projects Calculations'!U520)</f>
        <v/>
      </c>
      <c r="F520" t="str">
        <f>IF('All Projects Calculations'!W520=0,"",'All Projects Calculations'!W520)</f>
        <v/>
      </c>
    </row>
    <row r="521" spans="1:6" x14ac:dyDescent="0.25">
      <c r="A521">
        <v>517</v>
      </c>
      <c r="B521" t="str">
        <f t="shared" si="8"/>
        <v/>
      </c>
      <c r="C521" t="str">
        <f>IF('All Projects Calculations'!U521="","",'All Projects Calculations'!U521)</f>
        <v/>
      </c>
      <c r="F521" t="str">
        <f>IF('All Projects Calculations'!W521=0,"",'All Projects Calculations'!W521)</f>
        <v/>
      </c>
    </row>
    <row r="522" spans="1:6" x14ac:dyDescent="0.25">
      <c r="A522">
        <v>518</v>
      </c>
      <c r="B522" t="str">
        <f t="shared" si="8"/>
        <v/>
      </c>
      <c r="C522" t="str">
        <f>IF('All Projects Calculations'!U522="","",'All Projects Calculations'!U522)</f>
        <v/>
      </c>
      <c r="F522" t="str">
        <f>IF('All Projects Calculations'!W522=0,"",'All Projects Calculations'!W522)</f>
        <v/>
      </c>
    </row>
    <row r="523" spans="1:6" x14ac:dyDescent="0.25">
      <c r="A523">
        <v>519</v>
      </c>
      <c r="B523" t="str">
        <f t="shared" si="8"/>
        <v/>
      </c>
      <c r="C523" t="str">
        <f>IF('All Projects Calculations'!U523="","",'All Projects Calculations'!U523)</f>
        <v/>
      </c>
      <c r="F523" t="str">
        <f>IF('All Projects Calculations'!W523=0,"",'All Projects Calculations'!W523)</f>
        <v/>
      </c>
    </row>
    <row r="524" spans="1:6" x14ac:dyDescent="0.25">
      <c r="A524">
        <v>520</v>
      </c>
      <c r="B524" t="str">
        <f t="shared" si="8"/>
        <v/>
      </c>
      <c r="C524" t="str">
        <f>IF('All Projects Calculations'!U524="","",'All Projects Calculations'!U524)</f>
        <v/>
      </c>
      <c r="F524" t="str">
        <f>IF('All Projects Calculations'!W524=0,"",'All Projects Calculations'!W524)</f>
        <v/>
      </c>
    </row>
    <row r="525" spans="1:6" x14ac:dyDescent="0.25">
      <c r="A525">
        <v>521</v>
      </c>
      <c r="B525" t="str">
        <f t="shared" si="8"/>
        <v/>
      </c>
      <c r="C525" t="str">
        <f>IF('All Projects Calculations'!U525="","",'All Projects Calculations'!U525)</f>
        <v/>
      </c>
      <c r="F525" t="str">
        <f>IF('All Projects Calculations'!W525=0,"",'All Projects Calculations'!W525)</f>
        <v/>
      </c>
    </row>
    <row r="526" spans="1:6" x14ac:dyDescent="0.25">
      <c r="A526">
        <v>522</v>
      </c>
      <c r="B526" t="str">
        <f t="shared" si="8"/>
        <v/>
      </c>
      <c r="C526" t="str">
        <f>IF('All Projects Calculations'!U526="","",'All Projects Calculations'!U526)</f>
        <v/>
      </c>
      <c r="F526" t="str">
        <f>IF('All Projects Calculations'!W526=0,"",'All Projects Calculations'!W526)</f>
        <v/>
      </c>
    </row>
    <row r="527" spans="1:6" x14ac:dyDescent="0.25">
      <c r="A527">
        <v>523</v>
      </c>
      <c r="B527" t="str">
        <f t="shared" si="8"/>
        <v/>
      </c>
      <c r="C527" t="str">
        <f>IF('All Projects Calculations'!U527="","",'All Projects Calculations'!U527)</f>
        <v/>
      </c>
      <c r="F527" t="str">
        <f>IF('All Projects Calculations'!W527=0,"",'All Projects Calculations'!W527)</f>
        <v/>
      </c>
    </row>
    <row r="528" spans="1:6" x14ac:dyDescent="0.25">
      <c r="A528">
        <v>524</v>
      </c>
      <c r="B528" t="str">
        <f t="shared" si="8"/>
        <v/>
      </c>
      <c r="C528" t="str">
        <f>IF('All Projects Calculations'!U528="","",'All Projects Calculations'!U528)</f>
        <v/>
      </c>
      <c r="F528" t="str">
        <f>IF('All Projects Calculations'!W528=0,"",'All Projects Calculations'!W528)</f>
        <v/>
      </c>
    </row>
    <row r="529" spans="1:6" x14ac:dyDescent="0.25">
      <c r="A529">
        <v>525</v>
      </c>
      <c r="B529" t="str">
        <f t="shared" si="8"/>
        <v/>
      </c>
      <c r="C529" t="str">
        <f>IF('All Projects Calculations'!U529="","",'All Projects Calculations'!U529)</f>
        <v/>
      </c>
      <c r="F529" t="str">
        <f>IF('All Projects Calculations'!W529=0,"",'All Projects Calculations'!W529)</f>
        <v/>
      </c>
    </row>
    <row r="530" spans="1:6" x14ac:dyDescent="0.25">
      <c r="A530">
        <v>526</v>
      </c>
      <c r="B530" t="str">
        <f t="shared" si="8"/>
        <v/>
      </c>
      <c r="C530" t="str">
        <f>IF('All Projects Calculations'!U530="","",'All Projects Calculations'!U530)</f>
        <v/>
      </c>
      <c r="F530" t="str">
        <f>IF('All Projects Calculations'!W530=0,"",'All Projects Calculations'!W530)</f>
        <v/>
      </c>
    </row>
    <row r="531" spans="1:6" x14ac:dyDescent="0.25">
      <c r="A531">
        <v>527</v>
      </c>
      <c r="B531" t="str">
        <f t="shared" si="8"/>
        <v/>
      </c>
      <c r="C531" t="str">
        <f>IF('All Projects Calculations'!U531="","",'All Projects Calculations'!U531)</f>
        <v/>
      </c>
      <c r="F531" t="str">
        <f>IF('All Projects Calculations'!W531=0,"",'All Projects Calculations'!W531)</f>
        <v/>
      </c>
    </row>
    <row r="532" spans="1:6" x14ac:dyDescent="0.25">
      <c r="A532">
        <v>528</v>
      </c>
      <c r="B532" t="str">
        <f t="shared" si="8"/>
        <v/>
      </c>
      <c r="C532" t="str">
        <f>IF('All Projects Calculations'!U532="","",'All Projects Calculations'!U532)</f>
        <v/>
      </c>
      <c r="F532" t="str">
        <f>IF('All Projects Calculations'!W532=0,"",'All Projects Calculations'!W532)</f>
        <v/>
      </c>
    </row>
    <row r="533" spans="1:6" x14ac:dyDescent="0.25">
      <c r="A533">
        <v>529</v>
      </c>
      <c r="B533" t="str">
        <f t="shared" si="8"/>
        <v/>
      </c>
      <c r="C533" t="str">
        <f>IF('All Projects Calculations'!U533="","",'All Projects Calculations'!U533)</f>
        <v/>
      </c>
      <c r="F533" t="str">
        <f>IF('All Projects Calculations'!W533=0,"",'All Projects Calculations'!W533)</f>
        <v/>
      </c>
    </row>
    <row r="534" spans="1:6" x14ac:dyDescent="0.25">
      <c r="A534">
        <v>530</v>
      </c>
      <c r="B534" t="str">
        <f t="shared" si="8"/>
        <v/>
      </c>
      <c r="C534" t="str">
        <f>IF('All Projects Calculations'!U534="","",'All Projects Calculations'!U534)</f>
        <v/>
      </c>
      <c r="F534" t="str">
        <f>IF('All Projects Calculations'!W534=0,"",'All Projects Calculations'!W534)</f>
        <v/>
      </c>
    </row>
    <row r="535" spans="1:6" x14ac:dyDescent="0.25">
      <c r="A535">
        <v>531</v>
      </c>
      <c r="B535" t="str">
        <f t="shared" si="8"/>
        <v/>
      </c>
      <c r="C535" t="str">
        <f>IF('All Projects Calculations'!U535="","",'All Projects Calculations'!U535)</f>
        <v/>
      </c>
      <c r="F535" t="str">
        <f>IF('All Projects Calculations'!W535=0,"",'All Projects Calculations'!W535)</f>
        <v/>
      </c>
    </row>
    <row r="536" spans="1:6" x14ac:dyDescent="0.25">
      <c r="A536">
        <v>532</v>
      </c>
      <c r="B536" t="str">
        <f t="shared" si="8"/>
        <v/>
      </c>
      <c r="C536" t="str">
        <f>IF('All Projects Calculations'!U536="","",'All Projects Calculations'!U536)</f>
        <v/>
      </c>
      <c r="F536" t="str">
        <f>IF('All Projects Calculations'!W536=0,"",'All Projects Calculations'!W536)</f>
        <v/>
      </c>
    </row>
    <row r="537" spans="1:6" x14ac:dyDescent="0.25">
      <c r="A537">
        <v>533</v>
      </c>
      <c r="B537" t="str">
        <f t="shared" si="8"/>
        <v/>
      </c>
      <c r="C537" t="str">
        <f>IF('All Projects Calculations'!U537="","",'All Projects Calculations'!U537)</f>
        <v/>
      </c>
      <c r="F537" t="str">
        <f>IF('All Projects Calculations'!W537=0,"",'All Projects Calculations'!W537)</f>
        <v/>
      </c>
    </row>
    <row r="538" spans="1:6" x14ac:dyDescent="0.25">
      <c r="A538">
        <v>534</v>
      </c>
      <c r="B538" t="str">
        <f t="shared" si="8"/>
        <v/>
      </c>
      <c r="C538" t="str">
        <f>IF('All Projects Calculations'!U538="","",'All Projects Calculations'!U538)</f>
        <v/>
      </c>
      <c r="F538" t="str">
        <f>IF('All Projects Calculations'!W538=0,"",'All Projects Calculations'!W538)</f>
        <v/>
      </c>
    </row>
    <row r="539" spans="1:6" x14ac:dyDescent="0.25">
      <c r="A539">
        <v>535</v>
      </c>
      <c r="B539" t="str">
        <f t="shared" si="8"/>
        <v/>
      </c>
      <c r="C539" t="str">
        <f>IF('All Projects Calculations'!U539="","",'All Projects Calculations'!U539)</f>
        <v/>
      </c>
      <c r="F539" t="str">
        <f>IF('All Projects Calculations'!W539=0,"",'All Projects Calculations'!W539)</f>
        <v/>
      </c>
    </row>
    <row r="540" spans="1:6" x14ac:dyDescent="0.25">
      <c r="A540">
        <v>536</v>
      </c>
      <c r="B540" t="str">
        <f t="shared" si="8"/>
        <v/>
      </c>
      <c r="C540" t="str">
        <f>IF('All Projects Calculations'!U540="","",'All Projects Calculations'!U540)</f>
        <v/>
      </c>
      <c r="F540" t="str">
        <f>IF('All Projects Calculations'!W540=0,"",'All Projects Calculations'!W540)</f>
        <v/>
      </c>
    </row>
    <row r="541" spans="1:6" x14ac:dyDescent="0.25">
      <c r="A541">
        <v>537</v>
      </c>
      <c r="B541" t="str">
        <f t="shared" si="8"/>
        <v/>
      </c>
      <c r="C541" t="str">
        <f>IF('All Projects Calculations'!U541="","",'All Projects Calculations'!U541)</f>
        <v/>
      </c>
      <c r="F541" t="str">
        <f>IF('All Projects Calculations'!W541=0,"",'All Projects Calculations'!W541)</f>
        <v/>
      </c>
    </row>
    <row r="542" spans="1:6" x14ac:dyDescent="0.25">
      <c r="A542">
        <v>538</v>
      </c>
      <c r="B542" t="str">
        <f t="shared" si="8"/>
        <v/>
      </c>
      <c r="C542" t="str">
        <f>IF('All Projects Calculations'!U542="","",'All Projects Calculations'!U542)</f>
        <v/>
      </c>
      <c r="F542" t="str">
        <f>IF('All Projects Calculations'!W542=0,"",'All Projects Calculations'!W542)</f>
        <v/>
      </c>
    </row>
    <row r="543" spans="1:6" x14ac:dyDescent="0.25">
      <c r="A543">
        <v>539</v>
      </c>
      <c r="B543" t="str">
        <f t="shared" si="8"/>
        <v/>
      </c>
      <c r="C543" t="str">
        <f>IF('All Projects Calculations'!U543="","",'All Projects Calculations'!U543)</f>
        <v/>
      </c>
      <c r="F543" t="str">
        <f>IF('All Projects Calculations'!W543=0,"",'All Projects Calculations'!W543)</f>
        <v/>
      </c>
    </row>
    <row r="544" spans="1:6" x14ac:dyDescent="0.25">
      <c r="A544">
        <v>540</v>
      </c>
      <c r="B544" t="str">
        <f t="shared" si="8"/>
        <v/>
      </c>
      <c r="C544" t="str">
        <f>IF('All Projects Calculations'!U544="","",'All Projects Calculations'!U544)</f>
        <v/>
      </c>
      <c r="F544" t="str">
        <f>IF('All Projects Calculations'!W544=0,"",'All Projects Calculations'!W544)</f>
        <v/>
      </c>
    </row>
    <row r="545" spans="1:6" x14ac:dyDescent="0.25">
      <c r="A545">
        <v>541</v>
      </c>
      <c r="B545" t="str">
        <f t="shared" si="8"/>
        <v/>
      </c>
      <c r="C545" t="str">
        <f>IF('All Projects Calculations'!U545="","",'All Projects Calculations'!U545)</f>
        <v/>
      </c>
      <c r="F545" t="str">
        <f>IF('All Projects Calculations'!W545=0,"",'All Projects Calculations'!W545)</f>
        <v/>
      </c>
    </row>
    <row r="546" spans="1:6" x14ac:dyDescent="0.25">
      <c r="A546">
        <v>542</v>
      </c>
      <c r="B546" t="str">
        <f t="shared" si="8"/>
        <v/>
      </c>
      <c r="C546" t="str">
        <f>IF('All Projects Calculations'!U546="","",'All Projects Calculations'!U546)</f>
        <v/>
      </c>
      <c r="F546" t="str">
        <f>IF('All Projects Calculations'!W546=0,"",'All Projects Calculations'!W546)</f>
        <v/>
      </c>
    </row>
    <row r="547" spans="1:6" x14ac:dyDescent="0.25">
      <c r="A547">
        <v>543</v>
      </c>
      <c r="B547" t="str">
        <f t="shared" si="8"/>
        <v/>
      </c>
      <c r="C547" t="str">
        <f>IF('All Projects Calculations'!U547="","",'All Projects Calculations'!U547)</f>
        <v/>
      </c>
      <c r="F547" t="str">
        <f>IF('All Projects Calculations'!W547=0,"",'All Projects Calculations'!W547)</f>
        <v/>
      </c>
    </row>
    <row r="548" spans="1:6" x14ac:dyDescent="0.25">
      <c r="A548">
        <v>544</v>
      </c>
      <c r="B548" t="str">
        <f t="shared" si="8"/>
        <v/>
      </c>
      <c r="C548" t="str">
        <f>IF('All Projects Calculations'!U548="","",'All Projects Calculations'!U548)</f>
        <v/>
      </c>
      <c r="F548" t="str">
        <f>IF('All Projects Calculations'!W548=0,"",'All Projects Calculations'!W548)</f>
        <v/>
      </c>
    </row>
    <row r="549" spans="1:6" x14ac:dyDescent="0.25">
      <c r="A549">
        <v>545</v>
      </c>
      <c r="B549" t="str">
        <f t="shared" si="8"/>
        <v/>
      </c>
      <c r="C549" t="str">
        <f>IF('All Projects Calculations'!U549="","",'All Projects Calculations'!U549)</f>
        <v/>
      </c>
      <c r="F549" t="str">
        <f>IF('All Projects Calculations'!W549=0,"",'All Projects Calculations'!W549)</f>
        <v/>
      </c>
    </row>
    <row r="550" spans="1:6" x14ac:dyDescent="0.25">
      <c r="A550">
        <v>546</v>
      </c>
      <c r="B550" t="str">
        <f t="shared" si="8"/>
        <v/>
      </c>
      <c r="C550" t="str">
        <f>IF('All Projects Calculations'!U550="","",'All Projects Calculations'!U550)</f>
        <v/>
      </c>
      <c r="F550" t="str">
        <f>IF('All Projects Calculations'!W550=0,"",'All Projects Calculations'!W550)</f>
        <v/>
      </c>
    </row>
    <row r="551" spans="1:6" x14ac:dyDescent="0.25">
      <c r="A551">
        <v>547</v>
      </c>
      <c r="B551" t="str">
        <f t="shared" si="8"/>
        <v/>
      </c>
      <c r="C551" t="str">
        <f>IF('All Projects Calculations'!U551="","",'All Projects Calculations'!U551)</f>
        <v/>
      </c>
      <c r="F551" t="str">
        <f>IF('All Projects Calculations'!W551=0,"",'All Projects Calculations'!W551)</f>
        <v/>
      </c>
    </row>
    <row r="552" spans="1:6" x14ac:dyDescent="0.25">
      <c r="A552">
        <v>548</v>
      </c>
      <c r="B552" t="str">
        <f t="shared" si="8"/>
        <v/>
      </c>
      <c r="C552" t="str">
        <f>IF('All Projects Calculations'!U552="","",'All Projects Calculations'!U552)</f>
        <v/>
      </c>
      <c r="F552" t="str">
        <f>IF('All Projects Calculations'!W552=0,"",'All Projects Calculations'!W552)</f>
        <v/>
      </c>
    </row>
    <row r="553" spans="1:6" x14ac:dyDescent="0.25">
      <c r="A553">
        <v>549</v>
      </c>
      <c r="B553" t="str">
        <f t="shared" si="8"/>
        <v/>
      </c>
      <c r="C553" t="str">
        <f>IF('All Projects Calculations'!U553="","",'All Projects Calculations'!U553)</f>
        <v/>
      </c>
      <c r="F553" t="str">
        <f>IF('All Projects Calculations'!W553=0,"",'All Projects Calculations'!W553)</f>
        <v/>
      </c>
    </row>
    <row r="554" spans="1:6" x14ac:dyDescent="0.25">
      <c r="A554">
        <v>550</v>
      </c>
      <c r="B554" t="str">
        <f t="shared" si="8"/>
        <v/>
      </c>
      <c r="C554" t="str">
        <f>IF('All Projects Calculations'!U554="","",'All Projects Calculations'!U554)</f>
        <v/>
      </c>
      <c r="F554" t="str">
        <f>IF('All Projects Calculations'!W554=0,"",'All Projects Calculations'!W554)</f>
        <v/>
      </c>
    </row>
    <row r="555" spans="1:6" x14ac:dyDescent="0.25">
      <c r="A555">
        <v>551</v>
      </c>
      <c r="B555" t="str">
        <f t="shared" si="8"/>
        <v/>
      </c>
      <c r="C555" t="str">
        <f>IF('All Projects Calculations'!U555="","",'All Projects Calculations'!U555)</f>
        <v/>
      </c>
      <c r="F555" t="str">
        <f>IF('All Projects Calculations'!W555=0,"",'All Projects Calculations'!W555)</f>
        <v/>
      </c>
    </row>
    <row r="556" spans="1:6" x14ac:dyDescent="0.25">
      <c r="A556">
        <v>552</v>
      </c>
      <c r="B556" t="str">
        <f t="shared" si="8"/>
        <v/>
      </c>
      <c r="C556" t="str">
        <f>IF('All Projects Calculations'!U556="","",'All Projects Calculations'!U556)</f>
        <v/>
      </c>
      <c r="F556" t="str">
        <f>IF('All Projects Calculations'!W556=0,"",'All Projects Calculations'!W556)</f>
        <v/>
      </c>
    </row>
    <row r="557" spans="1:6" x14ac:dyDescent="0.25">
      <c r="A557">
        <v>553</v>
      </c>
      <c r="B557" t="str">
        <f t="shared" si="8"/>
        <v/>
      </c>
      <c r="C557" t="str">
        <f>IF('All Projects Calculations'!U557="","",'All Projects Calculations'!U557)</f>
        <v/>
      </c>
      <c r="F557" t="str">
        <f>IF('All Projects Calculations'!W557=0,"",'All Projects Calculations'!W557)</f>
        <v/>
      </c>
    </row>
    <row r="558" spans="1:6" x14ac:dyDescent="0.25">
      <c r="A558">
        <v>554</v>
      </c>
      <c r="B558" t="str">
        <f t="shared" si="8"/>
        <v/>
      </c>
      <c r="C558" t="str">
        <f>IF('All Projects Calculations'!U558="","",'All Projects Calculations'!U558)</f>
        <v/>
      </c>
      <c r="F558" t="str">
        <f>IF('All Projects Calculations'!W558=0,"",'All Projects Calculations'!W558)</f>
        <v/>
      </c>
    </row>
    <row r="559" spans="1:6" x14ac:dyDescent="0.25">
      <c r="A559">
        <v>555</v>
      </c>
      <c r="B559" t="str">
        <f t="shared" si="8"/>
        <v/>
      </c>
      <c r="C559" t="str">
        <f>IF('All Projects Calculations'!U559="","",'All Projects Calculations'!U559)</f>
        <v/>
      </c>
      <c r="F559" t="str">
        <f>IF('All Projects Calculations'!W559=0,"",'All Projects Calculations'!W559)</f>
        <v/>
      </c>
    </row>
    <row r="560" spans="1:6" x14ac:dyDescent="0.25">
      <c r="A560">
        <v>556</v>
      </c>
      <c r="B560" t="str">
        <f t="shared" si="8"/>
        <v/>
      </c>
      <c r="C560" t="str">
        <f>IF('All Projects Calculations'!U560="","",'All Projects Calculations'!U560)</f>
        <v/>
      </c>
      <c r="F560" t="str">
        <f>IF('All Projects Calculations'!W560=0,"",'All Projects Calculations'!W560)</f>
        <v/>
      </c>
    </row>
    <row r="561" spans="1:6" x14ac:dyDescent="0.25">
      <c r="A561">
        <v>557</v>
      </c>
      <c r="B561" t="str">
        <f t="shared" si="8"/>
        <v/>
      </c>
      <c r="C561" t="str">
        <f>IF('All Projects Calculations'!U561="","",'All Projects Calculations'!U561)</f>
        <v/>
      </c>
      <c r="F561" t="str">
        <f>IF('All Projects Calculations'!W561=0,"",'All Projects Calculations'!W561)</f>
        <v/>
      </c>
    </row>
    <row r="562" spans="1:6" x14ac:dyDescent="0.25">
      <c r="A562">
        <v>558</v>
      </c>
      <c r="B562" t="str">
        <f t="shared" si="8"/>
        <v/>
      </c>
      <c r="C562" t="str">
        <f>IF('All Projects Calculations'!U562="","",'All Projects Calculations'!U562)</f>
        <v/>
      </c>
      <c r="F562" t="str">
        <f>IF('All Projects Calculations'!W562=0,"",'All Projects Calculations'!W562)</f>
        <v/>
      </c>
    </row>
    <row r="563" spans="1:6" x14ac:dyDescent="0.25">
      <c r="A563">
        <v>559</v>
      </c>
      <c r="B563" t="str">
        <f t="shared" si="8"/>
        <v/>
      </c>
      <c r="C563" t="str">
        <f>IF('All Projects Calculations'!U563="","",'All Projects Calculations'!U563)</f>
        <v/>
      </c>
      <c r="F563" t="str">
        <f>IF('All Projects Calculations'!W563=0,"",'All Projects Calculations'!W563)</f>
        <v/>
      </c>
    </row>
    <row r="564" spans="1:6" x14ac:dyDescent="0.25">
      <c r="A564">
        <v>560</v>
      </c>
      <c r="B564" t="str">
        <f t="shared" si="8"/>
        <v/>
      </c>
      <c r="C564" t="str">
        <f>IF('All Projects Calculations'!U564="","",'All Projects Calculations'!U564)</f>
        <v/>
      </c>
      <c r="F564" t="str">
        <f>IF('All Projects Calculations'!W564=0,"",'All Projects Calculations'!W564)</f>
        <v/>
      </c>
    </row>
    <row r="565" spans="1:6" x14ac:dyDescent="0.25">
      <c r="A565">
        <v>561</v>
      </c>
      <c r="B565" t="str">
        <f t="shared" si="8"/>
        <v/>
      </c>
      <c r="C565" t="str">
        <f>IF('All Projects Calculations'!U565="","",'All Projects Calculations'!U565)</f>
        <v/>
      </c>
      <c r="F565" t="str">
        <f>IF('All Projects Calculations'!W565=0,"",'All Projects Calculations'!W565)</f>
        <v/>
      </c>
    </row>
    <row r="566" spans="1:6" x14ac:dyDescent="0.25">
      <c r="A566">
        <v>562</v>
      </c>
      <c r="B566" t="str">
        <f t="shared" si="8"/>
        <v/>
      </c>
      <c r="C566" t="str">
        <f>IF('All Projects Calculations'!U566="","",'All Projects Calculations'!U566)</f>
        <v/>
      </c>
      <c r="F566" t="str">
        <f>IF('All Projects Calculations'!W566=0,"",'All Projects Calculations'!W566)</f>
        <v/>
      </c>
    </row>
    <row r="567" spans="1:6" x14ac:dyDescent="0.25">
      <c r="A567">
        <v>563</v>
      </c>
      <c r="B567" t="str">
        <f t="shared" si="8"/>
        <v/>
      </c>
      <c r="C567" t="str">
        <f>IF('All Projects Calculations'!U567="","",'All Projects Calculations'!U567)</f>
        <v/>
      </c>
      <c r="F567" t="str">
        <f>IF('All Projects Calculations'!W567=0,"",'All Projects Calculations'!W567)</f>
        <v/>
      </c>
    </row>
    <row r="568" spans="1:6" x14ac:dyDescent="0.25">
      <c r="A568">
        <v>564</v>
      </c>
      <c r="B568" t="str">
        <f t="shared" si="8"/>
        <v/>
      </c>
      <c r="C568" t="str">
        <f>IF('All Projects Calculations'!U568="","",'All Projects Calculations'!U568)</f>
        <v/>
      </c>
      <c r="F568" t="str">
        <f>IF('All Projects Calculations'!W568=0,"",'All Projects Calculations'!W568)</f>
        <v/>
      </c>
    </row>
    <row r="569" spans="1:6" x14ac:dyDescent="0.25">
      <c r="A569">
        <v>565</v>
      </c>
      <c r="B569" t="str">
        <f t="shared" si="8"/>
        <v/>
      </c>
      <c r="C569" t="str">
        <f>IF('All Projects Calculations'!U569="","",'All Projects Calculations'!U569)</f>
        <v/>
      </c>
      <c r="F569" t="str">
        <f>IF('All Projects Calculations'!W569=0,"",'All Projects Calculations'!W569)</f>
        <v/>
      </c>
    </row>
    <row r="570" spans="1:6" x14ac:dyDescent="0.25">
      <c r="A570">
        <v>566</v>
      </c>
      <c r="B570" t="str">
        <f t="shared" si="8"/>
        <v/>
      </c>
      <c r="C570" t="str">
        <f>IF('All Projects Calculations'!U570="","",'All Projects Calculations'!U570)</f>
        <v/>
      </c>
      <c r="F570" t="str">
        <f>IF('All Projects Calculations'!W570=0,"",'All Projects Calculations'!W570)</f>
        <v/>
      </c>
    </row>
    <row r="571" spans="1:6" x14ac:dyDescent="0.25">
      <c r="A571">
        <v>567</v>
      </c>
      <c r="B571" t="str">
        <f t="shared" si="8"/>
        <v/>
      </c>
      <c r="C571" t="str">
        <f>IF('All Projects Calculations'!U571="","",'All Projects Calculations'!U571)</f>
        <v/>
      </c>
      <c r="F571" t="str">
        <f>IF('All Projects Calculations'!W571=0,"",'All Projects Calculations'!W571)</f>
        <v/>
      </c>
    </row>
    <row r="572" spans="1:6" x14ac:dyDescent="0.25">
      <c r="A572">
        <v>568</v>
      </c>
      <c r="B572" t="str">
        <f t="shared" si="8"/>
        <v/>
      </c>
      <c r="C572" t="str">
        <f>IF('All Projects Calculations'!U572="","",'All Projects Calculations'!U572)</f>
        <v/>
      </c>
      <c r="F572" t="str">
        <f>IF('All Projects Calculations'!W572=0,"",'All Projects Calculations'!W572)</f>
        <v/>
      </c>
    </row>
    <row r="573" spans="1:6" x14ac:dyDescent="0.25">
      <c r="A573">
        <v>569</v>
      </c>
      <c r="B573" t="str">
        <f t="shared" si="8"/>
        <v/>
      </c>
      <c r="C573" t="str">
        <f>IF('All Projects Calculations'!U573="","",'All Projects Calculations'!U573)</f>
        <v/>
      </c>
      <c r="F573" t="str">
        <f>IF('All Projects Calculations'!W573=0,"",'All Projects Calculations'!W573)</f>
        <v/>
      </c>
    </row>
    <row r="574" spans="1:6" x14ac:dyDescent="0.25">
      <c r="A574">
        <v>570</v>
      </c>
      <c r="B574" t="str">
        <f t="shared" si="8"/>
        <v/>
      </c>
      <c r="C574" t="str">
        <f>IF('All Projects Calculations'!U574="","",'All Projects Calculations'!U574)</f>
        <v/>
      </c>
      <c r="F574" t="str">
        <f>IF('All Projects Calculations'!W574=0,"",'All Projects Calculations'!W574)</f>
        <v/>
      </c>
    </row>
    <row r="575" spans="1:6" x14ac:dyDescent="0.25">
      <c r="A575">
        <v>571</v>
      </c>
      <c r="B575" t="str">
        <f t="shared" si="8"/>
        <v/>
      </c>
      <c r="C575" t="str">
        <f>IF('All Projects Calculations'!U575="","",'All Projects Calculations'!U575)</f>
        <v/>
      </c>
      <c r="F575" t="str">
        <f>IF('All Projects Calculations'!W575=0,"",'All Projects Calculations'!W575)</f>
        <v/>
      </c>
    </row>
    <row r="576" spans="1:6" x14ac:dyDescent="0.25">
      <c r="A576">
        <v>572</v>
      </c>
      <c r="B576" t="str">
        <f t="shared" si="8"/>
        <v/>
      </c>
      <c r="C576" t="str">
        <f>IF('All Projects Calculations'!U576="","",'All Projects Calculations'!U576)</f>
        <v/>
      </c>
      <c r="F576" t="str">
        <f>IF('All Projects Calculations'!W576=0,"",'All Projects Calculations'!W576)</f>
        <v/>
      </c>
    </row>
    <row r="577" spans="1:6" x14ac:dyDescent="0.25">
      <c r="A577">
        <v>573</v>
      </c>
      <c r="B577" t="str">
        <f t="shared" si="8"/>
        <v/>
      </c>
      <c r="C577" t="str">
        <f>IF('All Projects Calculations'!U577="","",'All Projects Calculations'!U577)</f>
        <v/>
      </c>
      <c r="F577" t="str">
        <f>IF('All Projects Calculations'!W577=0,"",'All Projects Calculations'!W577)</f>
        <v/>
      </c>
    </row>
    <row r="578" spans="1:6" x14ac:dyDescent="0.25">
      <c r="A578">
        <v>574</v>
      </c>
      <c r="B578" t="str">
        <f t="shared" si="8"/>
        <v/>
      </c>
      <c r="C578" t="str">
        <f>IF('All Projects Calculations'!U578="","",'All Projects Calculations'!U578)</f>
        <v/>
      </c>
      <c r="F578" t="str">
        <f>IF('All Projects Calculations'!W578=0,"",'All Projects Calculations'!W578)</f>
        <v/>
      </c>
    </row>
    <row r="579" spans="1:6" x14ac:dyDescent="0.25">
      <c r="A579">
        <v>575</v>
      </c>
      <c r="B579" t="str">
        <f t="shared" si="8"/>
        <v/>
      </c>
      <c r="C579" t="str">
        <f>IF('All Projects Calculations'!U579="","",'All Projects Calculations'!U579)</f>
        <v/>
      </c>
      <c r="F579" t="str">
        <f>IF('All Projects Calculations'!W579=0,"",'All Projects Calculations'!W579)</f>
        <v/>
      </c>
    </row>
    <row r="580" spans="1:6" x14ac:dyDescent="0.25">
      <c r="A580">
        <v>576</v>
      </c>
      <c r="B580" t="str">
        <f t="shared" si="8"/>
        <v/>
      </c>
      <c r="C580" t="str">
        <f>IF('All Projects Calculations'!U580="","",'All Projects Calculations'!U580)</f>
        <v/>
      </c>
      <c r="F580" t="str">
        <f>IF('All Projects Calculations'!W580=0,"",'All Projects Calculations'!W580)</f>
        <v/>
      </c>
    </row>
    <row r="581" spans="1:6" x14ac:dyDescent="0.25">
      <c r="A581">
        <v>577</v>
      </c>
      <c r="B581" t="str">
        <f t="shared" si="8"/>
        <v/>
      </c>
      <c r="C581" t="str">
        <f>IF('All Projects Calculations'!U581="","",'All Projects Calculations'!U581)</f>
        <v/>
      </c>
      <c r="F581" t="str">
        <f>IF('All Projects Calculations'!W581=0,"",'All Projects Calculations'!W581)</f>
        <v/>
      </c>
    </row>
    <row r="582" spans="1:6" x14ac:dyDescent="0.25">
      <c r="A582">
        <v>578</v>
      </c>
      <c r="B582" t="str">
        <f t="shared" ref="B582:B645" si="9">IF(F582="","",A582)</f>
        <v/>
      </c>
      <c r="C582" t="str">
        <f>IF('All Projects Calculations'!U582="","",'All Projects Calculations'!U582)</f>
        <v/>
      </c>
      <c r="F582" t="str">
        <f>IF('All Projects Calculations'!W582=0,"",'All Projects Calculations'!W582)</f>
        <v/>
      </c>
    </row>
    <row r="583" spans="1:6" x14ac:dyDescent="0.25">
      <c r="A583">
        <v>579</v>
      </c>
      <c r="B583" t="str">
        <f t="shared" si="9"/>
        <v/>
      </c>
      <c r="C583" t="str">
        <f>IF('All Projects Calculations'!U583="","",'All Projects Calculations'!U583)</f>
        <v/>
      </c>
      <c r="F583" t="str">
        <f>IF('All Projects Calculations'!W583=0,"",'All Projects Calculations'!W583)</f>
        <v/>
      </c>
    </row>
    <row r="584" spans="1:6" x14ac:dyDescent="0.25">
      <c r="A584">
        <v>580</v>
      </c>
      <c r="B584" t="str">
        <f t="shared" si="9"/>
        <v/>
      </c>
      <c r="C584" t="str">
        <f>IF('All Projects Calculations'!U584="","",'All Projects Calculations'!U584)</f>
        <v/>
      </c>
      <c r="F584" t="str">
        <f>IF('All Projects Calculations'!W584=0,"",'All Projects Calculations'!W584)</f>
        <v/>
      </c>
    </row>
    <row r="585" spans="1:6" x14ac:dyDescent="0.25">
      <c r="A585">
        <v>581</v>
      </c>
      <c r="B585" t="str">
        <f t="shared" si="9"/>
        <v/>
      </c>
      <c r="C585" t="str">
        <f>IF('All Projects Calculations'!U585="","",'All Projects Calculations'!U585)</f>
        <v/>
      </c>
      <c r="F585" t="str">
        <f>IF('All Projects Calculations'!W585=0,"",'All Projects Calculations'!W585)</f>
        <v/>
      </c>
    </row>
    <row r="586" spans="1:6" x14ac:dyDescent="0.25">
      <c r="A586">
        <v>582</v>
      </c>
      <c r="B586" t="str">
        <f t="shared" si="9"/>
        <v/>
      </c>
      <c r="C586" t="str">
        <f>IF('All Projects Calculations'!U586="","",'All Projects Calculations'!U586)</f>
        <v/>
      </c>
      <c r="F586" t="str">
        <f>IF('All Projects Calculations'!W586=0,"",'All Projects Calculations'!W586)</f>
        <v/>
      </c>
    </row>
    <row r="587" spans="1:6" x14ac:dyDescent="0.25">
      <c r="A587">
        <v>583</v>
      </c>
      <c r="B587" t="str">
        <f t="shared" si="9"/>
        <v/>
      </c>
      <c r="C587" t="str">
        <f>IF('All Projects Calculations'!U587="","",'All Projects Calculations'!U587)</f>
        <v/>
      </c>
      <c r="F587" t="str">
        <f>IF('All Projects Calculations'!W587=0,"",'All Projects Calculations'!W587)</f>
        <v/>
      </c>
    </row>
    <row r="588" spans="1:6" x14ac:dyDescent="0.25">
      <c r="A588">
        <v>584</v>
      </c>
      <c r="B588" t="str">
        <f t="shared" si="9"/>
        <v/>
      </c>
      <c r="C588" t="str">
        <f>IF('All Projects Calculations'!U588="","",'All Projects Calculations'!U588)</f>
        <v/>
      </c>
      <c r="F588" t="str">
        <f>IF('All Projects Calculations'!W588=0,"",'All Projects Calculations'!W588)</f>
        <v/>
      </c>
    </row>
    <row r="589" spans="1:6" x14ac:dyDescent="0.25">
      <c r="A589">
        <v>585</v>
      </c>
      <c r="B589" t="str">
        <f t="shared" si="9"/>
        <v/>
      </c>
      <c r="C589" t="str">
        <f>IF('All Projects Calculations'!U589="","",'All Projects Calculations'!U589)</f>
        <v/>
      </c>
      <c r="F589" t="str">
        <f>IF('All Projects Calculations'!W589=0,"",'All Projects Calculations'!W589)</f>
        <v/>
      </c>
    </row>
    <row r="590" spans="1:6" x14ac:dyDescent="0.25">
      <c r="A590">
        <v>586</v>
      </c>
      <c r="B590" t="str">
        <f t="shared" si="9"/>
        <v/>
      </c>
      <c r="C590" t="str">
        <f>IF('All Projects Calculations'!U590="","",'All Projects Calculations'!U590)</f>
        <v/>
      </c>
      <c r="F590" t="str">
        <f>IF('All Projects Calculations'!W590=0,"",'All Projects Calculations'!W590)</f>
        <v/>
      </c>
    </row>
    <row r="591" spans="1:6" x14ac:dyDescent="0.25">
      <c r="A591">
        <v>587</v>
      </c>
      <c r="B591" t="str">
        <f t="shared" si="9"/>
        <v/>
      </c>
      <c r="C591" t="str">
        <f>IF('All Projects Calculations'!U591="","",'All Projects Calculations'!U591)</f>
        <v/>
      </c>
      <c r="F591" t="str">
        <f>IF('All Projects Calculations'!W591=0,"",'All Projects Calculations'!W591)</f>
        <v/>
      </c>
    </row>
    <row r="592" spans="1:6" x14ac:dyDescent="0.25">
      <c r="A592">
        <v>588</v>
      </c>
      <c r="B592" t="str">
        <f t="shared" si="9"/>
        <v/>
      </c>
      <c r="C592" t="str">
        <f>IF('All Projects Calculations'!U592="","",'All Projects Calculations'!U592)</f>
        <v/>
      </c>
      <c r="F592" t="str">
        <f>IF('All Projects Calculations'!W592=0,"",'All Projects Calculations'!W592)</f>
        <v/>
      </c>
    </row>
    <row r="593" spans="1:6" x14ac:dyDescent="0.25">
      <c r="A593">
        <v>589</v>
      </c>
      <c r="B593" t="str">
        <f t="shared" si="9"/>
        <v/>
      </c>
      <c r="C593" t="str">
        <f>IF('All Projects Calculations'!U593="","",'All Projects Calculations'!U593)</f>
        <v/>
      </c>
      <c r="F593" t="str">
        <f>IF('All Projects Calculations'!W593=0,"",'All Projects Calculations'!W593)</f>
        <v/>
      </c>
    </row>
    <row r="594" spans="1:6" x14ac:dyDescent="0.25">
      <c r="A594">
        <v>590</v>
      </c>
      <c r="B594" t="str">
        <f t="shared" si="9"/>
        <v/>
      </c>
      <c r="C594" t="str">
        <f>IF('All Projects Calculations'!U594="","",'All Projects Calculations'!U594)</f>
        <v/>
      </c>
      <c r="F594" t="str">
        <f>IF('All Projects Calculations'!W594=0,"",'All Projects Calculations'!W594)</f>
        <v/>
      </c>
    </row>
    <row r="595" spans="1:6" x14ac:dyDescent="0.25">
      <c r="A595">
        <v>591</v>
      </c>
      <c r="B595" t="str">
        <f t="shared" si="9"/>
        <v/>
      </c>
      <c r="C595" t="str">
        <f>IF('All Projects Calculations'!U595="","",'All Projects Calculations'!U595)</f>
        <v/>
      </c>
      <c r="F595" t="str">
        <f>IF('All Projects Calculations'!W595=0,"",'All Projects Calculations'!W595)</f>
        <v/>
      </c>
    </row>
    <row r="596" spans="1:6" x14ac:dyDescent="0.25">
      <c r="A596">
        <v>592</v>
      </c>
      <c r="B596" t="str">
        <f t="shared" si="9"/>
        <v/>
      </c>
      <c r="C596" t="str">
        <f>IF('All Projects Calculations'!U596="","",'All Projects Calculations'!U596)</f>
        <v/>
      </c>
      <c r="F596" t="str">
        <f>IF('All Projects Calculations'!W596=0,"",'All Projects Calculations'!W596)</f>
        <v/>
      </c>
    </row>
    <row r="597" spans="1:6" x14ac:dyDescent="0.25">
      <c r="A597">
        <v>593</v>
      </c>
      <c r="B597" t="str">
        <f t="shared" si="9"/>
        <v/>
      </c>
      <c r="C597" t="str">
        <f>IF('All Projects Calculations'!U597="","",'All Projects Calculations'!U597)</f>
        <v/>
      </c>
      <c r="F597" t="str">
        <f>IF('All Projects Calculations'!W597=0,"",'All Projects Calculations'!W597)</f>
        <v/>
      </c>
    </row>
    <row r="598" spans="1:6" x14ac:dyDescent="0.25">
      <c r="A598">
        <v>594</v>
      </c>
      <c r="B598" t="str">
        <f t="shared" si="9"/>
        <v/>
      </c>
      <c r="C598" t="str">
        <f>IF('All Projects Calculations'!U598="","",'All Projects Calculations'!U598)</f>
        <v/>
      </c>
      <c r="F598" t="str">
        <f>IF('All Projects Calculations'!W598=0,"",'All Projects Calculations'!W598)</f>
        <v/>
      </c>
    </row>
    <row r="599" spans="1:6" x14ac:dyDescent="0.25">
      <c r="A599">
        <v>595</v>
      </c>
      <c r="B599" t="str">
        <f t="shared" si="9"/>
        <v/>
      </c>
      <c r="C599" t="str">
        <f>IF('All Projects Calculations'!U599="","",'All Projects Calculations'!U599)</f>
        <v/>
      </c>
      <c r="F599" t="str">
        <f>IF('All Projects Calculations'!W599=0,"",'All Projects Calculations'!W599)</f>
        <v/>
      </c>
    </row>
    <row r="600" spans="1:6" x14ac:dyDescent="0.25">
      <c r="A600">
        <v>596</v>
      </c>
      <c r="B600" t="str">
        <f t="shared" si="9"/>
        <v/>
      </c>
      <c r="C600" t="str">
        <f>IF('All Projects Calculations'!U600="","",'All Projects Calculations'!U600)</f>
        <v/>
      </c>
      <c r="F600" t="str">
        <f>IF('All Projects Calculations'!W600=0,"",'All Projects Calculations'!W600)</f>
        <v/>
      </c>
    </row>
    <row r="601" spans="1:6" x14ac:dyDescent="0.25">
      <c r="A601">
        <v>597</v>
      </c>
      <c r="B601" t="str">
        <f t="shared" si="9"/>
        <v/>
      </c>
      <c r="C601" t="str">
        <f>IF('All Projects Calculations'!U601="","",'All Projects Calculations'!U601)</f>
        <v/>
      </c>
      <c r="F601" t="str">
        <f>IF('All Projects Calculations'!W601=0,"",'All Projects Calculations'!W601)</f>
        <v/>
      </c>
    </row>
    <row r="602" spans="1:6" x14ac:dyDescent="0.25">
      <c r="A602">
        <v>598</v>
      </c>
      <c r="B602" t="str">
        <f t="shared" si="9"/>
        <v/>
      </c>
      <c r="C602" t="str">
        <f>IF('All Projects Calculations'!U602="","",'All Projects Calculations'!U602)</f>
        <v/>
      </c>
      <c r="F602" t="str">
        <f>IF('All Projects Calculations'!W602=0,"",'All Projects Calculations'!W602)</f>
        <v/>
      </c>
    </row>
    <row r="603" spans="1:6" x14ac:dyDescent="0.25">
      <c r="A603">
        <v>599</v>
      </c>
      <c r="B603" t="str">
        <f t="shared" si="9"/>
        <v/>
      </c>
      <c r="C603" t="str">
        <f>IF('All Projects Calculations'!U603="","",'All Projects Calculations'!U603)</f>
        <v/>
      </c>
      <c r="F603" t="str">
        <f>IF('All Projects Calculations'!W603=0,"",'All Projects Calculations'!W603)</f>
        <v/>
      </c>
    </row>
    <row r="604" spans="1:6" x14ac:dyDescent="0.25">
      <c r="A604">
        <v>600</v>
      </c>
      <c r="B604" t="str">
        <f t="shared" si="9"/>
        <v/>
      </c>
      <c r="C604" t="str">
        <f>IF('All Projects Calculations'!U604="","",'All Projects Calculations'!U604)</f>
        <v/>
      </c>
      <c r="F604" t="str">
        <f>IF('All Projects Calculations'!W604=0,"",'All Projects Calculations'!W604)</f>
        <v/>
      </c>
    </row>
    <row r="605" spans="1:6" x14ac:dyDescent="0.25">
      <c r="A605">
        <v>601</v>
      </c>
      <c r="B605" t="str">
        <f t="shared" si="9"/>
        <v/>
      </c>
      <c r="C605" t="str">
        <f>IF('All Projects Calculations'!U605="","",'All Projects Calculations'!U605)</f>
        <v/>
      </c>
      <c r="F605" t="str">
        <f>IF('All Projects Calculations'!W605=0,"",'All Projects Calculations'!W605)</f>
        <v/>
      </c>
    </row>
    <row r="606" spans="1:6" x14ac:dyDescent="0.25">
      <c r="A606">
        <v>602</v>
      </c>
      <c r="B606" t="str">
        <f t="shared" si="9"/>
        <v/>
      </c>
      <c r="C606" t="str">
        <f>IF('All Projects Calculations'!U606="","",'All Projects Calculations'!U606)</f>
        <v/>
      </c>
      <c r="F606" t="str">
        <f>IF('All Projects Calculations'!W606=0,"",'All Projects Calculations'!W606)</f>
        <v/>
      </c>
    </row>
    <row r="607" spans="1:6" x14ac:dyDescent="0.25">
      <c r="A607">
        <v>603</v>
      </c>
      <c r="B607" t="str">
        <f t="shared" si="9"/>
        <v/>
      </c>
      <c r="C607" t="str">
        <f>IF('All Projects Calculations'!U607="","",'All Projects Calculations'!U607)</f>
        <v/>
      </c>
      <c r="F607" t="str">
        <f>IF('All Projects Calculations'!W607=0,"",'All Projects Calculations'!W607)</f>
        <v/>
      </c>
    </row>
    <row r="608" spans="1:6" x14ac:dyDescent="0.25">
      <c r="A608">
        <v>604</v>
      </c>
      <c r="B608" t="str">
        <f t="shared" si="9"/>
        <v/>
      </c>
      <c r="C608" t="str">
        <f>IF('All Projects Calculations'!U608="","",'All Projects Calculations'!U608)</f>
        <v/>
      </c>
      <c r="F608" t="str">
        <f>IF('All Projects Calculations'!W608=0,"",'All Projects Calculations'!W608)</f>
        <v/>
      </c>
    </row>
    <row r="609" spans="1:6" x14ac:dyDescent="0.25">
      <c r="A609">
        <v>605</v>
      </c>
      <c r="B609" t="str">
        <f t="shared" si="9"/>
        <v/>
      </c>
      <c r="C609" t="str">
        <f>IF('All Projects Calculations'!U609="","",'All Projects Calculations'!U609)</f>
        <v/>
      </c>
      <c r="F609" t="str">
        <f>IF('All Projects Calculations'!W609=0,"",'All Projects Calculations'!W609)</f>
        <v/>
      </c>
    </row>
    <row r="610" spans="1:6" x14ac:dyDescent="0.25">
      <c r="A610">
        <v>606</v>
      </c>
      <c r="B610" t="str">
        <f t="shared" si="9"/>
        <v/>
      </c>
      <c r="C610" t="str">
        <f>IF('All Projects Calculations'!U610="","",'All Projects Calculations'!U610)</f>
        <v/>
      </c>
      <c r="F610" t="str">
        <f>IF('All Projects Calculations'!W610=0,"",'All Projects Calculations'!W610)</f>
        <v/>
      </c>
    </row>
    <row r="611" spans="1:6" x14ac:dyDescent="0.25">
      <c r="A611">
        <v>607</v>
      </c>
      <c r="B611" t="str">
        <f t="shared" si="9"/>
        <v/>
      </c>
      <c r="C611" t="str">
        <f>IF('All Projects Calculations'!U611="","",'All Projects Calculations'!U611)</f>
        <v/>
      </c>
      <c r="F611" t="str">
        <f>IF('All Projects Calculations'!W611=0,"",'All Projects Calculations'!W611)</f>
        <v/>
      </c>
    </row>
    <row r="612" spans="1:6" x14ac:dyDescent="0.25">
      <c r="A612">
        <v>608</v>
      </c>
      <c r="B612" t="str">
        <f t="shared" si="9"/>
        <v/>
      </c>
      <c r="C612" t="str">
        <f>IF('All Projects Calculations'!U612="","",'All Projects Calculations'!U612)</f>
        <v/>
      </c>
      <c r="F612" t="str">
        <f>IF('All Projects Calculations'!W612=0,"",'All Projects Calculations'!W612)</f>
        <v/>
      </c>
    </row>
    <row r="613" spans="1:6" x14ac:dyDescent="0.25">
      <c r="A613">
        <v>609</v>
      </c>
      <c r="B613" t="str">
        <f t="shared" si="9"/>
        <v/>
      </c>
      <c r="C613" t="str">
        <f>IF('All Projects Calculations'!U613="","",'All Projects Calculations'!U613)</f>
        <v/>
      </c>
      <c r="F613" t="str">
        <f>IF('All Projects Calculations'!W613=0,"",'All Projects Calculations'!W613)</f>
        <v/>
      </c>
    </row>
    <row r="614" spans="1:6" x14ac:dyDescent="0.25">
      <c r="A614">
        <v>610</v>
      </c>
      <c r="B614" t="str">
        <f t="shared" si="9"/>
        <v/>
      </c>
      <c r="C614" t="str">
        <f>IF('All Projects Calculations'!U614="","",'All Projects Calculations'!U614)</f>
        <v/>
      </c>
      <c r="F614" t="str">
        <f>IF('All Projects Calculations'!W614=0,"",'All Projects Calculations'!W614)</f>
        <v/>
      </c>
    </row>
    <row r="615" spans="1:6" x14ac:dyDescent="0.25">
      <c r="A615">
        <v>611</v>
      </c>
      <c r="B615" t="str">
        <f t="shared" si="9"/>
        <v/>
      </c>
      <c r="C615" t="str">
        <f>IF('All Projects Calculations'!U615="","",'All Projects Calculations'!U615)</f>
        <v/>
      </c>
      <c r="F615" t="str">
        <f>IF('All Projects Calculations'!W615=0,"",'All Projects Calculations'!W615)</f>
        <v/>
      </c>
    </row>
    <row r="616" spans="1:6" x14ac:dyDescent="0.25">
      <c r="A616">
        <v>612</v>
      </c>
      <c r="B616" t="str">
        <f t="shared" si="9"/>
        <v/>
      </c>
      <c r="C616" t="str">
        <f>IF('All Projects Calculations'!U616="","",'All Projects Calculations'!U616)</f>
        <v/>
      </c>
      <c r="F616" t="str">
        <f>IF('All Projects Calculations'!W616=0,"",'All Projects Calculations'!W616)</f>
        <v/>
      </c>
    </row>
    <row r="617" spans="1:6" x14ac:dyDescent="0.25">
      <c r="A617">
        <v>613</v>
      </c>
      <c r="B617" t="str">
        <f t="shared" si="9"/>
        <v/>
      </c>
      <c r="C617" t="str">
        <f>IF('All Projects Calculations'!U617="","",'All Projects Calculations'!U617)</f>
        <v/>
      </c>
      <c r="F617" t="str">
        <f>IF('All Projects Calculations'!W617=0,"",'All Projects Calculations'!W617)</f>
        <v/>
      </c>
    </row>
    <row r="618" spans="1:6" x14ac:dyDescent="0.25">
      <c r="A618">
        <v>614</v>
      </c>
      <c r="B618" t="str">
        <f t="shared" si="9"/>
        <v/>
      </c>
      <c r="C618" t="str">
        <f>IF('All Projects Calculations'!U618="","",'All Projects Calculations'!U618)</f>
        <v/>
      </c>
      <c r="F618" t="str">
        <f>IF('All Projects Calculations'!W618=0,"",'All Projects Calculations'!W618)</f>
        <v/>
      </c>
    </row>
    <row r="619" spans="1:6" x14ac:dyDescent="0.25">
      <c r="A619">
        <v>615</v>
      </c>
      <c r="B619" t="str">
        <f t="shared" si="9"/>
        <v/>
      </c>
      <c r="C619" t="str">
        <f>IF('All Projects Calculations'!U619="","",'All Projects Calculations'!U619)</f>
        <v/>
      </c>
      <c r="F619" t="str">
        <f>IF('All Projects Calculations'!W619=0,"",'All Projects Calculations'!W619)</f>
        <v/>
      </c>
    </row>
    <row r="620" spans="1:6" x14ac:dyDescent="0.25">
      <c r="A620">
        <v>616</v>
      </c>
      <c r="B620" t="str">
        <f t="shared" si="9"/>
        <v/>
      </c>
      <c r="C620" t="str">
        <f>IF('All Projects Calculations'!U620="","",'All Projects Calculations'!U620)</f>
        <v/>
      </c>
      <c r="F620" t="str">
        <f>IF('All Projects Calculations'!W620=0,"",'All Projects Calculations'!W620)</f>
        <v/>
      </c>
    </row>
    <row r="621" spans="1:6" x14ac:dyDescent="0.25">
      <c r="A621">
        <v>617</v>
      </c>
      <c r="B621" t="str">
        <f t="shared" si="9"/>
        <v/>
      </c>
      <c r="C621" t="str">
        <f>IF('All Projects Calculations'!U621="","",'All Projects Calculations'!U621)</f>
        <v/>
      </c>
      <c r="F621" t="str">
        <f>IF('All Projects Calculations'!W621=0,"",'All Projects Calculations'!W621)</f>
        <v/>
      </c>
    </row>
    <row r="622" spans="1:6" x14ac:dyDescent="0.25">
      <c r="A622">
        <v>618</v>
      </c>
      <c r="B622" t="str">
        <f t="shared" si="9"/>
        <v/>
      </c>
      <c r="C622" t="str">
        <f>IF('All Projects Calculations'!U622="","",'All Projects Calculations'!U622)</f>
        <v/>
      </c>
      <c r="F622" t="str">
        <f>IF('All Projects Calculations'!W622=0,"",'All Projects Calculations'!W622)</f>
        <v/>
      </c>
    </row>
    <row r="623" spans="1:6" x14ac:dyDescent="0.25">
      <c r="A623">
        <v>619</v>
      </c>
      <c r="B623" t="str">
        <f t="shared" si="9"/>
        <v/>
      </c>
      <c r="C623" t="str">
        <f>IF('All Projects Calculations'!U623="","",'All Projects Calculations'!U623)</f>
        <v/>
      </c>
      <c r="F623" t="str">
        <f>IF('All Projects Calculations'!W623=0,"",'All Projects Calculations'!W623)</f>
        <v/>
      </c>
    </row>
    <row r="624" spans="1:6" x14ac:dyDescent="0.25">
      <c r="A624">
        <v>620</v>
      </c>
      <c r="B624" t="str">
        <f t="shared" si="9"/>
        <v/>
      </c>
      <c r="C624" t="str">
        <f>IF('All Projects Calculations'!U624="","",'All Projects Calculations'!U624)</f>
        <v/>
      </c>
      <c r="F624" t="str">
        <f>IF('All Projects Calculations'!W624=0,"",'All Projects Calculations'!W624)</f>
        <v/>
      </c>
    </row>
    <row r="625" spans="1:6" x14ac:dyDescent="0.25">
      <c r="A625">
        <v>621</v>
      </c>
      <c r="B625" t="str">
        <f t="shared" si="9"/>
        <v/>
      </c>
      <c r="C625" t="str">
        <f>IF('All Projects Calculations'!U625="","",'All Projects Calculations'!U625)</f>
        <v/>
      </c>
      <c r="F625" t="str">
        <f>IF('All Projects Calculations'!W625=0,"",'All Projects Calculations'!W625)</f>
        <v/>
      </c>
    </row>
    <row r="626" spans="1:6" x14ac:dyDescent="0.25">
      <c r="A626">
        <v>622</v>
      </c>
      <c r="B626" t="str">
        <f t="shared" si="9"/>
        <v/>
      </c>
      <c r="C626" t="str">
        <f>IF('All Projects Calculations'!U626="","",'All Projects Calculations'!U626)</f>
        <v/>
      </c>
      <c r="F626" t="str">
        <f>IF('All Projects Calculations'!W626=0,"",'All Projects Calculations'!W626)</f>
        <v/>
      </c>
    </row>
    <row r="627" spans="1:6" x14ac:dyDescent="0.25">
      <c r="A627">
        <v>623</v>
      </c>
      <c r="B627" t="str">
        <f t="shared" si="9"/>
        <v/>
      </c>
      <c r="C627" t="str">
        <f>IF('All Projects Calculations'!U627="","",'All Projects Calculations'!U627)</f>
        <v/>
      </c>
      <c r="F627" t="str">
        <f>IF('All Projects Calculations'!W627=0,"",'All Projects Calculations'!W627)</f>
        <v/>
      </c>
    </row>
    <row r="628" spans="1:6" x14ac:dyDescent="0.25">
      <c r="A628">
        <v>624</v>
      </c>
      <c r="B628" t="str">
        <f t="shared" si="9"/>
        <v/>
      </c>
      <c r="C628" t="str">
        <f>IF('All Projects Calculations'!U628="","",'All Projects Calculations'!U628)</f>
        <v/>
      </c>
      <c r="F628" t="str">
        <f>IF('All Projects Calculations'!W628=0,"",'All Projects Calculations'!W628)</f>
        <v/>
      </c>
    </row>
    <row r="629" spans="1:6" x14ac:dyDescent="0.25">
      <c r="A629">
        <v>625</v>
      </c>
      <c r="B629" t="str">
        <f t="shared" si="9"/>
        <v/>
      </c>
      <c r="C629" t="str">
        <f>IF('All Projects Calculations'!U629="","",'All Projects Calculations'!U629)</f>
        <v/>
      </c>
      <c r="F629" t="str">
        <f>IF('All Projects Calculations'!W629=0,"",'All Projects Calculations'!W629)</f>
        <v/>
      </c>
    </row>
    <row r="630" spans="1:6" x14ac:dyDescent="0.25">
      <c r="A630">
        <v>626</v>
      </c>
      <c r="B630" t="str">
        <f t="shared" si="9"/>
        <v/>
      </c>
      <c r="C630" t="str">
        <f>IF('All Projects Calculations'!U630="","",'All Projects Calculations'!U630)</f>
        <v/>
      </c>
      <c r="F630" t="str">
        <f>IF('All Projects Calculations'!W630=0,"",'All Projects Calculations'!W630)</f>
        <v/>
      </c>
    </row>
    <row r="631" spans="1:6" x14ac:dyDescent="0.25">
      <c r="A631">
        <v>627</v>
      </c>
      <c r="B631" t="str">
        <f t="shared" si="9"/>
        <v/>
      </c>
      <c r="C631" t="str">
        <f>IF('All Projects Calculations'!U631="","",'All Projects Calculations'!U631)</f>
        <v/>
      </c>
      <c r="F631" t="str">
        <f>IF('All Projects Calculations'!W631=0,"",'All Projects Calculations'!W631)</f>
        <v/>
      </c>
    </row>
    <row r="632" spans="1:6" x14ac:dyDescent="0.25">
      <c r="A632">
        <v>628</v>
      </c>
      <c r="B632" t="str">
        <f t="shared" si="9"/>
        <v/>
      </c>
      <c r="C632" t="str">
        <f>IF('All Projects Calculations'!U632="","",'All Projects Calculations'!U632)</f>
        <v/>
      </c>
      <c r="F632" t="str">
        <f>IF('All Projects Calculations'!W632=0,"",'All Projects Calculations'!W632)</f>
        <v/>
      </c>
    </row>
    <row r="633" spans="1:6" x14ac:dyDescent="0.25">
      <c r="A633">
        <v>629</v>
      </c>
      <c r="B633" t="str">
        <f t="shared" si="9"/>
        <v/>
      </c>
      <c r="C633" t="str">
        <f>IF('All Projects Calculations'!U633="","",'All Projects Calculations'!U633)</f>
        <v/>
      </c>
      <c r="F633" t="str">
        <f>IF('All Projects Calculations'!W633=0,"",'All Projects Calculations'!W633)</f>
        <v/>
      </c>
    </row>
    <row r="634" spans="1:6" x14ac:dyDescent="0.25">
      <c r="A634">
        <v>630</v>
      </c>
      <c r="B634" t="str">
        <f t="shared" si="9"/>
        <v/>
      </c>
      <c r="C634" t="str">
        <f>IF('All Projects Calculations'!U634="","",'All Projects Calculations'!U634)</f>
        <v/>
      </c>
      <c r="F634" t="str">
        <f>IF('All Projects Calculations'!W634=0,"",'All Projects Calculations'!W634)</f>
        <v/>
      </c>
    </row>
    <row r="635" spans="1:6" x14ac:dyDescent="0.25">
      <c r="A635">
        <v>631</v>
      </c>
      <c r="B635" t="str">
        <f t="shared" si="9"/>
        <v/>
      </c>
      <c r="C635" t="str">
        <f>IF('All Projects Calculations'!U635="","",'All Projects Calculations'!U635)</f>
        <v/>
      </c>
      <c r="F635" t="str">
        <f>IF('All Projects Calculations'!W635=0,"",'All Projects Calculations'!W635)</f>
        <v/>
      </c>
    </row>
    <row r="636" spans="1:6" x14ac:dyDescent="0.25">
      <c r="A636">
        <v>632</v>
      </c>
      <c r="B636" t="str">
        <f t="shared" si="9"/>
        <v/>
      </c>
      <c r="C636" t="str">
        <f>IF('All Projects Calculations'!U636="","",'All Projects Calculations'!U636)</f>
        <v/>
      </c>
      <c r="F636" t="str">
        <f>IF('All Projects Calculations'!W636=0,"",'All Projects Calculations'!W636)</f>
        <v/>
      </c>
    </row>
    <row r="637" spans="1:6" x14ac:dyDescent="0.25">
      <c r="A637">
        <v>633</v>
      </c>
      <c r="B637" t="str">
        <f t="shared" si="9"/>
        <v/>
      </c>
      <c r="C637" t="str">
        <f>IF('All Projects Calculations'!U637="","",'All Projects Calculations'!U637)</f>
        <v/>
      </c>
      <c r="F637" t="str">
        <f>IF('All Projects Calculations'!W637=0,"",'All Projects Calculations'!W637)</f>
        <v/>
      </c>
    </row>
    <row r="638" spans="1:6" x14ac:dyDescent="0.25">
      <c r="A638">
        <v>634</v>
      </c>
      <c r="B638" t="str">
        <f t="shared" si="9"/>
        <v/>
      </c>
      <c r="C638" t="str">
        <f>IF('All Projects Calculations'!U638="","",'All Projects Calculations'!U638)</f>
        <v/>
      </c>
      <c r="F638" t="str">
        <f>IF('All Projects Calculations'!W638=0,"",'All Projects Calculations'!W638)</f>
        <v/>
      </c>
    </row>
    <row r="639" spans="1:6" x14ac:dyDescent="0.25">
      <c r="A639">
        <v>635</v>
      </c>
      <c r="B639" t="str">
        <f t="shared" si="9"/>
        <v/>
      </c>
      <c r="C639" t="str">
        <f>IF('All Projects Calculations'!U639="","",'All Projects Calculations'!U639)</f>
        <v/>
      </c>
      <c r="F639" t="str">
        <f>IF('All Projects Calculations'!W639=0,"",'All Projects Calculations'!W639)</f>
        <v/>
      </c>
    </row>
    <row r="640" spans="1:6" x14ac:dyDescent="0.25">
      <c r="A640">
        <v>636</v>
      </c>
      <c r="B640" t="str">
        <f t="shared" si="9"/>
        <v/>
      </c>
      <c r="C640" t="str">
        <f>IF('All Projects Calculations'!U640="","",'All Projects Calculations'!U640)</f>
        <v/>
      </c>
      <c r="F640" t="str">
        <f>IF('All Projects Calculations'!W640=0,"",'All Projects Calculations'!W640)</f>
        <v/>
      </c>
    </row>
    <row r="641" spans="1:6" x14ac:dyDescent="0.25">
      <c r="A641">
        <v>637</v>
      </c>
      <c r="B641" t="str">
        <f t="shared" si="9"/>
        <v/>
      </c>
      <c r="C641" t="str">
        <f>IF('All Projects Calculations'!U641="","",'All Projects Calculations'!U641)</f>
        <v/>
      </c>
      <c r="F641" t="str">
        <f>IF('All Projects Calculations'!W641=0,"",'All Projects Calculations'!W641)</f>
        <v/>
      </c>
    </row>
    <row r="642" spans="1:6" x14ac:dyDescent="0.25">
      <c r="A642">
        <v>638</v>
      </c>
      <c r="B642" t="str">
        <f t="shared" si="9"/>
        <v/>
      </c>
      <c r="C642" t="str">
        <f>IF('All Projects Calculations'!U642="","",'All Projects Calculations'!U642)</f>
        <v/>
      </c>
      <c r="F642" t="str">
        <f>IF('All Projects Calculations'!W642=0,"",'All Projects Calculations'!W642)</f>
        <v/>
      </c>
    </row>
    <row r="643" spans="1:6" x14ac:dyDescent="0.25">
      <c r="A643">
        <v>639</v>
      </c>
      <c r="B643" t="str">
        <f t="shared" si="9"/>
        <v/>
      </c>
      <c r="C643" t="str">
        <f>IF('All Projects Calculations'!U643="","",'All Projects Calculations'!U643)</f>
        <v/>
      </c>
      <c r="F643" t="str">
        <f>IF('All Projects Calculations'!W643=0,"",'All Projects Calculations'!W643)</f>
        <v/>
      </c>
    </row>
    <row r="644" spans="1:6" x14ac:dyDescent="0.25">
      <c r="A644">
        <v>640</v>
      </c>
      <c r="B644" t="str">
        <f t="shared" si="9"/>
        <v/>
      </c>
      <c r="C644" t="str">
        <f>IF('All Projects Calculations'!U644="","",'All Projects Calculations'!U644)</f>
        <v/>
      </c>
      <c r="F644" t="str">
        <f>IF('All Projects Calculations'!W644=0,"",'All Projects Calculations'!W644)</f>
        <v/>
      </c>
    </row>
    <row r="645" spans="1:6" x14ac:dyDescent="0.25">
      <c r="A645">
        <v>641</v>
      </c>
      <c r="B645" t="str">
        <f t="shared" si="9"/>
        <v/>
      </c>
      <c r="C645" t="str">
        <f>IF('All Projects Calculations'!U645="","",'All Projects Calculations'!U645)</f>
        <v/>
      </c>
      <c r="F645" t="str">
        <f>IF('All Projects Calculations'!W645=0,"",'All Projects Calculations'!W645)</f>
        <v/>
      </c>
    </row>
    <row r="646" spans="1:6" x14ac:dyDescent="0.25">
      <c r="A646">
        <v>642</v>
      </c>
      <c r="B646" t="str">
        <f t="shared" ref="B646:B709" si="10">IF(F646="","",A646)</f>
        <v/>
      </c>
      <c r="C646" t="str">
        <f>IF('All Projects Calculations'!U646="","",'All Projects Calculations'!U646)</f>
        <v/>
      </c>
      <c r="F646" t="str">
        <f>IF('All Projects Calculations'!W646=0,"",'All Projects Calculations'!W646)</f>
        <v/>
      </c>
    </row>
    <row r="647" spans="1:6" x14ac:dyDescent="0.25">
      <c r="A647">
        <v>643</v>
      </c>
      <c r="B647" t="str">
        <f t="shared" si="10"/>
        <v/>
      </c>
      <c r="C647" t="str">
        <f>IF('All Projects Calculations'!U647="","",'All Projects Calculations'!U647)</f>
        <v/>
      </c>
      <c r="F647" t="str">
        <f>IF('All Projects Calculations'!W647=0,"",'All Projects Calculations'!W647)</f>
        <v/>
      </c>
    </row>
    <row r="648" spans="1:6" x14ac:dyDescent="0.25">
      <c r="A648">
        <v>644</v>
      </c>
      <c r="B648" t="str">
        <f t="shared" si="10"/>
        <v/>
      </c>
      <c r="C648" t="str">
        <f>IF('All Projects Calculations'!U648="","",'All Projects Calculations'!U648)</f>
        <v/>
      </c>
      <c r="F648" t="str">
        <f>IF('All Projects Calculations'!W648=0,"",'All Projects Calculations'!W648)</f>
        <v/>
      </c>
    </row>
    <row r="649" spans="1:6" x14ac:dyDescent="0.25">
      <c r="A649">
        <v>645</v>
      </c>
      <c r="B649" t="str">
        <f t="shared" si="10"/>
        <v/>
      </c>
      <c r="C649" t="str">
        <f>IF('All Projects Calculations'!U649="","",'All Projects Calculations'!U649)</f>
        <v/>
      </c>
      <c r="F649" t="str">
        <f>IF('All Projects Calculations'!W649=0,"",'All Projects Calculations'!W649)</f>
        <v/>
      </c>
    </row>
    <row r="650" spans="1:6" x14ac:dyDescent="0.25">
      <c r="A650">
        <v>646</v>
      </c>
      <c r="B650" t="str">
        <f t="shared" si="10"/>
        <v/>
      </c>
      <c r="C650" t="str">
        <f>IF('All Projects Calculations'!U650="","",'All Projects Calculations'!U650)</f>
        <v/>
      </c>
      <c r="F650" t="str">
        <f>IF('All Projects Calculations'!W650=0,"",'All Projects Calculations'!W650)</f>
        <v/>
      </c>
    </row>
    <row r="651" spans="1:6" x14ac:dyDescent="0.25">
      <c r="A651">
        <v>647</v>
      </c>
      <c r="B651" t="str">
        <f t="shared" si="10"/>
        <v/>
      </c>
      <c r="C651" t="str">
        <f>IF('All Projects Calculations'!U651="","",'All Projects Calculations'!U651)</f>
        <v/>
      </c>
      <c r="F651" t="str">
        <f>IF('All Projects Calculations'!W651=0,"",'All Projects Calculations'!W651)</f>
        <v/>
      </c>
    </row>
    <row r="652" spans="1:6" x14ac:dyDescent="0.25">
      <c r="A652">
        <v>648</v>
      </c>
      <c r="B652" t="str">
        <f t="shared" si="10"/>
        <v/>
      </c>
      <c r="C652" t="str">
        <f>IF('All Projects Calculations'!U652="","",'All Projects Calculations'!U652)</f>
        <v/>
      </c>
      <c r="F652" t="str">
        <f>IF('All Projects Calculations'!W652=0,"",'All Projects Calculations'!W652)</f>
        <v/>
      </c>
    </row>
    <row r="653" spans="1:6" x14ac:dyDescent="0.25">
      <c r="A653">
        <v>649</v>
      </c>
      <c r="B653" t="str">
        <f t="shared" si="10"/>
        <v/>
      </c>
      <c r="C653" t="str">
        <f>IF('All Projects Calculations'!U653="","",'All Projects Calculations'!U653)</f>
        <v/>
      </c>
      <c r="F653" t="str">
        <f>IF('All Projects Calculations'!W653=0,"",'All Projects Calculations'!W653)</f>
        <v/>
      </c>
    </row>
    <row r="654" spans="1:6" x14ac:dyDescent="0.25">
      <c r="A654">
        <v>650</v>
      </c>
      <c r="B654" t="str">
        <f t="shared" si="10"/>
        <v/>
      </c>
      <c r="C654" t="str">
        <f>IF('All Projects Calculations'!U654="","",'All Projects Calculations'!U654)</f>
        <v/>
      </c>
      <c r="F654" t="str">
        <f>IF('All Projects Calculations'!W654=0,"",'All Projects Calculations'!W654)</f>
        <v/>
      </c>
    </row>
    <row r="655" spans="1:6" x14ac:dyDescent="0.25">
      <c r="A655">
        <v>651</v>
      </c>
      <c r="B655" t="str">
        <f t="shared" si="10"/>
        <v/>
      </c>
      <c r="C655" t="str">
        <f>IF('All Projects Calculations'!U655="","",'All Projects Calculations'!U655)</f>
        <v/>
      </c>
      <c r="F655" t="str">
        <f>IF('All Projects Calculations'!W655=0,"",'All Projects Calculations'!W655)</f>
        <v/>
      </c>
    </row>
    <row r="656" spans="1:6" x14ac:dyDescent="0.25">
      <c r="A656">
        <v>652</v>
      </c>
      <c r="B656" t="str">
        <f t="shared" si="10"/>
        <v/>
      </c>
      <c r="C656" t="str">
        <f>IF('All Projects Calculations'!U656="","",'All Projects Calculations'!U656)</f>
        <v/>
      </c>
      <c r="F656" t="str">
        <f>IF('All Projects Calculations'!W656=0,"",'All Projects Calculations'!W656)</f>
        <v/>
      </c>
    </row>
    <row r="657" spans="1:6" x14ac:dyDescent="0.25">
      <c r="A657">
        <v>653</v>
      </c>
      <c r="B657" t="str">
        <f t="shared" si="10"/>
        <v/>
      </c>
      <c r="C657" t="str">
        <f>IF('All Projects Calculations'!U657="","",'All Projects Calculations'!U657)</f>
        <v/>
      </c>
      <c r="F657" t="str">
        <f>IF('All Projects Calculations'!W657=0,"",'All Projects Calculations'!W657)</f>
        <v/>
      </c>
    </row>
    <row r="658" spans="1:6" x14ac:dyDescent="0.25">
      <c r="A658">
        <v>654</v>
      </c>
      <c r="B658" t="str">
        <f t="shared" si="10"/>
        <v/>
      </c>
      <c r="C658" t="str">
        <f>IF('All Projects Calculations'!U658="","",'All Projects Calculations'!U658)</f>
        <v/>
      </c>
      <c r="F658" t="str">
        <f>IF('All Projects Calculations'!W658=0,"",'All Projects Calculations'!W658)</f>
        <v/>
      </c>
    </row>
    <row r="659" spans="1:6" x14ac:dyDescent="0.25">
      <c r="A659">
        <v>655</v>
      </c>
      <c r="B659" t="str">
        <f t="shared" si="10"/>
        <v/>
      </c>
      <c r="C659" t="str">
        <f>IF('All Projects Calculations'!U659="","",'All Projects Calculations'!U659)</f>
        <v/>
      </c>
      <c r="F659" t="str">
        <f>IF('All Projects Calculations'!W659=0,"",'All Projects Calculations'!W659)</f>
        <v/>
      </c>
    </row>
    <row r="660" spans="1:6" x14ac:dyDescent="0.25">
      <c r="A660">
        <v>656</v>
      </c>
      <c r="B660" t="str">
        <f t="shared" si="10"/>
        <v/>
      </c>
      <c r="C660" t="str">
        <f>IF('All Projects Calculations'!U660="","",'All Projects Calculations'!U660)</f>
        <v/>
      </c>
      <c r="F660" t="str">
        <f>IF('All Projects Calculations'!W660=0,"",'All Projects Calculations'!W660)</f>
        <v/>
      </c>
    </row>
    <row r="661" spans="1:6" x14ac:dyDescent="0.25">
      <c r="A661">
        <v>657</v>
      </c>
      <c r="B661" t="str">
        <f t="shared" si="10"/>
        <v/>
      </c>
      <c r="C661" t="str">
        <f>IF('All Projects Calculations'!U661="","",'All Projects Calculations'!U661)</f>
        <v/>
      </c>
      <c r="F661" t="str">
        <f>IF('All Projects Calculations'!W661=0,"",'All Projects Calculations'!W661)</f>
        <v/>
      </c>
    </row>
    <row r="662" spans="1:6" x14ac:dyDescent="0.25">
      <c r="A662">
        <v>658</v>
      </c>
      <c r="B662" t="str">
        <f t="shared" si="10"/>
        <v/>
      </c>
      <c r="C662" t="str">
        <f>IF('All Projects Calculations'!U662="","",'All Projects Calculations'!U662)</f>
        <v/>
      </c>
      <c r="F662" t="str">
        <f>IF('All Projects Calculations'!W662=0,"",'All Projects Calculations'!W662)</f>
        <v/>
      </c>
    </row>
    <row r="663" spans="1:6" x14ac:dyDescent="0.25">
      <c r="A663">
        <v>659</v>
      </c>
      <c r="B663" t="str">
        <f t="shared" si="10"/>
        <v/>
      </c>
      <c r="C663" t="str">
        <f>IF('All Projects Calculations'!U663="","",'All Projects Calculations'!U663)</f>
        <v/>
      </c>
      <c r="F663" t="str">
        <f>IF('All Projects Calculations'!W663=0,"",'All Projects Calculations'!W663)</f>
        <v/>
      </c>
    </row>
    <row r="664" spans="1:6" x14ac:dyDescent="0.25">
      <c r="A664">
        <v>660</v>
      </c>
      <c r="B664" t="str">
        <f t="shared" si="10"/>
        <v/>
      </c>
      <c r="C664" t="str">
        <f>IF('All Projects Calculations'!U664="","",'All Projects Calculations'!U664)</f>
        <v/>
      </c>
      <c r="F664" t="str">
        <f>IF('All Projects Calculations'!W664=0,"",'All Projects Calculations'!W664)</f>
        <v/>
      </c>
    </row>
    <row r="665" spans="1:6" x14ac:dyDescent="0.25">
      <c r="A665">
        <v>661</v>
      </c>
      <c r="B665" t="str">
        <f t="shared" si="10"/>
        <v/>
      </c>
      <c r="C665" t="str">
        <f>IF('All Projects Calculations'!U665="","",'All Projects Calculations'!U665)</f>
        <v/>
      </c>
      <c r="F665" t="str">
        <f>IF('All Projects Calculations'!W665=0,"",'All Projects Calculations'!W665)</f>
        <v/>
      </c>
    </row>
    <row r="666" spans="1:6" x14ac:dyDescent="0.25">
      <c r="A666">
        <v>662</v>
      </c>
      <c r="B666" t="str">
        <f t="shared" si="10"/>
        <v/>
      </c>
      <c r="C666" t="str">
        <f>IF('All Projects Calculations'!U666="","",'All Projects Calculations'!U666)</f>
        <v/>
      </c>
      <c r="F666" t="str">
        <f>IF('All Projects Calculations'!W666=0,"",'All Projects Calculations'!W666)</f>
        <v/>
      </c>
    </row>
    <row r="667" spans="1:6" x14ac:dyDescent="0.25">
      <c r="A667">
        <v>663</v>
      </c>
      <c r="B667" t="str">
        <f t="shared" si="10"/>
        <v/>
      </c>
      <c r="C667" t="str">
        <f>IF('All Projects Calculations'!U667="","",'All Projects Calculations'!U667)</f>
        <v/>
      </c>
      <c r="F667" t="str">
        <f>IF('All Projects Calculations'!W667=0,"",'All Projects Calculations'!W667)</f>
        <v/>
      </c>
    </row>
    <row r="668" spans="1:6" x14ac:dyDescent="0.25">
      <c r="A668">
        <v>664</v>
      </c>
      <c r="B668" t="str">
        <f t="shared" si="10"/>
        <v/>
      </c>
      <c r="C668" t="str">
        <f>IF('All Projects Calculations'!U668="","",'All Projects Calculations'!U668)</f>
        <v/>
      </c>
      <c r="F668" t="str">
        <f>IF('All Projects Calculations'!W668=0,"",'All Projects Calculations'!W668)</f>
        <v/>
      </c>
    </row>
    <row r="669" spans="1:6" x14ac:dyDescent="0.25">
      <c r="A669">
        <v>665</v>
      </c>
      <c r="B669" t="str">
        <f t="shared" si="10"/>
        <v/>
      </c>
      <c r="C669" t="str">
        <f>IF('All Projects Calculations'!U669="","",'All Projects Calculations'!U669)</f>
        <v/>
      </c>
      <c r="F669" t="str">
        <f>IF('All Projects Calculations'!W669=0,"",'All Projects Calculations'!W669)</f>
        <v/>
      </c>
    </row>
    <row r="670" spans="1:6" x14ac:dyDescent="0.25">
      <c r="A670">
        <v>666</v>
      </c>
      <c r="B670" t="str">
        <f t="shared" si="10"/>
        <v/>
      </c>
      <c r="C670" t="str">
        <f>IF('All Projects Calculations'!U670="","",'All Projects Calculations'!U670)</f>
        <v/>
      </c>
      <c r="F670" t="str">
        <f>IF('All Projects Calculations'!W670=0,"",'All Projects Calculations'!W670)</f>
        <v/>
      </c>
    </row>
    <row r="671" spans="1:6" x14ac:dyDescent="0.25">
      <c r="A671">
        <v>667</v>
      </c>
      <c r="B671" t="str">
        <f t="shared" si="10"/>
        <v/>
      </c>
      <c r="C671" t="str">
        <f>IF('All Projects Calculations'!U671="","",'All Projects Calculations'!U671)</f>
        <v/>
      </c>
      <c r="F671" t="str">
        <f>IF('All Projects Calculations'!W671=0,"",'All Projects Calculations'!W671)</f>
        <v/>
      </c>
    </row>
    <row r="672" spans="1:6" x14ac:dyDescent="0.25">
      <c r="A672">
        <v>668</v>
      </c>
      <c r="B672" t="str">
        <f t="shared" si="10"/>
        <v/>
      </c>
      <c r="C672" t="str">
        <f>IF('All Projects Calculations'!U672="","",'All Projects Calculations'!U672)</f>
        <v/>
      </c>
      <c r="F672" t="str">
        <f>IF('All Projects Calculations'!W672=0,"",'All Projects Calculations'!W672)</f>
        <v/>
      </c>
    </row>
    <row r="673" spans="1:6" x14ac:dyDescent="0.25">
      <c r="A673">
        <v>669</v>
      </c>
      <c r="B673" t="str">
        <f t="shared" si="10"/>
        <v/>
      </c>
      <c r="C673" t="str">
        <f>IF('All Projects Calculations'!U673="","",'All Projects Calculations'!U673)</f>
        <v/>
      </c>
      <c r="F673" t="str">
        <f>IF('All Projects Calculations'!W673=0,"",'All Projects Calculations'!W673)</f>
        <v/>
      </c>
    </row>
    <row r="674" spans="1:6" x14ac:dyDescent="0.25">
      <c r="A674">
        <v>670</v>
      </c>
      <c r="B674" t="str">
        <f t="shared" si="10"/>
        <v/>
      </c>
      <c r="C674" t="str">
        <f>IF('All Projects Calculations'!U674="","",'All Projects Calculations'!U674)</f>
        <v/>
      </c>
      <c r="F674" t="str">
        <f>IF('All Projects Calculations'!W674=0,"",'All Projects Calculations'!W674)</f>
        <v/>
      </c>
    </row>
    <row r="675" spans="1:6" x14ac:dyDescent="0.25">
      <c r="A675">
        <v>671</v>
      </c>
      <c r="B675" t="str">
        <f t="shared" si="10"/>
        <v/>
      </c>
      <c r="C675" t="str">
        <f>IF('All Projects Calculations'!U675="","",'All Projects Calculations'!U675)</f>
        <v/>
      </c>
      <c r="F675" t="str">
        <f>IF('All Projects Calculations'!W675=0,"",'All Projects Calculations'!W675)</f>
        <v/>
      </c>
    </row>
    <row r="676" spans="1:6" x14ac:dyDescent="0.25">
      <c r="A676">
        <v>672</v>
      </c>
      <c r="B676" t="str">
        <f t="shared" si="10"/>
        <v/>
      </c>
      <c r="C676" t="str">
        <f>IF('All Projects Calculations'!U676="","",'All Projects Calculations'!U676)</f>
        <v/>
      </c>
      <c r="F676" t="str">
        <f>IF('All Projects Calculations'!W676=0,"",'All Projects Calculations'!W676)</f>
        <v/>
      </c>
    </row>
    <row r="677" spans="1:6" x14ac:dyDescent="0.25">
      <c r="A677">
        <v>673</v>
      </c>
      <c r="B677" t="str">
        <f t="shared" si="10"/>
        <v/>
      </c>
      <c r="C677" t="str">
        <f>IF('All Projects Calculations'!U677="","",'All Projects Calculations'!U677)</f>
        <v/>
      </c>
      <c r="F677" t="str">
        <f>IF('All Projects Calculations'!W677=0,"",'All Projects Calculations'!W677)</f>
        <v/>
      </c>
    </row>
    <row r="678" spans="1:6" x14ac:dyDescent="0.25">
      <c r="A678">
        <v>674</v>
      </c>
      <c r="B678" t="str">
        <f t="shared" si="10"/>
        <v/>
      </c>
      <c r="C678" t="str">
        <f>IF('All Projects Calculations'!U678="","",'All Projects Calculations'!U678)</f>
        <v/>
      </c>
      <c r="F678" t="str">
        <f>IF('All Projects Calculations'!W678=0,"",'All Projects Calculations'!W678)</f>
        <v/>
      </c>
    </row>
    <row r="679" spans="1:6" x14ac:dyDescent="0.25">
      <c r="A679">
        <v>675</v>
      </c>
      <c r="B679" t="str">
        <f t="shared" si="10"/>
        <v/>
      </c>
      <c r="C679" t="str">
        <f>IF('All Projects Calculations'!U679="","",'All Projects Calculations'!U679)</f>
        <v/>
      </c>
      <c r="F679" t="str">
        <f>IF('All Projects Calculations'!W679=0,"",'All Projects Calculations'!W679)</f>
        <v/>
      </c>
    </row>
    <row r="680" spans="1:6" x14ac:dyDescent="0.25">
      <c r="A680">
        <v>676</v>
      </c>
      <c r="B680" t="str">
        <f t="shared" si="10"/>
        <v/>
      </c>
      <c r="C680" t="str">
        <f>IF('All Projects Calculations'!U680="","",'All Projects Calculations'!U680)</f>
        <v/>
      </c>
      <c r="F680" t="str">
        <f>IF('All Projects Calculations'!W680=0,"",'All Projects Calculations'!W680)</f>
        <v/>
      </c>
    </row>
    <row r="681" spans="1:6" x14ac:dyDescent="0.25">
      <c r="A681">
        <v>677</v>
      </c>
      <c r="B681" t="str">
        <f t="shared" si="10"/>
        <v/>
      </c>
      <c r="C681" t="str">
        <f>IF('All Projects Calculations'!U681="","",'All Projects Calculations'!U681)</f>
        <v/>
      </c>
      <c r="F681" t="str">
        <f>IF('All Projects Calculations'!W681=0,"",'All Projects Calculations'!W681)</f>
        <v/>
      </c>
    </row>
    <row r="682" spans="1:6" x14ac:dyDescent="0.25">
      <c r="A682">
        <v>678</v>
      </c>
      <c r="B682" t="str">
        <f t="shared" si="10"/>
        <v/>
      </c>
      <c r="C682" t="str">
        <f>IF('All Projects Calculations'!U682="","",'All Projects Calculations'!U682)</f>
        <v/>
      </c>
      <c r="F682" t="str">
        <f>IF('All Projects Calculations'!W682=0,"",'All Projects Calculations'!W682)</f>
        <v/>
      </c>
    </row>
    <row r="683" spans="1:6" x14ac:dyDescent="0.25">
      <c r="A683">
        <v>679</v>
      </c>
      <c r="B683" t="str">
        <f t="shared" si="10"/>
        <v/>
      </c>
      <c r="C683" t="str">
        <f>IF('All Projects Calculations'!U683="","",'All Projects Calculations'!U683)</f>
        <v/>
      </c>
      <c r="F683" t="str">
        <f>IF('All Projects Calculations'!W683=0,"",'All Projects Calculations'!W683)</f>
        <v/>
      </c>
    </row>
    <row r="684" spans="1:6" x14ac:dyDescent="0.25">
      <c r="A684">
        <v>680</v>
      </c>
      <c r="B684" t="str">
        <f t="shared" si="10"/>
        <v/>
      </c>
      <c r="C684" t="str">
        <f>IF('All Projects Calculations'!U684="","",'All Projects Calculations'!U684)</f>
        <v/>
      </c>
      <c r="F684" t="str">
        <f>IF('All Projects Calculations'!W684=0,"",'All Projects Calculations'!W684)</f>
        <v/>
      </c>
    </row>
    <row r="685" spans="1:6" x14ac:dyDescent="0.25">
      <c r="A685">
        <v>681</v>
      </c>
      <c r="B685" t="str">
        <f t="shared" si="10"/>
        <v/>
      </c>
      <c r="C685" t="str">
        <f>IF('All Projects Calculations'!U685="","",'All Projects Calculations'!U685)</f>
        <v/>
      </c>
      <c r="F685" t="str">
        <f>IF('All Projects Calculations'!W685=0,"",'All Projects Calculations'!W685)</f>
        <v/>
      </c>
    </row>
    <row r="686" spans="1:6" x14ac:dyDescent="0.25">
      <c r="A686">
        <v>682</v>
      </c>
      <c r="B686" t="str">
        <f t="shared" si="10"/>
        <v/>
      </c>
      <c r="C686" t="str">
        <f>IF('All Projects Calculations'!U686="","",'All Projects Calculations'!U686)</f>
        <v/>
      </c>
      <c r="F686" t="str">
        <f>IF('All Projects Calculations'!W686=0,"",'All Projects Calculations'!W686)</f>
        <v/>
      </c>
    </row>
    <row r="687" spans="1:6" x14ac:dyDescent="0.25">
      <c r="A687">
        <v>683</v>
      </c>
      <c r="B687" t="str">
        <f t="shared" si="10"/>
        <v/>
      </c>
      <c r="C687" t="str">
        <f>IF('All Projects Calculations'!U687="","",'All Projects Calculations'!U687)</f>
        <v/>
      </c>
      <c r="F687" t="str">
        <f>IF('All Projects Calculations'!W687=0,"",'All Projects Calculations'!W687)</f>
        <v/>
      </c>
    </row>
    <row r="688" spans="1:6" x14ac:dyDescent="0.25">
      <c r="A688">
        <v>684</v>
      </c>
      <c r="B688" t="str">
        <f t="shared" si="10"/>
        <v/>
      </c>
      <c r="C688" t="str">
        <f>IF('All Projects Calculations'!U688="","",'All Projects Calculations'!U688)</f>
        <v/>
      </c>
      <c r="F688" t="str">
        <f>IF('All Projects Calculations'!W688=0,"",'All Projects Calculations'!W688)</f>
        <v/>
      </c>
    </row>
    <row r="689" spans="1:6" x14ac:dyDescent="0.25">
      <c r="A689">
        <v>685</v>
      </c>
      <c r="B689" t="str">
        <f t="shared" si="10"/>
        <v/>
      </c>
      <c r="C689" t="str">
        <f>IF('All Projects Calculations'!U689="","",'All Projects Calculations'!U689)</f>
        <v/>
      </c>
      <c r="F689" t="str">
        <f>IF('All Projects Calculations'!W689=0,"",'All Projects Calculations'!W689)</f>
        <v/>
      </c>
    </row>
    <row r="690" spans="1:6" x14ac:dyDescent="0.25">
      <c r="A690">
        <v>686</v>
      </c>
      <c r="B690" t="str">
        <f t="shared" si="10"/>
        <v/>
      </c>
      <c r="C690" t="str">
        <f>IF('All Projects Calculations'!U690="","",'All Projects Calculations'!U690)</f>
        <v/>
      </c>
      <c r="F690" t="str">
        <f>IF('All Projects Calculations'!W690=0,"",'All Projects Calculations'!W690)</f>
        <v/>
      </c>
    </row>
    <row r="691" spans="1:6" x14ac:dyDescent="0.25">
      <c r="A691">
        <v>687</v>
      </c>
      <c r="B691" t="str">
        <f t="shared" si="10"/>
        <v/>
      </c>
      <c r="C691" t="str">
        <f>IF('All Projects Calculations'!U691="","",'All Projects Calculations'!U691)</f>
        <v/>
      </c>
      <c r="F691" t="str">
        <f>IF('All Projects Calculations'!W691=0,"",'All Projects Calculations'!W691)</f>
        <v/>
      </c>
    </row>
    <row r="692" spans="1:6" x14ac:dyDescent="0.25">
      <c r="A692">
        <v>688</v>
      </c>
      <c r="B692" t="str">
        <f t="shared" si="10"/>
        <v/>
      </c>
      <c r="C692" t="str">
        <f>IF('All Projects Calculations'!U692="","",'All Projects Calculations'!U692)</f>
        <v/>
      </c>
      <c r="F692" t="str">
        <f>IF('All Projects Calculations'!W692=0,"",'All Projects Calculations'!W692)</f>
        <v/>
      </c>
    </row>
    <row r="693" spans="1:6" x14ac:dyDescent="0.25">
      <c r="A693">
        <v>689</v>
      </c>
      <c r="B693" t="str">
        <f t="shared" si="10"/>
        <v/>
      </c>
      <c r="C693" t="str">
        <f>IF('All Projects Calculations'!U693="","",'All Projects Calculations'!U693)</f>
        <v/>
      </c>
      <c r="F693" t="str">
        <f>IF('All Projects Calculations'!W693=0,"",'All Projects Calculations'!W693)</f>
        <v/>
      </c>
    </row>
    <row r="694" spans="1:6" x14ac:dyDescent="0.25">
      <c r="A694">
        <v>690</v>
      </c>
      <c r="B694" t="str">
        <f t="shared" si="10"/>
        <v/>
      </c>
      <c r="C694" t="str">
        <f>IF('All Projects Calculations'!U694="","",'All Projects Calculations'!U694)</f>
        <v/>
      </c>
      <c r="F694" t="str">
        <f>IF('All Projects Calculations'!W694=0,"",'All Projects Calculations'!W694)</f>
        <v/>
      </c>
    </row>
    <row r="695" spans="1:6" x14ac:dyDescent="0.25">
      <c r="A695">
        <v>691</v>
      </c>
      <c r="B695" t="str">
        <f t="shared" si="10"/>
        <v/>
      </c>
      <c r="C695" t="str">
        <f>IF('All Projects Calculations'!U695="","",'All Projects Calculations'!U695)</f>
        <v/>
      </c>
      <c r="F695" t="str">
        <f>IF('All Projects Calculations'!W695=0,"",'All Projects Calculations'!W695)</f>
        <v/>
      </c>
    </row>
    <row r="696" spans="1:6" x14ac:dyDescent="0.25">
      <c r="A696">
        <v>692</v>
      </c>
      <c r="B696" t="str">
        <f t="shared" si="10"/>
        <v/>
      </c>
      <c r="C696" t="str">
        <f>IF('All Projects Calculations'!U696="","",'All Projects Calculations'!U696)</f>
        <v/>
      </c>
      <c r="F696" t="str">
        <f>IF('All Projects Calculations'!W696=0,"",'All Projects Calculations'!W696)</f>
        <v/>
      </c>
    </row>
    <row r="697" spans="1:6" x14ac:dyDescent="0.25">
      <c r="A697">
        <v>693</v>
      </c>
      <c r="B697" t="str">
        <f t="shared" si="10"/>
        <v/>
      </c>
      <c r="C697" t="str">
        <f>IF('All Projects Calculations'!U697="","",'All Projects Calculations'!U697)</f>
        <v/>
      </c>
      <c r="F697" t="str">
        <f>IF('All Projects Calculations'!W697=0,"",'All Projects Calculations'!W697)</f>
        <v/>
      </c>
    </row>
    <row r="698" spans="1:6" x14ac:dyDescent="0.25">
      <c r="A698">
        <v>694</v>
      </c>
      <c r="B698" t="str">
        <f t="shared" si="10"/>
        <v/>
      </c>
      <c r="C698" t="str">
        <f>IF('All Projects Calculations'!U698="","",'All Projects Calculations'!U698)</f>
        <v/>
      </c>
      <c r="F698" t="str">
        <f>IF('All Projects Calculations'!W698=0,"",'All Projects Calculations'!W698)</f>
        <v/>
      </c>
    </row>
    <row r="699" spans="1:6" x14ac:dyDescent="0.25">
      <c r="A699">
        <v>695</v>
      </c>
      <c r="B699" t="str">
        <f t="shared" si="10"/>
        <v/>
      </c>
      <c r="C699" t="str">
        <f>IF('All Projects Calculations'!U699="","",'All Projects Calculations'!U699)</f>
        <v/>
      </c>
      <c r="F699" t="str">
        <f>IF('All Projects Calculations'!W699=0,"",'All Projects Calculations'!W699)</f>
        <v/>
      </c>
    </row>
    <row r="700" spans="1:6" x14ac:dyDescent="0.25">
      <c r="A700">
        <v>696</v>
      </c>
      <c r="B700" t="str">
        <f t="shared" si="10"/>
        <v/>
      </c>
      <c r="C700" t="str">
        <f>IF('All Projects Calculations'!U700="","",'All Projects Calculations'!U700)</f>
        <v/>
      </c>
      <c r="F700" t="str">
        <f>IF('All Projects Calculations'!W700=0,"",'All Projects Calculations'!W700)</f>
        <v/>
      </c>
    </row>
    <row r="701" spans="1:6" x14ac:dyDescent="0.25">
      <c r="A701">
        <v>697</v>
      </c>
      <c r="B701" t="str">
        <f t="shared" si="10"/>
        <v/>
      </c>
      <c r="C701" t="str">
        <f>IF('All Projects Calculations'!U701="","",'All Projects Calculations'!U701)</f>
        <v/>
      </c>
      <c r="F701" t="str">
        <f>IF('All Projects Calculations'!W701=0,"",'All Projects Calculations'!W701)</f>
        <v/>
      </c>
    </row>
    <row r="702" spans="1:6" x14ac:dyDescent="0.25">
      <c r="A702">
        <v>698</v>
      </c>
      <c r="B702" t="str">
        <f t="shared" si="10"/>
        <v/>
      </c>
      <c r="C702" t="str">
        <f>IF('All Projects Calculations'!U702="","",'All Projects Calculations'!U702)</f>
        <v/>
      </c>
      <c r="F702" t="str">
        <f>IF('All Projects Calculations'!W702=0,"",'All Projects Calculations'!W702)</f>
        <v/>
      </c>
    </row>
    <row r="703" spans="1:6" x14ac:dyDescent="0.25">
      <c r="A703">
        <v>699</v>
      </c>
      <c r="B703" t="str">
        <f t="shared" si="10"/>
        <v/>
      </c>
      <c r="C703" t="str">
        <f>IF('All Projects Calculations'!U703="","",'All Projects Calculations'!U703)</f>
        <v/>
      </c>
      <c r="F703" t="str">
        <f>IF('All Projects Calculations'!W703=0,"",'All Projects Calculations'!W703)</f>
        <v/>
      </c>
    </row>
    <row r="704" spans="1:6" x14ac:dyDescent="0.25">
      <c r="A704">
        <v>700</v>
      </c>
      <c r="B704" t="str">
        <f t="shared" si="10"/>
        <v/>
      </c>
      <c r="C704" t="str">
        <f>IF('All Projects Calculations'!U704="","",'All Projects Calculations'!U704)</f>
        <v/>
      </c>
      <c r="F704" t="str">
        <f>IF('All Projects Calculations'!W704=0,"",'All Projects Calculations'!W704)</f>
        <v/>
      </c>
    </row>
    <row r="705" spans="1:6" x14ac:dyDescent="0.25">
      <c r="A705">
        <v>701</v>
      </c>
      <c r="B705" t="str">
        <f t="shared" si="10"/>
        <v/>
      </c>
      <c r="C705" t="str">
        <f>IF('All Projects Calculations'!U705="","",'All Projects Calculations'!U705)</f>
        <v/>
      </c>
      <c r="F705" t="str">
        <f>IF('All Projects Calculations'!W705=0,"",'All Projects Calculations'!W705)</f>
        <v/>
      </c>
    </row>
    <row r="706" spans="1:6" x14ac:dyDescent="0.25">
      <c r="A706">
        <v>702</v>
      </c>
      <c r="B706" t="str">
        <f t="shared" si="10"/>
        <v/>
      </c>
      <c r="C706" t="str">
        <f>IF('All Projects Calculations'!U706="","",'All Projects Calculations'!U706)</f>
        <v/>
      </c>
      <c r="F706" t="str">
        <f>IF('All Projects Calculations'!W706=0,"",'All Projects Calculations'!W706)</f>
        <v/>
      </c>
    </row>
    <row r="707" spans="1:6" x14ac:dyDescent="0.25">
      <c r="A707">
        <v>703</v>
      </c>
      <c r="B707" t="str">
        <f t="shared" si="10"/>
        <v/>
      </c>
      <c r="C707" t="str">
        <f>IF('All Projects Calculations'!U707="","",'All Projects Calculations'!U707)</f>
        <v/>
      </c>
      <c r="F707" t="str">
        <f>IF('All Projects Calculations'!W707=0,"",'All Projects Calculations'!W707)</f>
        <v/>
      </c>
    </row>
    <row r="708" spans="1:6" x14ac:dyDescent="0.25">
      <c r="A708">
        <v>704</v>
      </c>
      <c r="B708" t="str">
        <f t="shared" si="10"/>
        <v/>
      </c>
      <c r="C708" t="str">
        <f>IF('All Projects Calculations'!U708="","",'All Projects Calculations'!U708)</f>
        <v/>
      </c>
      <c r="F708" t="str">
        <f>IF('All Projects Calculations'!W708=0,"",'All Projects Calculations'!W708)</f>
        <v/>
      </c>
    </row>
    <row r="709" spans="1:6" x14ac:dyDescent="0.25">
      <c r="A709">
        <v>705</v>
      </c>
      <c r="B709" t="str">
        <f t="shared" si="10"/>
        <v/>
      </c>
      <c r="C709" t="str">
        <f>IF('All Projects Calculations'!U709="","",'All Projects Calculations'!U709)</f>
        <v/>
      </c>
      <c r="F709" t="str">
        <f>IF('All Projects Calculations'!W709=0,"",'All Projects Calculations'!W709)</f>
        <v/>
      </c>
    </row>
    <row r="710" spans="1:6" x14ac:dyDescent="0.25">
      <c r="A710">
        <v>706</v>
      </c>
      <c r="B710" t="str">
        <f t="shared" ref="B710:B713" si="11">IF(F710="","",A710)</f>
        <v/>
      </c>
      <c r="C710" t="str">
        <f>IF('All Projects Calculations'!U710="","",'All Projects Calculations'!U710)</f>
        <v/>
      </c>
      <c r="F710" t="str">
        <f>IF('All Projects Calculations'!W710=0,"",'All Projects Calculations'!W710)</f>
        <v/>
      </c>
    </row>
    <row r="711" spans="1:6" x14ac:dyDescent="0.25">
      <c r="A711">
        <v>707</v>
      </c>
      <c r="B711" t="str">
        <f t="shared" si="11"/>
        <v/>
      </c>
      <c r="C711" t="str">
        <f>IF('All Projects Calculations'!U711="","",'All Projects Calculations'!U711)</f>
        <v/>
      </c>
      <c r="F711" t="str">
        <f>IF('All Projects Calculations'!W711=0,"",'All Projects Calculations'!W711)</f>
        <v/>
      </c>
    </row>
    <row r="712" spans="1:6" x14ac:dyDescent="0.25">
      <c r="A712">
        <v>708</v>
      </c>
      <c r="B712" t="str">
        <f t="shared" si="11"/>
        <v/>
      </c>
      <c r="C712" t="str">
        <f>IF('All Projects Calculations'!U712="","",'All Projects Calculations'!U712)</f>
        <v/>
      </c>
      <c r="F712" t="str">
        <f>IF('All Projects Calculations'!W712=0,"",'All Projects Calculations'!W712)</f>
        <v/>
      </c>
    </row>
    <row r="713" spans="1:6" x14ac:dyDescent="0.25">
      <c r="A713">
        <v>709</v>
      </c>
      <c r="B713" t="str">
        <f t="shared" si="11"/>
        <v/>
      </c>
      <c r="C713" t="str">
        <f>IF('All Projects Calculations'!U713="","",'All Projects Calculations'!U713)</f>
        <v/>
      </c>
      <c r="F713" t="str">
        <f>IF('All Projects Calculations'!W713=0,"",'All Projects Calculations'!W713)</f>
        <v/>
      </c>
    </row>
    <row r="714" spans="1:6" x14ac:dyDescent="0.25">
      <c r="C714" t="str">
        <f>IF('All Projects Calculations'!U714="","",'All Projects Calculations'!U714)</f>
        <v/>
      </c>
      <c r="F714" t="str">
        <f>IF('All Projects Calculations'!W714=0,"",'All Projects Calculations'!W714)</f>
        <v/>
      </c>
    </row>
    <row r="715" spans="1:6" x14ac:dyDescent="0.25">
      <c r="C715" t="str">
        <f>IF('All Projects Calculations'!U715="","",'All Projects Calculations'!U715)</f>
        <v/>
      </c>
      <c r="F715" t="str">
        <f>IF('All Projects Calculations'!W715=0,"",'All Projects Calculations'!W715)</f>
        <v/>
      </c>
    </row>
    <row r="716" spans="1:6" x14ac:dyDescent="0.25">
      <c r="C716" t="str">
        <f>IF('All Projects Calculations'!U716="","",'All Projects Calculations'!U716)</f>
        <v/>
      </c>
      <c r="F716" t="str">
        <f>IF('All Projects Calculations'!W716=0,"",'All Projects Calculations'!W716)</f>
        <v/>
      </c>
    </row>
    <row r="717" spans="1:6" x14ac:dyDescent="0.25">
      <c r="C717" t="str">
        <f>IF('All Projects Calculations'!U717="","",'All Projects Calculations'!U717)</f>
        <v/>
      </c>
      <c r="F717" t="str">
        <f>IF('All Projects Calculations'!W717=0,"",'All Projects Calculations'!W717)</f>
        <v/>
      </c>
    </row>
    <row r="718" spans="1:6" x14ac:dyDescent="0.25">
      <c r="C718" t="str">
        <f>IF('All Projects Calculations'!U718="","",'All Projects Calculations'!U718)</f>
        <v/>
      </c>
      <c r="F718" t="str">
        <f>IF('All Projects Calculations'!W718=0,"",'All Projects Calculations'!W718)</f>
        <v/>
      </c>
    </row>
    <row r="719" spans="1:6" x14ac:dyDescent="0.25">
      <c r="C719" t="str">
        <f>IF('All Projects Calculations'!U719="","",'All Projects Calculations'!U719)</f>
        <v/>
      </c>
      <c r="F719" t="str">
        <f>IF('All Projects Calculations'!W719=0,"",'All Projects Calculations'!W719)</f>
        <v/>
      </c>
    </row>
    <row r="720" spans="1:6" x14ac:dyDescent="0.25">
      <c r="C720" t="str">
        <f>IF('All Projects Calculations'!U720="","",'All Projects Calculations'!U720)</f>
        <v/>
      </c>
      <c r="F720" t="str">
        <f>IF('All Projects Calculations'!W720=0,"",'All Projects Calculations'!W720)</f>
        <v/>
      </c>
    </row>
    <row r="721" spans="3:6" x14ac:dyDescent="0.25">
      <c r="C721" t="str">
        <f>IF('All Projects Calculations'!U721="","",'All Projects Calculations'!U721)</f>
        <v/>
      </c>
      <c r="F721" t="str">
        <f>IF('All Projects Calculations'!W721=0,"",'All Projects Calculations'!W721)</f>
        <v/>
      </c>
    </row>
  </sheetData>
  <customSheetViews>
    <customSheetView guid="{84F0FDFB-72A1-4214-8B2B-A048953E297B}">
      <pageMargins left="0.7" right="0.7" top="0.75" bottom="0.75" header="0.3" footer="0.3"/>
      <pageSetup orientation="portrait" horizontalDpi="4294967293" verticalDpi="0" r:id="rId1"/>
    </customSheetView>
  </customSheetViews>
  <pageMargins left="0.7" right="0.7" top="0.75" bottom="0.75" header="0.3" footer="0.3"/>
  <pageSetup orientation="portrait" horizontalDpi="4294967293" verticalDpi="0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713"/>
  <sheetViews>
    <sheetView topLeftCell="A5" workbookViewId="0">
      <selection activeCell="G7" sqref="G7"/>
    </sheetView>
  </sheetViews>
  <sheetFormatPr defaultRowHeight="15" x14ac:dyDescent="0.25"/>
  <cols>
    <col min="3" max="3" width="19" bestFit="1" customWidth="1"/>
    <col min="6" max="6" width="21.85546875" bestFit="1" customWidth="1"/>
  </cols>
  <sheetData>
    <row r="1" spans="1:8" x14ac:dyDescent="0.25">
      <c r="C1" s="6" t="s">
        <v>176</v>
      </c>
      <c r="F1" s="6" t="s">
        <v>177</v>
      </c>
      <c r="H1" s="6" t="s">
        <v>350</v>
      </c>
    </row>
    <row r="2" spans="1:8" x14ac:dyDescent="0.25">
      <c r="C2" t="str">
        <f ca="1">'Project Generation'!C2</f>
        <v>AZ_6-16-2017</v>
      </c>
      <c r="H2">
        <f ca="1">COUNT(B:B)</f>
        <v>12</v>
      </c>
    </row>
    <row r="4" spans="1:8" x14ac:dyDescent="0.25">
      <c r="F4" s="6" t="s">
        <v>175</v>
      </c>
    </row>
    <row r="5" spans="1:8" x14ac:dyDescent="0.25">
      <c r="A5">
        <v>1</v>
      </c>
      <c r="B5">
        <f ca="1">IF(F5="","",A5)</f>
        <v>1</v>
      </c>
      <c r="F5" t="str">
        <f ca="1">'All Projects Calculations'!Y5</f>
        <v>{"project_name":"full_AZ_1A_Well","project_path":"K:/1_Capture/","project_subject_id":"--","project_author":"","project_date":"6-16-2017","project_notes":"","project_data_directory":"AZ_6-16-2017_","project_boundary_left":"25.91","project_boundary_right":"73.91","project_boundary_top":"1.73","project_boundary_bottom":"25.73","project_boundary_highfocus":"1.5","project_boundary_lowfocus":"0.7","project_subject_width":"48","project_subject_height":"24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980"}</v>
      </c>
    </row>
    <row r="6" spans="1:8" x14ac:dyDescent="0.25">
      <c r="A6">
        <v>2</v>
      </c>
      <c r="B6" t="str">
        <f t="shared" ref="B6:B69" si="0">IF(F6="","",A6)</f>
        <v/>
      </c>
      <c r="F6" t="str">
        <f>'All Projects Calculations'!Y6</f>
        <v/>
      </c>
    </row>
    <row r="7" spans="1:8" x14ac:dyDescent="0.25">
      <c r="A7">
        <v>3</v>
      </c>
      <c r="B7" t="str">
        <f t="shared" si="0"/>
        <v/>
      </c>
      <c r="F7" t="str">
        <f>'All Projects Calculations'!Y7</f>
        <v/>
      </c>
    </row>
    <row r="8" spans="1:8" x14ac:dyDescent="0.25">
      <c r="A8">
        <v>4</v>
      </c>
      <c r="B8" t="str">
        <f t="shared" si="0"/>
        <v/>
      </c>
      <c r="F8" t="str">
        <f>'All Projects Calculations'!Y8</f>
        <v/>
      </c>
    </row>
    <row r="9" spans="1:8" x14ac:dyDescent="0.25">
      <c r="A9">
        <v>5</v>
      </c>
      <c r="B9" t="str">
        <f t="shared" si="0"/>
        <v/>
      </c>
      <c r="F9" t="str">
        <f>'All Projects Calculations'!Y9</f>
        <v/>
      </c>
    </row>
    <row r="10" spans="1:8" x14ac:dyDescent="0.25">
      <c r="A10">
        <v>6</v>
      </c>
      <c r="B10" t="str">
        <f t="shared" si="0"/>
        <v/>
      </c>
      <c r="F10" t="str">
        <f>'All Projects Calculations'!Y10</f>
        <v/>
      </c>
    </row>
    <row r="11" spans="1:8" x14ac:dyDescent="0.25">
      <c r="A11">
        <v>7</v>
      </c>
      <c r="B11" t="str">
        <f t="shared" si="0"/>
        <v/>
      </c>
      <c r="F11" t="str">
        <f>'All Projects Calculations'!Y11</f>
        <v/>
      </c>
    </row>
    <row r="12" spans="1:8" x14ac:dyDescent="0.25">
      <c r="A12">
        <v>8</v>
      </c>
      <c r="B12" t="str">
        <f t="shared" si="0"/>
        <v/>
      </c>
      <c r="F12" t="str">
        <f>'All Projects Calculations'!Y12</f>
        <v/>
      </c>
    </row>
    <row r="13" spans="1:8" x14ac:dyDescent="0.25">
      <c r="A13">
        <v>9</v>
      </c>
      <c r="B13" t="str">
        <f t="shared" si="0"/>
        <v/>
      </c>
      <c r="F13" t="str">
        <f>'All Projects Calculations'!Y13</f>
        <v/>
      </c>
    </row>
    <row r="14" spans="1:8" x14ac:dyDescent="0.25">
      <c r="A14">
        <v>10</v>
      </c>
      <c r="B14">
        <f t="shared" ca="1" si="0"/>
        <v>10</v>
      </c>
      <c r="F14" t="str">
        <f ca="1">'All Projects Calculations'!Y14</f>
        <v>{"project_name":"1_AZ_1B_Row1","project_path":"K:/1_Capture/","project_subject_id":"--","project_author":"","project_date":"6-16-2017","project_notes":"","project_data_directory":"AZ_6-16-2017_","project_boundary_left":"114.51","project_boundary_right":"158.91","project_boundary_top":"6.03","project_boundary_bottom":"7.88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v>
      </c>
    </row>
    <row r="15" spans="1:8" x14ac:dyDescent="0.25">
      <c r="A15">
        <v>11</v>
      </c>
      <c r="B15" t="str">
        <f t="shared" si="0"/>
        <v/>
      </c>
      <c r="F15" t="str">
        <f>'All Projects Calculations'!Y15</f>
        <v/>
      </c>
    </row>
    <row r="16" spans="1:8" x14ac:dyDescent="0.25">
      <c r="A16">
        <v>12</v>
      </c>
      <c r="B16" t="str">
        <f t="shared" si="0"/>
        <v/>
      </c>
      <c r="F16" t="str">
        <f>'All Projects Calculations'!Y16</f>
        <v/>
      </c>
    </row>
    <row r="17" spans="1:6" x14ac:dyDescent="0.25">
      <c r="A17">
        <v>13</v>
      </c>
      <c r="B17" t="str">
        <f t="shared" si="0"/>
        <v/>
      </c>
      <c r="F17" t="str">
        <f>'All Projects Calculations'!Y17</f>
        <v/>
      </c>
    </row>
    <row r="18" spans="1:6" x14ac:dyDescent="0.25">
      <c r="A18">
        <v>14</v>
      </c>
      <c r="B18" t="str">
        <f t="shared" si="0"/>
        <v/>
      </c>
      <c r="F18" t="str">
        <f>'All Projects Calculations'!Y18</f>
        <v/>
      </c>
    </row>
    <row r="19" spans="1:6" x14ac:dyDescent="0.25">
      <c r="A19">
        <v>15</v>
      </c>
      <c r="B19" t="str">
        <f t="shared" si="0"/>
        <v/>
      </c>
      <c r="F19" t="str">
        <f>'All Projects Calculations'!Y19</f>
        <v/>
      </c>
    </row>
    <row r="20" spans="1:6" x14ac:dyDescent="0.25">
      <c r="A20">
        <v>16</v>
      </c>
      <c r="B20" t="str">
        <f t="shared" si="0"/>
        <v/>
      </c>
      <c r="F20" t="str">
        <f>'All Projects Calculations'!Y20</f>
        <v/>
      </c>
    </row>
    <row r="21" spans="1:6" x14ac:dyDescent="0.25">
      <c r="A21">
        <v>17</v>
      </c>
      <c r="B21" t="str">
        <f t="shared" si="0"/>
        <v/>
      </c>
      <c r="F21" t="str">
        <f>'All Projects Calculations'!Y21</f>
        <v/>
      </c>
    </row>
    <row r="22" spans="1:6" x14ac:dyDescent="0.25">
      <c r="A22">
        <v>18</v>
      </c>
      <c r="B22">
        <f t="shared" ca="1" si="0"/>
        <v>18</v>
      </c>
      <c r="F22" t="str">
        <f ca="1">'All Projects Calculations'!Y22</f>
        <v>{"project_name":"2_AZ_1C_Row1","project_path":"K:/1_Capture/","project_subject_id":"--","project_author":"","project_date":"6-16-2017","project_notes":"","project_data_directory":"AZ_6-16-2017_","project_boundary_left":"201.11","project_boundary_right":"245.51","project_boundary_top":"6.03","project_boundary_bottom":"7.88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v>
      </c>
    </row>
    <row r="23" spans="1:6" x14ac:dyDescent="0.25">
      <c r="A23">
        <v>19</v>
      </c>
      <c r="B23">
        <f t="shared" ca="1" si="0"/>
        <v>19</v>
      </c>
      <c r="F23" t="str">
        <f ca="1">'All Projects Calculations'!Y23</f>
        <v>{"project_name":"2_AZ_1C_Row2","project_path":"K:/1_Capture/","project_subject_id":"--","project_author":"","project_date":"6-16-2017","project_notes":"","project_data_directory":"AZ_6-16-2017_","project_boundary_left":"201.11","project_boundary_right":"245.51","project_boundary_top":"7.88","project_boundary_bottom":"9.73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v>
      </c>
    </row>
    <row r="24" spans="1:6" x14ac:dyDescent="0.25">
      <c r="A24">
        <v>20</v>
      </c>
      <c r="B24" t="str">
        <f t="shared" si="0"/>
        <v/>
      </c>
      <c r="F24" t="str">
        <f>'All Projects Calculations'!Y24</f>
        <v/>
      </c>
    </row>
    <row r="25" spans="1:6" x14ac:dyDescent="0.25">
      <c r="A25">
        <v>21</v>
      </c>
      <c r="B25" t="str">
        <f t="shared" si="0"/>
        <v/>
      </c>
      <c r="F25" t="str">
        <f>'All Projects Calculations'!Y25</f>
        <v/>
      </c>
    </row>
    <row r="26" spans="1:6" x14ac:dyDescent="0.25">
      <c r="A26">
        <v>22</v>
      </c>
      <c r="B26" t="str">
        <f t="shared" si="0"/>
        <v/>
      </c>
      <c r="F26" t="str">
        <f>'All Projects Calculations'!Y26</f>
        <v/>
      </c>
    </row>
    <row r="27" spans="1:6" x14ac:dyDescent="0.25">
      <c r="A27">
        <v>23</v>
      </c>
      <c r="B27" t="str">
        <f t="shared" si="0"/>
        <v/>
      </c>
      <c r="F27" t="str">
        <f>'All Projects Calculations'!Y27</f>
        <v/>
      </c>
    </row>
    <row r="28" spans="1:6" x14ac:dyDescent="0.25">
      <c r="A28">
        <v>24</v>
      </c>
      <c r="B28" t="str">
        <f t="shared" si="0"/>
        <v/>
      </c>
      <c r="F28" t="str">
        <f>'All Projects Calculations'!Y28</f>
        <v/>
      </c>
    </row>
    <row r="29" spans="1:6" x14ac:dyDescent="0.25">
      <c r="A29">
        <v>25</v>
      </c>
      <c r="B29" t="str">
        <f t="shared" si="0"/>
        <v/>
      </c>
      <c r="F29" t="str">
        <f>'All Projects Calculations'!Y29</f>
        <v/>
      </c>
    </row>
    <row r="30" spans="1:6" x14ac:dyDescent="0.25">
      <c r="A30">
        <v>26</v>
      </c>
      <c r="B30">
        <f t="shared" ca="1" si="0"/>
        <v>26</v>
      </c>
      <c r="F30" t="str">
        <f ca="1">'All Projects Calculations'!Y30</f>
        <v>{"project_name":"3_AZ_1D_Row1","project_path":"K:/1_Capture/","project_subject_id":"--","project_author":"","project_date":"6-16-2017","project_notes":"","project_data_directory":"AZ_6-16-2017_","project_boundary_left":"288.11","project_boundary_right":"332.51","project_boundary_top":"6.03","project_boundary_bottom":"7.88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v>
      </c>
    </row>
    <row r="31" spans="1:6" x14ac:dyDescent="0.25">
      <c r="A31">
        <v>27</v>
      </c>
      <c r="B31">
        <f t="shared" ca="1" si="0"/>
        <v>27</v>
      </c>
      <c r="F31" t="str">
        <f ca="1">'All Projects Calculations'!Y31</f>
        <v>{"project_name":"3_AZ_1D_Row2","project_path":"K:/1_Capture/","project_subject_id":"--","project_author":"","project_date":"6-16-2017","project_notes":"","project_data_directory":"AZ_6-16-2017_","project_boundary_left":"288.11","project_boundary_right":"332.51","project_boundary_top":"7.88","project_boundary_bottom":"9.73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v>
      </c>
    </row>
    <row r="32" spans="1:6" x14ac:dyDescent="0.25">
      <c r="A32">
        <v>28</v>
      </c>
      <c r="B32">
        <f t="shared" ca="1" si="0"/>
        <v>28</v>
      </c>
      <c r="F32" t="str">
        <f ca="1">'All Projects Calculations'!Y32</f>
        <v>{"project_name":"3_AZ_1D_Row3","project_path":"K:/1_Capture/","project_subject_id":"--","project_author":"","project_date":"6-16-2017","project_notes":"","project_data_directory":"AZ_6-16-2017_","project_boundary_left":"288.11","project_boundary_right":"332.51","project_boundary_top":"9.73","project_boundary_bottom":"11.58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v>
      </c>
    </row>
    <row r="33" spans="1:6" x14ac:dyDescent="0.25">
      <c r="A33">
        <v>29</v>
      </c>
      <c r="B33" t="str">
        <f t="shared" si="0"/>
        <v/>
      </c>
      <c r="F33" t="str">
        <f>'All Projects Calculations'!Y33</f>
        <v/>
      </c>
    </row>
    <row r="34" spans="1:6" x14ac:dyDescent="0.25">
      <c r="A34">
        <v>30</v>
      </c>
      <c r="B34" t="str">
        <f t="shared" si="0"/>
        <v/>
      </c>
      <c r="F34" t="str">
        <f>'All Projects Calculations'!Y34</f>
        <v/>
      </c>
    </row>
    <row r="35" spans="1:6" x14ac:dyDescent="0.25">
      <c r="A35">
        <v>31</v>
      </c>
      <c r="B35" t="str">
        <f t="shared" si="0"/>
        <v/>
      </c>
      <c r="F35" t="str">
        <f>'All Projects Calculations'!Y35</f>
        <v/>
      </c>
    </row>
    <row r="36" spans="1:6" x14ac:dyDescent="0.25">
      <c r="A36">
        <v>32</v>
      </c>
      <c r="B36" t="str">
        <f t="shared" si="0"/>
        <v/>
      </c>
      <c r="F36" t="str">
        <f>'All Projects Calculations'!Y36</f>
        <v/>
      </c>
    </row>
    <row r="37" spans="1:6" x14ac:dyDescent="0.25">
      <c r="A37">
        <v>33</v>
      </c>
      <c r="B37" t="str">
        <f t="shared" si="0"/>
        <v/>
      </c>
      <c r="F37" t="str">
        <f>'All Projects Calculations'!Y37</f>
        <v/>
      </c>
    </row>
    <row r="38" spans="1:6" x14ac:dyDescent="0.25">
      <c r="A38">
        <v>34</v>
      </c>
      <c r="B38">
        <f t="shared" ca="1" si="0"/>
        <v>34</v>
      </c>
      <c r="F38" t="str">
        <f ca="1">'All Projects Calculations'!Y38</f>
        <v>{"project_name":"4_AZ_1E_Row1","project_path":"K:/1_Capture/","project_subject_id":"--","project_author":"","project_date":"6-16-2017","project_notes":"","project_data_directory":"AZ_6-16-2017_","project_boundary_left":"374.51","project_boundary_right":"418.91","project_boundary_top":"6.03","project_boundary_bottom":"7.88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v>
      </c>
    </row>
    <row r="39" spans="1:6" x14ac:dyDescent="0.25">
      <c r="A39">
        <v>35</v>
      </c>
      <c r="B39">
        <f t="shared" ca="1" si="0"/>
        <v>35</v>
      </c>
      <c r="F39" t="str">
        <f ca="1">'All Projects Calculations'!Y39</f>
        <v>{"project_name":"4_AZ_1E_Row2","project_path":"K:/1_Capture/","project_subject_id":"--","project_author":"","project_date":"6-16-2017","project_notes":"","project_data_directory":"AZ_6-16-2017_","project_boundary_left":"374.51","project_boundary_right":"418.91","project_boundary_top":"7.88","project_boundary_bottom":"9.73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v>
      </c>
    </row>
    <row r="40" spans="1:6" x14ac:dyDescent="0.25">
      <c r="A40">
        <v>36</v>
      </c>
      <c r="B40">
        <f t="shared" ca="1" si="0"/>
        <v>36</v>
      </c>
      <c r="F40" t="str">
        <f ca="1">'All Projects Calculations'!Y40</f>
        <v>{"project_name":"4_AZ_1E_Row3","project_path":"K:/1_Capture/","project_subject_id":"--","project_author":"","project_date":"6-16-2017","project_notes":"","project_data_directory":"AZ_6-16-2017_","project_boundary_left":"374.51","project_boundary_right":"418.91","project_boundary_top":"9.73","project_boundary_bottom":"11.58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v>
      </c>
    </row>
    <row r="41" spans="1:6" x14ac:dyDescent="0.25">
      <c r="A41">
        <v>37</v>
      </c>
      <c r="B41">
        <f t="shared" ca="1" si="0"/>
        <v>37</v>
      </c>
      <c r="F41" t="str">
        <f ca="1">'All Projects Calculations'!Y41</f>
        <v>{"project_name":"4_AZ_1E_Row4","project_path":"K:/1_Capture/","project_subject_id":"--","project_author":"","project_date":"6-16-2017","project_notes":"","project_data_directory":"AZ_6-16-2017_","project_boundary_left":"374.51","project_boundary_right":"418.91","project_boundary_top":"11.58","project_boundary_bottom":"13.43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588"}</v>
      </c>
    </row>
    <row r="42" spans="1:6" x14ac:dyDescent="0.25">
      <c r="A42">
        <v>38</v>
      </c>
      <c r="B42">
        <f t="shared" ca="1" si="0"/>
        <v>38</v>
      </c>
      <c r="F42" t="str">
        <f ca="1">'All Projects Calculations'!Y42</f>
        <v>{"project_name":"4_AZ_1E_Row5","project_path":"K:/1_Capture/","project_subject_id":"--","project_author":"","project_date":"6-16-2017","project_notes":"","project_data_directory":"AZ_6-16-2017_","project_boundary_left":"374.51","project_boundary_right":"418.91","project_boundary_top":"13.43","project_boundary_bottom":"15.28","project_boundary_highfocus":"1.5","project_boundary_lowfocus":"0.7","project_subject_width":"44.4","project_subject_height":"1.85","project_subject_depth":"0.8","project_startposition_x":"0","project_startposition_y":"0","project_startposition_z":"0","project_registration_x":"0","project_registration_y":"0","project_registration_z":"0","project_image_overlap":"0.3","project_image_overlap_vertical":"0.3","project_focus_overlap":"0.2","project_fov_width":"7.5","project_fov_height":"5.0","project_dof":"0.13","project_total_images":"84"}</v>
      </c>
    </row>
    <row r="43" spans="1:6" x14ac:dyDescent="0.25">
      <c r="A43">
        <v>39</v>
      </c>
      <c r="B43" t="str">
        <f t="shared" si="0"/>
        <v/>
      </c>
      <c r="F43" t="str">
        <f>'All Projects Calculations'!Y43</f>
        <v/>
      </c>
    </row>
    <row r="44" spans="1:6" x14ac:dyDescent="0.25">
      <c r="A44">
        <v>40</v>
      </c>
      <c r="B44" t="str">
        <f t="shared" si="0"/>
        <v/>
      </c>
      <c r="F44" t="str">
        <f>'All Projects Calculations'!Y44</f>
        <v/>
      </c>
    </row>
    <row r="45" spans="1:6" x14ac:dyDescent="0.25">
      <c r="A45">
        <v>41</v>
      </c>
      <c r="B45" t="str">
        <f t="shared" si="0"/>
        <v/>
      </c>
      <c r="F45" t="str">
        <f>'All Projects Calculations'!Y45</f>
        <v/>
      </c>
    </row>
    <row r="46" spans="1:6" x14ac:dyDescent="0.25">
      <c r="A46">
        <v>42</v>
      </c>
      <c r="B46" t="str">
        <f t="shared" si="0"/>
        <v/>
      </c>
      <c r="F46" t="str">
        <f>'All Projects Calculations'!Y46</f>
        <v/>
      </c>
    </row>
    <row r="47" spans="1:6" x14ac:dyDescent="0.25">
      <c r="A47">
        <v>43</v>
      </c>
      <c r="B47" t="str">
        <f t="shared" si="0"/>
        <v/>
      </c>
      <c r="F47" t="str">
        <f>'All Projects Calculations'!Y47</f>
        <v/>
      </c>
    </row>
    <row r="48" spans="1:6" x14ac:dyDescent="0.25">
      <c r="A48">
        <v>44</v>
      </c>
      <c r="B48" t="str">
        <f t="shared" si="0"/>
        <v/>
      </c>
      <c r="F48" t="str">
        <f>'All Projects Calculations'!Y48</f>
        <v/>
      </c>
    </row>
    <row r="49" spans="1:6" x14ac:dyDescent="0.25">
      <c r="A49">
        <v>45</v>
      </c>
      <c r="B49" t="str">
        <f t="shared" si="0"/>
        <v/>
      </c>
      <c r="F49" t="str">
        <f>'All Projects Calculations'!Y49</f>
        <v/>
      </c>
    </row>
    <row r="50" spans="1:6" x14ac:dyDescent="0.25">
      <c r="A50">
        <v>46</v>
      </c>
      <c r="B50" t="str">
        <f t="shared" si="0"/>
        <v/>
      </c>
      <c r="F50" t="str">
        <f>'All Projects Calculations'!Y50</f>
        <v/>
      </c>
    </row>
    <row r="51" spans="1:6" x14ac:dyDescent="0.25">
      <c r="A51">
        <v>47</v>
      </c>
      <c r="B51" t="str">
        <f t="shared" si="0"/>
        <v/>
      </c>
      <c r="F51" t="str">
        <f>'All Projects Calculations'!Y51</f>
        <v/>
      </c>
    </row>
    <row r="52" spans="1:6" x14ac:dyDescent="0.25">
      <c r="A52">
        <v>48</v>
      </c>
      <c r="B52" t="str">
        <f t="shared" si="0"/>
        <v/>
      </c>
      <c r="F52" t="str">
        <f>'All Projects Calculations'!Y52</f>
        <v/>
      </c>
    </row>
    <row r="53" spans="1:6" x14ac:dyDescent="0.25">
      <c r="A53">
        <v>49</v>
      </c>
      <c r="B53" t="str">
        <f t="shared" si="0"/>
        <v/>
      </c>
      <c r="F53" t="str">
        <f>'All Projects Calculations'!Y53</f>
        <v/>
      </c>
    </row>
    <row r="54" spans="1:6" x14ac:dyDescent="0.25">
      <c r="A54">
        <v>50</v>
      </c>
      <c r="B54" t="str">
        <f t="shared" si="0"/>
        <v/>
      </c>
      <c r="F54" t="str">
        <f>'All Projects Calculations'!Y54</f>
        <v/>
      </c>
    </row>
    <row r="55" spans="1:6" x14ac:dyDescent="0.25">
      <c r="A55">
        <v>51</v>
      </c>
      <c r="B55" t="str">
        <f t="shared" si="0"/>
        <v/>
      </c>
      <c r="F55" t="str">
        <f>'All Projects Calculations'!Y55</f>
        <v/>
      </c>
    </row>
    <row r="56" spans="1:6" x14ac:dyDescent="0.25">
      <c r="A56">
        <v>52</v>
      </c>
      <c r="B56" t="str">
        <f t="shared" si="0"/>
        <v/>
      </c>
      <c r="F56" t="str">
        <f>'All Projects Calculations'!Y56</f>
        <v/>
      </c>
    </row>
    <row r="57" spans="1:6" x14ac:dyDescent="0.25">
      <c r="A57">
        <v>53</v>
      </c>
      <c r="B57" t="str">
        <f t="shared" si="0"/>
        <v/>
      </c>
      <c r="F57" t="str">
        <f>'All Projects Calculations'!Y57</f>
        <v/>
      </c>
    </row>
    <row r="58" spans="1:6" x14ac:dyDescent="0.25">
      <c r="A58">
        <v>54</v>
      </c>
      <c r="B58" t="str">
        <f t="shared" si="0"/>
        <v/>
      </c>
      <c r="F58" t="str">
        <f>'All Projects Calculations'!Y58</f>
        <v/>
      </c>
    </row>
    <row r="59" spans="1:6" x14ac:dyDescent="0.25">
      <c r="A59">
        <v>55</v>
      </c>
      <c r="B59" t="str">
        <f t="shared" si="0"/>
        <v/>
      </c>
      <c r="F59" t="str">
        <f>'All Projects Calculations'!Y59</f>
        <v/>
      </c>
    </row>
    <row r="60" spans="1:6" x14ac:dyDescent="0.25">
      <c r="A60">
        <v>56</v>
      </c>
      <c r="B60" t="str">
        <f t="shared" si="0"/>
        <v/>
      </c>
      <c r="F60" t="str">
        <f>'All Projects Calculations'!Y60</f>
        <v/>
      </c>
    </row>
    <row r="61" spans="1:6" x14ac:dyDescent="0.25">
      <c r="A61">
        <v>57</v>
      </c>
      <c r="B61" t="str">
        <f t="shared" si="0"/>
        <v/>
      </c>
      <c r="F61" t="str">
        <f>'All Projects Calculations'!Y61</f>
        <v/>
      </c>
    </row>
    <row r="62" spans="1:6" x14ac:dyDescent="0.25">
      <c r="A62">
        <v>58</v>
      </c>
      <c r="B62" t="str">
        <f t="shared" si="0"/>
        <v/>
      </c>
      <c r="F62" t="str">
        <f>'All Projects Calculations'!Y62</f>
        <v/>
      </c>
    </row>
    <row r="63" spans="1:6" x14ac:dyDescent="0.25">
      <c r="A63">
        <v>59</v>
      </c>
      <c r="B63" t="str">
        <f t="shared" si="0"/>
        <v/>
      </c>
      <c r="F63" t="str">
        <f>'All Projects Calculations'!Y63</f>
        <v/>
      </c>
    </row>
    <row r="64" spans="1:6" x14ac:dyDescent="0.25">
      <c r="A64">
        <v>60</v>
      </c>
      <c r="B64" t="str">
        <f t="shared" si="0"/>
        <v/>
      </c>
      <c r="F64" t="str">
        <f>'All Projects Calculations'!Y64</f>
        <v/>
      </c>
    </row>
    <row r="65" spans="1:6" x14ac:dyDescent="0.25">
      <c r="A65">
        <v>61</v>
      </c>
      <c r="B65" t="str">
        <f t="shared" si="0"/>
        <v/>
      </c>
      <c r="F65" t="str">
        <f>'All Projects Calculations'!Y65</f>
        <v/>
      </c>
    </row>
    <row r="66" spans="1:6" x14ac:dyDescent="0.25">
      <c r="A66">
        <v>62</v>
      </c>
      <c r="B66" t="str">
        <f t="shared" si="0"/>
        <v/>
      </c>
      <c r="F66" t="str">
        <f>'All Projects Calculations'!Y66</f>
        <v/>
      </c>
    </row>
    <row r="67" spans="1:6" x14ac:dyDescent="0.25">
      <c r="A67">
        <v>63</v>
      </c>
      <c r="B67" t="str">
        <f t="shared" si="0"/>
        <v/>
      </c>
      <c r="F67" t="str">
        <f>'All Projects Calculations'!Y67</f>
        <v/>
      </c>
    </row>
    <row r="68" spans="1:6" x14ac:dyDescent="0.25">
      <c r="A68">
        <v>64</v>
      </c>
      <c r="B68" t="str">
        <f t="shared" si="0"/>
        <v/>
      </c>
      <c r="F68" t="str">
        <f>'All Projects Calculations'!Y68</f>
        <v/>
      </c>
    </row>
    <row r="69" spans="1:6" x14ac:dyDescent="0.25">
      <c r="A69">
        <v>65</v>
      </c>
      <c r="B69" t="str">
        <f t="shared" si="0"/>
        <v/>
      </c>
      <c r="F69" t="str">
        <f>'All Projects Calculations'!Y69</f>
        <v/>
      </c>
    </row>
    <row r="70" spans="1:6" x14ac:dyDescent="0.25">
      <c r="A70">
        <v>66</v>
      </c>
      <c r="B70" t="str">
        <f t="shared" ref="B70:B133" si="1">IF(F70="","",A70)</f>
        <v/>
      </c>
      <c r="F70" t="str">
        <f>'All Projects Calculations'!Y70</f>
        <v/>
      </c>
    </row>
    <row r="71" spans="1:6" x14ac:dyDescent="0.25">
      <c r="A71">
        <v>67</v>
      </c>
      <c r="B71" t="str">
        <f t="shared" si="1"/>
        <v/>
      </c>
      <c r="F71" t="str">
        <f>'All Projects Calculations'!Y71</f>
        <v/>
      </c>
    </row>
    <row r="72" spans="1:6" x14ac:dyDescent="0.25">
      <c r="A72">
        <v>68</v>
      </c>
      <c r="B72" t="str">
        <f t="shared" si="1"/>
        <v/>
      </c>
      <c r="F72" t="str">
        <f>'All Projects Calculations'!Y72</f>
        <v/>
      </c>
    </row>
    <row r="73" spans="1:6" x14ac:dyDescent="0.25">
      <c r="A73">
        <v>69</v>
      </c>
      <c r="B73" t="str">
        <f t="shared" si="1"/>
        <v/>
      </c>
      <c r="F73" t="str">
        <f>'All Projects Calculations'!Y73</f>
        <v/>
      </c>
    </row>
    <row r="74" spans="1:6" x14ac:dyDescent="0.25">
      <c r="A74">
        <v>70</v>
      </c>
      <c r="B74" t="str">
        <f t="shared" si="1"/>
        <v/>
      </c>
      <c r="F74" t="str">
        <f>'All Projects Calculations'!Y74</f>
        <v/>
      </c>
    </row>
    <row r="75" spans="1:6" x14ac:dyDescent="0.25">
      <c r="A75">
        <v>71</v>
      </c>
      <c r="B75" t="str">
        <f t="shared" si="1"/>
        <v/>
      </c>
      <c r="F75" t="str">
        <f>'All Projects Calculations'!Y75</f>
        <v/>
      </c>
    </row>
    <row r="76" spans="1:6" x14ac:dyDescent="0.25">
      <c r="A76">
        <v>72</v>
      </c>
      <c r="B76" t="str">
        <f t="shared" si="1"/>
        <v/>
      </c>
      <c r="F76" t="str">
        <f>'All Projects Calculations'!Y76</f>
        <v/>
      </c>
    </row>
    <row r="77" spans="1:6" x14ac:dyDescent="0.25">
      <c r="A77">
        <v>73</v>
      </c>
      <c r="B77" t="str">
        <f t="shared" si="1"/>
        <v/>
      </c>
      <c r="F77" t="str">
        <f>'All Projects Calculations'!Y77</f>
        <v/>
      </c>
    </row>
    <row r="78" spans="1:6" x14ac:dyDescent="0.25">
      <c r="A78">
        <v>74</v>
      </c>
      <c r="B78" t="str">
        <f t="shared" si="1"/>
        <v/>
      </c>
      <c r="F78" t="str">
        <f>'All Projects Calculations'!Y78</f>
        <v/>
      </c>
    </row>
    <row r="79" spans="1:6" x14ac:dyDescent="0.25">
      <c r="A79">
        <v>75</v>
      </c>
      <c r="B79" t="str">
        <f t="shared" si="1"/>
        <v/>
      </c>
      <c r="F79" t="str">
        <f>'All Projects Calculations'!Y79</f>
        <v/>
      </c>
    </row>
    <row r="80" spans="1:6" x14ac:dyDescent="0.25">
      <c r="A80">
        <v>76</v>
      </c>
      <c r="B80" t="str">
        <f t="shared" si="1"/>
        <v/>
      </c>
      <c r="F80" t="str">
        <f>'All Projects Calculations'!Y80</f>
        <v/>
      </c>
    </row>
    <row r="81" spans="1:6" x14ac:dyDescent="0.25">
      <c r="A81">
        <v>77</v>
      </c>
      <c r="B81" t="str">
        <f t="shared" si="1"/>
        <v/>
      </c>
      <c r="F81" t="str">
        <f>'All Projects Calculations'!Y81</f>
        <v/>
      </c>
    </row>
    <row r="82" spans="1:6" x14ac:dyDescent="0.25">
      <c r="A82">
        <v>78</v>
      </c>
      <c r="B82" t="str">
        <f t="shared" si="1"/>
        <v/>
      </c>
      <c r="F82" t="str">
        <f>'All Projects Calculations'!Y82</f>
        <v/>
      </c>
    </row>
    <row r="83" spans="1:6" x14ac:dyDescent="0.25">
      <c r="A83">
        <v>79</v>
      </c>
      <c r="B83" t="str">
        <f t="shared" si="1"/>
        <v/>
      </c>
      <c r="F83" t="str">
        <f>'All Projects Calculations'!Y83</f>
        <v/>
      </c>
    </row>
    <row r="84" spans="1:6" x14ac:dyDescent="0.25">
      <c r="A84">
        <v>80</v>
      </c>
      <c r="B84" t="str">
        <f t="shared" si="1"/>
        <v/>
      </c>
      <c r="F84" t="str">
        <f>'All Projects Calculations'!Y84</f>
        <v/>
      </c>
    </row>
    <row r="85" spans="1:6" x14ac:dyDescent="0.25">
      <c r="A85">
        <v>81</v>
      </c>
      <c r="B85" t="str">
        <f t="shared" si="1"/>
        <v/>
      </c>
      <c r="F85" t="str">
        <f>'All Projects Calculations'!Y85</f>
        <v/>
      </c>
    </row>
    <row r="86" spans="1:6" x14ac:dyDescent="0.25">
      <c r="A86">
        <v>82</v>
      </c>
      <c r="B86" t="str">
        <f t="shared" si="1"/>
        <v/>
      </c>
      <c r="F86" t="str">
        <f>'All Projects Calculations'!Y86</f>
        <v/>
      </c>
    </row>
    <row r="87" spans="1:6" x14ac:dyDescent="0.25">
      <c r="A87">
        <v>83</v>
      </c>
      <c r="B87" t="str">
        <f t="shared" si="1"/>
        <v/>
      </c>
      <c r="F87" t="str">
        <f>'All Projects Calculations'!Y87</f>
        <v/>
      </c>
    </row>
    <row r="88" spans="1:6" x14ac:dyDescent="0.25">
      <c r="A88">
        <v>84</v>
      </c>
      <c r="B88" t="str">
        <f t="shared" si="1"/>
        <v/>
      </c>
      <c r="F88" t="str">
        <f>'All Projects Calculations'!Y88</f>
        <v/>
      </c>
    </row>
    <row r="89" spans="1:6" x14ac:dyDescent="0.25">
      <c r="A89">
        <v>85</v>
      </c>
      <c r="B89" t="str">
        <f t="shared" si="1"/>
        <v/>
      </c>
      <c r="F89" t="str">
        <f>'All Projects Calculations'!Y89</f>
        <v/>
      </c>
    </row>
    <row r="90" spans="1:6" x14ac:dyDescent="0.25">
      <c r="A90">
        <v>86</v>
      </c>
      <c r="B90" t="str">
        <f t="shared" si="1"/>
        <v/>
      </c>
      <c r="F90" t="str">
        <f>'All Projects Calculations'!Y90</f>
        <v/>
      </c>
    </row>
    <row r="91" spans="1:6" x14ac:dyDescent="0.25">
      <c r="A91">
        <v>87</v>
      </c>
      <c r="B91" t="str">
        <f t="shared" si="1"/>
        <v/>
      </c>
      <c r="F91" t="str">
        <f>'All Projects Calculations'!Y91</f>
        <v/>
      </c>
    </row>
    <row r="92" spans="1:6" x14ac:dyDescent="0.25">
      <c r="A92">
        <v>88</v>
      </c>
      <c r="B92" t="str">
        <f t="shared" si="1"/>
        <v/>
      </c>
      <c r="F92" t="str">
        <f>'All Projects Calculations'!Y92</f>
        <v/>
      </c>
    </row>
    <row r="93" spans="1:6" x14ac:dyDescent="0.25">
      <c r="A93">
        <v>89</v>
      </c>
      <c r="B93" t="str">
        <f t="shared" si="1"/>
        <v/>
      </c>
      <c r="F93" t="str">
        <f>'All Projects Calculations'!Y93</f>
        <v/>
      </c>
    </row>
    <row r="94" spans="1:6" x14ac:dyDescent="0.25">
      <c r="A94">
        <v>90</v>
      </c>
      <c r="B94" t="str">
        <f t="shared" si="1"/>
        <v/>
      </c>
      <c r="F94" t="str">
        <f>'All Projects Calculations'!Y94</f>
        <v/>
      </c>
    </row>
    <row r="95" spans="1:6" x14ac:dyDescent="0.25">
      <c r="A95">
        <v>91</v>
      </c>
      <c r="B95" t="str">
        <f t="shared" si="1"/>
        <v/>
      </c>
      <c r="F95" t="str">
        <f>'All Projects Calculations'!Y95</f>
        <v/>
      </c>
    </row>
    <row r="96" spans="1:6" x14ac:dyDescent="0.25">
      <c r="A96">
        <v>92</v>
      </c>
      <c r="B96" t="str">
        <f t="shared" si="1"/>
        <v/>
      </c>
      <c r="F96" t="str">
        <f>'All Projects Calculations'!Y96</f>
        <v/>
      </c>
    </row>
    <row r="97" spans="1:6" x14ac:dyDescent="0.25">
      <c r="A97">
        <v>93</v>
      </c>
      <c r="B97" t="str">
        <f t="shared" si="1"/>
        <v/>
      </c>
      <c r="F97" t="str">
        <f>'All Projects Calculations'!Y97</f>
        <v/>
      </c>
    </row>
    <row r="98" spans="1:6" x14ac:dyDescent="0.25">
      <c r="A98">
        <v>94</v>
      </c>
      <c r="B98" t="str">
        <f t="shared" si="1"/>
        <v/>
      </c>
      <c r="F98" t="str">
        <f>'All Projects Calculations'!Y98</f>
        <v/>
      </c>
    </row>
    <row r="99" spans="1:6" x14ac:dyDescent="0.25">
      <c r="A99">
        <v>95</v>
      </c>
      <c r="B99" t="str">
        <f t="shared" si="1"/>
        <v/>
      </c>
      <c r="F99" t="str">
        <f>'All Projects Calculations'!Y99</f>
        <v/>
      </c>
    </row>
    <row r="100" spans="1:6" x14ac:dyDescent="0.25">
      <c r="A100">
        <v>96</v>
      </c>
      <c r="B100" t="str">
        <f t="shared" si="1"/>
        <v/>
      </c>
      <c r="F100" t="str">
        <f>'All Projects Calculations'!Y100</f>
        <v/>
      </c>
    </row>
    <row r="101" spans="1:6" x14ac:dyDescent="0.25">
      <c r="A101">
        <v>97</v>
      </c>
      <c r="B101" t="str">
        <f t="shared" si="1"/>
        <v/>
      </c>
      <c r="F101" t="str">
        <f>'All Projects Calculations'!Y101</f>
        <v/>
      </c>
    </row>
    <row r="102" spans="1:6" x14ac:dyDescent="0.25">
      <c r="A102">
        <v>98</v>
      </c>
      <c r="B102" t="str">
        <f t="shared" si="1"/>
        <v/>
      </c>
      <c r="F102" t="str">
        <f>'All Projects Calculations'!Y102</f>
        <v/>
      </c>
    </row>
    <row r="103" spans="1:6" x14ac:dyDescent="0.25">
      <c r="A103">
        <v>99</v>
      </c>
      <c r="B103" t="str">
        <f t="shared" si="1"/>
        <v/>
      </c>
      <c r="F103" t="str">
        <f>'All Projects Calculations'!Y103</f>
        <v/>
      </c>
    </row>
    <row r="104" spans="1:6" x14ac:dyDescent="0.25">
      <c r="A104">
        <v>100</v>
      </c>
      <c r="B104" t="str">
        <f t="shared" si="1"/>
        <v/>
      </c>
      <c r="F104" t="str">
        <f>'All Projects Calculations'!Y104</f>
        <v/>
      </c>
    </row>
    <row r="105" spans="1:6" x14ac:dyDescent="0.25">
      <c r="A105">
        <v>101</v>
      </c>
      <c r="B105" t="str">
        <f t="shared" si="1"/>
        <v/>
      </c>
      <c r="F105" t="str">
        <f>'All Projects Calculations'!Y105</f>
        <v/>
      </c>
    </row>
    <row r="106" spans="1:6" x14ac:dyDescent="0.25">
      <c r="A106">
        <v>102</v>
      </c>
      <c r="B106" t="str">
        <f t="shared" si="1"/>
        <v/>
      </c>
      <c r="F106" t="str">
        <f>'All Projects Calculations'!Y106</f>
        <v/>
      </c>
    </row>
    <row r="107" spans="1:6" x14ac:dyDescent="0.25">
      <c r="A107">
        <v>103</v>
      </c>
      <c r="B107" t="str">
        <f t="shared" si="1"/>
        <v/>
      </c>
      <c r="F107" t="str">
        <f>'All Projects Calculations'!Y107</f>
        <v/>
      </c>
    </row>
    <row r="108" spans="1:6" x14ac:dyDescent="0.25">
      <c r="A108">
        <v>104</v>
      </c>
      <c r="B108" t="str">
        <f t="shared" si="1"/>
        <v/>
      </c>
      <c r="F108" t="str">
        <f>'All Projects Calculations'!Y108</f>
        <v/>
      </c>
    </row>
    <row r="109" spans="1:6" x14ac:dyDescent="0.25">
      <c r="A109">
        <v>105</v>
      </c>
      <c r="B109" t="str">
        <f t="shared" si="1"/>
        <v/>
      </c>
      <c r="F109" t="str">
        <f>'All Projects Calculations'!Y109</f>
        <v/>
      </c>
    </row>
    <row r="110" spans="1:6" x14ac:dyDescent="0.25">
      <c r="A110">
        <v>106</v>
      </c>
      <c r="B110" t="str">
        <f t="shared" si="1"/>
        <v/>
      </c>
      <c r="F110" t="str">
        <f>'All Projects Calculations'!Y110</f>
        <v/>
      </c>
    </row>
    <row r="111" spans="1:6" x14ac:dyDescent="0.25">
      <c r="A111">
        <v>107</v>
      </c>
      <c r="B111" t="str">
        <f t="shared" si="1"/>
        <v/>
      </c>
      <c r="F111" t="str">
        <f>'All Projects Calculations'!Y111</f>
        <v/>
      </c>
    </row>
    <row r="112" spans="1:6" x14ac:dyDescent="0.25">
      <c r="A112">
        <v>108</v>
      </c>
      <c r="B112" t="str">
        <f t="shared" si="1"/>
        <v/>
      </c>
      <c r="F112" t="str">
        <f>'All Projects Calculations'!Y112</f>
        <v/>
      </c>
    </row>
    <row r="113" spans="1:6" x14ac:dyDescent="0.25">
      <c r="A113">
        <v>109</v>
      </c>
      <c r="B113" t="str">
        <f t="shared" si="1"/>
        <v/>
      </c>
      <c r="F113" t="str">
        <f>'All Projects Calculations'!Y113</f>
        <v/>
      </c>
    </row>
    <row r="114" spans="1:6" x14ac:dyDescent="0.25">
      <c r="A114">
        <v>110</v>
      </c>
      <c r="B114" t="str">
        <f t="shared" si="1"/>
        <v/>
      </c>
      <c r="F114" t="str">
        <f>'All Projects Calculations'!Y114</f>
        <v/>
      </c>
    </row>
    <row r="115" spans="1:6" x14ac:dyDescent="0.25">
      <c r="A115">
        <v>111</v>
      </c>
      <c r="B115" t="str">
        <f t="shared" si="1"/>
        <v/>
      </c>
      <c r="F115" t="str">
        <f>'All Projects Calculations'!Y115</f>
        <v/>
      </c>
    </row>
    <row r="116" spans="1:6" x14ac:dyDescent="0.25">
      <c r="A116">
        <v>112</v>
      </c>
      <c r="B116" t="str">
        <f t="shared" si="1"/>
        <v/>
      </c>
      <c r="F116" t="str">
        <f>'All Projects Calculations'!Y116</f>
        <v/>
      </c>
    </row>
    <row r="117" spans="1:6" x14ac:dyDescent="0.25">
      <c r="A117">
        <v>113</v>
      </c>
      <c r="B117" t="str">
        <f t="shared" si="1"/>
        <v/>
      </c>
      <c r="F117" t="str">
        <f>'All Projects Calculations'!Y117</f>
        <v/>
      </c>
    </row>
    <row r="118" spans="1:6" x14ac:dyDescent="0.25">
      <c r="A118">
        <v>114</v>
      </c>
      <c r="B118" t="str">
        <f t="shared" si="1"/>
        <v/>
      </c>
      <c r="F118" t="str">
        <f>'All Projects Calculations'!Y118</f>
        <v/>
      </c>
    </row>
    <row r="119" spans="1:6" x14ac:dyDescent="0.25">
      <c r="A119">
        <v>115</v>
      </c>
      <c r="B119" t="str">
        <f t="shared" si="1"/>
        <v/>
      </c>
      <c r="F119" t="str">
        <f>'All Projects Calculations'!Y119</f>
        <v/>
      </c>
    </row>
    <row r="120" spans="1:6" x14ac:dyDescent="0.25">
      <c r="A120">
        <v>116</v>
      </c>
      <c r="B120" t="str">
        <f t="shared" si="1"/>
        <v/>
      </c>
      <c r="F120" t="str">
        <f>'All Projects Calculations'!Y120</f>
        <v/>
      </c>
    </row>
    <row r="121" spans="1:6" x14ac:dyDescent="0.25">
      <c r="A121">
        <v>117</v>
      </c>
      <c r="B121" t="str">
        <f t="shared" si="1"/>
        <v/>
      </c>
      <c r="F121" t="str">
        <f>'All Projects Calculations'!Y121</f>
        <v/>
      </c>
    </row>
    <row r="122" spans="1:6" x14ac:dyDescent="0.25">
      <c r="A122">
        <v>118</v>
      </c>
      <c r="B122" t="str">
        <f t="shared" si="1"/>
        <v/>
      </c>
      <c r="F122" t="str">
        <f>'All Projects Calculations'!Y122</f>
        <v/>
      </c>
    </row>
    <row r="123" spans="1:6" x14ac:dyDescent="0.25">
      <c r="A123">
        <v>119</v>
      </c>
      <c r="B123" t="str">
        <f t="shared" si="1"/>
        <v/>
      </c>
      <c r="F123" t="str">
        <f>'All Projects Calculations'!Y123</f>
        <v/>
      </c>
    </row>
    <row r="124" spans="1:6" x14ac:dyDescent="0.25">
      <c r="A124">
        <v>120</v>
      </c>
      <c r="B124" t="str">
        <f t="shared" si="1"/>
        <v/>
      </c>
      <c r="F124" t="str">
        <f>'All Projects Calculations'!Y124</f>
        <v/>
      </c>
    </row>
    <row r="125" spans="1:6" x14ac:dyDescent="0.25">
      <c r="A125">
        <v>121</v>
      </c>
      <c r="B125" t="str">
        <f t="shared" si="1"/>
        <v/>
      </c>
      <c r="F125" t="str">
        <f>'All Projects Calculations'!Y125</f>
        <v/>
      </c>
    </row>
    <row r="126" spans="1:6" x14ac:dyDescent="0.25">
      <c r="A126">
        <v>122</v>
      </c>
      <c r="B126" t="str">
        <f t="shared" si="1"/>
        <v/>
      </c>
      <c r="F126" t="str">
        <f>'All Projects Calculations'!Y126</f>
        <v/>
      </c>
    </row>
    <row r="127" spans="1:6" x14ac:dyDescent="0.25">
      <c r="A127">
        <v>123</v>
      </c>
      <c r="B127" t="str">
        <f t="shared" si="1"/>
        <v/>
      </c>
      <c r="F127" t="str">
        <f>'All Projects Calculations'!Y127</f>
        <v/>
      </c>
    </row>
    <row r="128" spans="1:6" x14ac:dyDescent="0.25">
      <c r="A128">
        <v>124</v>
      </c>
      <c r="B128" t="str">
        <f t="shared" si="1"/>
        <v/>
      </c>
      <c r="F128" t="str">
        <f>'All Projects Calculations'!Y128</f>
        <v/>
      </c>
    </row>
    <row r="129" spans="1:6" x14ac:dyDescent="0.25">
      <c r="A129">
        <v>125</v>
      </c>
      <c r="B129" t="str">
        <f t="shared" si="1"/>
        <v/>
      </c>
      <c r="F129" t="str">
        <f>'All Projects Calculations'!Y129</f>
        <v/>
      </c>
    </row>
    <row r="130" spans="1:6" x14ac:dyDescent="0.25">
      <c r="A130">
        <v>126</v>
      </c>
      <c r="B130" t="str">
        <f t="shared" si="1"/>
        <v/>
      </c>
      <c r="F130" t="str">
        <f>'All Projects Calculations'!Y130</f>
        <v/>
      </c>
    </row>
    <row r="131" spans="1:6" x14ac:dyDescent="0.25">
      <c r="A131">
        <v>127</v>
      </c>
      <c r="B131" t="str">
        <f t="shared" si="1"/>
        <v/>
      </c>
      <c r="F131" t="str">
        <f>'All Projects Calculations'!Y131</f>
        <v/>
      </c>
    </row>
    <row r="132" spans="1:6" x14ac:dyDescent="0.25">
      <c r="A132">
        <v>128</v>
      </c>
      <c r="B132" t="str">
        <f t="shared" si="1"/>
        <v/>
      </c>
      <c r="F132" t="str">
        <f>'All Projects Calculations'!Y132</f>
        <v/>
      </c>
    </row>
    <row r="133" spans="1:6" x14ac:dyDescent="0.25">
      <c r="A133">
        <v>129</v>
      </c>
      <c r="B133" t="str">
        <f t="shared" si="1"/>
        <v/>
      </c>
      <c r="F133" t="str">
        <f>'All Projects Calculations'!Y133</f>
        <v/>
      </c>
    </row>
    <row r="134" spans="1:6" x14ac:dyDescent="0.25">
      <c r="A134">
        <v>130</v>
      </c>
      <c r="B134" t="str">
        <f t="shared" ref="B134:B197" si="2">IF(F134="","",A134)</f>
        <v/>
      </c>
      <c r="F134" t="str">
        <f>'All Projects Calculations'!Y134</f>
        <v/>
      </c>
    </row>
    <row r="135" spans="1:6" x14ac:dyDescent="0.25">
      <c r="A135">
        <v>131</v>
      </c>
      <c r="B135" t="str">
        <f t="shared" si="2"/>
        <v/>
      </c>
      <c r="F135" t="str">
        <f>'All Projects Calculations'!Y135</f>
        <v/>
      </c>
    </row>
    <row r="136" spans="1:6" x14ac:dyDescent="0.25">
      <c r="A136">
        <v>132</v>
      </c>
      <c r="B136" t="str">
        <f t="shared" si="2"/>
        <v/>
      </c>
      <c r="F136" t="str">
        <f>'All Projects Calculations'!Y136</f>
        <v/>
      </c>
    </row>
    <row r="137" spans="1:6" x14ac:dyDescent="0.25">
      <c r="A137">
        <v>133</v>
      </c>
      <c r="B137" t="str">
        <f t="shared" si="2"/>
        <v/>
      </c>
      <c r="F137" t="str">
        <f>'All Projects Calculations'!Y137</f>
        <v/>
      </c>
    </row>
    <row r="138" spans="1:6" x14ac:dyDescent="0.25">
      <c r="A138">
        <v>134</v>
      </c>
      <c r="B138" t="str">
        <f t="shared" si="2"/>
        <v/>
      </c>
      <c r="F138" t="str">
        <f>'All Projects Calculations'!Y138</f>
        <v/>
      </c>
    </row>
    <row r="139" spans="1:6" x14ac:dyDescent="0.25">
      <c r="A139">
        <v>135</v>
      </c>
      <c r="B139" t="str">
        <f t="shared" si="2"/>
        <v/>
      </c>
      <c r="F139" t="str">
        <f>'All Projects Calculations'!Y139</f>
        <v/>
      </c>
    </row>
    <row r="140" spans="1:6" x14ac:dyDescent="0.25">
      <c r="A140">
        <v>136</v>
      </c>
      <c r="B140" t="str">
        <f t="shared" si="2"/>
        <v/>
      </c>
      <c r="F140" t="str">
        <f>'All Projects Calculations'!Y140</f>
        <v/>
      </c>
    </row>
    <row r="141" spans="1:6" x14ac:dyDescent="0.25">
      <c r="A141">
        <v>137</v>
      </c>
      <c r="B141" t="str">
        <f t="shared" si="2"/>
        <v/>
      </c>
      <c r="F141" t="str">
        <f>'All Projects Calculations'!Y141</f>
        <v/>
      </c>
    </row>
    <row r="142" spans="1:6" x14ac:dyDescent="0.25">
      <c r="A142">
        <v>138</v>
      </c>
      <c r="B142" t="str">
        <f t="shared" si="2"/>
        <v/>
      </c>
      <c r="F142" t="str">
        <f>'All Projects Calculations'!Y142</f>
        <v/>
      </c>
    </row>
    <row r="143" spans="1:6" x14ac:dyDescent="0.25">
      <c r="A143">
        <v>139</v>
      </c>
      <c r="B143" t="str">
        <f t="shared" si="2"/>
        <v/>
      </c>
      <c r="F143" t="str">
        <f>'All Projects Calculations'!Y143</f>
        <v/>
      </c>
    </row>
    <row r="144" spans="1:6" x14ac:dyDescent="0.25">
      <c r="A144">
        <v>140</v>
      </c>
      <c r="B144" t="str">
        <f t="shared" si="2"/>
        <v/>
      </c>
      <c r="F144" t="str">
        <f>'All Projects Calculations'!Y144</f>
        <v/>
      </c>
    </row>
    <row r="145" spans="1:6" x14ac:dyDescent="0.25">
      <c r="A145">
        <v>141</v>
      </c>
      <c r="B145" t="str">
        <f t="shared" si="2"/>
        <v/>
      </c>
      <c r="F145" t="str">
        <f>'All Projects Calculations'!Y145</f>
        <v/>
      </c>
    </row>
    <row r="146" spans="1:6" x14ac:dyDescent="0.25">
      <c r="A146">
        <v>142</v>
      </c>
      <c r="B146" t="str">
        <f t="shared" si="2"/>
        <v/>
      </c>
      <c r="F146" t="str">
        <f>'All Projects Calculations'!Y146</f>
        <v/>
      </c>
    </row>
    <row r="147" spans="1:6" x14ac:dyDescent="0.25">
      <c r="A147">
        <v>143</v>
      </c>
      <c r="B147" t="str">
        <f t="shared" si="2"/>
        <v/>
      </c>
      <c r="F147" t="str">
        <f>'All Projects Calculations'!Y147</f>
        <v/>
      </c>
    </row>
    <row r="148" spans="1:6" x14ac:dyDescent="0.25">
      <c r="A148">
        <v>144</v>
      </c>
      <c r="B148" t="str">
        <f t="shared" si="2"/>
        <v/>
      </c>
      <c r="F148" t="str">
        <f>'All Projects Calculations'!Y148</f>
        <v/>
      </c>
    </row>
    <row r="149" spans="1:6" x14ac:dyDescent="0.25">
      <c r="A149">
        <v>145</v>
      </c>
      <c r="B149" t="str">
        <f t="shared" si="2"/>
        <v/>
      </c>
      <c r="F149" t="str">
        <f>'All Projects Calculations'!Y149</f>
        <v/>
      </c>
    </row>
    <row r="150" spans="1:6" x14ac:dyDescent="0.25">
      <c r="A150">
        <v>146</v>
      </c>
      <c r="B150" t="str">
        <f t="shared" si="2"/>
        <v/>
      </c>
      <c r="F150" t="str">
        <f>'All Projects Calculations'!Y150</f>
        <v/>
      </c>
    </row>
    <row r="151" spans="1:6" x14ac:dyDescent="0.25">
      <c r="A151">
        <v>147</v>
      </c>
      <c r="B151" t="str">
        <f t="shared" si="2"/>
        <v/>
      </c>
      <c r="F151" t="str">
        <f>'All Projects Calculations'!Y151</f>
        <v/>
      </c>
    </row>
    <row r="152" spans="1:6" x14ac:dyDescent="0.25">
      <c r="A152">
        <v>148</v>
      </c>
      <c r="B152" t="str">
        <f t="shared" si="2"/>
        <v/>
      </c>
      <c r="F152" t="str">
        <f>'All Projects Calculations'!Y152</f>
        <v/>
      </c>
    </row>
    <row r="153" spans="1:6" x14ac:dyDescent="0.25">
      <c r="A153">
        <v>149</v>
      </c>
      <c r="B153" t="str">
        <f t="shared" si="2"/>
        <v/>
      </c>
      <c r="F153" t="str">
        <f>'All Projects Calculations'!Y153</f>
        <v/>
      </c>
    </row>
    <row r="154" spans="1:6" x14ac:dyDescent="0.25">
      <c r="A154">
        <v>150</v>
      </c>
      <c r="B154" t="str">
        <f t="shared" si="2"/>
        <v/>
      </c>
      <c r="F154" t="str">
        <f>'All Projects Calculations'!Y154</f>
        <v/>
      </c>
    </row>
    <row r="155" spans="1:6" x14ac:dyDescent="0.25">
      <c r="A155">
        <v>151</v>
      </c>
      <c r="B155" t="str">
        <f t="shared" si="2"/>
        <v/>
      </c>
      <c r="F155" t="str">
        <f>'All Projects Calculations'!Y155</f>
        <v/>
      </c>
    </row>
    <row r="156" spans="1:6" x14ac:dyDescent="0.25">
      <c r="A156">
        <v>152</v>
      </c>
      <c r="B156" t="str">
        <f t="shared" si="2"/>
        <v/>
      </c>
      <c r="F156" t="str">
        <f>'All Projects Calculations'!Y156</f>
        <v/>
      </c>
    </row>
    <row r="157" spans="1:6" x14ac:dyDescent="0.25">
      <c r="A157">
        <v>153</v>
      </c>
      <c r="B157" t="str">
        <f t="shared" si="2"/>
        <v/>
      </c>
      <c r="F157" t="str">
        <f>'All Projects Calculations'!Y157</f>
        <v/>
      </c>
    </row>
    <row r="158" spans="1:6" x14ac:dyDescent="0.25">
      <c r="A158">
        <v>154</v>
      </c>
      <c r="B158" t="str">
        <f t="shared" si="2"/>
        <v/>
      </c>
      <c r="F158" t="str">
        <f>'All Projects Calculations'!Y158</f>
        <v/>
      </c>
    </row>
    <row r="159" spans="1:6" x14ac:dyDescent="0.25">
      <c r="A159">
        <v>155</v>
      </c>
      <c r="B159" t="str">
        <f t="shared" si="2"/>
        <v/>
      </c>
      <c r="F159" t="str">
        <f>'All Projects Calculations'!Y159</f>
        <v/>
      </c>
    </row>
    <row r="160" spans="1:6" x14ac:dyDescent="0.25">
      <c r="A160">
        <v>156</v>
      </c>
      <c r="B160" t="str">
        <f t="shared" si="2"/>
        <v/>
      </c>
      <c r="F160" t="str">
        <f>'All Projects Calculations'!Y160</f>
        <v/>
      </c>
    </row>
    <row r="161" spans="1:6" x14ac:dyDescent="0.25">
      <c r="A161">
        <v>157</v>
      </c>
      <c r="B161" t="str">
        <f t="shared" si="2"/>
        <v/>
      </c>
      <c r="F161" t="str">
        <f>'All Projects Calculations'!Y161</f>
        <v/>
      </c>
    </row>
    <row r="162" spans="1:6" x14ac:dyDescent="0.25">
      <c r="A162">
        <v>158</v>
      </c>
      <c r="B162" t="str">
        <f t="shared" si="2"/>
        <v/>
      </c>
      <c r="F162" t="str">
        <f>'All Projects Calculations'!Y162</f>
        <v/>
      </c>
    </row>
    <row r="163" spans="1:6" x14ac:dyDescent="0.25">
      <c r="A163">
        <v>159</v>
      </c>
      <c r="B163" t="str">
        <f t="shared" si="2"/>
        <v/>
      </c>
      <c r="F163" t="str">
        <f>'All Projects Calculations'!Y163</f>
        <v/>
      </c>
    </row>
    <row r="164" spans="1:6" x14ac:dyDescent="0.25">
      <c r="A164">
        <v>160</v>
      </c>
      <c r="B164" t="str">
        <f t="shared" si="2"/>
        <v/>
      </c>
      <c r="F164" t="str">
        <f>'All Projects Calculations'!Y164</f>
        <v/>
      </c>
    </row>
    <row r="165" spans="1:6" x14ac:dyDescent="0.25">
      <c r="A165">
        <v>161</v>
      </c>
      <c r="B165" t="str">
        <f t="shared" si="2"/>
        <v/>
      </c>
      <c r="F165" t="str">
        <f>'All Projects Calculations'!Y165</f>
        <v/>
      </c>
    </row>
    <row r="166" spans="1:6" x14ac:dyDescent="0.25">
      <c r="A166">
        <v>162</v>
      </c>
      <c r="B166" t="str">
        <f t="shared" si="2"/>
        <v/>
      </c>
      <c r="F166" t="str">
        <f>'All Projects Calculations'!Y166</f>
        <v/>
      </c>
    </row>
    <row r="167" spans="1:6" x14ac:dyDescent="0.25">
      <c r="A167">
        <v>163</v>
      </c>
      <c r="B167" t="str">
        <f t="shared" si="2"/>
        <v/>
      </c>
      <c r="F167" t="str">
        <f>'All Projects Calculations'!Y167</f>
        <v/>
      </c>
    </row>
    <row r="168" spans="1:6" x14ac:dyDescent="0.25">
      <c r="A168">
        <v>164</v>
      </c>
      <c r="B168" t="str">
        <f t="shared" si="2"/>
        <v/>
      </c>
      <c r="F168" t="str">
        <f>'All Projects Calculations'!Y168</f>
        <v/>
      </c>
    </row>
    <row r="169" spans="1:6" x14ac:dyDescent="0.25">
      <c r="A169">
        <v>165</v>
      </c>
      <c r="B169" t="str">
        <f t="shared" si="2"/>
        <v/>
      </c>
      <c r="F169" t="str">
        <f>'All Projects Calculations'!Y169</f>
        <v/>
      </c>
    </row>
    <row r="170" spans="1:6" x14ac:dyDescent="0.25">
      <c r="A170">
        <v>166</v>
      </c>
      <c r="B170" t="str">
        <f t="shared" si="2"/>
        <v/>
      </c>
      <c r="F170" t="str">
        <f>'All Projects Calculations'!Y170</f>
        <v/>
      </c>
    </row>
    <row r="171" spans="1:6" x14ac:dyDescent="0.25">
      <c r="A171">
        <v>167</v>
      </c>
      <c r="B171" t="str">
        <f t="shared" si="2"/>
        <v/>
      </c>
      <c r="F171" t="str">
        <f>'All Projects Calculations'!Y171</f>
        <v/>
      </c>
    </row>
    <row r="172" spans="1:6" x14ac:dyDescent="0.25">
      <c r="A172">
        <v>168</v>
      </c>
      <c r="B172" t="str">
        <f t="shared" si="2"/>
        <v/>
      </c>
      <c r="F172" t="str">
        <f>'All Projects Calculations'!Y172</f>
        <v/>
      </c>
    </row>
    <row r="173" spans="1:6" x14ac:dyDescent="0.25">
      <c r="A173">
        <v>169</v>
      </c>
      <c r="B173" t="str">
        <f t="shared" si="2"/>
        <v/>
      </c>
      <c r="F173" t="str">
        <f>'All Projects Calculations'!Y173</f>
        <v/>
      </c>
    </row>
    <row r="174" spans="1:6" x14ac:dyDescent="0.25">
      <c r="A174">
        <v>170</v>
      </c>
      <c r="B174" t="str">
        <f t="shared" si="2"/>
        <v/>
      </c>
      <c r="F174" t="str">
        <f>'All Projects Calculations'!Y174</f>
        <v/>
      </c>
    </row>
    <row r="175" spans="1:6" x14ac:dyDescent="0.25">
      <c r="A175">
        <v>171</v>
      </c>
      <c r="B175" t="str">
        <f t="shared" si="2"/>
        <v/>
      </c>
      <c r="F175" t="str">
        <f>'All Projects Calculations'!Y175</f>
        <v/>
      </c>
    </row>
    <row r="176" spans="1:6" x14ac:dyDescent="0.25">
      <c r="A176">
        <v>172</v>
      </c>
      <c r="B176" t="str">
        <f t="shared" si="2"/>
        <v/>
      </c>
      <c r="F176" t="str">
        <f>'All Projects Calculations'!Y176</f>
        <v/>
      </c>
    </row>
    <row r="177" spans="1:6" x14ac:dyDescent="0.25">
      <c r="A177">
        <v>173</v>
      </c>
      <c r="B177" t="str">
        <f t="shared" si="2"/>
        <v/>
      </c>
      <c r="F177" t="str">
        <f>'All Projects Calculations'!Y177</f>
        <v/>
      </c>
    </row>
    <row r="178" spans="1:6" x14ac:dyDescent="0.25">
      <c r="A178">
        <v>174</v>
      </c>
      <c r="B178" t="str">
        <f t="shared" si="2"/>
        <v/>
      </c>
      <c r="F178" t="str">
        <f>'All Projects Calculations'!Y178</f>
        <v/>
      </c>
    </row>
    <row r="179" spans="1:6" x14ac:dyDescent="0.25">
      <c r="A179">
        <v>175</v>
      </c>
      <c r="B179" t="str">
        <f t="shared" si="2"/>
        <v/>
      </c>
      <c r="F179" t="str">
        <f>'All Projects Calculations'!Y179</f>
        <v/>
      </c>
    </row>
    <row r="180" spans="1:6" x14ac:dyDescent="0.25">
      <c r="A180">
        <v>176</v>
      </c>
      <c r="B180" t="str">
        <f t="shared" si="2"/>
        <v/>
      </c>
      <c r="F180" t="str">
        <f>'All Projects Calculations'!Y180</f>
        <v/>
      </c>
    </row>
    <row r="181" spans="1:6" x14ac:dyDescent="0.25">
      <c r="A181">
        <v>177</v>
      </c>
      <c r="B181" t="str">
        <f t="shared" si="2"/>
        <v/>
      </c>
      <c r="F181" t="str">
        <f>'All Projects Calculations'!Y181</f>
        <v/>
      </c>
    </row>
    <row r="182" spans="1:6" x14ac:dyDescent="0.25">
      <c r="A182">
        <v>178</v>
      </c>
      <c r="B182" t="str">
        <f t="shared" si="2"/>
        <v/>
      </c>
      <c r="F182" t="str">
        <f>'All Projects Calculations'!Y182</f>
        <v/>
      </c>
    </row>
    <row r="183" spans="1:6" x14ac:dyDescent="0.25">
      <c r="A183">
        <v>179</v>
      </c>
      <c r="B183" t="str">
        <f t="shared" si="2"/>
        <v/>
      </c>
      <c r="F183" t="str">
        <f>'All Projects Calculations'!Y183</f>
        <v/>
      </c>
    </row>
    <row r="184" spans="1:6" x14ac:dyDescent="0.25">
      <c r="A184">
        <v>180</v>
      </c>
      <c r="B184" t="str">
        <f t="shared" si="2"/>
        <v/>
      </c>
      <c r="F184" t="str">
        <f>'All Projects Calculations'!Y184</f>
        <v/>
      </c>
    </row>
    <row r="185" spans="1:6" x14ac:dyDescent="0.25">
      <c r="A185">
        <v>181</v>
      </c>
      <c r="B185" t="str">
        <f t="shared" si="2"/>
        <v/>
      </c>
      <c r="F185" t="str">
        <f>'All Projects Calculations'!Y185</f>
        <v/>
      </c>
    </row>
    <row r="186" spans="1:6" x14ac:dyDescent="0.25">
      <c r="A186">
        <v>182</v>
      </c>
      <c r="B186" t="str">
        <f t="shared" si="2"/>
        <v/>
      </c>
      <c r="F186" t="str">
        <f>'All Projects Calculations'!Y186</f>
        <v/>
      </c>
    </row>
    <row r="187" spans="1:6" x14ac:dyDescent="0.25">
      <c r="A187">
        <v>183</v>
      </c>
      <c r="B187" t="str">
        <f t="shared" si="2"/>
        <v/>
      </c>
      <c r="F187" t="str">
        <f>'All Projects Calculations'!Y187</f>
        <v/>
      </c>
    </row>
    <row r="188" spans="1:6" x14ac:dyDescent="0.25">
      <c r="A188">
        <v>184</v>
      </c>
      <c r="B188" t="str">
        <f t="shared" si="2"/>
        <v/>
      </c>
      <c r="F188" t="str">
        <f>'All Projects Calculations'!Y188</f>
        <v/>
      </c>
    </row>
    <row r="189" spans="1:6" x14ac:dyDescent="0.25">
      <c r="A189">
        <v>185</v>
      </c>
      <c r="B189" t="str">
        <f t="shared" si="2"/>
        <v/>
      </c>
      <c r="F189" t="str">
        <f>'All Projects Calculations'!Y189</f>
        <v/>
      </c>
    </row>
    <row r="190" spans="1:6" x14ac:dyDescent="0.25">
      <c r="A190">
        <v>186</v>
      </c>
      <c r="B190" t="str">
        <f t="shared" si="2"/>
        <v/>
      </c>
      <c r="F190" t="str">
        <f>'All Projects Calculations'!Y190</f>
        <v/>
      </c>
    </row>
    <row r="191" spans="1:6" x14ac:dyDescent="0.25">
      <c r="A191">
        <v>187</v>
      </c>
      <c r="B191" t="str">
        <f t="shared" si="2"/>
        <v/>
      </c>
      <c r="F191" t="str">
        <f>'All Projects Calculations'!Y191</f>
        <v/>
      </c>
    </row>
    <row r="192" spans="1:6" x14ac:dyDescent="0.25">
      <c r="A192">
        <v>188</v>
      </c>
      <c r="B192" t="str">
        <f t="shared" si="2"/>
        <v/>
      </c>
      <c r="F192" t="str">
        <f>'All Projects Calculations'!Y192</f>
        <v/>
      </c>
    </row>
    <row r="193" spans="1:6" x14ac:dyDescent="0.25">
      <c r="A193">
        <v>189</v>
      </c>
      <c r="B193" t="str">
        <f t="shared" si="2"/>
        <v/>
      </c>
      <c r="F193" t="str">
        <f>'All Projects Calculations'!Y193</f>
        <v/>
      </c>
    </row>
    <row r="194" spans="1:6" x14ac:dyDescent="0.25">
      <c r="A194">
        <v>190</v>
      </c>
      <c r="B194" t="str">
        <f t="shared" si="2"/>
        <v/>
      </c>
      <c r="F194" t="str">
        <f>'All Projects Calculations'!Y194</f>
        <v/>
      </c>
    </row>
    <row r="195" spans="1:6" x14ac:dyDescent="0.25">
      <c r="A195">
        <v>191</v>
      </c>
      <c r="B195" t="str">
        <f t="shared" si="2"/>
        <v/>
      </c>
      <c r="F195" t="str">
        <f>'All Projects Calculations'!Y195</f>
        <v/>
      </c>
    </row>
    <row r="196" spans="1:6" x14ac:dyDescent="0.25">
      <c r="A196">
        <v>192</v>
      </c>
      <c r="B196" t="str">
        <f t="shared" si="2"/>
        <v/>
      </c>
      <c r="F196" t="str">
        <f>'All Projects Calculations'!Y196</f>
        <v/>
      </c>
    </row>
    <row r="197" spans="1:6" x14ac:dyDescent="0.25">
      <c r="A197">
        <v>193</v>
      </c>
      <c r="B197" t="str">
        <f t="shared" si="2"/>
        <v/>
      </c>
      <c r="F197" t="str">
        <f>'All Projects Calculations'!Y197</f>
        <v/>
      </c>
    </row>
    <row r="198" spans="1:6" x14ac:dyDescent="0.25">
      <c r="A198">
        <v>194</v>
      </c>
      <c r="B198" t="str">
        <f t="shared" ref="B198:B261" si="3">IF(F198="","",A198)</f>
        <v/>
      </c>
      <c r="F198" t="str">
        <f>'All Projects Calculations'!Y198</f>
        <v/>
      </c>
    </row>
    <row r="199" spans="1:6" x14ac:dyDescent="0.25">
      <c r="A199">
        <v>195</v>
      </c>
      <c r="B199" t="str">
        <f t="shared" si="3"/>
        <v/>
      </c>
      <c r="F199" t="str">
        <f>'All Projects Calculations'!Y199</f>
        <v/>
      </c>
    </row>
    <row r="200" spans="1:6" x14ac:dyDescent="0.25">
      <c r="A200">
        <v>196</v>
      </c>
      <c r="B200" t="str">
        <f t="shared" si="3"/>
        <v/>
      </c>
      <c r="F200" t="str">
        <f>'All Projects Calculations'!Y200</f>
        <v/>
      </c>
    </row>
    <row r="201" spans="1:6" x14ac:dyDescent="0.25">
      <c r="A201">
        <v>197</v>
      </c>
      <c r="B201" t="str">
        <f t="shared" si="3"/>
        <v/>
      </c>
      <c r="F201" t="str">
        <f>'All Projects Calculations'!Y201</f>
        <v/>
      </c>
    </row>
    <row r="202" spans="1:6" x14ac:dyDescent="0.25">
      <c r="A202">
        <v>198</v>
      </c>
      <c r="B202" t="str">
        <f t="shared" si="3"/>
        <v/>
      </c>
      <c r="F202" t="str">
        <f>'All Projects Calculations'!Y202</f>
        <v/>
      </c>
    </row>
    <row r="203" spans="1:6" x14ac:dyDescent="0.25">
      <c r="A203">
        <v>199</v>
      </c>
      <c r="B203" t="str">
        <f t="shared" si="3"/>
        <v/>
      </c>
      <c r="F203" t="str">
        <f>'All Projects Calculations'!Y203</f>
        <v/>
      </c>
    </row>
    <row r="204" spans="1:6" x14ac:dyDescent="0.25">
      <c r="A204">
        <v>200</v>
      </c>
      <c r="B204" t="str">
        <f t="shared" si="3"/>
        <v/>
      </c>
      <c r="F204" t="str">
        <f>'All Projects Calculations'!Y204</f>
        <v/>
      </c>
    </row>
    <row r="205" spans="1:6" x14ac:dyDescent="0.25">
      <c r="A205">
        <v>201</v>
      </c>
      <c r="B205" t="str">
        <f t="shared" si="3"/>
        <v/>
      </c>
      <c r="F205" t="str">
        <f>'All Projects Calculations'!Y205</f>
        <v/>
      </c>
    </row>
    <row r="206" spans="1:6" x14ac:dyDescent="0.25">
      <c r="A206">
        <v>202</v>
      </c>
      <c r="B206" t="str">
        <f t="shared" si="3"/>
        <v/>
      </c>
      <c r="F206" t="str">
        <f>'All Projects Calculations'!Y206</f>
        <v/>
      </c>
    </row>
    <row r="207" spans="1:6" x14ac:dyDescent="0.25">
      <c r="A207">
        <v>203</v>
      </c>
      <c r="B207" t="str">
        <f t="shared" si="3"/>
        <v/>
      </c>
      <c r="F207" t="str">
        <f>'All Projects Calculations'!Y207</f>
        <v/>
      </c>
    </row>
    <row r="208" spans="1:6" x14ac:dyDescent="0.25">
      <c r="A208">
        <v>204</v>
      </c>
      <c r="B208" t="str">
        <f t="shared" si="3"/>
        <v/>
      </c>
      <c r="F208" t="str">
        <f>'All Projects Calculations'!Y208</f>
        <v/>
      </c>
    </row>
    <row r="209" spans="1:6" x14ac:dyDescent="0.25">
      <c r="A209">
        <v>205</v>
      </c>
      <c r="B209" t="str">
        <f t="shared" si="3"/>
        <v/>
      </c>
      <c r="F209" t="str">
        <f>'All Projects Calculations'!Y209</f>
        <v/>
      </c>
    </row>
    <row r="210" spans="1:6" x14ac:dyDescent="0.25">
      <c r="A210">
        <v>206</v>
      </c>
      <c r="B210" t="str">
        <f t="shared" si="3"/>
        <v/>
      </c>
      <c r="F210" t="str">
        <f>'All Projects Calculations'!Y210</f>
        <v/>
      </c>
    </row>
    <row r="211" spans="1:6" x14ac:dyDescent="0.25">
      <c r="A211">
        <v>207</v>
      </c>
      <c r="B211" t="str">
        <f t="shared" si="3"/>
        <v/>
      </c>
      <c r="F211" t="str">
        <f>'All Projects Calculations'!Y211</f>
        <v/>
      </c>
    </row>
    <row r="212" spans="1:6" x14ac:dyDescent="0.25">
      <c r="A212">
        <v>208</v>
      </c>
      <c r="B212" t="str">
        <f t="shared" si="3"/>
        <v/>
      </c>
      <c r="F212" t="str">
        <f>'All Projects Calculations'!Y212</f>
        <v/>
      </c>
    </row>
    <row r="213" spans="1:6" x14ac:dyDescent="0.25">
      <c r="A213">
        <v>209</v>
      </c>
      <c r="B213" t="str">
        <f t="shared" si="3"/>
        <v/>
      </c>
      <c r="F213" t="str">
        <f>'All Projects Calculations'!Y213</f>
        <v/>
      </c>
    </row>
    <row r="214" spans="1:6" x14ac:dyDescent="0.25">
      <c r="A214">
        <v>210</v>
      </c>
      <c r="B214" t="str">
        <f t="shared" si="3"/>
        <v/>
      </c>
      <c r="F214" t="str">
        <f>'All Projects Calculations'!Y214</f>
        <v/>
      </c>
    </row>
    <row r="215" spans="1:6" x14ac:dyDescent="0.25">
      <c r="A215">
        <v>211</v>
      </c>
      <c r="B215" t="str">
        <f t="shared" si="3"/>
        <v/>
      </c>
      <c r="F215" t="str">
        <f>'All Projects Calculations'!Y215</f>
        <v/>
      </c>
    </row>
    <row r="216" spans="1:6" x14ac:dyDescent="0.25">
      <c r="A216">
        <v>212</v>
      </c>
      <c r="B216" t="str">
        <f t="shared" si="3"/>
        <v/>
      </c>
      <c r="F216" t="str">
        <f>'All Projects Calculations'!Y216</f>
        <v/>
      </c>
    </row>
    <row r="217" spans="1:6" x14ac:dyDescent="0.25">
      <c r="A217">
        <v>213</v>
      </c>
      <c r="B217" t="str">
        <f t="shared" si="3"/>
        <v/>
      </c>
      <c r="F217" t="str">
        <f>'All Projects Calculations'!Y217</f>
        <v/>
      </c>
    </row>
    <row r="218" spans="1:6" x14ac:dyDescent="0.25">
      <c r="A218">
        <v>214</v>
      </c>
      <c r="B218" t="str">
        <f t="shared" si="3"/>
        <v/>
      </c>
      <c r="F218" t="str">
        <f>'All Projects Calculations'!Y218</f>
        <v/>
      </c>
    </row>
    <row r="219" spans="1:6" x14ac:dyDescent="0.25">
      <c r="A219">
        <v>215</v>
      </c>
      <c r="B219" t="str">
        <f t="shared" si="3"/>
        <v/>
      </c>
      <c r="F219" t="str">
        <f>'All Projects Calculations'!Y219</f>
        <v/>
      </c>
    </row>
    <row r="220" spans="1:6" x14ac:dyDescent="0.25">
      <c r="A220">
        <v>216</v>
      </c>
      <c r="B220" t="str">
        <f t="shared" si="3"/>
        <v/>
      </c>
      <c r="F220" t="str">
        <f>'All Projects Calculations'!Y220</f>
        <v/>
      </c>
    </row>
    <row r="221" spans="1:6" x14ac:dyDescent="0.25">
      <c r="A221">
        <v>217</v>
      </c>
      <c r="B221" t="str">
        <f t="shared" si="3"/>
        <v/>
      </c>
      <c r="F221" t="str">
        <f>'All Projects Calculations'!Y221</f>
        <v/>
      </c>
    </row>
    <row r="222" spans="1:6" x14ac:dyDescent="0.25">
      <c r="A222">
        <v>218</v>
      </c>
      <c r="B222" t="str">
        <f t="shared" si="3"/>
        <v/>
      </c>
      <c r="F222" t="str">
        <f>'All Projects Calculations'!Y222</f>
        <v/>
      </c>
    </row>
    <row r="223" spans="1:6" x14ac:dyDescent="0.25">
      <c r="A223">
        <v>219</v>
      </c>
      <c r="B223" t="str">
        <f t="shared" si="3"/>
        <v/>
      </c>
      <c r="F223" t="str">
        <f>'All Projects Calculations'!Y223</f>
        <v/>
      </c>
    </row>
    <row r="224" spans="1:6" x14ac:dyDescent="0.25">
      <c r="A224">
        <v>220</v>
      </c>
      <c r="B224" t="str">
        <f t="shared" si="3"/>
        <v/>
      </c>
      <c r="F224" t="str">
        <f>'All Projects Calculations'!Y224</f>
        <v/>
      </c>
    </row>
    <row r="225" spans="1:6" x14ac:dyDescent="0.25">
      <c r="A225">
        <v>221</v>
      </c>
      <c r="B225" t="str">
        <f t="shared" si="3"/>
        <v/>
      </c>
      <c r="F225" t="str">
        <f>'All Projects Calculations'!Y225</f>
        <v/>
      </c>
    </row>
    <row r="226" spans="1:6" x14ac:dyDescent="0.25">
      <c r="A226">
        <v>222</v>
      </c>
      <c r="B226" t="str">
        <f t="shared" si="3"/>
        <v/>
      </c>
      <c r="F226" t="str">
        <f>'All Projects Calculations'!Y226</f>
        <v/>
      </c>
    </row>
    <row r="227" spans="1:6" x14ac:dyDescent="0.25">
      <c r="A227">
        <v>223</v>
      </c>
      <c r="B227" t="str">
        <f t="shared" si="3"/>
        <v/>
      </c>
      <c r="F227" t="str">
        <f>'All Projects Calculations'!Y227</f>
        <v/>
      </c>
    </row>
    <row r="228" spans="1:6" x14ac:dyDescent="0.25">
      <c r="A228">
        <v>224</v>
      </c>
      <c r="B228" t="str">
        <f t="shared" si="3"/>
        <v/>
      </c>
      <c r="F228" t="str">
        <f>'All Projects Calculations'!Y228</f>
        <v/>
      </c>
    </row>
    <row r="229" spans="1:6" x14ac:dyDescent="0.25">
      <c r="A229">
        <v>225</v>
      </c>
      <c r="B229" t="str">
        <f t="shared" si="3"/>
        <v/>
      </c>
      <c r="F229" t="str">
        <f>'All Projects Calculations'!Y229</f>
        <v/>
      </c>
    </row>
    <row r="230" spans="1:6" x14ac:dyDescent="0.25">
      <c r="A230">
        <v>226</v>
      </c>
      <c r="B230" t="str">
        <f t="shared" si="3"/>
        <v/>
      </c>
      <c r="F230" t="str">
        <f>'All Projects Calculations'!Y230</f>
        <v/>
      </c>
    </row>
    <row r="231" spans="1:6" x14ac:dyDescent="0.25">
      <c r="A231">
        <v>227</v>
      </c>
      <c r="B231" t="str">
        <f t="shared" si="3"/>
        <v/>
      </c>
      <c r="F231" t="str">
        <f>'All Projects Calculations'!Y231</f>
        <v/>
      </c>
    </row>
    <row r="232" spans="1:6" x14ac:dyDescent="0.25">
      <c r="A232">
        <v>228</v>
      </c>
      <c r="B232" t="str">
        <f t="shared" si="3"/>
        <v/>
      </c>
      <c r="F232" t="str">
        <f>'All Projects Calculations'!Y232</f>
        <v/>
      </c>
    </row>
    <row r="233" spans="1:6" x14ac:dyDescent="0.25">
      <c r="A233">
        <v>229</v>
      </c>
      <c r="B233" t="str">
        <f t="shared" si="3"/>
        <v/>
      </c>
      <c r="F233" t="str">
        <f>'All Projects Calculations'!Y233</f>
        <v/>
      </c>
    </row>
    <row r="234" spans="1:6" x14ac:dyDescent="0.25">
      <c r="A234">
        <v>230</v>
      </c>
      <c r="B234" t="str">
        <f t="shared" si="3"/>
        <v/>
      </c>
      <c r="F234" t="str">
        <f>'All Projects Calculations'!Y234</f>
        <v/>
      </c>
    </row>
    <row r="235" spans="1:6" x14ac:dyDescent="0.25">
      <c r="A235">
        <v>231</v>
      </c>
      <c r="B235" t="str">
        <f t="shared" si="3"/>
        <v/>
      </c>
      <c r="F235" t="str">
        <f>'All Projects Calculations'!Y235</f>
        <v/>
      </c>
    </row>
    <row r="236" spans="1:6" x14ac:dyDescent="0.25">
      <c r="A236">
        <v>232</v>
      </c>
      <c r="B236" t="str">
        <f t="shared" si="3"/>
        <v/>
      </c>
      <c r="F236" t="str">
        <f>'All Projects Calculations'!Y236</f>
        <v/>
      </c>
    </row>
    <row r="237" spans="1:6" x14ac:dyDescent="0.25">
      <c r="A237">
        <v>233</v>
      </c>
      <c r="B237" t="str">
        <f t="shared" si="3"/>
        <v/>
      </c>
      <c r="F237" t="str">
        <f>'All Projects Calculations'!Y237</f>
        <v/>
      </c>
    </row>
    <row r="238" spans="1:6" x14ac:dyDescent="0.25">
      <c r="A238">
        <v>234</v>
      </c>
      <c r="B238" t="str">
        <f t="shared" si="3"/>
        <v/>
      </c>
      <c r="F238" t="str">
        <f>'All Projects Calculations'!Y238</f>
        <v/>
      </c>
    </row>
    <row r="239" spans="1:6" x14ac:dyDescent="0.25">
      <c r="A239">
        <v>235</v>
      </c>
      <c r="B239" t="str">
        <f t="shared" si="3"/>
        <v/>
      </c>
      <c r="F239" t="str">
        <f>'All Projects Calculations'!Y239</f>
        <v/>
      </c>
    </row>
    <row r="240" spans="1:6" x14ac:dyDescent="0.25">
      <c r="A240">
        <v>236</v>
      </c>
      <c r="B240" t="str">
        <f t="shared" si="3"/>
        <v/>
      </c>
      <c r="F240" t="str">
        <f>'All Projects Calculations'!Y240</f>
        <v/>
      </c>
    </row>
    <row r="241" spans="1:6" x14ac:dyDescent="0.25">
      <c r="A241">
        <v>237</v>
      </c>
      <c r="B241" t="str">
        <f t="shared" si="3"/>
        <v/>
      </c>
      <c r="F241" t="str">
        <f>'All Projects Calculations'!Y241</f>
        <v/>
      </c>
    </row>
    <row r="242" spans="1:6" x14ac:dyDescent="0.25">
      <c r="A242">
        <v>238</v>
      </c>
      <c r="B242" t="str">
        <f t="shared" si="3"/>
        <v/>
      </c>
      <c r="F242" t="str">
        <f>'All Projects Calculations'!Y242</f>
        <v/>
      </c>
    </row>
    <row r="243" spans="1:6" x14ac:dyDescent="0.25">
      <c r="A243">
        <v>239</v>
      </c>
      <c r="B243" t="str">
        <f t="shared" si="3"/>
        <v/>
      </c>
      <c r="F243" t="str">
        <f>'All Projects Calculations'!Y243</f>
        <v/>
      </c>
    </row>
    <row r="244" spans="1:6" x14ac:dyDescent="0.25">
      <c r="A244">
        <v>240</v>
      </c>
      <c r="B244" t="str">
        <f t="shared" si="3"/>
        <v/>
      </c>
      <c r="F244" t="str">
        <f>'All Projects Calculations'!Y244</f>
        <v/>
      </c>
    </row>
    <row r="245" spans="1:6" x14ac:dyDescent="0.25">
      <c r="A245">
        <v>241</v>
      </c>
      <c r="B245" t="str">
        <f t="shared" si="3"/>
        <v/>
      </c>
      <c r="F245" t="str">
        <f>'All Projects Calculations'!Y245</f>
        <v/>
      </c>
    </row>
    <row r="246" spans="1:6" x14ac:dyDescent="0.25">
      <c r="A246">
        <v>242</v>
      </c>
      <c r="B246" t="str">
        <f t="shared" si="3"/>
        <v/>
      </c>
      <c r="F246" t="str">
        <f>'All Projects Calculations'!Y246</f>
        <v/>
      </c>
    </row>
    <row r="247" spans="1:6" x14ac:dyDescent="0.25">
      <c r="A247">
        <v>243</v>
      </c>
      <c r="B247" t="str">
        <f t="shared" si="3"/>
        <v/>
      </c>
      <c r="F247" t="str">
        <f>'All Projects Calculations'!Y247</f>
        <v/>
      </c>
    </row>
    <row r="248" spans="1:6" x14ac:dyDescent="0.25">
      <c r="A248">
        <v>244</v>
      </c>
      <c r="B248" t="str">
        <f t="shared" si="3"/>
        <v/>
      </c>
      <c r="F248" t="str">
        <f>'All Projects Calculations'!Y248</f>
        <v/>
      </c>
    </row>
    <row r="249" spans="1:6" x14ac:dyDescent="0.25">
      <c r="A249">
        <v>245</v>
      </c>
      <c r="B249" t="str">
        <f t="shared" si="3"/>
        <v/>
      </c>
      <c r="F249" t="str">
        <f>'All Projects Calculations'!Y249</f>
        <v/>
      </c>
    </row>
    <row r="250" spans="1:6" x14ac:dyDescent="0.25">
      <c r="A250">
        <v>246</v>
      </c>
      <c r="B250" t="str">
        <f t="shared" si="3"/>
        <v/>
      </c>
      <c r="F250" t="str">
        <f>'All Projects Calculations'!Y250</f>
        <v/>
      </c>
    </row>
    <row r="251" spans="1:6" x14ac:dyDescent="0.25">
      <c r="A251">
        <v>247</v>
      </c>
      <c r="B251" t="str">
        <f t="shared" si="3"/>
        <v/>
      </c>
      <c r="F251" t="str">
        <f>'All Projects Calculations'!Y251</f>
        <v/>
      </c>
    </row>
    <row r="252" spans="1:6" x14ac:dyDescent="0.25">
      <c r="A252">
        <v>248</v>
      </c>
      <c r="B252" t="str">
        <f t="shared" si="3"/>
        <v/>
      </c>
      <c r="F252" t="str">
        <f>'All Projects Calculations'!Y252</f>
        <v/>
      </c>
    </row>
    <row r="253" spans="1:6" x14ac:dyDescent="0.25">
      <c r="A253">
        <v>249</v>
      </c>
      <c r="B253" t="str">
        <f t="shared" si="3"/>
        <v/>
      </c>
      <c r="F253" t="str">
        <f>'All Projects Calculations'!Y253</f>
        <v/>
      </c>
    </row>
    <row r="254" spans="1:6" x14ac:dyDescent="0.25">
      <c r="A254">
        <v>250</v>
      </c>
      <c r="B254" t="str">
        <f t="shared" si="3"/>
        <v/>
      </c>
      <c r="F254" t="str">
        <f>'All Projects Calculations'!Y254</f>
        <v/>
      </c>
    </row>
    <row r="255" spans="1:6" x14ac:dyDescent="0.25">
      <c r="A255">
        <v>251</v>
      </c>
      <c r="B255" t="str">
        <f t="shared" si="3"/>
        <v/>
      </c>
      <c r="F255" t="str">
        <f>'All Projects Calculations'!Y255</f>
        <v/>
      </c>
    </row>
    <row r="256" spans="1:6" x14ac:dyDescent="0.25">
      <c r="A256">
        <v>252</v>
      </c>
      <c r="B256" t="str">
        <f t="shared" si="3"/>
        <v/>
      </c>
      <c r="F256" t="str">
        <f>'All Projects Calculations'!Y256</f>
        <v/>
      </c>
    </row>
    <row r="257" spans="1:6" x14ac:dyDescent="0.25">
      <c r="A257">
        <v>253</v>
      </c>
      <c r="B257" t="str">
        <f t="shared" si="3"/>
        <v/>
      </c>
      <c r="F257" t="str">
        <f>'All Projects Calculations'!Y257</f>
        <v/>
      </c>
    </row>
    <row r="258" spans="1:6" x14ac:dyDescent="0.25">
      <c r="A258">
        <v>254</v>
      </c>
      <c r="B258" t="str">
        <f t="shared" si="3"/>
        <v/>
      </c>
      <c r="F258" t="str">
        <f>'All Projects Calculations'!Y258</f>
        <v/>
      </c>
    </row>
    <row r="259" spans="1:6" x14ac:dyDescent="0.25">
      <c r="A259">
        <v>255</v>
      </c>
      <c r="B259" t="str">
        <f t="shared" si="3"/>
        <v/>
      </c>
      <c r="F259" t="str">
        <f>'All Projects Calculations'!Y259</f>
        <v/>
      </c>
    </row>
    <row r="260" spans="1:6" x14ac:dyDescent="0.25">
      <c r="A260">
        <v>256</v>
      </c>
      <c r="B260" t="str">
        <f t="shared" si="3"/>
        <v/>
      </c>
      <c r="F260" t="str">
        <f>'All Projects Calculations'!Y260</f>
        <v/>
      </c>
    </row>
    <row r="261" spans="1:6" x14ac:dyDescent="0.25">
      <c r="A261">
        <v>257</v>
      </c>
      <c r="B261" t="str">
        <f t="shared" si="3"/>
        <v/>
      </c>
      <c r="F261" t="str">
        <f>'All Projects Calculations'!Y261</f>
        <v/>
      </c>
    </row>
    <row r="262" spans="1:6" x14ac:dyDescent="0.25">
      <c r="A262">
        <v>258</v>
      </c>
      <c r="B262" t="str">
        <f t="shared" ref="B262:B325" si="4">IF(F262="","",A262)</f>
        <v/>
      </c>
      <c r="F262" t="str">
        <f>'All Projects Calculations'!Y262</f>
        <v/>
      </c>
    </row>
    <row r="263" spans="1:6" x14ac:dyDescent="0.25">
      <c r="A263">
        <v>259</v>
      </c>
      <c r="B263" t="str">
        <f t="shared" si="4"/>
        <v/>
      </c>
      <c r="F263" t="str">
        <f>'All Projects Calculations'!Y263</f>
        <v/>
      </c>
    </row>
    <row r="264" spans="1:6" x14ac:dyDescent="0.25">
      <c r="A264">
        <v>260</v>
      </c>
      <c r="B264" t="str">
        <f t="shared" si="4"/>
        <v/>
      </c>
      <c r="F264" t="str">
        <f>'All Projects Calculations'!Y264</f>
        <v/>
      </c>
    </row>
    <row r="265" spans="1:6" x14ac:dyDescent="0.25">
      <c r="A265">
        <v>261</v>
      </c>
      <c r="B265" t="str">
        <f t="shared" si="4"/>
        <v/>
      </c>
      <c r="F265" t="str">
        <f>'All Projects Calculations'!Y265</f>
        <v/>
      </c>
    </row>
    <row r="266" spans="1:6" x14ac:dyDescent="0.25">
      <c r="A266">
        <v>262</v>
      </c>
      <c r="B266" t="str">
        <f t="shared" si="4"/>
        <v/>
      </c>
      <c r="F266" t="str">
        <f>'All Projects Calculations'!Y266</f>
        <v/>
      </c>
    </row>
    <row r="267" spans="1:6" x14ac:dyDescent="0.25">
      <c r="A267">
        <v>263</v>
      </c>
      <c r="B267" t="str">
        <f t="shared" si="4"/>
        <v/>
      </c>
      <c r="F267" t="str">
        <f>'All Projects Calculations'!Y267</f>
        <v/>
      </c>
    </row>
    <row r="268" spans="1:6" x14ac:dyDescent="0.25">
      <c r="A268">
        <v>264</v>
      </c>
      <c r="B268" t="str">
        <f t="shared" si="4"/>
        <v/>
      </c>
      <c r="F268" t="str">
        <f>'All Projects Calculations'!Y268</f>
        <v/>
      </c>
    </row>
    <row r="269" spans="1:6" x14ac:dyDescent="0.25">
      <c r="A269">
        <v>265</v>
      </c>
      <c r="B269" t="str">
        <f t="shared" si="4"/>
        <v/>
      </c>
      <c r="F269" t="str">
        <f>'All Projects Calculations'!Y269</f>
        <v/>
      </c>
    </row>
    <row r="270" spans="1:6" x14ac:dyDescent="0.25">
      <c r="A270">
        <v>266</v>
      </c>
      <c r="B270" t="str">
        <f t="shared" si="4"/>
        <v/>
      </c>
      <c r="F270" t="str">
        <f>'All Projects Calculations'!Y270</f>
        <v/>
      </c>
    </row>
    <row r="271" spans="1:6" x14ac:dyDescent="0.25">
      <c r="A271">
        <v>267</v>
      </c>
      <c r="B271" t="str">
        <f t="shared" si="4"/>
        <v/>
      </c>
      <c r="F271" t="str">
        <f>'All Projects Calculations'!Y271</f>
        <v/>
      </c>
    </row>
    <row r="272" spans="1:6" x14ac:dyDescent="0.25">
      <c r="A272">
        <v>268</v>
      </c>
      <c r="B272" t="str">
        <f t="shared" si="4"/>
        <v/>
      </c>
      <c r="F272" t="str">
        <f>'All Projects Calculations'!Y272</f>
        <v/>
      </c>
    </row>
    <row r="273" spans="1:6" x14ac:dyDescent="0.25">
      <c r="A273">
        <v>269</v>
      </c>
      <c r="B273" t="str">
        <f t="shared" si="4"/>
        <v/>
      </c>
      <c r="F273" t="str">
        <f>'All Projects Calculations'!Y273</f>
        <v/>
      </c>
    </row>
    <row r="274" spans="1:6" x14ac:dyDescent="0.25">
      <c r="A274">
        <v>270</v>
      </c>
      <c r="B274" t="str">
        <f t="shared" si="4"/>
        <v/>
      </c>
      <c r="F274" t="str">
        <f>'All Projects Calculations'!Y274</f>
        <v/>
      </c>
    </row>
    <row r="275" spans="1:6" x14ac:dyDescent="0.25">
      <c r="A275">
        <v>271</v>
      </c>
      <c r="B275" t="str">
        <f t="shared" si="4"/>
        <v/>
      </c>
      <c r="F275" t="str">
        <f>'All Projects Calculations'!Y275</f>
        <v/>
      </c>
    </row>
    <row r="276" spans="1:6" x14ac:dyDescent="0.25">
      <c r="A276">
        <v>272</v>
      </c>
      <c r="B276" t="str">
        <f t="shared" si="4"/>
        <v/>
      </c>
      <c r="F276" t="str">
        <f>'All Projects Calculations'!Y276</f>
        <v/>
      </c>
    </row>
    <row r="277" spans="1:6" x14ac:dyDescent="0.25">
      <c r="A277">
        <v>273</v>
      </c>
      <c r="B277" t="str">
        <f t="shared" si="4"/>
        <v/>
      </c>
      <c r="F277" t="str">
        <f>'All Projects Calculations'!Y277</f>
        <v/>
      </c>
    </row>
    <row r="278" spans="1:6" x14ac:dyDescent="0.25">
      <c r="A278">
        <v>274</v>
      </c>
      <c r="B278" t="str">
        <f t="shared" si="4"/>
        <v/>
      </c>
      <c r="F278" t="str">
        <f>'All Projects Calculations'!Y278</f>
        <v/>
      </c>
    </row>
    <row r="279" spans="1:6" x14ac:dyDescent="0.25">
      <c r="A279">
        <v>275</v>
      </c>
      <c r="B279" t="str">
        <f t="shared" si="4"/>
        <v/>
      </c>
      <c r="F279" t="str">
        <f>'All Projects Calculations'!Y279</f>
        <v/>
      </c>
    </row>
    <row r="280" spans="1:6" x14ac:dyDescent="0.25">
      <c r="A280">
        <v>276</v>
      </c>
      <c r="B280" t="str">
        <f t="shared" si="4"/>
        <v/>
      </c>
      <c r="F280" t="str">
        <f>'All Projects Calculations'!Y280</f>
        <v/>
      </c>
    </row>
    <row r="281" spans="1:6" x14ac:dyDescent="0.25">
      <c r="A281">
        <v>277</v>
      </c>
      <c r="B281" t="str">
        <f t="shared" si="4"/>
        <v/>
      </c>
      <c r="F281" t="str">
        <f>'All Projects Calculations'!Y281</f>
        <v/>
      </c>
    </row>
    <row r="282" spans="1:6" x14ac:dyDescent="0.25">
      <c r="A282">
        <v>278</v>
      </c>
      <c r="B282" t="str">
        <f t="shared" si="4"/>
        <v/>
      </c>
      <c r="F282" t="str">
        <f>'All Projects Calculations'!Y282</f>
        <v/>
      </c>
    </row>
    <row r="283" spans="1:6" x14ac:dyDescent="0.25">
      <c r="A283">
        <v>279</v>
      </c>
      <c r="B283" t="str">
        <f t="shared" si="4"/>
        <v/>
      </c>
      <c r="F283" t="str">
        <f>'All Projects Calculations'!Y283</f>
        <v/>
      </c>
    </row>
    <row r="284" spans="1:6" x14ac:dyDescent="0.25">
      <c r="A284">
        <v>280</v>
      </c>
      <c r="B284" t="str">
        <f t="shared" si="4"/>
        <v/>
      </c>
      <c r="F284" t="str">
        <f>'All Projects Calculations'!Y284</f>
        <v/>
      </c>
    </row>
    <row r="285" spans="1:6" x14ac:dyDescent="0.25">
      <c r="A285">
        <v>281</v>
      </c>
      <c r="B285" t="str">
        <f t="shared" si="4"/>
        <v/>
      </c>
      <c r="F285" t="str">
        <f>'All Projects Calculations'!Y285</f>
        <v/>
      </c>
    </row>
    <row r="286" spans="1:6" x14ac:dyDescent="0.25">
      <c r="A286">
        <v>282</v>
      </c>
      <c r="B286" t="str">
        <f t="shared" si="4"/>
        <v/>
      </c>
      <c r="F286" t="str">
        <f>'All Projects Calculations'!Y286</f>
        <v/>
      </c>
    </row>
    <row r="287" spans="1:6" x14ac:dyDescent="0.25">
      <c r="A287">
        <v>283</v>
      </c>
      <c r="B287" t="str">
        <f t="shared" si="4"/>
        <v/>
      </c>
      <c r="F287" t="str">
        <f>'All Projects Calculations'!Y287</f>
        <v/>
      </c>
    </row>
    <row r="288" spans="1:6" x14ac:dyDescent="0.25">
      <c r="A288">
        <v>284</v>
      </c>
      <c r="B288" t="str">
        <f t="shared" si="4"/>
        <v/>
      </c>
      <c r="F288" t="str">
        <f>'All Projects Calculations'!Y288</f>
        <v/>
      </c>
    </row>
    <row r="289" spans="1:6" x14ac:dyDescent="0.25">
      <c r="A289">
        <v>285</v>
      </c>
      <c r="B289" t="str">
        <f t="shared" si="4"/>
        <v/>
      </c>
      <c r="F289" t="str">
        <f>'All Projects Calculations'!Y289</f>
        <v/>
      </c>
    </row>
    <row r="290" spans="1:6" x14ac:dyDescent="0.25">
      <c r="A290">
        <v>286</v>
      </c>
      <c r="B290" t="str">
        <f t="shared" si="4"/>
        <v/>
      </c>
      <c r="F290" t="str">
        <f>'All Projects Calculations'!Y290</f>
        <v/>
      </c>
    </row>
    <row r="291" spans="1:6" x14ac:dyDescent="0.25">
      <c r="A291">
        <v>287</v>
      </c>
      <c r="B291" t="str">
        <f t="shared" si="4"/>
        <v/>
      </c>
      <c r="F291" t="str">
        <f>'All Projects Calculations'!Y291</f>
        <v/>
      </c>
    </row>
    <row r="292" spans="1:6" x14ac:dyDescent="0.25">
      <c r="A292">
        <v>288</v>
      </c>
      <c r="B292" t="str">
        <f t="shared" si="4"/>
        <v/>
      </c>
      <c r="F292" t="str">
        <f>'All Projects Calculations'!Y292</f>
        <v/>
      </c>
    </row>
    <row r="293" spans="1:6" x14ac:dyDescent="0.25">
      <c r="A293">
        <v>289</v>
      </c>
      <c r="B293" t="str">
        <f t="shared" si="4"/>
        <v/>
      </c>
      <c r="F293" t="str">
        <f>'All Projects Calculations'!Y293</f>
        <v/>
      </c>
    </row>
    <row r="294" spans="1:6" x14ac:dyDescent="0.25">
      <c r="A294">
        <v>290</v>
      </c>
      <c r="B294" t="str">
        <f t="shared" si="4"/>
        <v/>
      </c>
      <c r="F294" t="str">
        <f>'All Projects Calculations'!Y294</f>
        <v/>
      </c>
    </row>
    <row r="295" spans="1:6" x14ac:dyDescent="0.25">
      <c r="A295">
        <v>291</v>
      </c>
      <c r="B295" t="str">
        <f t="shared" si="4"/>
        <v/>
      </c>
      <c r="F295" t="str">
        <f>'All Projects Calculations'!Y295</f>
        <v/>
      </c>
    </row>
    <row r="296" spans="1:6" x14ac:dyDescent="0.25">
      <c r="A296">
        <v>292</v>
      </c>
      <c r="B296" t="str">
        <f t="shared" si="4"/>
        <v/>
      </c>
      <c r="F296" t="str">
        <f>'All Projects Calculations'!Y296</f>
        <v/>
      </c>
    </row>
    <row r="297" spans="1:6" x14ac:dyDescent="0.25">
      <c r="A297">
        <v>293</v>
      </c>
      <c r="B297" t="str">
        <f t="shared" si="4"/>
        <v/>
      </c>
      <c r="F297" t="str">
        <f>'All Projects Calculations'!Y297</f>
        <v/>
      </c>
    </row>
    <row r="298" spans="1:6" x14ac:dyDescent="0.25">
      <c r="A298">
        <v>294</v>
      </c>
      <c r="B298" t="str">
        <f t="shared" si="4"/>
        <v/>
      </c>
      <c r="F298" t="str">
        <f>'All Projects Calculations'!Y298</f>
        <v/>
      </c>
    </row>
    <row r="299" spans="1:6" x14ac:dyDescent="0.25">
      <c r="A299">
        <v>295</v>
      </c>
      <c r="B299" t="str">
        <f t="shared" si="4"/>
        <v/>
      </c>
      <c r="F299" t="str">
        <f>'All Projects Calculations'!Y299</f>
        <v/>
      </c>
    </row>
    <row r="300" spans="1:6" x14ac:dyDescent="0.25">
      <c r="A300">
        <v>296</v>
      </c>
      <c r="B300" t="str">
        <f t="shared" si="4"/>
        <v/>
      </c>
      <c r="F300" t="str">
        <f>'All Projects Calculations'!Y300</f>
        <v/>
      </c>
    </row>
    <row r="301" spans="1:6" x14ac:dyDescent="0.25">
      <c r="A301">
        <v>297</v>
      </c>
      <c r="B301" t="str">
        <f t="shared" si="4"/>
        <v/>
      </c>
      <c r="F301" t="str">
        <f>'All Projects Calculations'!Y301</f>
        <v/>
      </c>
    </row>
    <row r="302" spans="1:6" x14ac:dyDescent="0.25">
      <c r="A302">
        <v>298</v>
      </c>
      <c r="B302" t="str">
        <f t="shared" si="4"/>
        <v/>
      </c>
      <c r="F302" t="str">
        <f>'All Projects Calculations'!Y302</f>
        <v/>
      </c>
    </row>
    <row r="303" spans="1:6" x14ac:dyDescent="0.25">
      <c r="A303">
        <v>299</v>
      </c>
      <c r="B303" t="str">
        <f t="shared" si="4"/>
        <v/>
      </c>
      <c r="F303" t="str">
        <f>'All Projects Calculations'!Y303</f>
        <v/>
      </c>
    </row>
    <row r="304" spans="1:6" x14ac:dyDescent="0.25">
      <c r="A304">
        <v>300</v>
      </c>
      <c r="B304" t="str">
        <f t="shared" si="4"/>
        <v/>
      </c>
      <c r="F304" t="str">
        <f>'All Projects Calculations'!Y304</f>
        <v/>
      </c>
    </row>
    <row r="305" spans="1:6" x14ac:dyDescent="0.25">
      <c r="A305">
        <v>301</v>
      </c>
      <c r="B305" t="str">
        <f t="shared" si="4"/>
        <v/>
      </c>
      <c r="F305" t="str">
        <f>'All Projects Calculations'!Y305</f>
        <v/>
      </c>
    </row>
    <row r="306" spans="1:6" x14ac:dyDescent="0.25">
      <c r="A306">
        <v>302</v>
      </c>
      <c r="B306" t="str">
        <f t="shared" si="4"/>
        <v/>
      </c>
      <c r="F306" t="str">
        <f>'All Projects Calculations'!Y306</f>
        <v/>
      </c>
    </row>
    <row r="307" spans="1:6" x14ac:dyDescent="0.25">
      <c r="A307">
        <v>303</v>
      </c>
      <c r="B307" t="str">
        <f t="shared" si="4"/>
        <v/>
      </c>
      <c r="F307" t="str">
        <f>'All Projects Calculations'!Y307</f>
        <v/>
      </c>
    </row>
    <row r="308" spans="1:6" x14ac:dyDescent="0.25">
      <c r="A308">
        <v>304</v>
      </c>
      <c r="B308" t="str">
        <f t="shared" si="4"/>
        <v/>
      </c>
      <c r="F308" t="str">
        <f>'All Projects Calculations'!Y308</f>
        <v/>
      </c>
    </row>
    <row r="309" spans="1:6" x14ac:dyDescent="0.25">
      <c r="A309">
        <v>305</v>
      </c>
      <c r="B309" t="str">
        <f t="shared" si="4"/>
        <v/>
      </c>
      <c r="F309" t="str">
        <f>'All Projects Calculations'!Y309</f>
        <v/>
      </c>
    </row>
    <row r="310" spans="1:6" x14ac:dyDescent="0.25">
      <c r="A310">
        <v>306</v>
      </c>
      <c r="B310" t="str">
        <f t="shared" si="4"/>
        <v/>
      </c>
      <c r="F310" t="str">
        <f>'All Projects Calculations'!Y310</f>
        <v/>
      </c>
    </row>
    <row r="311" spans="1:6" x14ac:dyDescent="0.25">
      <c r="A311">
        <v>307</v>
      </c>
      <c r="B311" t="str">
        <f t="shared" si="4"/>
        <v/>
      </c>
      <c r="F311" t="str">
        <f>'All Projects Calculations'!Y311</f>
        <v/>
      </c>
    </row>
    <row r="312" spans="1:6" x14ac:dyDescent="0.25">
      <c r="A312">
        <v>308</v>
      </c>
      <c r="B312" t="str">
        <f t="shared" si="4"/>
        <v/>
      </c>
      <c r="F312" t="str">
        <f>'All Projects Calculations'!Y312</f>
        <v/>
      </c>
    </row>
    <row r="313" spans="1:6" x14ac:dyDescent="0.25">
      <c r="A313">
        <v>309</v>
      </c>
      <c r="B313" t="str">
        <f t="shared" si="4"/>
        <v/>
      </c>
      <c r="F313" t="str">
        <f>'All Projects Calculations'!Y313</f>
        <v/>
      </c>
    </row>
    <row r="314" spans="1:6" x14ac:dyDescent="0.25">
      <c r="A314">
        <v>310</v>
      </c>
      <c r="B314" t="str">
        <f t="shared" si="4"/>
        <v/>
      </c>
      <c r="F314" t="str">
        <f>'All Projects Calculations'!Y314</f>
        <v/>
      </c>
    </row>
    <row r="315" spans="1:6" x14ac:dyDescent="0.25">
      <c r="A315">
        <v>311</v>
      </c>
      <c r="B315" t="str">
        <f t="shared" si="4"/>
        <v/>
      </c>
      <c r="F315" t="str">
        <f>'All Projects Calculations'!Y315</f>
        <v/>
      </c>
    </row>
    <row r="316" spans="1:6" x14ac:dyDescent="0.25">
      <c r="A316">
        <v>312</v>
      </c>
      <c r="B316" t="str">
        <f t="shared" si="4"/>
        <v/>
      </c>
      <c r="F316" t="str">
        <f>'All Projects Calculations'!Y316</f>
        <v/>
      </c>
    </row>
    <row r="317" spans="1:6" x14ac:dyDescent="0.25">
      <c r="A317">
        <v>313</v>
      </c>
      <c r="B317" t="str">
        <f t="shared" si="4"/>
        <v/>
      </c>
      <c r="F317" t="str">
        <f>'All Projects Calculations'!Y317</f>
        <v/>
      </c>
    </row>
    <row r="318" spans="1:6" x14ac:dyDescent="0.25">
      <c r="A318">
        <v>314</v>
      </c>
      <c r="B318" t="str">
        <f t="shared" si="4"/>
        <v/>
      </c>
      <c r="F318" t="str">
        <f>'All Projects Calculations'!Y318</f>
        <v/>
      </c>
    </row>
    <row r="319" spans="1:6" x14ac:dyDescent="0.25">
      <c r="A319">
        <v>315</v>
      </c>
      <c r="B319" t="str">
        <f t="shared" si="4"/>
        <v/>
      </c>
      <c r="F319" t="str">
        <f>'All Projects Calculations'!Y319</f>
        <v/>
      </c>
    </row>
    <row r="320" spans="1:6" x14ac:dyDescent="0.25">
      <c r="A320">
        <v>316</v>
      </c>
      <c r="B320" t="str">
        <f t="shared" si="4"/>
        <v/>
      </c>
      <c r="F320" t="str">
        <f>'All Projects Calculations'!Y320</f>
        <v/>
      </c>
    </row>
    <row r="321" spans="1:6" x14ac:dyDescent="0.25">
      <c r="A321">
        <v>317</v>
      </c>
      <c r="B321" t="str">
        <f t="shared" si="4"/>
        <v/>
      </c>
      <c r="F321" t="str">
        <f>'All Projects Calculations'!Y321</f>
        <v/>
      </c>
    </row>
    <row r="322" spans="1:6" x14ac:dyDescent="0.25">
      <c r="A322">
        <v>318</v>
      </c>
      <c r="B322" t="str">
        <f t="shared" si="4"/>
        <v/>
      </c>
      <c r="F322" t="str">
        <f>'All Projects Calculations'!Y322</f>
        <v/>
      </c>
    </row>
    <row r="323" spans="1:6" x14ac:dyDescent="0.25">
      <c r="A323">
        <v>319</v>
      </c>
      <c r="B323" t="str">
        <f t="shared" si="4"/>
        <v/>
      </c>
      <c r="F323" t="str">
        <f>'All Projects Calculations'!Y323</f>
        <v/>
      </c>
    </row>
    <row r="324" spans="1:6" x14ac:dyDescent="0.25">
      <c r="A324">
        <v>320</v>
      </c>
      <c r="B324" t="str">
        <f t="shared" si="4"/>
        <v/>
      </c>
      <c r="F324" t="str">
        <f>'All Projects Calculations'!Y324</f>
        <v/>
      </c>
    </row>
    <row r="325" spans="1:6" x14ac:dyDescent="0.25">
      <c r="A325">
        <v>321</v>
      </c>
      <c r="B325" t="str">
        <f t="shared" si="4"/>
        <v/>
      </c>
      <c r="F325" t="str">
        <f>'All Projects Calculations'!Y325</f>
        <v/>
      </c>
    </row>
    <row r="326" spans="1:6" x14ac:dyDescent="0.25">
      <c r="A326">
        <v>322</v>
      </c>
      <c r="B326" t="str">
        <f t="shared" ref="B326:B389" si="5">IF(F326="","",A326)</f>
        <v/>
      </c>
      <c r="F326" t="str">
        <f>'All Projects Calculations'!Y326</f>
        <v/>
      </c>
    </row>
    <row r="327" spans="1:6" x14ac:dyDescent="0.25">
      <c r="A327">
        <v>323</v>
      </c>
      <c r="B327" t="str">
        <f t="shared" si="5"/>
        <v/>
      </c>
      <c r="F327" t="str">
        <f>'All Projects Calculations'!Y327</f>
        <v/>
      </c>
    </row>
    <row r="328" spans="1:6" x14ac:dyDescent="0.25">
      <c r="A328">
        <v>324</v>
      </c>
      <c r="B328" t="str">
        <f t="shared" si="5"/>
        <v/>
      </c>
      <c r="F328" t="str">
        <f>'All Projects Calculations'!Y328</f>
        <v/>
      </c>
    </row>
    <row r="329" spans="1:6" x14ac:dyDescent="0.25">
      <c r="A329">
        <v>325</v>
      </c>
      <c r="B329" t="str">
        <f t="shared" si="5"/>
        <v/>
      </c>
      <c r="F329" t="str">
        <f>'All Projects Calculations'!Y329</f>
        <v/>
      </c>
    </row>
    <row r="330" spans="1:6" x14ac:dyDescent="0.25">
      <c r="A330">
        <v>326</v>
      </c>
      <c r="B330" t="str">
        <f t="shared" si="5"/>
        <v/>
      </c>
      <c r="F330" t="str">
        <f>'All Projects Calculations'!Y330</f>
        <v/>
      </c>
    </row>
    <row r="331" spans="1:6" x14ac:dyDescent="0.25">
      <c r="A331">
        <v>327</v>
      </c>
      <c r="B331" t="str">
        <f t="shared" si="5"/>
        <v/>
      </c>
      <c r="F331" t="str">
        <f>'All Projects Calculations'!Y331</f>
        <v/>
      </c>
    </row>
    <row r="332" spans="1:6" x14ac:dyDescent="0.25">
      <c r="A332">
        <v>328</v>
      </c>
      <c r="B332" t="str">
        <f t="shared" si="5"/>
        <v/>
      </c>
      <c r="F332" t="str">
        <f>'All Projects Calculations'!Y332</f>
        <v/>
      </c>
    </row>
    <row r="333" spans="1:6" x14ac:dyDescent="0.25">
      <c r="A333">
        <v>329</v>
      </c>
      <c r="B333" t="str">
        <f t="shared" si="5"/>
        <v/>
      </c>
      <c r="F333" t="str">
        <f>'All Projects Calculations'!Y333</f>
        <v/>
      </c>
    </row>
    <row r="334" spans="1:6" x14ac:dyDescent="0.25">
      <c r="A334">
        <v>330</v>
      </c>
      <c r="B334" t="str">
        <f t="shared" si="5"/>
        <v/>
      </c>
      <c r="F334" t="str">
        <f>'All Projects Calculations'!Y334</f>
        <v/>
      </c>
    </row>
    <row r="335" spans="1:6" x14ac:dyDescent="0.25">
      <c r="A335">
        <v>331</v>
      </c>
      <c r="B335" t="str">
        <f t="shared" si="5"/>
        <v/>
      </c>
      <c r="F335" t="str">
        <f>'All Projects Calculations'!Y335</f>
        <v/>
      </c>
    </row>
    <row r="336" spans="1:6" x14ac:dyDescent="0.25">
      <c r="A336">
        <v>332</v>
      </c>
      <c r="B336" t="str">
        <f t="shared" si="5"/>
        <v/>
      </c>
      <c r="F336" t="str">
        <f>'All Projects Calculations'!Y336</f>
        <v/>
      </c>
    </row>
    <row r="337" spans="1:6" x14ac:dyDescent="0.25">
      <c r="A337">
        <v>333</v>
      </c>
      <c r="B337" t="str">
        <f t="shared" si="5"/>
        <v/>
      </c>
      <c r="F337" t="str">
        <f>'All Projects Calculations'!Y337</f>
        <v/>
      </c>
    </row>
    <row r="338" spans="1:6" x14ac:dyDescent="0.25">
      <c r="A338">
        <v>334</v>
      </c>
      <c r="B338" t="str">
        <f t="shared" si="5"/>
        <v/>
      </c>
      <c r="F338" t="str">
        <f>'All Projects Calculations'!Y338</f>
        <v/>
      </c>
    </row>
    <row r="339" spans="1:6" x14ac:dyDescent="0.25">
      <c r="A339">
        <v>335</v>
      </c>
      <c r="B339" t="str">
        <f t="shared" si="5"/>
        <v/>
      </c>
      <c r="F339" t="str">
        <f>'All Projects Calculations'!Y339</f>
        <v/>
      </c>
    </row>
    <row r="340" spans="1:6" x14ac:dyDescent="0.25">
      <c r="A340">
        <v>336</v>
      </c>
      <c r="B340" t="str">
        <f t="shared" si="5"/>
        <v/>
      </c>
      <c r="F340" t="str">
        <f>'All Projects Calculations'!Y340</f>
        <v/>
      </c>
    </row>
    <row r="341" spans="1:6" x14ac:dyDescent="0.25">
      <c r="A341">
        <v>337</v>
      </c>
      <c r="B341" t="str">
        <f t="shared" si="5"/>
        <v/>
      </c>
      <c r="F341" t="str">
        <f>'All Projects Calculations'!Y341</f>
        <v/>
      </c>
    </row>
    <row r="342" spans="1:6" x14ac:dyDescent="0.25">
      <c r="A342">
        <v>338</v>
      </c>
      <c r="B342" t="str">
        <f t="shared" si="5"/>
        <v/>
      </c>
      <c r="F342" t="str">
        <f>'All Projects Calculations'!Y342</f>
        <v/>
      </c>
    </row>
    <row r="343" spans="1:6" x14ac:dyDescent="0.25">
      <c r="A343">
        <v>339</v>
      </c>
      <c r="B343" t="str">
        <f t="shared" si="5"/>
        <v/>
      </c>
      <c r="F343" t="str">
        <f>'All Projects Calculations'!Y343</f>
        <v/>
      </c>
    </row>
    <row r="344" spans="1:6" x14ac:dyDescent="0.25">
      <c r="A344">
        <v>340</v>
      </c>
      <c r="B344" t="str">
        <f t="shared" si="5"/>
        <v/>
      </c>
      <c r="F344" t="str">
        <f>'All Projects Calculations'!Y344</f>
        <v/>
      </c>
    </row>
    <row r="345" spans="1:6" x14ac:dyDescent="0.25">
      <c r="A345">
        <v>341</v>
      </c>
      <c r="B345" t="str">
        <f t="shared" si="5"/>
        <v/>
      </c>
      <c r="F345" t="str">
        <f>'All Projects Calculations'!Y345</f>
        <v/>
      </c>
    </row>
    <row r="346" spans="1:6" x14ac:dyDescent="0.25">
      <c r="A346">
        <v>342</v>
      </c>
      <c r="B346" t="str">
        <f t="shared" si="5"/>
        <v/>
      </c>
      <c r="F346" t="str">
        <f>'All Projects Calculations'!Y346</f>
        <v/>
      </c>
    </row>
    <row r="347" spans="1:6" x14ac:dyDescent="0.25">
      <c r="A347">
        <v>343</v>
      </c>
      <c r="B347" t="str">
        <f t="shared" si="5"/>
        <v/>
      </c>
      <c r="F347" t="str">
        <f>'All Projects Calculations'!Y347</f>
        <v/>
      </c>
    </row>
    <row r="348" spans="1:6" x14ac:dyDescent="0.25">
      <c r="A348">
        <v>344</v>
      </c>
      <c r="B348" t="str">
        <f t="shared" si="5"/>
        <v/>
      </c>
      <c r="F348" t="str">
        <f>'All Projects Calculations'!Y348</f>
        <v/>
      </c>
    </row>
    <row r="349" spans="1:6" x14ac:dyDescent="0.25">
      <c r="A349">
        <v>345</v>
      </c>
      <c r="B349" t="str">
        <f t="shared" si="5"/>
        <v/>
      </c>
      <c r="F349" t="str">
        <f>'All Projects Calculations'!Y349</f>
        <v/>
      </c>
    </row>
    <row r="350" spans="1:6" x14ac:dyDescent="0.25">
      <c r="A350">
        <v>346</v>
      </c>
      <c r="B350" t="str">
        <f t="shared" si="5"/>
        <v/>
      </c>
      <c r="F350" t="str">
        <f>'All Projects Calculations'!Y350</f>
        <v/>
      </c>
    </row>
    <row r="351" spans="1:6" x14ac:dyDescent="0.25">
      <c r="A351">
        <v>347</v>
      </c>
      <c r="B351" t="str">
        <f t="shared" si="5"/>
        <v/>
      </c>
      <c r="F351" t="str">
        <f>'All Projects Calculations'!Y351</f>
        <v/>
      </c>
    </row>
    <row r="352" spans="1:6" x14ac:dyDescent="0.25">
      <c r="A352">
        <v>348</v>
      </c>
      <c r="B352" t="str">
        <f t="shared" si="5"/>
        <v/>
      </c>
      <c r="F352" t="str">
        <f>'All Projects Calculations'!Y352</f>
        <v/>
      </c>
    </row>
    <row r="353" spans="1:6" x14ac:dyDescent="0.25">
      <c r="A353">
        <v>349</v>
      </c>
      <c r="B353" t="str">
        <f t="shared" si="5"/>
        <v/>
      </c>
      <c r="F353" t="str">
        <f>'All Projects Calculations'!Y353</f>
        <v/>
      </c>
    </row>
    <row r="354" spans="1:6" x14ac:dyDescent="0.25">
      <c r="A354">
        <v>350</v>
      </c>
      <c r="B354" t="str">
        <f t="shared" si="5"/>
        <v/>
      </c>
      <c r="F354" t="str">
        <f>'All Projects Calculations'!Y354</f>
        <v/>
      </c>
    </row>
    <row r="355" spans="1:6" x14ac:dyDescent="0.25">
      <c r="A355">
        <v>351</v>
      </c>
      <c r="B355" t="str">
        <f t="shared" si="5"/>
        <v/>
      </c>
      <c r="F355" t="str">
        <f>'All Projects Calculations'!Y355</f>
        <v/>
      </c>
    </row>
    <row r="356" spans="1:6" x14ac:dyDescent="0.25">
      <c r="A356">
        <v>352</v>
      </c>
      <c r="B356" t="str">
        <f t="shared" si="5"/>
        <v/>
      </c>
      <c r="F356" t="str">
        <f>'All Projects Calculations'!Y356</f>
        <v/>
      </c>
    </row>
    <row r="357" spans="1:6" x14ac:dyDescent="0.25">
      <c r="A357">
        <v>353</v>
      </c>
      <c r="B357" t="str">
        <f t="shared" si="5"/>
        <v/>
      </c>
      <c r="F357" t="str">
        <f>'All Projects Calculations'!Y357</f>
        <v/>
      </c>
    </row>
    <row r="358" spans="1:6" x14ac:dyDescent="0.25">
      <c r="A358">
        <v>354</v>
      </c>
      <c r="B358" t="str">
        <f t="shared" si="5"/>
        <v/>
      </c>
      <c r="F358" t="str">
        <f>'All Projects Calculations'!Y358</f>
        <v/>
      </c>
    </row>
    <row r="359" spans="1:6" x14ac:dyDescent="0.25">
      <c r="A359">
        <v>355</v>
      </c>
      <c r="B359" t="str">
        <f t="shared" si="5"/>
        <v/>
      </c>
      <c r="F359" t="str">
        <f>'All Projects Calculations'!Y359</f>
        <v/>
      </c>
    </row>
    <row r="360" spans="1:6" x14ac:dyDescent="0.25">
      <c r="A360">
        <v>356</v>
      </c>
      <c r="B360" t="str">
        <f t="shared" si="5"/>
        <v/>
      </c>
      <c r="F360" t="str">
        <f>'All Projects Calculations'!Y360</f>
        <v/>
      </c>
    </row>
    <row r="361" spans="1:6" x14ac:dyDescent="0.25">
      <c r="A361">
        <v>357</v>
      </c>
      <c r="B361" t="str">
        <f t="shared" si="5"/>
        <v/>
      </c>
      <c r="F361" t="str">
        <f>'All Projects Calculations'!Y361</f>
        <v/>
      </c>
    </row>
    <row r="362" spans="1:6" x14ac:dyDescent="0.25">
      <c r="A362">
        <v>358</v>
      </c>
      <c r="B362" t="str">
        <f t="shared" si="5"/>
        <v/>
      </c>
      <c r="F362" t="str">
        <f>'All Projects Calculations'!Y362</f>
        <v/>
      </c>
    </row>
    <row r="363" spans="1:6" x14ac:dyDescent="0.25">
      <c r="A363">
        <v>359</v>
      </c>
      <c r="B363" t="str">
        <f t="shared" si="5"/>
        <v/>
      </c>
      <c r="F363" t="str">
        <f>'All Projects Calculations'!Y363</f>
        <v/>
      </c>
    </row>
    <row r="364" spans="1:6" x14ac:dyDescent="0.25">
      <c r="A364">
        <v>360</v>
      </c>
      <c r="B364" t="str">
        <f t="shared" si="5"/>
        <v/>
      </c>
      <c r="F364" t="str">
        <f>'All Projects Calculations'!Y364</f>
        <v/>
      </c>
    </row>
    <row r="365" spans="1:6" x14ac:dyDescent="0.25">
      <c r="A365">
        <v>361</v>
      </c>
      <c r="B365" t="str">
        <f t="shared" si="5"/>
        <v/>
      </c>
      <c r="F365" t="str">
        <f>'All Projects Calculations'!Y365</f>
        <v/>
      </c>
    </row>
    <row r="366" spans="1:6" x14ac:dyDescent="0.25">
      <c r="A366">
        <v>362</v>
      </c>
      <c r="B366" t="str">
        <f t="shared" si="5"/>
        <v/>
      </c>
      <c r="F366" t="str">
        <f>'All Projects Calculations'!Y366</f>
        <v/>
      </c>
    </row>
    <row r="367" spans="1:6" x14ac:dyDescent="0.25">
      <c r="A367">
        <v>363</v>
      </c>
      <c r="B367" t="str">
        <f t="shared" si="5"/>
        <v/>
      </c>
      <c r="F367" t="str">
        <f>'All Projects Calculations'!Y367</f>
        <v/>
      </c>
    </row>
    <row r="368" spans="1:6" x14ac:dyDescent="0.25">
      <c r="A368">
        <v>364</v>
      </c>
      <c r="B368" t="str">
        <f t="shared" si="5"/>
        <v/>
      </c>
      <c r="F368" t="str">
        <f>'All Projects Calculations'!Y368</f>
        <v/>
      </c>
    </row>
    <row r="369" spans="1:6" x14ac:dyDescent="0.25">
      <c r="A369">
        <v>365</v>
      </c>
      <c r="B369" t="str">
        <f t="shared" si="5"/>
        <v/>
      </c>
      <c r="F369" t="str">
        <f>'All Projects Calculations'!Y369</f>
        <v/>
      </c>
    </row>
    <row r="370" spans="1:6" x14ac:dyDescent="0.25">
      <c r="A370">
        <v>366</v>
      </c>
      <c r="B370" t="str">
        <f t="shared" si="5"/>
        <v/>
      </c>
      <c r="F370" t="str">
        <f>'All Projects Calculations'!Y370</f>
        <v/>
      </c>
    </row>
    <row r="371" spans="1:6" x14ac:dyDescent="0.25">
      <c r="A371">
        <v>367</v>
      </c>
      <c r="B371" t="str">
        <f t="shared" si="5"/>
        <v/>
      </c>
      <c r="F371" t="str">
        <f>'All Projects Calculations'!Y371</f>
        <v/>
      </c>
    </row>
    <row r="372" spans="1:6" x14ac:dyDescent="0.25">
      <c r="A372">
        <v>368</v>
      </c>
      <c r="B372" t="str">
        <f t="shared" si="5"/>
        <v/>
      </c>
      <c r="F372" t="str">
        <f>'All Projects Calculations'!Y372</f>
        <v/>
      </c>
    </row>
    <row r="373" spans="1:6" x14ac:dyDescent="0.25">
      <c r="A373">
        <v>369</v>
      </c>
      <c r="B373" t="str">
        <f t="shared" si="5"/>
        <v/>
      </c>
      <c r="F373" t="str">
        <f>'All Projects Calculations'!Y373</f>
        <v/>
      </c>
    </row>
    <row r="374" spans="1:6" x14ac:dyDescent="0.25">
      <c r="A374">
        <v>370</v>
      </c>
      <c r="B374" t="str">
        <f t="shared" si="5"/>
        <v/>
      </c>
      <c r="F374" t="str">
        <f>'All Projects Calculations'!Y374</f>
        <v/>
      </c>
    </row>
    <row r="375" spans="1:6" x14ac:dyDescent="0.25">
      <c r="A375">
        <v>371</v>
      </c>
      <c r="B375" t="str">
        <f t="shared" si="5"/>
        <v/>
      </c>
      <c r="F375" t="str">
        <f>'All Projects Calculations'!Y375</f>
        <v/>
      </c>
    </row>
    <row r="376" spans="1:6" x14ac:dyDescent="0.25">
      <c r="A376">
        <v>372</v>
      </c>
      <c r="B376" t="str">
        <f t="shared" si="5"/>
        <v/>
      </c>
      <c r="F376" t="str">
        <f>'All Projects Calculations'!Y376</f>
        <v/>
      </c>
    </row>
    <row r="377" spans="1:6" x14ac:dyDescent="0.25">
      <c r="A377">
        <v>373</v>
      </c>
      <c r="B377" t="str">
        <f t="shared" si="5"/>
        <v/>
      </c>
      <c r="F377" t="str">
        <f>'All Projects Calculations'!Y377</f>
        <v/>
      </c>
    </row>
    <row r="378" spans="1:6" x14ac:dyDescent="0.25">
      <c r="A378">
        <v>374</v>
      </c>
      <c r="B378" t="str">
        <f t="shared" si="5"/>
        <v/>
      </c>
      <c r="F378" t="str">
        <f>'All Projects Calculations'!Y378</f>
        <v/>
      </c>
    </row>
    <row r="379" spans="1:6" x14ac:dyDescent="0.25">
      <c r="A379">
        <v>375</v>
      </c>
      <c r="B379" t="str">
        <f t="shared" si="5"/>
        <v/>
      </c>
      <c r="F379" t="str">
        <f>'All Projects Calculations'!Y379</f>
        <v/>
      </c>
    </row>
    <row r="380" spans="1:6" x14ac:dyDescent="0.25">
      <c r="A380">
        <v>376</v>
      </c>
      <c r="B380" t="str">
        <f t="shared" si="5"/>
        <v/>
      </c>
      <c r="F380" t="str">
        <f>'All Projects Calculations'!Y380</f>
        <v/>
      </c>
    </row>
    <row r="381" spans="1:6" x14ac:dyDescent="0.25">
      <c r="A381">
        <v>377</v>
      </c>
      <c r="B381" t="str">
        <f t="shared" si="5"/>
        <v/>
      </c>
      <c r="F381" t="str">
        <f>'All Projects Calculations'!Y381</f>
        <v/>
      </c>
    </row>
    <row r="382" spans="1:6" x14ac:dyDescent="0.25">
      <c r="A382">
        <v>378</v>
      </c>
      <c r="B382" t="str">
        <f t="shared" si="5"/>
        <v/>
      </c>
      <c r="F382" t="str">
        <f>'All Projects Calculations'!Y382</f>
        <v/>
      </c>
    </row>
    <row r="383" spans="1:6" x14ac:dyDescent="0.25">
      <c r="A383">
        <v>379</v>
      </c>
      <c r="B383" t="str">
        <f t="shared" si="5"/>
        <v/>
      </c>
      <c r="F383" t="str">
        <f>'All Projects Calculations'!Y383</f>
        <v/>
      </c>
    </row>
    <row r="384" spans="1:6" x14ac:dyDescent="0.25">
      <c r="A384">
        <v>380</v>
      </c>
      <c r="B384" t="str">
        <f t="shared" si="5"/>
        <v/>
      </c>
      <c r="F384" t="str">
        <f>'All Projects Calculations'!Y384</f>
        <v/>
      </c>
    </row>
    <row r="385" spans="1:6" x14ac:dyDescent="0.25">
      <c r="A385">
        <v>381</v>
      </c>
      <c r="B385" t="str">
        <f t="shared" si="5"/>
        <v/>
      </c>
      <c r="F385" t="str">
        <f>'All Projects Calculations'!Y385</f>
        <v/>
      </c>
    </row>
    <row r="386" spans="1:6" x14ac:dyDescent="0.25">
      <c r="A386">
        <v>382</v>
      </c>
      <c r="B386" t="str">
        <f t="shared" si="5"/>
        <v/>
      </c>
      <c r="F386" t="str">
        <f>'All Projects Calculations'!Y386</f>
        <v/>
      </c>
    </row>
    <row r="387" spans="1:6" x14ac:dyDescent="0.25">
      <c r="A387">
        <v>383</v>
      </c>
      <c r="B387" t="str">
        <f t="shared" si="5"/>
        <v/>
      </c>
      <c r="F387" t="str">
        <f>'All Projects Calculations'!Y387</f>
        <v/>
      </c>
    </row>
    <row r="388" spans="1:6" x14ac:dyDescent="0.25">
      <c r="A388">
        <v>384</v>
      </c>
      <c r="B388" t="str">
        <f t="shared" si="5"/>
        <v/>
      </c>
      <c r="F388" t="str">
        <f>'All Projects Calculations'!Y388</f>
        <v/>
      </c>
    </row>
    <row r="389" spans="1:6" x14ac:dyDescent="0.25">
      <c r="A389">
        <v>385</v>
      </c>
      <c r="B389" t="str">
        <f t="shared" si="5"/>
        <v/>
      </c>
      <c r="F389" t="str">
        <f>'All Projects Calculations'!Y389</f>
        <v/>
      </c>
    </row>
    <row r="390" spans="1:6" x14ac:dyDescent="0.25">
      <c r="A390">
        <v>386</v>
      </c>
      <c r="B390" t="str">
        <f t="shared" ref="B390:B453" si="6">IF(F390="","",A390)</f>
        <v/>
      </c>
      <c r="F390" t="str">
        <f>'All Projects Calculations'!Y390</f>
        <v/>
      </c>
    </row>
    <row r="391" spans="1:6" x14ac:dyDescent="0.25">
      <c r="A391">
        <v>387</v>
      </c>
      <c r="B391" t="str">
        <f t="shared" si="6"/>
        <v/>
      </c>
      <c r="F391" t="str">
        <f>'All Projects Calculations'!Y391</f>
        <v/>
      </c>
    </row>
    <row r="392" spans="1:6" x14ac:dyDescent="0.25">
      <c r="A392">
        <v>388</v>
      </c>
      <c r="B392" t="str">
        <f t="shared" si="6"/>
        <v/>
      </c>
      <c r="F392" t="str">
        <f>'All Projects Calculations'!Y392</f>
        <v/>
      </c>
    </row>
    <row r="393" spans="1:6" x14ac:dyDescent="0.25">
      <c r="A393">
        <v>389</v>
      </c>
      <c r="B393" t="str">
        <f t="shared" si="6"/>
        <v/>
      </c>
      <c r="F393" t="str">
        <f>'All Projects Calculations'!Y393</f>
        <v/>
      </c>
    </row>
    <row r="394" spans="1:6" x14ac:dyDescent="0.25">
      <c r="A394">
        <v>390</v>
      </c>
      <c r="B394" t="str">
        <f t="shared" si="6"/>
        <v/>
      </c>
      <c r="F394" t="str">
        <f>'All Projects Calculations'!Y394</f>
        <v/>
      </c>
    </row>
    <row r="395" spans="1:6" x14ac:dyDescent="0.25">
      <c r="A395">
        <v>391</v>
      </c>
      <c r="B395" t="str">
        <f t="shared" si="6"/>
        <v/>
      </c>
      <c r="F395" t="str">
        <f>'All Projects Calculations'!Y395</f>
        <v/>
      </c>
    </row>
    <row r="396" spans="1:6" x14ac:dyDescent="0.25">
      <c r="A396">
        <v>392</v>
      </c>
      <c r="B396" t="str">
        <f t="shared" si="6"/>
        <v/>
      </c>
      <c r="F396" t="str">
        <f>'All Projects Calculations'!Y396</f>
        <v/>
      </c>
    </row>
    <row r="397" spans="1:6" x14ac:dyDescent="0.25">
      <c r="A397">
        <v>393</v>
      </c>
      <c r="B397" t="str">
        <f t="shared" si="6"/>
        <v/>
      </c>
      <c r="F397" t="str">
        <f>'All Projects Calculations'!Y397</f>
        <v/>
      </c>
    </row>
    <row r="398" spans="1:6" x14ac:dyDescent="0.25">
      <c r="A398">
        <v>394</v>
      </c>
      <c r="B398" t="str">
        <f t="shared" si="6"/>
        <v/>
      </c>
      <c r="F398" t="str">
        <f>'All Projects Calculations'!Y398</f>
        <v/>
      </c>
    </row>
    <row r="399" spans="1:6" x14ac:dyDescent="0.25">
      <c r="A399">
        <v>395</v>
      </c>
      <c r="B399" t="str">
        <f t="shared" si="6"/>
        <v/>
      </c>
      <c r="F399" t="str">
        <f>'All Projects Calculations'!Y399</f>
        <v/>
      </c>
    </row>
    <row r="400" spans="1:6" x14ac:dyDescent="0.25">
      <c r="A400">
        <v>396</v>
      </c>
      <c r="B400" t="str">
        <f t="shared" si="6"/>
        <v/>
      </c>
      <c r="F400" t="str">
        <f>'All Projects Calculations'!Y400</f>
        <v/>
      </c>
    </row>
    <row r="401" spans="1:6" x14ac:dyDescent="0.25">
      <c r="A401">
        <v>397</v>
      </c>
      <c r="B401" t="str">
        <f t="shared" si="6"/>
        <v/>
      </c>
      <c r="F401" t="str">
        <f>'All Projects Calculations'!Y401</f>
        <v/>
      </c>
    </row>
    <row r="402" spans="1:6" x14ac:dyDescent="0.25">
      <c r="A402">
        <v>398</v>
      </c>
      <c r="B402" t="str">
        <f t="shared" si="6"/>
        <v/>
      </c>
      <c r="F402" t="str">
        <f>'All Projects Calculations'!Y402</f>
        <v/>
      </c>
    </row>
    <row r="403" spans="1:6" x14ac:dyDescent="0.25">
      <c r="A403">
        <v>399</v>
      </c>
      <c r="B403" t="str">
        <f t="shared" si="6"/>
        <v/>
      </c>
      <c r="F403" t="str">
        <f>'All Projects Calculations'!Y403</f>
        <v/>
      </c>
    </row>
    <row r="404" spans="1:6" x14ac:dyDescent="0.25">
      <c r="A404">
        <v>400</v>
      </c>
      <c r="B404" t="str">
        <f t="shared" si="6"/>
        <v/>
      </c>
      <c r="F404" t="str">
        <f>'All Projects Calculations'!Y404</f>
        <v/>
      </c>
    </row>
    <row r="405" spans="1:6" x14ac:dyDescent="0.25">
      <c r="A405">
        <v>401</v>
      </c>
      <c r="B405" t="str">
        <f t="shared" si="6"/>
        <v/>
      </c>
      <c r="F405" t="str">
        <f>'All Projects Calculations'!Y405</f>
        <v/>
      </c>
    </row>
    <row r="406" spans="1:6" x14ac:dyDescent="0.25">
      <c r="A406">
        <v>402</v>
      </c>
      <c r="B406" t="str">
        <f t="shared" si="6"/>
        <v/>
      </c>
      <c r="F406" t="str">
        <f>'All Projects Calculations'!Y406</f>
        <v/>
      </c>
    </row>
    <row r="407" spans="1:6" x14ac:dyDescent="0.25">
      <c r="A407">
        <v>403</v>
      </c>
      <c r="B407" t="str">
        <f t="shared" si="6"/>
        <v/>
      </c>
      <c r="F407" t="str">
        <f>'All Projects Calculations'!Y407</f>
        <v/>
      </c>
    </row>
    <row r="408" spans="1:6" x14ac:dyDescent="0.25">
      <c r="A408">
        <v>404</v>
      </c>
      <c r="B408" t="str">
        <f t="shared" si="6"/>
        <v/>
      </c>
      <c r="F408" t="str">
        <f>'All Projects Calculations'!Y408</f>
        <v/>
      </c>
    </row>
    <row r="409" spans="1:6" x14ac:dyDescent="0.25">
      <c r="A409">
        <v>405</v>
      </c>
      <c r="B409" t="str">
        <f t="shared" si="6"/>
        <v/>
      </c>
      <c r="F409" t="str">
        <f>'All Projects Calculations'!Y409</f>
        <v/>
      </c>
    </row>
    <row r="410" spans="1:6" x14ac:dyDescent="0.25">
      <c r="A410">
        <v>406</v>
      </c>
      <c r="B410" t="str">
        <f t="shared" si="6"/>
        <v/>
      </c>
      <c r="F410" t="str">
        <f>'All Projects Calculations'!Y410</f>
        <v/>
      </c>
    </row>
    <row r="411" spans="1:6" x14ac:dyDescent="0.25">
      <c r="A411">
        <v>407</v>
      </c>
      <c r="B411" t="str">
        <f t="shared" si="6"/>
        <v/>
      </c>
      <c r="F411" t="str">
        <f>'All Projects Calculations'!Y411</f>
        <v/>
      </c>
    </row>
    <row r="412" spans="1:6" x14ac:dyDescent="0.25">
      <c r="A412">
        <v>408</v>
      </c>
      <c r="B412" t="str">
        <f t="shared" si="6"/>
        <v/>
      </c>
      <c r="F412" t="str">
        <f>'All Projects Calculations'!Y412</f>
        <v/>
      </c>
    </row>
    <row r="413" spans="1:6" x14ac:dyDescent="0.25">
      <c r="A413">
        <v>409</v>
      </c>
      <c r="B413" t="str">
        <f t="shared" si="6"/>
        <v/>
      </c>
      <c r="F413" t="str">
        <f>'All Projects Calculations'!Y413</f>
        <v/>
      </c>
    </row>
    <row r="414" spans="1:6" x14ac:dyDescent="0.25">
      <c r="A414">
        <v>410</v>
      </c>
      <c r="B414" t="str">
        <f t="shared" si="6"/>
        <v/>
      </c>
      <c r="F414" t="str">
        <f>'All Projects Calculations'!Y414</f>
        <v/>
      </c>
    </row>
    <row r="415" spans="1:6" x14ac:dyDescent="0.25">
      <c r="A415">
        <v>411</v>
      </c>
      <c r="B415" t="str">
        <f t="shared" si="6"/>
        <v/>
      </c>
      <c r="F415" t="str">
        <f>'All Projects Calculations'!Y415</f>
        <v/>
      </c>
    </row>
    <row r="416" spans="1:6" x14ac:dyDescent="0.25">
      <c r="A416">
        <v>412</v>
      </c>
      <c r="B416" t="str">
        <f t="shared" si="6"/>
        <v/>
      </c>
      <c r="F416" t="str">
        <f>'All Projects Calculations'!Y416</f>
        <v/>
      </c>
    </row>
    <row r="417" spans="1:6" x14ac:dyDescent="0.25">
      <c r="A417">
        <v>413</v>
      </c>
      <c r="B417" t="str">
        <f t="shared" si="6"/>
        <v/>
      </c>
      <c r="F417" t="str">
        <f>'All Projects Calculations'!Y417</f>
        <v/>
      </c>
    </row>
    <row r="418" spans="1:6" x14ac:dyDescent="0.25">
      <c r="A418">
        <v>414</v>
      </c>
      <c r="B418" t="str">
        <f t="shared" si="6"/>
        <v/>
      </c>
      <c r="F418" t="str">
        <f>'All Projects Calculations'!Y418</f>
        <v/>
      </c>
    </row>
    <row r="419" spans="1:6" x14ac:dyDescent="0.25">
      <c r="A419">
        <v>415</v>
      </c>
      <c r="B419" t="str">
        <f t="shared" si="6"/>
        <v/>
      </c>
      <c r="F419" t="str">
        <f>'All Projects Calculations'!Y419</f>
        <v/>
      </c>
    </row>
    <row r="420" spans="1:6" x14ac:dyDescent="0.25">
      <c r="A420">
        <v>416</v>
      </c>
      <c r="B420" t="str">
        <f t="shared" si="6"/>
        <v/>
      </c>
      <c r="F420" t="str">
        <f>'All Projects Calculations'!Y420</f>
        <v/>
      </c>
    </row>
    <row r="421" spans="1:6" x14ac:dyDescent="0.25">
      <c r="A421">
        <v>417</v>
      </c>
      <c r="B421" t="str">
        <f t="shared" si="6"/>
        <v/>
      </c>
      <c r="F421" t="str">
        <f>'All Projects Calculations'!Y421</f>
        <v/>
      </c>
    </row>
    <row r="422" spans="1:6" x14ac:dyDescent="0.25">
      <c r="A422">
        <v>418</v>
      </c>
      <c r="B422" t="str">
        <f t="shared" si="6"/>
        <v/>
      </c>
      <c r="F422" t="str">
        <f>'All Projects Calculations'!Y422</f>
        <v/>
      </c>
    </row>
    <row r="423" spans="1:6" x14ac:dyDescent="0.25">
      <c r="A423">
        <v>419</v>
      </c>
      <c r="B423" t="str">
        <f t="shared" si="6"/>
        <v/>
      </c>
      <c r="F423" t="str">
        <f>'All Projects Calculations'!Y423</f>
        <v/>
      </c>
    </row>
    <row r="424" spans="1:6" x14ac:dyDescent="0.25">
      <c r="A424">
        <v>420</v>
      </c>
      <c r="B424" t="str">
        <f t="shared" si="6"/>
        <v/>
      </c>
      <c r="F424" t="str">
        <f>'All Projects Calculations'!Y424</f>
        <v/>
      </c>
    </row>
    <row r="425" spans="1:6" x14ac:dyDescent="0.25">
      <c r="A425">
        <v>421</v>
      </c>
      <c r="B425" t="str">
        <f t="shared" si="6"/>
        <v/>
      </c>
      <c r="F425" t="str">
        <f>'All Projects Calculations'!Y425</f>
        <v/>
      </c>
    </row>
    <row r="426" spans="1:6" x14ac:dyDescent="0.25">
      <c r="A426">
        <v>422</v>
      </c>
      <c r="B426" t="str">
        <f t="shared" si="6"/>
        <v/>
      </c>
      <c r="F426" t="str">
        <f>'All Projects Calculations'!Y426</f>
        <v/>
      </c>
    </row>
    <row r="427" spans="1:6" x14ac:dyDescent="0.25">
      <c r="A427">
        <v>423</v>
      </c>
      <c r="B427" t="str">
        <f t="shared" si="6"/>
        <v/>
      </c>
      <c r="F427" t="str">
        <f>'All Projects Calculations'!Y427</f>
        <v/>
      </c>
    </row>
    <row r="428" spans="1:6" x14ac:dyDescent="0.25">
      <c r="A428">
        <v>424</v>
      </c>
      <c r="B428" t="str">
        <f t="shared" si="6"/>
        <v/>
      </c>
      <c r="F428" t="str">
        <f>'All Projects Calculations'!Y428</f>
        <v/>
      </c>
    </row>
    <row r="429" spans="1:6" x14ac:dyDescent="0.25">
      <c r="A429">
        <v>425</v>
      </c>
      <c r="B429" t="str">
        <f t="shared" si="6"/>
        <v/>
      </c>
      <c r="F429" t="str">
        <f>'All Projects Calculations'!Y429</f>
        <v/>
      </c>
    </row>
    <row r="430" spans="1:6" x14ac:dyDescent="0.25">
      <c r="A430">
        <v>426</v>
      </c>
      <c r="B430" t="str">
        <f t="shared" si="6"/>
        <v/>
      </c>
      <c r="F430" t="str">
        <f>'All Projects Calculations'!Y430</f>
        <v/>
      </c>
    </row>
    <row r="431" spans="1:6" x14ac:dyDescent="0.25">
      <c r="A431">
        <v>427</v>
      </c>
      <c r="B431" t="str">
        <f t="shared" si="6"/>
        <v/>
      </c>
      <c r="F431" t="str">
        <f>'All Projects Calculations'!Y431</f>
        <v/>
      </c>
    </row>
    <row r="432" spans="1:6" x14ac:dyDescent="0.25">
      <c r="A432">
        <v>428</v>
      </c>
      <c r="B432" t="str">
        <f t="shared" si="6"/>
        <v/>
      </c>
      <c r="F432" t="str">
        <f>'All Projects Calculations'!Y432</f>
        <v/>
      </c>
    </row>
    <row r="433" spans="1:6" x14ac:dyDescent="0.25">
      <c r="A433">
        <v>429</v>
      </c>
      <c r="B433" t="str">
        <f t="shared" si="6"/>
        <v/>
      </c>
      <c r="F433" t="str">
        <f>'All Projects Calculations'!Y433</f>
        <v/>
      </c>
    </row>
    <row r="434" spans="1:6" x14ac:dyDescent="0.25">
      <c r="A434">
        <v>430</v>
      </c>
      <c r="B434" t="str">
        <f t="shared" si="6"/>
        <v/>
      </c>
      <c r="F434" t="str">
        <f>'All Projects Calculations'!Y434</f>
        <v/>
      </c>
    </row>
    <row r="435" spans="1:6" x14ac:dyDescent="0.25">
      <c r="A435">
        <v>431</v>
      </c>
      <c r="B435" t="str">
        <f t="shared" si="6"/>
        <v/>
      </c>
      <c r="F435" t="str">
        <f>'All Projects Calculations'!Y435</f>
        <v/>
      </c>
    </row>
    <row r="436" spans="1:6" x14ac:dyDescent="0.25">
      <c r="A436">
        <v>432</v>
      </c>
      <c r="B436" t="str">
        <f t="shared" si="6"/>
        <v/>
      </c>
      <c r="F436" t="str">
        <f>'All Projects Calculations'!Y436</f>
        <v/>
      </c>
    </row>
    <row r="437" spans="1:6" x14ac:dyDescent="0.25">
      <c r="A437">
        <v>433</v>
      </c>
      <c r="B437" t="str">
        <f t="shared" si="6"/>
        <v/>
      </c>
      <c r="F437" t="str">
        <f>'All Projects Calculations'!Y437</f>
        <v/>
      </c>
    </row>
    <row r="438" spans="1:6" x14ac:dyDescent="0.25">
      <c r="A438">
        <v>434</v>
      </c>
      <c r="B438" t="str">
        <f t="shared" si="6"/>
        <v/>
      </c>
      <c r="F438" t="str">
        <f>'All Projects Calculations'!Y438</f>
        <v/>
      </c>
    </row>
    <row r="439" spans="1:6" x14ac:dyDescent="0.25">
      <c r="A439">
        <v>435</v>
      </c>
      <c r="B439" t="str">
        <f t="shared" si="6"/>
        <v/>
      </c>
      <c r="F439" t="str">
        <f>'All Projects Calculations'!Y439</f>
        <v/>
      </c>
    </row>
    <row r="440" spans="1:6" x14ac:dyDescent="0.25">
      <c r="A440">
        <v>436</v>
      </c>
      <c r="B440" t="str">
        <f t="shared" si="6"/>
        <v/>
      </c>
      <c r="F440" t="str">
        <f>'All Projects Calculations'!Y440</f>
        <v/>
      </c>
    </row>
    <row r="441" spans="1:6" x14ac:dyDescent="0.25">
      <c r="A441">
        <v>437</v>
      </c>
      <c r="B441" t="str">
        <f t="shared" si="6"/>
        <v/>
      </c>
      <c r="F441" t="str">
        <f>'All Projects Calculations'!Y441</f>
        <v/>
      </c>
    </row>
    <row r="442" spans="1:6" x14ac:dyDescent="0.25">
      <c r="A442">
        <v>438</v>
      </c>
      <c r="B442" t="str">
        <f t="shared" si="6"/>
        <v/>
      </c>
      <c r="F442" t="str">
        <f>'All Projects Calculations'!Y442</f>
        <v/>
      </c>
    </row>
    <row r="443" spans="1:6" x14ac:dyDescent="0.25">
      <c r="A443">
        <v>439</v>
      </c>
      <c r="B443" t="str">
        <f t="shared" si="6"/>
        <v/>
      </c>
      <c r="F443" t="str">
        <f>'All Projects Calculations'!Y443</f>
        <v/>
      </c>
    </row>
    <row r="444" spans="1:6" x14ac:dyDescent="0.25">
      <c r="A444">
        <v>440</v>
      </c>
      <c r="B444" t="str">
        <f t="shared" si="6"/>
        <v/>
      </c>
      <c r="F444" t="str">
        <f>'All Projects Calculations'!Y444</f>
        <v/>
      </c>
    </row>
    <row r="445" spans="1:6" x14ac:dyDescent="0.25">
      <c r="A445">
        <v>441</v>
      </c>
      <c r="B445" t="str">
        <f t="shared" si="6"/>
        <v/>
      </c>
      <c r="F445" t="str">
        <f>'All Projects Calculations'!Y445</f>
        <v/>
      </c>
    </row>
    <row r="446" spans="1:6" x14ac:dyDescent="0.25">
      <c r="A446">
        <v>442</v>
      </c>
      <c r="B446" t="str">
        <f t="shared" si="6"/>
        <v/>
      </c>
      <c r="F446" t="str">
        <f>'All Projects Calculations'!Y446</f>
        <v/>
      </c>
    </row>
    <row r="447" spans="1:6" x14ac:dyDescent="0.25">
      <c r="A447">
        <v>443</v>
      </c>
      <c r="B447" t="str">
        <f t="shared" si="6"/>
        <v/>
      </c>
      <c r="F447" t="str">
        <f>'All Projects Calculations'!Y447</f>
        <v/>
      </c>
    </row>
    <row r="448" spans="1:6" x14ac:dyDescent="0.25">
      <c r="A448">
        <v>444</v>
      </c>
      <c r="B448" t="str">
        <f t="shared" si="6"/>
        <v/>
      </c>
      <c r="F448" t="str">
        <f>'All Projects Calculations'!Y448</f>
        <v/>
      </c>
    </row>
    <row r="449" spans="1:6" x14ac:dyDescent="0.25">
      <c r="A449">
        <v>445</v>
      </c>
      <c r="B449" t="str">
        <f t="shared" si="6"/>
        <v/>
      </c>
      <c r="F449" t="str">
        <f>'All Projects Calculations'!Y449</f>
        <v/>
      </c>
    </row>
    <row r="450" spans="1:6" x14ac:dyDescent="0.25">
      <c r="A450">
        <v>446</v>
      </c>
      <c r="B450" t="str">
        <f t="shared" si="6"/>
        <v/>
      </c>
      <c r="F450" t="str">
        <f>'All Projects Calculations'!Y450</f>
        <v/>
      </c>
    </row>
    <row r="451" spans="1:6" x14ac:dyDescent="0.25">
      <c r="A451">
        <v>447</v>
      </c>
      <c r="B451" t="str">
        <f t="shared" si="6"/>
        <v/>
      </c>
      <c r="F451" t="str">
        <f>'All Projects Calculations'!Y451</f>
        <v/>
      </c>
    </row>
    <row r="452" spans="1:6" x14ac:dyDescent="0.25">
      <c r="A452">
        <v>448</v>
      </c>
      <c r="B452" t="str">
        <f t="shared" si="6"/>
        <v/>
      </c>
      <c r="F452" t="str">
        <f>'All Projects Calculations'!Y452</f>
        <v/>
      </c>
    </row>
    <row r="453" spans="1:6" x14ac:dyDescent="0.25">
      <c r="A453">
        <v>449</v>
      </c>
      <c r="B453" t="str">
        <f t="shared" si="6"/>
        <v/>
      </c>
      <c r="F453" t="str">
        <f>'All Projects Calculations'!Y453</f>
        <v/>
      </c>
    </row>
    <row r="454" spans="1:6" x14ac:dyDescent="0.25">
      <c r="A454">
        <v>450</v>
      </c>
      <c r="B454" t="str">
        <f t="shared" ref="B454:B517" si="7">IF(F454="","",A454)</f>
        <v/>
      </c>
      <c r="F454" t="str">
        <f>'All Projects Calculations'!Y454</f>
        <v/>
      </c>
    </row>
    <row r="455" spans="1:6" x14ac:dyDescent="0.25">
      <c r="A455">
        <v>451</v>
      </c>
      <c r="B455" t="str">
        <f t="shared" si="7"/>
        <v/>
      </c>
      <c r="F455" t="str">
        <f>'All Projects Calculations'!Y455</f>
        <v/>
      </c>
    </row>
    <row r="456" spans="1:6" x14ac:dyDescent="0.25">
      <c r="A456">
        <v>452</v>
      </c>
      <c r="B456" t="str">
        <f t="shared" si="7"/>
        <v/>
      </c>
      <c r="F456" t="str">
        <f>'All Projects Calculations'!Y456</f>
        <v/>
      </c>
    </row>
    <row r="457" spans="1:6" x14ac:dyDescent="0.25">
      <c r="A457">
        <v>453</v>
      </c>
      <c r="B457" t="str">
        <f t="shared" si="7"/>
        <v/>
      </c>
      <c r="F457" t="str">
        <f>'All Projects Calculations'!Y457</f>
        <v/>
      </c>
    </row>
    <row r="458" spans="1:6" x14ac:dyDescent="0.25">
      <c r="A458">
        <v>454</v>
      </c>
      <c r="B458" t="str">
        <f t="shared" si="7"/>
        <v/>
      </c>
      <c r="F458" t="str">
        <f>'All Projects Calculations'!Y458</f>
        <v/>
      </c>
    </row>
    <row r="459" spans="1:6" x14ac:dyDescent="0.25">
      <c r="A459">
        <v>455</v>
      </c>
      <c r="B459" t="str">
        <f t="shared" si="7"/>
        <v/>
      </c>
      <c r="F459" t="str">
        <f>'All Projects Calculations'!Y459</f>
        <v/>
      </c>
    </row>
    <row r="460" spans="1:6" x14ac:dyDescent="0.25">
      <c r="A460">
        <v>456</v>
      </c>
      <c r="B460" t="str">
        <f t="shared" si="7"/>
        <v/>
      </c>
      <c r="F460" t="str">
        <f>'All Projects Calculations'!Y460</f>
        <v/>
      </c>
    </row>
    <row r="461" spans="1:6" x14ac:dyDescent="0.25">
      <c r="A461">
        <v>457</v>
      </c>
      <c r="B461" t="str">
        <f t="shared" si="7"/>
        <v/>
      </c>
      <c r="F461" t="str">
        <f>'All Projects Calculations'!Y461</f>
        <v/>
      </c>
    </row>
    <row r="462" spans="1:6" x14ac:dyDescent="0.25">
      <c r="A462">
        <v>458</v>
      </c>
      <c r="B462" t="str">
        <f t="shared" si="7"/>
        <v/>
      </c>
      <c r="F462" t="str">
        <f>'All Projects Calculations'!Y462</f>
        <v/>
      </c>
    </row>
    <row r="463" spans="1:6" x14ac:dyDescent="0.25">
      <c r="A463">
        <v>459</v>
      </c>
      <c r="B463" t="str">
        <f t="shared" si="7"/>
        <v/>
      </c>
      <c r="F463" t="str">
        <f>'All Projects Calculations'!Y463</f>
        <v/>
      </c>
    </row>
    <row r="464" spans="1:6" x14ac:dyDescent="0.25">
      <c r="A464">
        <v>460</v>
      </c>
      <c r="B464" t="str">
        <f t="shared" si="7"/>
        <v/>
      </c>
      <c r="F464" t="str">
        <f>'All Projects Calculations'!Y464</f>
        <v/>
      </c>
    </row>
    <row r="465" spans="1:6" x14ac:dyDescent="0.25">
      <c r="A465">
        <v>461</v>
      </c>
      <c r="B465" t="str">
        <f t="shared" si="7"/>
        <v/>
      </c>
      <c r="F465" t="str">
        <f>'All Projects Calculations'!Y465</f>
        <v/>
      </c>
    </row>
    <row r="466" spans="1:6" x14ac:dyDescent="0.25">
      <c r="A466">
        <v>462</v>
      </c>
      <c r="B466" t="str">
        <f t="shared" si="7"/>
        <v/>
      </c>
      <c r="F466" t="str">
        <f>'All Projects Calculations'!Y466</f>
        <v/>
      </c>
    </row>
    <row r="467" spans="1:6" x14ac:dyDescent="0.25">
      <c r="A467">
        <v>463</v>
      </c>
      <c r="B467" t="str">
        <f t="shared" si="7"/>
        <v/>
      </c>
      <c r="F467" t="str">
        <f>'All Projects Calculations'!Y467</f>
        <v/>
      </c>
    </row>
    <row r="468" spans="1:6" x14ac:dyDescent="0.25">
      <c r="A468">
        <v>464</v>
      </c>
      <c r="B468" t="str">
        <f t="shared" si="7"/>
        <v/>
      </c>
      <c r="F468" t="str">
        <f>'All Projects Calculations'!Y468</f>
        <v/>
      </c>
    </row>
    <row r="469" spans="1:6" x14ac:dyDescent="0.25">
      <c r="A469">
        <v>465</v>
      </c>
      <c r="B469" t="str">
        <f t="shared" si="7"/>
        <v/>
      </c>
      <c r="F469" t="str">
        <f>'All Projects Calculations'!Y469</f>
        <v/>
      </c>
    </row>
    <row r="470" spans="1:6" x14ac:dyDescent="0.25">
      <c r="A470">
        <v>466</v>
      </c>
      <c r="B470" t="str">
        <f t="shared" si="7"/>
        <v/>
      </c>
      <c r="F470" t="str">
        <f>'All Projects Calculations'!Y470</f>
        <v/>
      </c>
    </row>
    <row r="471" spans="1:6" x14ac:dyDescent="0.25">
      <c r="A471">
        <v>467</v>
      </c>
      <c r="B471" t="str">
        <f t="shared" si="7"/>
        <v/>
      </c>
      <c r="F471" t="str">
        <f>'All Projects Calculations'!Y471</f>
        <v/>
      </c>
    </row>
    <row r="472" spans="1:6" x14ac:dyDescent="0.25">
      <c r="A472">
        <v>468</v>
      </c>
      <c r="B472" t="str">
        <f t="shared" si="7"/>
        <v/>
      </c>
      <c r="F472" t="str">
        <f>'All Projects Calculations'!Y472</f>
        <v/>
      </c>
    </row>
    <row r="473" spans="1:6" x14ac:dyDescent="0.25">
      <c r="A473">
        <v>469</v>
      </c>
      <c r="B473" t="str">
        <f t="shared" si="7"/>
        <v/>
      </c>
      <c r="F473" t="str">
        <f>'All Projects Calculations'!Y473</f>
        <v/>
      </c>
    </row>
    <row r="474" spans="1:6" x14ac:dyDescent="0.25">
      <c r="A474">
        <v>470</v>
      </c>
      <c r="B474" t="str">
        <f t="shared" si="7"/>
        <v/>
      </c>
      <c r="F474" t="str">
        <f>'All Projects Calculations'!Y474</f>
        <v/>
      </c>
    </row>
    <row r="475" spans="1:6" x14ac:dyDescent="0.25">
      <c r="A475">
        <v>471</v>
      </c>
      <c r="B475" t="str">
        <f t="shared" si="7"/>
        <v/>
      </c>
      <c r="F475" t="str">
        <f>'All Projects Calculations'!Y475</f>
        <v/>
      </c>
    </row>
    <row r="476" spans="1:6" x14ac:dyDescent="0.25">
      <c r="A476">
        <v>472</v>
      </c>
      <c r="B476" t="str">
        <f t="shared" si="7"/>
        <v/>
      </c>
      <c r="F476" t="str">
        <f>'All Projects Calculations'!Y476</f>
        <v/>
      </c>
    </row>
    <row r="477" spans="1:6" x14ac:dyDescent="0.25">
      <c r="A477">
        <v>473</v>
      </c>
      <c r="B477" t="str">
        <f t="shared" si="7"/>
        <v/>
      </c>
      <c r="F477" t="str">
        <f>'All Projects Calculations'!Y477</f>
        <v/>
      </c>
    </row>
    <row r="478" spans="1:6" x14ac:dyDescent="0.25">
      <c r="A478">
        <v>474</v>
      </c>
      <c r="B478" t="str">
        <f t="shared" si="7"/>
        <v/>
      </c>
      <c r="F478" t="str">
        <f>'All Projects Calculations'!Y478</f>
        <v/>
      </c>
    </row>
    <row r="479" spans="1:6" x14ac:dyDescent="0.25">
      <c r="A479">
        <v>475</v>
      </c>
      <c r="B479" t="str">
        <f t="shared" si="7"/>
        <v/>
      </c>
      <c r="F479" t="str">
        <f>'All Projects Calculations'!Y479</f>
        <v/>
      </c>
    </row>
    <row r="480" spans="1:6" x14ac:dyDescent="0.25">
      <c r="A480">
        <v>476</v>
      </c>
      <c r="B480" t="str">
        <f t="shared" si="7"/>
        <v/>
      </c>
      <c r="F480" t="str">
        <f>'All Projects Calculations'!Y480</f>
        <v/>
      </c>
    </row>
    <row r="481" spans="1:6" x14ac:dyDescent="0.25">
      <c r="A481">
        <v>477</v>
      </c>
      <c r="B481" t="str">
        <f t="shared" si="7"/>
        <v/>
      </c>
      <c r="F481" t="str">
        <f>'All Projects Calculations'!Y481</f>
        <v/>
      </c>
    </row>
    <row r="482" spans="1:6" x14ac:dyDescent="0.25">
      <c r="A482">
        <v>478</v>
      </c>
      <c r="B482" t="str">
        <f t="shared" si="7"/>
        <v/>
      </c>
      <c r="F482" t="str">
        <f>'All Projects Calculations'!Y482</f>
        <v/>
      </c>
    </row>
    <row r="483" spans="1:6" x14ac:dyDescent="0.25">
      <c r="A483">
        <v>479</v>
      </c>
      <c r="B483" t="str">
        <f t="shared" si="7"/>
        <v/>
      </c>
      <c r="F483" t="str">
        <f>'All Projects Calculations'!Y483</f>
        <v/>
      </c>
    </row>
    <row r="484" spans="1:6" x14ac:dyDescent="0.25">
      <c r="A484">
        <v>480</v>
      </c>
      <c r="B484" t="str">
        <f t="shared" si="7"/>
        <v/>
      </c>
      <c r="F484" t="str">
        <f>'All Projects Calculations'!Y484</f>
        <v/>
      </c>
    </row>
    <row r="485" spans="1:6" x14ac:dyDescent="0.25">
      <c r="A485">
        <v>481</v>
      </c>
      <c r="B485" t="str">
        <f t="shared" si="7"/>
        <v/>
      </c>
      <c r="F485" t="str">
        <f>'All Projects Calculations'!Y485</f>
        <v/>
      </c>
    </row>
    <row r="486" spans="1:6" x14ac:dyDescent="0.25">
      <c r="A486">
        <v>482</v>
      </c>
      <c r="B486" t="str">
        <f t="shared" si="7"/>
        <v/>
      </c>
      <c r="F486" t="str">
        <f>'All Projects Calculations'!Y486</f>
        <v/>
      </c>
    </row>
    <row r="487" spans="1:6" x14ac:dyDescent="0.25">
      <c r="A487">
        <v>483</v>
      </c>
      <c r="B487" t="str">
        <f t="shared" si="7"/>
        <v/>
      </c>
      <c r="F487" t="str">
        <f>'All Projects Calculations'!Y487</f>
        <v/>
      </c>
    </row>
    <row r="488" spans="1:6" x14ac:dyDescent="0.25">
      <c r="A488">
        <v>484</v>
      </c>
      <c r="B488" t="str">
        <f t="shared" si="7"/>
        <v/>
      </c>
      <c r="F488" t="str">
        <f>'All Projects Calculations'!Y488</f>
        <v/>
      </c>
    </row>
    <row r="489" spans="1:6" x14ac:dyDescent="0.25">
      <c r="A489">
        <v>485</v>
      </c>
      <c r="B489" t="str">
        <f t="shared" si="7"/>
        <v/>
      </c>
      <c r="F489" t="str">
        <f>'All Projects Calculations'!Y489</f>
        <v/>
      </c>
    </row>
    <row r="490" spans="1:6" x14ac:dyDescent="0.25">
      <c r="A490">
        <v>486</v>
      </c>
      <c r="B490" t="str">
        <f t="shared" si="7"/>
        <v/>
      </c>
      <c r="F490" t="str">
        <f>'All Projects Calculations'!Y490</f>
        <v/>
      </c>
    </row>
    <row r="491" spans="1:6" x14ac:dyDescent="0.25">
      <c r="A491">
        <v>487</v>
      </c>
      <c r="B491" t="str">
        <f t="shared" si="7"/>
        <v/>
      </c>
      <c r="F491" t="str">
        <f>'All Projects Calculations'!Y491</f>
        <v/>
      </c>
    </row>
    <row r="492" spans="1:6" x14ac:dyDescent="0.25">
      <c r="A492">
        <v>488</v>
      </c>
      <c r="B492" t="str">
        <f t="shared" si="7"/>
        <v/>
      </c>
      <c r="F492" t="str">
        <f>'All Projects Calculations'!Y492</f>
        <v/>
      </c>
    </row>
    <row r="493" spans="1:6" x14ac:dyDescent="0.25">
      <c r="A493">
        <v>489</v>
      </c>
      <c r="B493" t="str">
        <f t="shared" si="7"/>
        <v/>
      </c>
      <c r="F493" t="str">
        <f>'All Projects Calculations'!Y493</f>
        <v/>
      </c>
    </row>
    <row r="494" spans="1:6" x14ac:dyDescent="0.25">
      <c r="A494">
        <v>490</v>
      </c>
      <c r="B494" t="str">
        <f t="shared" si="7"/>
        <v/>
      </c>
      <c r="F494" t="str">
        <f>'All Projects Calculations'!Y494</f>
        <v/>
      </c>
    </row>
    <row r="495" spans="1:6" x14ac:dyDescent="0.25">
      <c r="A495">
        <v>491</v>
      </c>
      <c r="B495" t="str">
        <f t="shared" si="7"/>
        <v/>
      </c>
      <c r="F495" t="str">
        <f>'All Projects Calculations'!Y495</f>
        <v/>
      </c>
    </row>
    <row r="496" spans="1:6" x14ac:dyDescent="0.25">
      <c r="A496">
        <v>492</v>
      </c>
      <c r="B496" t="str">
        <f t="shared" si="7"/>
        <v/>
      </c>
      <c r="F496" t="str">
        <f>'All Projects Calculations'!Y496</f>
        <v/>
      </c>
    </row>
    <row r="497" spans="1:6" x14ac:dyDescent="0.25">
      <c r="A497">
        <v>493</v>
      </c>
      <c r="B497" t="str">
        <f t="shared" si="7"/>
        <v/>
      </c>
      <c r="F497" t="str">
        <f>'All Projects Calculations'!Y497</f>
        <v/>
      </c>
    </row>
    <row r="498" spans="1:6" x14ac:dyDescent="0.25">
      <c r="A498">
        <v>494</v>
      </c>
      <c r="B498" t="str">
        <f t="shared" si="7"/>
        <v/>
      </c>
      <c r="F498" t="str">
        <f>'All Projects Calculations'!Y498</f>
        <v/>
      </c>
    </row>
    <row r="499" spans="1:6" x14ac:dyDescent="0.25">
      <c r="A499">
        <v>495</v>
      </c>
      <c r="B499" t="str">
        <f t="shared" si="7"/>
        <v/>
      </c>
      <c r="F499" t="str">
        <f>'All Projects Calculations'!Y499</f>
        <v/>
      </c>
    </row>
    <row r="500" spans="1:6" x14ac:dyDescent="0.25">
      <c r="A500">
        <v>496</v>
      </c>
      <c r="B500" t="str">
        <f t="shared" si="7"/>
        <v/>
      </c>
      <c r="F500" t="str">
        <f>'All Projects Calculations'!Y500</f>
        <v/>
      </c>
    </row>
    <row r="501" spans="1:6" x14ac:dyDescent="0.25">
      <c r="A501">
        <v>497</v>
      </c>
      <c r="B501" t="str">
        <f t="shared" si="7"/>
        <v/>
      </c>
      <c r="F501" t="str">
        <f>'All Projects Calculations'!Y501</f>
        <v/>
      </c>
    </row>
    <row r="502" spans="1:6" x14ac:dyDescent="0.25">
      <c r="A502">
        <v>498</v>
      </c>
      <c r="B502" t="str">
        <f t="shared" si="7"/>
        <v/>
      </c>
      <c r="F502" t="str">
        <f>'All Projects Calculations'!Y502</f>
        <v/>
      </c>
    </row>
    <row r="503" spans="1:6" x14ac:dyDescent="0.25">
      <c r="A503">
        <v>499</v>
      </c>
      <c r="B503" t="str">
        <f t="shared" si="7"/>
        <v/>
      </c>
      <c r="F503" t="str">
        <f>'All Projects Calculations'!Y503</f>
        <v/>
      </c>
    </row>
    <row r="504" spans="1:6" x14ac:dyDescent="0.25">
      <c r="A504">
        <v>500</v>
      </c>
      <c r="B504" t="str">
        <f t="shared" si="7"/>
        <v/>
      </c>
      <c r="F504" t="str">
        <f>'All Projects Calculations'!Y504</f>
        <v/>
      </c>
    </row>
    <row r="505" spans="1:6" x14ac:dyDescent="0.25">
      <c r="A505">
        <v>501</v>
      </c>
      <c r="B505" t="str">
        <f t="shared" si="7"/>
        <v/>
      </c>
      <c r="F505" t="str">
        <f>'All Projects Calculations'!Y505</f>
        <v/>
      </c>
    </row>
    <row r="506" spans="1:6" x14ac:dyDescent="0.25">
      <c r="A506">
        <v>502</v>
      </c>
      <c r="B506" t="str">
        <f t="shared" si="7"/>
        <v/>
      </c>
      <c r="F506" t="str">
        <f>'All Projects Calculations'!Y506</f>
        <v/>
      </c>
    </row>
    <row r="507" spans="1:6" x14ac:dyDescent="0.25">
      <c r="A507">
        <v>503</v>
      </c>
      <c r="B507" t="str">
        <f t="shared" si="7"/>
        <v/>
      </c>
      <c r="F507" t="str">
        <f>'All Projects Calculations'!Y507</f>
        <v/>
      </c>
    </row>
    <row r="508" spans="1:6" x14ac:dyDescent="0.25">
      <c r="A508">
        <v>504</v>
      </c>
      <c r="B508" t="str">
        <f t="shared" si="7"/>
        <v/>
      </c>
      <c r="F508" t="str">
        <f>'All Projects Calculations'!Y508</f>
        <v/>
      </c>
    </row>
    <row r="509" spans="1:6" x14ac:dyDescent="0.25">
      <c r="A509">
        <v>505</v>
      </c>
      <c r="B509" t="str">
        <f t="shared" si="7"/>
        <v/>
      </c>
      <c r="F509" t="str">
        <f>'All Projects Calculations'!Y509</f>
        <v/>
      </c>
    </row>
    <row r="510" spans="1:6" x14ac:dyDescent="0.25">
      <c r="A510">
        <v>506</v>
      </c>
      <c r="B510" t="str">
        <f t="shared" si="7"/>
        <v/>
      </c>
      <c r="F510" t="str">
        <f>'All Projects Calculations'!Y510</f>
        <v/>
      </c>
    </row>
    <row r="511" spans="1:6" x14ac:dyDescent="0.25">
      <c r="A511">
        <v>507</v>
      </c>
      <c r="B511" t="str">
        <f t="shared" si="7"/>
        <v/>
      </c>
      <c r="F511" t="str">
        <f>'All Projects Calculations'!Y511</f>
        <v/>
      </c>
    </row>
    <row r="512" spans="1:6" x14ac:dyDescent="0.25">
      <c r="A512">
        <v>508</v>
      </c>
      <c r="B512" t="str">
        <f t="shared" si="7"/>
        <v/>
      </c>
      <c r="F512" t="str">
        <f>'All Projects Calculations'!Y512</f>
        <v/>
      </c>
    </row>
    <row r="513" spans="1:6" x14ac:dyDescent="0.25">
      <c r="A513">
        <v>509</v>
      </c>
      <c r="B513" t="str">
        <f t="shared" si="7"/>
        <v/>
      </c>
      <c r="F513" t="str">
        <f>'All Projects Calculations'!Y513</f>
        <v/>
      </c>
    </row>
    <row r="514" spans="1:6" x14ac:dyDescent="0.25">
      <c r="A514">
        <v>510</v>
      </c>
      <c r="B514" t="str">
        <f t="shared" si="7"/>
        <v/>
      </c>
      <c r="F514" t="str">
        <f>'All Projects Calculations'!Y514</f>
        <v/>
      </c>
    </row>
    <row r="515" spans="1:6" x14ac:dyDescent="0.25">
      <c r="A515">
        <v>511</v>
      </c>
      <c r="B515" t="str">
        <f t="shared" si="7"/>
        <v/>
      </c>
      <c r="F515" t="str">
        <f>'All Projects Calculations'!Y515</f>
        <v/>
      </c>
    </row>
    <row r="516" spans="1:6" x14ac:dyDescent="0.25">
      <c r="A516">
        <v>512</v>
      </c>
      <c r="B516" t="str">
        <f t="shared" si="7"/>
        <v/>
      </c>
      <c r="F516" t="str">
        <f>'All Projects Calculations'!Y516</f>
        <v/>
      </c>
    </row>
    <row r="517" spans="1:6" x14ac:dyDescent="0.25">
      <c r="A517">
        <v>513</v>
      </c>
      <c r="B517" t="str">
        <f t="shared" si="7"/>
        <v/>
      </c>
      <c r="F517" t="str">
        <f>'All Projects Calculations'!Y517</f>
        <v/>
      </c>
    </row>
    <row r="518" spans="1:6" x14ac:dyDescent="0.25">
      <c r="A518">
        <v>514</v>
      </c>
      <c r="B518" t="str">
        <f t="shared" ref="B518:B581" si="8">IF(F518="","",A518)</f>
        <v/>
      </c>
      <c r="F518" t="str">
        <f>'All Projects Calculations'!Y518</f>
        <v/>
      </c>
    </row>
    <row r="519" spans="1:6" x14ac:dyDescent="0.25">
      <c r="A519">
        <v>515</v>
      </c>
      <c r="B519" t="str">
        <f t="shared" si="8"/>
        <v/>
      </c>
      <c r="F519" t="str">
        <f>'All Projects Calculations'!Y519</f>
        <v/>
      </c>
    </row>
    <row r="520" spans="1:6" x14ac:dyDescent="0.25">
      <c r="A520">
        <v>516</v>
      </c>
      <c r="B520" t="str">
        <f t="shared" si="8"/>
        <v/>
      </c>
      <c r="F520" t="str">
        <f>'All Projects Calculations'!Y520</f>
        <v/>
      </c>
    </row>
    <row r="521" spans="1:6" x14ac:dyDescent="0.25">
      <c r="A521">
        <v>517</v>
      </c>
      <c r="B521" t="str">
        <f t="shared" si="8"/>
        <v/>
      </c>
      <c r="F521" t="str">
        <f>'All Projects Calculations'!Y521</f>
        <v/>
      </c>
    </row>
    <row r="522" spans="1:6" x14ac:dyDescent="0.25">
      <c r="A522">
        <v>518</v>
      </c>
      <c r="B522" t="str">
        <f t="shared" si="8"/>
        <v/>
      </c>
      <c r="F522" t="str">
        <f>'All Projects Calculations'!Y522</f>
        <v/>
      </c>
    </row>
    <row r="523" spans="1:6" x14ac:dyDescent="0.25">
      <c r="A523">
        <v>519</v>
      </c>
      <c r="B523" t="str">
        <f t="shared" si="8"/>
        <v/>
      </c>
      <c r="F523" t="str">
        <f>'All Projects Calculations'!Y523</f>
        <v/>
      </c>
    </row>
    <row r="524" spans="1:6" x14ac:dyDescent="0.25">
      <c r="A524">
        <v>520</v>
      </c>
      <c r="B524" t="str">
        <f t="shared" si="8"/>
        <v/>
      </c>
      <c r="F524" t="str">
        <f>'All Projects Calculations'!Y524</f>
        <v/>
      </c>
    </row>
    <row r="525" spans="1:6" x14ac:dyDescent="0.25">
      <c r="A525">
        <v>521</v>
      </c>
      <c r="B525" t="str">
        <f t="shared" si="8"/>
        <v/>
      </c>
      <c r="F525" t="str">
        <f>'All Projects Calculations'!Y525</f>
        <v/>
      </c>
    </row>
    <row r="526" spans="1:6" x14ac:dyDescent="0.25">
      <c r="A526">
        <v>522</v>
      </c>
      <c r="B526" t="str">
        <f t="shared" si="8"/>
        <v/>
      </c>
      <c r="F526" t="str">
        <f>'All Projects Calculations'!Y526</f>
        <v/>
      </c>
    </row>
    <row r="527" spans="1:6" x14ac:dyDescent="0.25">
      <c r="A527">
        <v>523</v>
      </c>
      <c r="B527" t="str">
        <f t="shared" si="8"/>
        <v/>
      </c>
      <c r="F527" t="str">
        <f>'All Projects Calculations'!Y527</f>
        <v/>
      </c>
    </row>
    <row r="528" spans="1:6" x14ac:dyDescent="0.25">
      <c r="A528">
        <v>524</v>
      </c>
      <c r="B528" t="str">
        <f t="shared" si="8"/>
        <v/>
      </c>
      <c r="F528" t="str">
        <f>'All Projects Calculations'!Y528</f>
        <v/>
      </c>
    </row>
    <row r="529" spans="1:6" x14ac:dyDescent="0.25">
      <c r="A529">
        <v>525</v>
      </c>
      <c r="B529" t="str">
        <f t="shared" si="8"/>
        <v/>
      </c>
      <c r="F529" t="str">
        <f>'All Projects Calculations'!Y529</f>
        <v/>
      </c>
    </row>
    <row r="530" spans="1:6" x14ac:dyDescent="0.25">
      <c r="A530">
        <v>526</v>
      </c>
      <c r="B530" t="str">
        <f t="shared" si="8"/>
        <v/>
      </c>
      <c r="F530" t="str">
        <f>'All Projects Calculations'!Y530</f>
        <v/>
      </c>
    </row>
    <row r="531" spans="1:6" x14ac:dyDescent="0.25">
      <c r="A531">
        <v>527</v>
      </c>
      <c r="B531" t="str">
        <f t="shared" si="8"/>
        <v/>
      </c>
      <c r="F531" t="str">
        <f>'All Projects Calculations'!Y531</f>
        <v/>
      </c>
    </row>
    <row r="532" spans="1:6" x14ac:dyDescent="0.25">
      <c r="A532">
        <v>528</v>
      </c>
      <c r="B532" t="str">
        <f t="shared" si="8"/>
        <v/>
      </c>
      <c r="F532" t="str">
        <f>'All Projects Calculations'!Y532</f>
        <v/>
      </c>
    </row>
    <row r="533" spans="1:6" x14ac:dyDescent="0.25">
      <c r="A533">
        <v>529</v>
      </c>
      <c r="B533" t="str">
        <f t="shared" si="8"/>
        <v/>
      </c>
      <c r="F533" t="str">
        <f>'All Projects Calculations'!Y533</f>
        <v/>
      </c>
    </row>
    <row r="534" spans="1:6" x14ac:dyDescent="0.25">
      <c r="A534">
        <v>530</v>
      </c>
      <c r="B534" t="str">
        <f t="shared" si="8"/>
        <v/>
      </c>
      <c r="F534" t="str">
        <f>'All Projects Calculations'!Y534</f>
        <v/>
      </c>
    </row>
    <row r="535" spans="1:6" x14ac:dyDescent="0.25">
      <c r="A535">
        <v>531</v>
      </c>
      <c r="B535" t="str">
        <f t="shared" si="8"/>
        <v/>
      </c>
      <c r="F535" t="str">
        <f>'All Projects Calculations'!Y535</f>
        <v/>
      </c>
    </row>
    <row r="536" spans="1:6" x14ac:dyDescent="0.25">
      <c r="A536">
        <v>532</v>
      </c>
      <c r="B536" t="str">
        <f t="shared" si="8"/>
        <v/>
      </c>
      <c r="F536" t="str">
        <f>'All Projects Calculations'!Y536</f>
        <v/>
      </c>
    </row>
    <row r="537" spans="1:6" x14ac:dyDescent="0.25">
      <c r="A537">
        <v>533</v>
      </c>
      <c r="B537" t="str">
        <f t="shared" si="8"/>
        <v/>
      </c>
      <c r="F537" t="str">
        <f>'All Projects Calculations'!Y537</f>
        <v/>
      </c>
    </row>
    <row r="538" spans="1:6" x14ac:dyDescent="0.25">
      <c r="A538">
        <v>534</v>
      </c>
      <c r="B538" t="str">
        <f t="shared" si="8"/>
        <v/>
      </c>
      <c r="F538" t="str">
        <f>'All Projects Calculations'!Y538</f>
        <v/>
      </c>
    </row>
    <row r="539" spans="1:6" x14ac:dyDescent="0.25">
      <c r="A539">
        <v>535</v>
      </c>
      <c r="B539" t="str">
        <f t="shared" si="8"/>
        <v/>
      </c>
      <c r="F539" t="str">
        <f>'All Projects Calculations'!Y539</f>
        <v/>
      </c>
    </row>
    <row r="540" spans="1:6" x14ac:dyDescent="0.25">
      <c r="A540">
        <v>536</v>
      </c>
      <c r="B540" t="str">
        <f t="shared" si="8"/>
        <v/>
      </c>
      <c r="F540" t="str">
        <f>'All Projects Calculations'!Y540</f>
        <v/>
      </c>
    </row>
    <row r="541" spans="1:6" x14ac:dyDescent="0.25">
      <c r="A541">
        <v>537</v>
      </c>
      <c r="B541" t="str">
        <f t="shared" si="8"/>
        <v/>
      </c>
      <c r="F541" t="str">
        <f>'All Projects Calculations'!Y541</f>
        <v/>
      </c>
    </row>
    <row r="542" spans="1:6" x14ac:dyDescent="0.25">
      <c r="A542">
        <v>538</v>
      </c>
      <c r="B542" t="str">
        <f t="shared" si="8"/>
        <v/>
      </c>
      <c r="F542" t="str">
        <f>'All Projects Calculations'!Y542</f>
        <v/>
      </c>
    </row>
    <row r="543" spans="1:6" x14ac:dyDescent="0.25">
      <c r="A543">
        <v>539</v>
      </c>
      <c r="B543" t="str">
        <f t="shared" si="8"/>
        <v/>
      </c>
      <c r="F543" t="str">
        <f>'All Projects Calculations'!Y543</f>
        <v/>
      </c>
    </row>
    <row r="544" spans="1:6" x14ac:dyDescent="0.25">
      <c r="A544">
        <v>540</v>
      </c>
      <c r="B544" t="str">
        <f t="shared" si="8"/>
        <v/>
      </c>
      <c r="F544" t="str">
        <f>'All Projects Calculations'!Y544</f>
        <v/>
      </c>
    </row>
    <row r="545" spans="1:6" x14ac:dyDescent="0.25">
      <c r="A545">
        <v>541</v>
      </c>
      <c r="B545" t="str">
        <f t="shared" si="8"/>
        <v/>
      </c>
      <c r="F545" t="str">
        <f>'All Projects Calculations'!Y545</f>
        <v/>
      </c>
    </row>
    <row r="546" spans="1:6" x14ac:dyDescent="0.25">
      <c r="A546">
        <v>542</v>
      </c>
      <c r="B546" t="str">
        <f t="shared" si="8"/>
        <v/>
      </c>
      <c r="F546" t="str">
        <f>'All Projects Calculations'!Y546</f>
        <v/>
      </c>
    </row>
    <row r="547" spans="1:6" x14ac:dyDescent="0.25">
      <c r="A547">
        <v>543</v>
      </c>
      <c r="B547" t="str">
        <f t="shared" si="8"/>
        <v/>
      </c>
      <c r="F547" t="str">
        <f>'All Projects Calculations'!Y547</f>
        <v/>
      </c>
    </row>
    <row r="548" spans="1:6" x14ac:dyDescent="0.25">
      <c r="A548">
        <v>544</v>
      </c>
      <c r="B548" t="str">
        <f t="shared" si="8"/>
        <v/>
      </c>
      <c r="F548" t="str">
        <f>'All Projects Calculations'!Y548</f>
        <v/>
      </c>
    </row>
    <row r="549" spans="1:6" x14ac:dyDescent="0.25">
      <c r="A549">
        <v>545</v>
      </c>
      <c r="B549" t="str">
        <f t="shared" si="8"/>
        <v/>
      </c>
      <c r="F549" t="str">
        <f>'All Projects Calculations'!Y549</f>
        <v/>
      </c>
    </row>
    <row r="550" spans="1:6" x14ac:dyDescent="0.25">
      <c r="A550">
        <v>546</v>
      </c>
      <c r="B550" t="str">
        <f t="shared" si="8"/>
        <v/>
      </c>
      <c r="F550" t="str">
        <f>'All Projects Calculations'!Y550</f>
        <v/>
      </c>
    </row>
    <row r="551" spans="1:6" x14ac:dyDescent="0.25">
      <c r="A551">
        <v>547</v>
      </c>
      <c r="B551" t="str">
        <f t="shared" si="8"/>
        <v/>
      </c>
      <c r="F551" t="str">
        <f>'All Projects Calculations'!Y551</f>
        <v/>
      </c>
    </row>
    <row r="552" spans="1:6" x14ac:dyDescent="0.25">
      <c r="A552">
        <v>548</v>
      </c>
      <c r="B552" t="str">
        <f t="shared" si="8"/>
        <v/>
      </c>
      <c r="F552" t="str">
        <f>'All Projects Calculations'!Y552</f>
        <v/>
      </c>
    </row>
    <row r="553" spans="1:6" x14ac:dyDescent="0.25">
      <c r="A553">
        <v>549</v>
      </c>
      <c r="B553" t="str">
        <f t="shared" si="8"/>
        <v/>
      </c>
      <c r="F553" t="str">
        <f>'All Projects Calculations'!Y553</f>
        <v/>
      </c>
    </row>
    <row r="554" spans="1:6" x14ac:dyDescent="0.25">
      <c r="A554">
        <v>550</v>
      </c>
      <c r="B554" t="str">
        <f t="shared" si="8"/>
        <v/>
      </c>
      <c r="F554" t="str">
        <f>'All Projects Calculations'!Y554</f>
        <v/>
      </c>
    </row>
    <row r="555" spans="1:6" x14ac:dyDescent="0.25">
      <c r="A555">
        <v>551</v>
      </c>
      <c r="B555" t="str">
        <f t="shared" si="8"/>
        <v/>
      </c>
      <c r="F555" t="str">
        <f>'All Projects Calculations'!Y555</f>
        <v/>
      </c>
    </row>
    <row r="556" spans="1:6" x14ac:dyDescent="0.25">
      <c r="A556">
        <v>552</v>
      </c>
      <c r="B556" t="str">
        <f t="shared" si="8"/>
        <v/>
      </c>
      <c r="F556" t="str">
        <f>'All Projects Calculations'!Y556</f>
        <v/>
      </c>
    </row>
    <row r="557" spans="1:6" x14ac:dyDescent="0.25">
      <c r="A557">
        <v>553</v>
      </c>
      <c r="B557" t="str">
        <f t="shared" si="8"/>
        <v/>
      </c>
      <c r="F557" t="str">
        <f>'All Projects Calculations'!Y557</f>
        <v/>
      </c>
    </row>
    <row r="558" spans="1:6" x14ac:dyDescent="0.25">
      <c r="A558">
        <v>554</v>
      </c>
      <c r="B558" t="str">
        <f t="shared" si="8"/>
        <v/>
      </c>
      <c r="F558" t="str">
        <f>'All Projects Calculations'!Y558</f>
        <v/>
      </c>
    </row>
    <row r="559" spans="1:6" x14ac:dyDescent="0.25">
      <c r="A559">
        <v>555</v>
      </c>
      <c r="B559" t="str">
        <f t="shared" si="8"/>
        <v/>
      </c>
      <c r="F559" t="str">
        <f>'All Projects Calculations'!Y559</f>
        <v/>
      </c>
    </row>
    <row r="560" spans="1:6" x14ac:dyDescent="0.25">
      <c r="A560">
        <v>556</v>
      </c>
      <c r="B560" t="str">
        <f t="shared" si="8"/>
        <v/>
      </c>
      <c r="F560" t="str">
        <f>'All Projects Calculations'!Y560</f>
        <v/>
      </c>
    </row>
    <row r="561" spans="1:6" x14ac:dyDescent="0.25">
      <c r="A561">
        <v>557</v>
      </c>
      <c r="B561" t="str">
        <f t="shared" si="8"/>
        <v/>
      </c>
      <c r="F561" t="str">
        <f>'All Projects Calculations'!Y561</f>
        <v/>
      </c>
    </row>
    <row r="562" spans="1:6" x14ac:dyDescent="0.25">
      <c r="A562">
        <v>558</v>
      </c>
      <c r="B562" t="str">
        <f t="shared" si="8"/>
        <v/>
      </c>
      <c r="F562" t="str">
        <f>'All Projects Calculations'!Y562</f>
        <v/>
      </c>
    </row>
    <row r="563" spans="1:6" x14ac:dyDescent="0.25">
      <c r="A563">
        <v>559</v>
      </c>
      <c r="B563" t="str">
        <f t="shared" si="8"/>
        <v/>
      </c>
      <c r="F563" t="str">
        <f>'All Projects Calculations'!Y563</f>
        <v/>
      </c>
    </row>
    <row r="564" spans="1:6" x14ac:dyDescent="0.25">
      <c r="A564">
        <v>560</v>
      </c>
      <c r="B564" t="str">
        <f t="shared" si="8"/>
        <v/>
      </c>
      <c r="F564" t="str">
        <f>'All Projects Calculations'!Y564</f>
        <v/>
      </c>
    </row>
    <row r="565" spans="1:6" x14ac:dyDescent="0.25">
      <c r="A565">
        <v>561</v>
      </c>
      <c r="B565" t="str">
        <f t="shared" si="8"/>
        <v/>
      </c>
      <c r="F565" t="str">
        <f>'All Projects Calculations'!Y565</f>
        <v/>
      </c>
    </row>
    <row r="566" spans="1:6" x14ac:dyDescent="0.25">
      <c r="A566">
        <v>562</v>
      </c>
      <c r="B566" t="str">
        <f t="shared" si="8"/>
        <v/>
      </c>
      <c r="F566" t="str">
        <f>'All Projects Calculations'!Y566</f>
        <v/>
      </c>
    </row>
    <row r="567" spans="1:6" x14ac:dyDescent="0.25">
      <c r="A567">
        <v>563</v>
      </c>
      <c r="B567" t="str">
        <f t="shared" si="8"/>
        <v/>
      </c>
      <c r="F567" t="str">
        <f>'All Projects Calculations'!Y567</f>
        <v/>
      </c>
    </row>
    <row r="568" spans="1:6" x14ac:dyDescent="0.25">
      <c r="A568">
        <v>564</v>
      </c>
      <c r="B568" t="str">
        <f t="shared" si="8"/>
        <v/>
      </c>
      <c r="F568" t="str">
        <f>'All Projects Calculations'!Y568</f>
        <v/>
      </c>
    </row>
    <row r="569" spans="1:6" x14ac:dyDescent="0.25">
      <c r="A569">
        <v>565</v>
      </c>
      <c r="B569" t="str">
        <f t="shared" si="8"/>
        <v/>
      </c>
      <c r="F569" t="str">
        <f>'All Projects Calculations'!Y569</f>
        <v/>
      </c>
    </row>
    <row r="570" spans="1:6" x14ac:dyDescent="0.25">
      <c r="A570">
        <v>566</v>
      </c>
      <c r="B570" t="str">
        <f t="shared" si="8"/>
        <v/>
      </c>
      <c r="F570" t="str">
        <f>'All Projects Calculations'!Y570</f>
        <v/>
      </c>
    </row>
    <row r="571" spans="1:6" x14ac:dyDescent="0.25">
      <c r="A571">
        <v>567</v>
      </c>
      <c r="B571" t="str">
        <f t="shared" si="8"/>
        <v/>
      </c>
      <c r="F571" t="str">
        <f>'All Projects Calculations'!Y571</f>
        <v/>
      </c>
    </row>
    <row r="572" spans="1:6" x14ac:dyDescent="0.25">
      <c r="A572">
        <v>568</v>
      </c>
      <c r="B572" t="str">
        <f t="shared" si="8"/>
        <v/>
      </c>
      <c r="F572" t="str">
        <f>'All Projects Calculations'!Y572</f>
        <v/>
      </c>
    </row>
    <row r="573" spans="1:6" x14ac:dyDescent="0.25">
      <c r="A573">
        <v>569</v>
      </c>
      <c r="B573" t="str">
        <f t="shared" si="8"/>
        <v/>
      </c>
      <c r="F573" t="str">
        <f>'All Projects Calculations'!Y573</f>
        <v/>
      </c>
    </row>
    <row r="574" spans="1:6" x14ac:dyDescent="0.25">
      <c r="A574">
        <v>570</v>
      </c>
      <c r="B574" t="str">
        <f t="shared" si="8"/>
        <v/>
      </c>
      <c r="F574" t="str">
        <f>'All Projects Calculations'!Y574</f>
        <v/>
      </c>
    </row>
    <row r="575" spans="1:6" x14ac:dyDescent="0.25">
      <c r="A575">
        <v>571</v>
      </c>
      <c r="B575" t="str">
        <f t="shared" si="8"/>
        <v/>
      </c>
      <c r="F575" t="str">
        <f>'All Projects Calculations'!Y575</f>
        <v/>
      </c>
    </row>
    <row r="576" spans="1:6" x14ac:dyDescent="0.25">
      <c r="A576">
        <v>572</v>
      </c>
      <c r="B576" t="str">
        <f t="shared" si="8"/>
        <v/>
      </c>
      <c r="F576" t="str">
        <f>'All Projects Calculations'!Y576</f>
        <v/>
      </c>
    </row>
    <row r="577" spans="1:6" x14ac:dyDescent="0.25">
      <c r="A577">
        <v>573</v>
      </c>
      <c r="B577" t="str">
        <f t="shared" si="8"/>
        <v/>
      </c>
      <c r="F577" t="str">
        <f>'All Projects Calculations'!Y577</f>
        <v/>
      </c>
    </row>
    <row r="578" spans="1:6" x14ac:dyDescent="0.25">
      <c r="A578">
        <v>574</v>
      </c>
      <c r="B578" t="str">
        <f t="shared" si="8"/>
        <v/>
      </c>
      <c r="F578" t="str">
        <f>'All Projects Calculations'!Y578</f>
        <v/>
      </c>
    </row>
    <row r="579" spans="1:6" x14ac:dyDescent="0.25">
      <c r="A579">
        <v>575</v>
      </c>
      <c r="B579" t="str">
        <f t="shared" si="8"/>
        <v/>
      </c>
      <c r="F579" t="str">
        <f>'All Projects Calculations'!Y579</f>
        <v/>
      </c>
    </row>
    <row r="580" spans="1:6" x14ac:dyDescent="0.25">
      <c r="A580">
        <v>576</v>
      </c>
      <c r="B580" t="str">
        <f t="shared" si="8"/>
        <v/>
      </c>
      <c r="F580" t="str">
        <f>'All Projects Calculations'!Y580</f>
        <v/>
      </c>
    </row>
    <row r="581" spans="1:6" x14ac:dyDescent="0.25">
      <c r="A581">
        <v>577</v>
      </c>
      <c r="B581" t="str">
        <f t="shared" si="8"/>
        <v/>
      </c>
      <c r="F581" t="str">
        <f>'All Projects Calculations'!Y581</f>
        <v/>
      </c>
    </row>
    <row r="582" spans="1:6" x14ac:dyDescent="0.25">
      <c r="A582">
        <v>578</v>
      </c>
      <c r="B582" t="str">
        <f t="shared" ref="B582:B645" si="9">IF(F582="","",A582)</f>
        <v/>
      </c>
      <c r="F582" t="str">
        <f>'All Projects Calculations'!Y582</f>
        <v/>
      </c>
    </row>
    <row r="583" spans="1:6" x14ac:dyDescent="0.25">
      <c r="A583">
        <v>579</v>
      </c>
      <c r="B583" t="str">
        <f t="shared" si="9"/>
        <v/>
      </c>
      <c r="F583" t="str">
        <f>'All Projects Calculations'!Y583</f>
        <v/>
      </c>
    </row>
    <row r="584" spans="1:6" x14ac:dyDescent="0.25">
      <c r="A584">
        <v>580</v>
      </c>
      <c r="B584" t="str">
        <f t="shared" si="9"/>
        <v/>
      </c>
      <c r="F584" t="str">
        <f>'All Projects Calculations'!Y584</f>
        <v/>
      </c>
    </row>
    <row r="585" spans="1:6" x14ac:dyDescent="0.25">
      <c r="A585">
        <v>581</v>
      </c>
      <c r="B585" t="str">
        <f t="shared" si="9"/>
        <v/>
      </c>
      <c r="F585" t="str">
        <f>'All Projects Calculations'!Y585</f>
        <v/>
      </c>
    </row>
    <row r="586" spans="1:6" x14ac:dyDescent="0.25">
      <c r="A586">
        <v>582</v>
      </c>
      <c r="B586" t="str">
        <f t="shared" si="9"/>
        <v/>
      </c>
      <c r="F586" t="str">
        <f>'All Projects Calculations'!Y586</f>
        <v/>
      </c>
    </row>
    <row r="587" spans="1:6" x14ac:dyDescent="0.25">
      <c r="A587">
        <v>583</v>
      </c>
      <c r="B587" t="str">
        <f t="shared" si="9"/>
        <v/>
      </c>
      <c r="F587" t="str">
        <f>'All Projects Calculations'!Y587</f>
        <v/>
      </c>
    </row>
    <row r="588" spans="1:6" x14ac:dyDescent="0.25">
      <c r="A588">
        <v>584</v>
      </c>
      <c r="B588" t="str">
        <f t="shared" si="9"/>
        <v/>
      </c>
      <c r="F588" t="str">
        <f>'All Projects Calculations'!Y588</f>
        <v/>
      </c>
    </row>
    <row r="589" spans="1:6" x14ac:dyDescent="0.25">
      <c r="A589">
        <v>585</v>
      </c>
      <c r="B589" t="str">
        <f t="shared" si="9"/>
        <v/>
      </c>
      <c r="F589" t="str">
        <f>'All Projects Calculations'!Y589</f>
        <v/>
      </c>
    </row>
    <row r="590" spans="1:6" x14ac:dyDescent="0.25">
      <c r="A590">
        <v>586</v>
      </c>
      <c r="B590" t="str">
        <f t="shared" si="9"/>
        <v/>
      </c>
      <c r="F590" t="str">
        <f>'All Projects Calculations'!Y590</f>
        <v/>
      </c>
    </row>
    <row r="591" spans="1:6" x14ac:dyDescent="0.25">
      <c r="A591">
        <v>587</v>
      </c>
      <c r="B591" t="str">
        <f t="shared" si="9"/>
        <v/>
      </c>
      <c r="F591" t="str">
        <f>'All Projects Calculations'!Y591</f>
        <v/>
      </c>
    </row>
    <row r="592" spans="1:6" x14ac:dyDescent="0.25">
      <c r="A592">
        <v>588</v>
      </c>
      <c r="B592" t="str">
        <f t="shared" si="9"/>
        <v/>
      </c>
      <c r="F592" t="str">
        <f>'All Projects Calculations'!Y592</f>
        <v/>
      </c>
    </row>
    <row r="593" spans="1:6" x14ac:dyDescent="0.25">
      <c r="A593">
        <v>589</v>
      </c>
      <c r="B593" t="str">
        <f t="shared" si="9"/>
        <v/>
      </c>
      <c r="F593" t="str">
        <f>'All Projects Calculations'!Y593</f>
        <v/>
      </c>
    </row>
    <row r="594" spans="1:6" x14ac:dyDescent="0.25">
      <c r="A594">
        <v>590</v>
      </c>
      <c r="B594" t="str">
        <f t="shared" si="9"/>
        <v/>
      </c>
      <c r="F594" t="str">
        <f>'All Projects Calculations'!Y594</f>
        <v/>
      </c>
    </row>
    <row r="595" spans="1:6" x14ac:dyDescent="0.25">
      <c r="A595">
        <v>591</v>
      </c>
      <c r="B595" t="str">
        <f t="shared" si="9"/>
        <v/>
      </c>
      <c r="F595" t="str">
        <f>'All Projects Calculations'!Y595</f>
        <v/>
      </c>
    </row>
    <row r="596" spans="1:6" x14ac:dyDescent="0.25">
      <c r="A596">
        <v>592</v>
      </c>
      <c r="B596" t="str">
        <f t="shared" si="9"/>
        <v/>
      </c>
      <c r="F596" t="str">
        <f>'All Projects Calculations'!Y596</f>
        <v/>
      </c>
    </row>
    <row r="597" spans="1:6" x14ac:dyDescent="0.25">
      <c r="A597">
        <v>593</v>
      </c>
      <c r="B597" t="str">
        <f t="shared" si="9"/>
        <v/>
      </c>
      <c r="F597" t="str">
        <f>'All Projects Calculations'!Y597</f>
        <v/>
      </c>
    </row>
    <row r="598" spans="1:6" x14ac:dyDescent="0.25">
      <c r="A598">
        <v>594</v>
      </c>
      <c r="B598" t="str">
        <f t="shared" si="9"/>
        <v/>
      </c>
      <c r="F598" t="str">
        <f>'All Projects Calculations'!Y598</f>
        <v/>
      </c>
    </row>
    <row r="599" spans="1:6" x14ac:dyDescent="0.25">
      <c r="A599">
        <v>595</v>
      </c>
      <c r="B599" t="str">
        <f t="shared" si="9"/>
        <v/>
      </c>
      <c r="F599" t="str">
        <f>'All Projects Calculations'!Y599</f>
        <v/>
      </c>
    </row>
    <row r="600" spans="1:6" x14ac:dyDescent="0.25">
      <c r="A600">
        <v>596</v>
      </c>
      <c r="B600" t="str">
        <f t="shared" si="9"/>
        <v/>
      </c>
      <c r="F600" t="str">
        <f>'All Projects Calculations'!Y600</f>
        <v/>
      </c>
    </row>
    <row r="601" spans="1:6" x14ac:dyDescent="0.25">
      <c r="A601">
        <v>597</v>
      </c>
      <c r="B601" t="str">
        <f t="shared" si="9"/>
        <v/>
      </c>
      <c r="F601" t="str">
        <f>'All Projects Calculations'!Y601</f>
        <v/>
      </c>
    </row>
    <row r="602" spans="1:6" x14ac:dyDescent="0.25">
      <c r="A602">
        <v>598</v>
      </c>
      <c r="B602" t="str">
        <f t="shared" si="9"/>
        <v/>
      </c>
      <c r="F602" t="str">
        <f>'All Projects Calculations'!Y602</f>
        <v/>
      </c>
    </row>
    <row r="603" spans="1:6" x14ac:dyDescent="0.25">
      <c r="A603">
        <v>599</v>
      </c>
      <c r="B603" t="str">
        <f t="shared" si="9"/>
        <v/>
      </c>
      <c r="F603" t="str">
        <f>'All Projects Calculations'!Y603</f>
        <v/>
      </c>
    </row>
    <row r="604" spans="1:6" x14ac:dyDescent="0.25">
      <c r="A604">
        <v>600</v>
      </c>
      <c r="B604" t="str">
        <f t="shared" si="9"/>
        <v/>
      </c>
      <c r="F604" t="str">
        <f>'All Projects Calculations'!Y604</f>
        <v/>
      </c>
    </row>
    <row r="605" spans="1:6" x14ac:dyDescent="0.25">
      <c r="A605">
        <v>601</v>
      </c>
      <c r="B605" t="str">
        <f t="shared" si="9"/>
        <v/>
      </c>
      <c r="F605" t="str">
        <f>'All Projects Calculations'!Y605</f>
        <v/>
      </c>
    </row>
    <row r="606" spans="1:6" x14ac:dyDescent="0.25">
      <c r="A606">
        <v>602</v>
      </c>
      <c r="B606" t="str">
        <f t="shared" si="9"/>
        <v/>
      </c>
      <c r="F606" t="str">
        <f>'All Projects Calculations'!Y606</f>
        <v/>
      </c>
    </row>
    <row r="607" spans="1:6" x14ac:dyDescent="0.25">
      <c r="A607">
        <v>603</v>
      </c>
      <c r="B607" t="str">
        <f t="shared" si="9"/>
        <v/>
      </c>
      <c r="F607" t="str">
        <f>'All Projects Calculations'!Y607</f>
        <v/>
      </c>
    </row>
    <row r="608" spans="1:6" x14ac:dyDescent="0.25">
      <c r="A608">
        <v>604</v>
      </c>
      <c r="B608" t="str">
        <f t="shared" si="9"/>
        <v/>
      </c>
      <c r="F608" t="str">
        <f>'All Projects Calculations'!Y608</f>
        <v/>
      </c>
    </row>
    <row r="609" spans="1:6" x14ac:dyDescent="0.25">
      <c r="A609">
        <v>605</v>
      </c>
      <c r="B609" t="str">
        <f t="shared" si="9"/>
        <v/>
      </c>
      <c r="F609" t="str">
        <f>'All Projects Calculations'!Y609</f>
        <v/>
      </c>
    </row>
    <row r="610" spans="1:6" x14ac:dyDescent="0.25">
      <c r="A610">
        <v>606</v>
      </c>
      <c r="B610" t="str">
        <f t="shared" si="9"/>
        <v/>
      </c>
      <c r="F610" t="str">
        <f>'All Projects Calculations'!Y610</f>
        <v/>
      </c>
    </row>
    <row r="611" spans="1:6" x14ac:dyDescent="0.25">
      <c r="A611">
        <v>607</v>
      </c>
      <c r="B611" t="str">
        <f t="shared" si="9"/>
        <v/>
      </c>
      <c r="F611" t="str">
        <f>'All Projects Calculations'!Y611</f>
        <v/>
      </c>
    </row>
    <row r="612" spans="1:6" x14ac:dyDescent="0.25">
      <c r="A612">
        <v>608</v>
      </c>
      <c r="B612" t="str">
        <f t="shared" si="9"/>
        <v/>
      </c>
      <c r="F612" t="str">
        <f>'All Projects Calculations'!Y612</f>
        <v/>
      </c>
    </row>
    <row r="613" spans="1:6" x14ac:dyDescent="0.25">
      <c r="A613">
        <v>609</v>
      </c>
      <c r="B613" t="str">
        <f t="shared" si="9"/>
        <v/>
      </c>
      <c r="F613" t="str">
        <f>'All Projects Calculations'!Y613</f>
        <v/>
      </c>
    </row>
    <row r="614" spans="1:6" x14ac:dyDescent="0.25">
      <c r="A614">
        <v>610</v>
      </c>
      <c r="B614" t="str">
        <f t="shared" si="9"/>
        <v/>
      </c>
      <c r="F614" t="str">
        <f>'All Projects Calculations'!Y614</f>
        <v/>
      </c>
    </row>
    <row r="615" spans="1:6" x14ac:dyDescent="0.25">
      <c r="A615">
        <v>611</v>
      </c>
      <c r="B615" t="str">
        <f t="shared" si="9"/>
        <v/>
      </c>
      <c r="F615" t="str">
        <f>'All Projects Calculations'!Y615</f>
        <v/>
      </c>
    </row>
    <row r="616" spans="1:6" x14ac:dyDescent="0.25">
      <c r="A616">
        <v>612</v>
      </c>
      <c r="B616" t="str">
        <f t="shared" si="9"/>
        <v/>
      </c>
      <c r="F616" t="str">
        <f>'All Projects Calculations'!Y616</f>
        <v/>
      </c>
    </row>
    <row r="617" spans="1:6" x14ac:dyDescent="0.25">
      <c r="A617">
        <v>613</v>
      </c>
      <c r="B617" t="str">
        <f t="shared" si="9"/>
        <v/>
      </c>
      <c r="F617" t="str">
        <f>'All Projects Calculations'!Y617</f>
        <v/>
      </c>
    </row>
    <row r="618" spans="1:6" x14ac:dyDescent="0.25">
      <c r="A618">
        <v>614</v>
      </c>
      <c r="B618" t="str">
        <f t="shared" si="9"/>
        <v/>
      </c>
      <c r="F618" t="str">
        <f>'All Projects Calculations'!Y618</f>
        <v/>
      </c>
    </row>
    <row r="619" spans="1:6" x14ac:dyDescent="0.25">
      <c r="A619">
        <v>615</v>
      </c>
      <c r="B619" t="str">
        <f t="shared" si="9"/>
        <v/>
      </c>
      <c r="F619" t="str">
        <f>'All Projects Calculations'!Y619</f>
        <v/>
      </c>
    </row>
    <row r="620" spans="1:6" x14ac:dyDescent="0.25">
      <c r="A620">
        <v>616</v>
      </c>
      <c r="B620" t="str">
        <f t="shared" si="9"/>
        <v/>
      </c>
      <c r="F620" t="str">
        <f>'All Projects Calculations'!Y620</f>
        <v/>
      </c>
    </row>
    <row r="621" spans="1:6" x14ac:dyDescent="0.25">
      <c r="A621">
        <v>617</v>
      </c>
      <c r="B621" t="str">
        <f t="shared" si="9"/>
        <v/>
      </c>
      <c r="F621" t="str">
        <f>'All Projects Calculations'!Y621</f>
        <v/>
      </c>
    </row>
    <row r="622" spans="1:6" x14ac:dyDescent="0.25">
      <c r="A622">
        <v>618</v>
      </c>
      <c r="B622" t="str">
        <f t="shared" si="9"/>
        <v/>
      </c>
      <c r="F622" t="str">
        <f>'All Projects Calculations'!Y622</f>
        <v/>
      </c>
    </row>
    <row r="623" spans="1:6" x14ac:dyDescent="0.25">
      <c r="A623">
        <v>619</v>
      </c>
      <c r="B623" t="str">
        <f t="shared" si="9"/>
        <v/>
      </c>
      <c r="F623" t="str">
        <f>'All Projects Calculations'!Y623</f>
        <v/>
      </c>
    </row>
    <row r="624" spans="1:6" x14ac:dyDescent="0.25">
      <c r="A624">
        <v>620</v>
      </c>
      <c r="B624" t="str">
        <f t="shared" si="9"/>
        <v/>
      </c>
      <c r="F624" t="str">
        <f>'All Projects Calculations'!Y624</f>
        <v/>
      </c>
    </row>
    <row r="625" spans="1:6" x14ac:dyDescent="0.25">
      <c r="A625">
        <v>621</v>
      </c>
      <c r="B625" t="str">
        <f t="shared" si="9"/>
        <v/>
      </c>
      <c r="F625" t="str">
        <f>'All Projects Calculations'!Y625</f>
        <v/>
      </c>
    </row>
    <row r="626" spans="1:6" x14ac:dyDescent="0.25">
      <c r="A626">
        <v>622</v>
      </c>
      <c r="B626" t="str">
        <f t="shared" si="9"/>
        <v/>
      </c>
      <c r="F626" t="str">
        <f>'All Projects Calculations'!Y626</f>
        <v/>
      </c>
    </row>
    <row r="627" spans="1:6" x14ac:dyDescent="0.25">
      <c r="A627">
        <v>623</v>
      </c>
      <c r="B627" t="str">
        <f t="shared" si="9"/>
        <v/>
      </c>
      <c r="F627" t="str">
        <f>'All Projects Calculations'!Y627</f>
        <v/>
      </c>
    </row>
    <row r="628" spans="1:6" x14ac:dyDescent="0.25">
      <c r="A628">
        <v>624</v>
      </c>
      <c r="B628" t="str">
        <f t="shared" si="9"/>
        <v/>
      </c>
      <c r="F628" t="str">
        <f>'All Projects Calculations'!Y628</f>
        <v/>
      </c>
    </row>
    <row r="629" spans="1:6" x14ac:dyDescent="0.25">
      <c r="A629">
        <v>625</v>
      </c>
      <c r="B629" t="str">
        <f t="shared" si="9"/>
        <v/>
      </c>
      <c r="F629" t="str">
        <f>'All Projects Calculations'!Y629</f>
        <v/>
      </c>
    </row>
    <row r="630" spans="1:6" x14ac:dyDescent="0.25">
      <c r="A630">
        <v>626</v>
      </c>
      <c r="B630" t="str">
        <f t="shared" si="9"/>
        <v/>
      </c>
      <c r="F630" t="str">
        <f>'All Projects Calculations'!Y630</f>
        <v/>
      </c>
    </row>
    <row r="631" spans="1:6" x14ac:dyDescent="0.25">
      <c r="A631">
        <v>627</v>
      </c>
      <c r="B631" t="str">
        <f t="shared" si="9"/>
        <v/>
      </c>
      <c r="F631" t="str">
        <f>'All Projects Calculations'!Y631</f>
        <v/>
      </c>
    </row>
    <row r="632" spans="1:6" x14ac:dyDescent="0.25">
      <c r="A632">
        <v>628</v>
      </c>
      <c r="B632" t="str">
        <f t="shared" si="9"/>
        <v/>
      </c>
      <c r="F632" t="str">
        <f>'All Projects Calculations'!Y632</f>
        <v/>
      </c>
    </row>
    <row r="633" spans="1:6" x14ac:dyDescent="0.25">
      <c r="A633">
        <v>629</v>
      </c>
      <c r="B633" t="str">
        <f t="shared" si="9"/>
        <v/>
      </c>
      <c r="F633" t="str">
        <f>'All Projects Calculations'!Y633</f>
        <v/>
      </c>
    </row>
    <row r="634" spans="1:6" x14ac:dyDescent="0.25">
      <c r="A634">
        <v>630</v>
      </c>
      <c r="B634" t="str">
        <f t="shared" si="9"/>
        <v/>
      </c>
      <c r="F634" t="str">
        <f>'All Projects Calculations'!Y634</f>
        <v/>
      </c>
    </row>
    <row r="635" spans="1:6" x14ac:dyDescent="0.25">
      <c r="A635">
        <v>631</v>
      </c>
      <c r="B635" t="str">
        <f t="shared" si="9"/>
        <v/>
      </c>
      <c r="F635" t="str">
        <f>'All Projects Calculations'!Y635</f>
        <v/>
      </c>
    </row>
    <row r="636" spans="1:6" x14ac:dyDescent="0.25">
      <c r="A636">
        <v>632</v>
      </c>
      <c r="B636" t="str">
        <f t="shared" si="9"/>
        <v/>
      </c>
      <c r="F636" t="str">
        <f>'All Projects Calculations'!Y636</f>
        <v/>
      </c>
    </row>
    <row r="637" spans="1:6" x14ac:dyDescent="0.25">
      <c r="A637">
        <v>633</v>
      </c>
      <c r="B637" t="str">
        <f t="shared" si="9"/>
        <v/>
      </c>
      <c r="F637" t="str">
        <f>'All Projects Calculations'!Y637</f>
        <v/>
      </c>
    </row>
    <row r="638" spans="1:6" x14ac:dyDescent="0.25">
      <c r="A638">
        <v>634</v>
      </c>
      <c r="B638" t="str">
        <f t="shared" si="9"/>
        <v/>
      </c>
      <c r="F638" t="str">
        <f>'All Projects Calculations'!Y638</f>
        <v/>
      </c>
    </row>
    <row r="639" spans="1:6" x14ac:dyDescent="0.25">
      <c r="A639">
        <v>635</v>
      </c>
      <c r="B639" t="str">
        <f t="shared" si="9"/>
        <v/>
      </c>
      <c r="F639" t="str">
        <f>'All Projects Calculations'!Y639</f>
        <v/>
      </c>
    </row>
    <row r="640" spans="1:6" x14ac:dyDescent="0.25">
      <c r="A640">
        <v>636</v>
      </c>
      <c r="B640" t="str">
        <f t="shared" si="9"/>
        <v/>
      </c>
      <c r="F640" t="str">
        <f>'All Projects Calculations'!Y640</f>
        <v/>
      </c>
    </row>
    <row r="641" spans="1:6" x14ac:dyDescent="0.25">
      <c r="A641">
        <v>637</v>
      </c>
      <c r="B641" t="str">
        <f t="shared" si="9"/>
        <v/>
      </c>
      <c r="F641" t="str">
        <f>'All Projects Calculations'!Y641</f>
        <v/>
      </c>
    </row>
    <row r="642" spans="1:6" x14ac:dyDescent="0.25">
      <c r="A642">
        <v>638</v>
      </c>
      <c r="B642" t="str">
        <f t="shared" si="9"/>
        <v/>
      </c>
      <c r="F642" t="str">
        <f>'All Projects Calculations'!Y642</f>
        <v/>
      </c>
    </row>
    <row r="643" spans="1:6" x14ac:dyDescent="0.25">
      <c r="A643">
        <v>639</v>
      </c>
      <c r="B643" t="str">
        <f t="shared" si="9"/>
        <v/>
      </c>
      <c r="F643" t="str">
        <f>'All Projects Calculations'!Y643</f>
        <v/>
      </c>
    </row>
    <row r="644" spans="1:6" x14ac:dyDescent="0.25">
      <c r="A644">
        <v>640</v>
      </c>
      <c r="B644" t="str">
        <f t="shared" si="9"/>
        <v/>
      </c>
      <c r="F644" t="str">
        <f>'All Projects Calculations'!Y644</f>
        <v/>
      </c>
    </row>
    <row r="645" spans="1:6" x14ac:dyDescent="0.25">
      <c r="A645">
        <v>641</v>
      </c>
      <c r="B645" t="str">
        <f t="shared" si="9"/>
        <v/>
      </c>
      <c r="F645" t="str">
        <f>'All Projects Calculations'!Y645</f>
        <v/>
      </c>
    </row>
    <row r="646" spans="1:6" x14ac:dyDescent="0.25">
      <c r="A646">
        <v>642</v>
      </c>
      <c r="B646" t="str">
        <f t="shared" ref="B646:B709" si="10">IF(F646="","",A646)</f>
        <v/>
      </c>
      <c r="F646" t="str">
        <f>'All Projects Calculations'!Y646</f>
        <v/>
      </c>
    </row>
    <row r="647" spans="1:6" x14ac:dyDescent="0.25">
      <c r="A647">
        <v>643</v>
      </c>
      <c r="B647" t="str">
        <f t="shared" si="10"/>
        <v/>
      </c>
      <c r="F647" t="str">
        <f>'All Projects Calculations'!Y647</f>
        <v/>
      </c>
    </row>
    <row r="648" spans="1:6" x14ac:dyDescent="0.25">
      <c r="A648">
        <v>644</v>
      </c>
      <c r="B648" t="str">
        <f t="shared" si="10"/>
        <v/>
      </c>
      <c r="F648" t="str">
        <f>'All Projects Calculations'!Y648</f>
        <v/>
      </c>
    </row>
    <row r="649" spans="1:6" x14ac:dyDescent="0.25">
      <c r="A649">
        <v>645</v>
      </c>
      <c r="B649" t="str">
        <f t="shared" si="10"/>
        <v/>
      </c>
      <c r="F649" t="str">
        <f>'All Projects Calculations'!Y649</f>
        <v/>
      </c>
    </row>
    <row r="650" spans="1:6" x14ac:dyDescent="0.25">
      <c r="A650">
        <v>646</v>
      </c>
      <c r="B650" t="str">
        <f t="shared" si="10"/>
        <v/>
      </c>
      <c r="F650" t="str">
        <f>'All Projects Calculations'!Y650</f>
        <v/>
      </c>
    </row>
    <row r="651" spans="1:6" x14ac:dyDescent="0.25">
      <c r="A651">
        <v>647</v>
      </c>
      <c r="B651" t="str">
        <f t="shared" si="10"/>
        <v/>
      </c>
      <c r="F651" t="str">
        <f>'All Projects Calculations'!Y651</f>
        <v/>
      </c>
    </row>
    <row r="652" spans="1:6" x14ac:dyDescent="0.25">
      <c r="A652">
        <v>648</v>
      </c>
      <c r="B652" t="str">
        <f t="shared" si="10"/>
        <v/>
      </c>
      <c r="F652" t="str">
        <f>'All Projects Calculations'!Y652</f>
        <v/>
      </c>
    </row>
    <row r="653" spans="1:6" x14ac:dyDescent="0.25">
      <c r="A653">
        <v>649</v>
      </c>
      <c r="B653" t="str">
        <f t="shared" si="10"/>
        <v/>
      </c>
      <c r="F653" t="str">
        <f>'All Projects Calculations'!Y653</f>
        <v/>
      </c>
    </row>
    <row r="654" spans="1:6" x14ac:dyDescent="0.25">
      <c r="A654">
        <v>650</v>
      </c>
      <c r="B654" t="str">
        <f t="shared" si="10"/>
        <v/>
      </c>
      <c r="F654" t="str">
        <f>'All Projects Calculations'!Y654</f>
        <v/>
      </c>
    </row>
    <row r="655" spans="1:6" x14ac:dyDescent="0.25">
      <c r="A655">
        <v>651</v>
      </c>
      <c r="B655" t="str">
        <f t="shared" si="10"/>
        <v/>
      </c>
      <c r="F655" t="str">
        <f>'All Projects Calculations'!Y655</f>
        <v/>
      </c>
    </row>
    <row r="656" spans="1:6" x14ac:dyDescent="0.25">
      <c r="A656">
        <v>652</v>
      </c>
      <c r="B656" t="str">
        <f t="shared" si="10"/>
        <v/>
      </c>
      <c r="F656" t="str">
        <f>'All Projects Calculations'!Y656</f>
        <v/>
      </c>
    </row>
    <row r="657" spans="1:6" x14ac:dyDescent="0.25">
      <c r="A657">
        <v>653</v>
      </c>
      <c r="B657" t="str">
        <f t="shared" si="10"/>
        <v/>
      </c>
      <c r="F657" t="str">
        <f>'All Projects Calculations'!Y657</f>
        <v/>
      </c>
    </row>
    <row r="658" spans="1:6" x14ac:dyDescent="0.25">
      <c r="A658">
        <v>654</v>
      </c>
      <c r="B658" t="str">
        <f t="shared" si="10"/>
        <v/>
      </c>
      <c r="F658" t="str">
        <f>'All Projects Calculations'!Y658</f>
        <v/>
      </c>
    </row>
    <row r="659" spans="1:6" x14ac:dyDescent="0.25">
      <c r="A659">
        <v>655</v>
      </c>
      <c r="B659" t="str">
        <f t="shared" si="10"/>
        <v/>
      </c>
      <c r="F659" t="str">
        <f>'All Projects Calculations'!Y659</f>
        <v/>
      </c>
    </row>
    <row r="660" spans="1:6" x14ac:dyDescent="0.25">
      <c r="A660">
        <v>656</v>
      </c>
      <c r="B660" t="str">
        <f t="shared" si="10"/>
        <v/>
      </c>
      <c r="F660" t="str">
        <f>'All Projects Calculations'!Y660</f>
        <v/>
      </c>
    </row>
    <row r="661" spans="1:6" x14ac:dyDescent="0.25">
      <c r="A661">
        <v>657</v>
      </c>
      <c r="B661" t="str">
        <f t="shared" si="10"/>
        <v/>
      </c>
      <c r="F661" t="str">
        <f>'All Projects Calculations'!Y661</f>
        <v/>
      </c>
    </row>
    <row r="662" spans="1:6" x14ac:dyDescent="0.25">
      <c r="A662">
        <v>658</v>
      </c>
      <c r="B662" t="str">
        <f t="shared" si="10"/>
        <v/>
      </c>
      <c r="F662" t="str">
        <f>'All Projects Calculations'!Y662</f>
        <v/>
      </c>
    </row>
    <row r="663" spans="1:6" x14ac:dyDescent="0.25">
      <c r="A663">
        <v>659</v>
      </c>
      <c r="B663" t="str">
        <f t="shared" si="10"/>
        <v/>
      </c>
      <c r="F663" t="str">
        <f>'All Projects Calculations'!Y663</f>
        <v/>
      </c>
    </row>
    <row r="664" spans="1:6" x14ac:dyDescent="0.25">
      <c r="A664">
        <v>660</v>
      </c>
      <c r="B664" t="str">
        <f t="shared" si="10"/>
        <v/>
      </c>
      <c r="F664" t="str">
        <f>'All Projects Calculations'!Y664</f>
        <v/>
      </c>
    </row>
    <row r="665" spans="1:6" x14ac:dyDescent="0.25">
      <c r="A665">
        <v>661</v>
      </c>
      <c r="B665" t="str">
        <f t="shared" si="10"/>
        <v/>
      </c>
      <c r="F665" t="str">
        <f>'All Projects Calculations'!Y665</f>
        <v/>
      </c>
    </row>
    <row r="666" spans="1:6" x14ac:dyDescent="0.25">
      <c r="A666">
        <v>662</v>
      </c>
      <c r="B666" t="str">
        <f t="shared" si="10"/>
        <v/>
      </c>
      <c r="F666" t="str">
        <f>'All Projects Calculations'!Y666</f>
        <v/>
      </c>
    </row>
    <row r="667" spans="1:6" x14ac:dyDescent="0.25">
      <c r="A667">
        <v>663</v>
      </c>
      <c r="B667" t="str">
        <f t="shared" si="10"/>
        <v/>
      </c>
      <c r="F667" t="str">
        <f>'All Projects Calculations'!Y667</f>
        <v/>
      </c>
    </row>
    <row r="668" spans="1:6" x14ac:dyDescent="0.25">
      <c r="A668">
        <v>664</v>
      </c>
      <c r="B668" t="str">
        <f t="shared" si="10"/>
        <v/>
      </c>
      <c r="F668" t="str">
        <f>'All Projects Calculations'!Y668</f>
        <v/>
      </c>
    </row>
    <row r="669" spans="1:6" x14ac:dyDescent="0.25">
      <c r="A669">
        <v>665</v>
      </c>
      <c r="B669" t="str">
        <f t="shared" si="10"/>
        <v/>
      </c>
      <c r="F669" t="str">
        <f>'All Projects Calculations'!Y669</f>
        <v/>
      </c>
    </row>
    <row r="670" spans="1:6" x14ac:dyDescent="0.25">
      <c r="A670">
        <v>666</v>
      </c>
      <c r="B670" t="str">
        <f t="shared" si="10"/>
        <v/>
      </c>
      <c r="F670" t="str">
        <f>'All Projects Calculations'!Y670</f>
        <v/>
      </c>
    </row>
    <row r="671" spans="1:6" x14ac:dyDescent="0.25">
      <c r="A671">
        <v>667</v>
      </c>
      <c r="B671" t="str">
        <f t="shared" si="10"/>
        <v/>
      </c>
      <c r="F671" t="str">
        <f>'All Projects Calculations'!Y671</f>
        <v/>
      </c>
    </row>
    <row r="672" spans="1:6" x14ac:dyDescent="0.25">
      <c r="A672">
        <v>668</v>
      </c>
      <c r="B672" t="str">
        <f t="shared" si="10"/>
        <v/>
      </c>
      <c r="F672" t="str">
        <f>'All Projects Calculations'!Y672</f>
        <v/>
      </c>
    </row>
    <row r="673" spans="1:6" x14ac:dyDescent="0.25">
      <c r="A673">
        <v>669</v>
      </c>
      <c r="B673" t="str">
        <f t="shared" si="10"/>
        <v/>
      </c>
      <c r="F673" t="str">
        <f>'All Projects Calculations'!Y673</f>
        <v/>
      </c>
    </row>
    <row r="674" spans="1:6" x14ac:dyDescent="0.25">
      <c r="A674">
        <v>670</v>
      </c>
      <c r="B674" t="str">
        <f t="shared" si="10"/>
        <v/>
      </c>
      <c r="F674" t="str">
        <f>'All Projects Calculations'!Y674</f>
        <v/>
      </c>
    </row>
    <row r="675" spans="1:6" x14ac:dyDescent="0.25">
      <c r="A675">
        <v>671</v>
      </c>
      <c r="B675" t="str">
        <f t="shared" si="10"/>
        <v/>
      </c>
      <c r="F675" t="str">
        <f>'All Projects Calculations'!Y675</f>
        <v/>
      </c>
    </row>
    <row r="676" spans="1:6" x14ac:dyDescent="0.25">
      <c r="A676">
        <v>672</v>
      </c>
      <c r="B676" t="str">
        <f t="shared" si="10"/>
        <v/>
      </c>
    </row>
    <row r="677" spans="1:6" x14ac:dyDescent="0.25">
      <c r="A677">
        <v>673</v>
      </c>
      <c r="B677" t="str">
        <f t="shared" si="10"/>
        <v/>
      </c>
    </row>
    <row r="678" spans="1:6" x14ac:dyDescent="0.25">
      <c r="A678">
        <v>674</v>
      </c>
      <c r="B678" t="str">
        <f t="shared" si="10"/>
        <v/>
      </c>
    </row>
    <row r="679" spans="1:6" x14ac:dyDescent="0.25">
      <c r="A679">
        <v>675</v>
      </c>
      <c r="B679" t="str">
        <f t="shared" si="10"/>
        <v/>
      </c>
    </row>
    <row r="680" spans="1:6" x14ac:dyDescent="0.25">
      <c r="A680">
        <v>676</v>
      </c>
      <c r="B680" t="str">
        <f t="shared" si="10"/>
        <v/>
      </c>
    </row>
    <row r="681" spans="1:6" x14ac:dyDescent="0.25">
      <c r="A681">
        <v>677</v>
      </c>
      <c r="B681" t="str">
        <f t="shared" si="10"/>
        <v/>
      </c>
    </row>
    <row r="682" spans="1:6" x14ac:dyDescent="0.25">
      <c r="A682">
        <v>678</v>
      </c>
      <c r="B682" t="str">
        <f t="shared" si="10"/>
        <v/>
      </c>
    </row>
    <row r="683" spans="1:6" x14ac:dyDescent="0.25">
      <c r="A683">
        <v>679</v>
      </c>
      <c r="B683" t="str">
        <f t="shared" si="10"/>
        <v/>
      </c>
    </row>
    <row r="684" spans="1:6" x14ac:dyDescent="0.25">
      <c r="A684">
        <v>680</v>
      </c>
      <c r="B684" t="str">
        <f t="shared" si="10"/>
        <v/>
      </c>
    </row>
    <row r="685" spans="1:6" x14ac:dyDescent="0.25">
      <c r="A685">
        <v>681</v>
      </c>
      <c r="B685" t="str">
        <f t="shared" si="10"/>
        <v/>
      </c>
    </row>
    <row r="686" spans="1:6" x14ac:dyDescent="0.25">
      <c r="A686">
        <v>682</v>
      </c>
      <c r="B686" t="str">
        <f t="shared" si="10"/>
        <v/>
      </c>
    </row>
    <row r="687" spans="1:6" x14ac:dyDescent="0.25">
      <c r="A687">
        <v>683</v>
      </c>
      <c r="B687" t="str">
        <f t="shared" si="10"/>
        <v/>
      </c>
    </row>
    <row r="688" spans="1:6" x14ac:dyDescent="0.25">
      <c r="A688">
        <v>684</v>
      </c>
      <c r="B688" t="str">
        <f t="shared" si="10"/>
        <v/>
      </c>
    </row>
    <row r="689" spans="1:2" x14ac:dyDescent="0.25">
      <c r="A689">
        <v>685</v>
      </c>
      <c r="B689" t="str">
        <f t="shared" si="10"/>
        <v/>
      </c>
    </row>
    <row r="690" spans="1:2" x14ac:dyDescent="0.25">
      <c r="A690">
        <v>686</v>
      </c>
      <c r="B690" t="str">
        <f t="shared" si="10"/>
        <v/>
      </c>
    </row>
    <row r="691" spans="1:2" x14ac:dyDescent="0.25">
      <c r="A691">
        <v>687</v>
      </c>
      <c r="B691" t="str">
        <f t="shared" si="10"/>
        <v/>
      </c>
    </row>
    <row r="692" spans="1:2" x14ac:dyDescent="0.25">
      <c r="A692">
        <v>688</v>
      </c>
      <c r="B692" t="str">
        <f t="shared" si="10"/>
        <v/>
      </c>
    </row>
    <row r="693" spans="1:2" x14ac:dyDescent="0.25">
      <c r="A693">
        <v>689</v>
      </c>
      <c r="B693" t="str">
        <f t="shared" si="10"/>
        <v/>
      </c>
    </row>
    <row r="694" spans="1:2" x14ac:dyDescent="0.25">
      <c r="A694">
        <v>690</v>
      </c>
      <c r="B694" t="str">
        <f t="shared" si="10"/>
        <v/>
      </c>
    </row>
    <row r="695" spans="1:2" x14ac:dyDescent="0.25">
      <c r="A695">
        <v>691</v>
      </c>
      <c r="B695" t="str">
        <f t="shared" si="10"/>
        <v/>
      </c>
    </row>
    <row r="696" spans="1:2" x14ac:dyDescent="0.25">
      <c r="A696">
        <v>692</v>
      </c>
      <c r="B696" t="str">
        <f t="shared" si="10"/>
        <v/>
      </c>
    </row>
    <row r="697" spans="1:2" x14ac:dyDescent="0.25">
      <c r="A697">
        <v>693</v>
      </c>
      <c r="B697" t="str">
        <f t="shared" si="10"/>
        <v/>
      </c>
    </row>
    <row r="698" spans="1:2" x14ac:dyDescent="0.25">
      <c r="A698">
        <v>694</v>
      </c>
      <c r="B698" t="str">
        <f t="shared" si="10"/>
        <v/>
      </c>
    </row>
    <row r="699" spans="1:2" x14ac:dyDescent="0.25">
      <c r="A699">
        <v>695</v>
      </c>
      <c r="B699" t="str">
        <f t="shared" si="10"/>
        <v/>
      </c>
    </row>
    <row r="700" spans="1:2" x14ac:dyDescent="0.25">
      <c r="A700">
        <v>696</v>
      </c>
      <c r="B700" t="str">
        <f t="shared" si="10"/>
        <v/>
      </c>
    </row>
    <row r="701" spans="1:2" x14ac:dyDescent="0.25">
      <c r="A701">
        <v>697</v>
      </c>
      <c r="B701" t="str">
        <f t="shared" si="10"/>
        <v/>
      </c>
    </row>
    <row r="702" spans="1:2" x14ac:dyDescent="0.25">
      <c r="A702">
        <v>698</v>
      </c>
      <c r="B702" t="str">
        <f t="shared" si="10"/>
        <v/>
      </c>
    </row>
    <row r="703" spans="1:2" x14ac:dyDescent="0.25">
      <c r="A703">
        <v>699</v>
      </c>
      <c r="B703" t="str">
        <f t="shared" si="10"/>
        <v/>
      </c>
    </row>
    <row r="704" spans="1:2" x14ac:dyDescent="0.25">
      <c r="A704">
        <v>700</v>
      </c>
      <c r="B704" t="str">
        <f t="shared" si="10"/>
        <v/>
      </c>
    </row>
    <row r="705" spans="1:2" x14ac:dyDescent="0.25">
      <c r="A705">
        <v>701</v>
      </c>
      <c r="B705" t="str">
        <f t="shared" si="10"/>
        <v/>
      </c>
    </row>
    <row r="706" spans="1:2" x14ac:dyDescent="0.25">
      <c r="A706">
        <v>702</v>
      </c>
      <c r="B706" t="str">
        <f t="shared" si="10"/>
        <v/>
      </c>
    </row>
    <row r="707" spans="1:2" x14ac:dyDescent="0.25">
      <c r="A707">
        <v>703</v>
      </c>
      <c r="B707" t="str">
        <f t="shared" si="10"/>
        <v/>
      </c>
    </row>
    <row r="708" spans="1:2" x14ac:dyDescent="0.25">
      <c r="A708">
        <v>704</v>
      </c>
      <c r="B708" t="str">
        <f t="shared" si="10"/>
        <v/>
      </c>
    </row>
    <row r="709" spans="1:2" x14ac:dyDescent="0.25">
      <c r="A709">
        <v>705</v>
      </c>
      <c r="B709" t="str">
        <f t="shared" si="10"/>
        <v/>
      </c>
    </row>
    <row r="710" spans="1:2" x14ac:dyDescent="0.25">
      <c r="A710">
        <v>706</v>
      </c>
      <c r="B710" t="str">
        <f t="shared" ref="B710:B713" si="11">IF(F710="","",A710)</f>
        <v/>
      </c>
    </row>
    <row r="711" spans="1:2" x14ac:dyDescent="0.25">
      <c r="A711">
        <v>707</v>
      </c>
      <c r="B711" t="str">
        <f t="shared" si="11"/>
        <v/>
      </c>
    </row>
    <row r="712" spans="1:2" x14ac:dyDescent="0.25">
      <c r="A712">
        <v>708</v>
      </c>
      <c r="B712" t="str">
        <f t="shared" si="11"/>
        <v/>
      </c>
    </row>
    <row r="713" spans="1:2" x14ac:dyDescent="0.25">
      <c r="A713">
        <v>709</v>
      </c>
      <c r="B713" t="str">
        <f t="shared" si="11"/>
        <v/>
      </c>
    </row>
  </sheetData>
  <customSheetViews>
    <customSheetView guid="{84F0FDFB-72A1-4214-8B2B-A048953E297B}" topLeftCell="A5">
      <selection activeCell="G7" sqref="G7"/>
      <pageMargins left="0.7" right="0.7" top="0.75" bottom="0.75" header="0.3" footer="0.3"/>
      <pageSetup orientation="portrait" horizontalDpi="4294967293" verticalDpi="0" r:id="rId1"/>
    </customSheetView>
  </customSheetViews>
  <pageMargins left="0.7" right="0.7" top="0.75" bottom="0.75" header="0.3" footer="0.3"/>
  <pageSetup orientation="portrait" horizontalDpi="4294967293" verticalDpi="0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671"/>
  <sheetViews>
    <sheetView workbookViewId="0">
      <selection sqref="A1:A107"/>
    </sheetView>
  </sheetViews>
  <sheetFormatPr defaultRowHeight="15" x14ac:dyDescent="0.25"/>
  <sheetData>
    <row r="1" spans="1:1" x14ac:dyDescent="0.25">
      <c r="A1" t="s">
        <v>628</v>
      </c>
    </row>
    <row r="2" spans="1:1" x14ac:dyDescent="0.25">
      <c r="A2" t="s">
        <v>629</v>
      </c>
    </row>
    <row r="3" spans="1:1" x14ac:dyDescent="0.25">
      <c r="A3" t="s">
        <v>630</v>
      </c>
    </row>
    <row r="4" spans="1:1" x14ac:dyDescent="0.25">
      <c r="A4" t="s">
        <v>631</v>
      </c>
    </row>
    <row r="5" spans="1:1" x14ac:dyDescent="0.25">
      <c r="A5" t="s">
        <v>632</v>
      </c>
    </row>
    <row r="6" spans="1:1" x14ac:dyDescent="0.25">
      <c r="A6" t="s">
        <v>633</v>
      </c>
    </row>
    <row r="7" spans="1:1" x14ac:dyDescent="0.25">
      <c r="A7" t="s">
        <v>634</v>
      </c>
    </row>
    <row r="8" spans="1:1" x14ac:dyDescent="0.25">
      <c r="A8" t="s">
        <v>635</v>
      </c>
    </row>
    <row r="9" spans="1:1" x14ac:dyDescent="0.25">
      <c r="A9" t="s">
        <v>636</v>
      </c>
    </row>
    <row r="10" spans="1:1" x14ac:dyDescent="0.25">
      <c r="A10" t="s">
        <v>637</v>
      </c>
    </row>
    <row r="11" spans="1:1" x14ac:dyDescent="0.25">
      <c r="A11" t="s">
        <v>638</v>
      </c>
    </row>
    <row r="12" spans="1:1" x14ac:dyDescent="0.25">
      <c r="A12" t="s">
        <v>639</v>
      </c>
    </row>
    <row r="13" spans="1:1" x14ac:dyDescent="0.25">
      <c r="A13" t="s">
        <v>640</v>
      </c>
    </row>
    <row r="14" spans="1:1" x14ac:dyDescent="0.25">
      <c r="A14" t="s">
        <v>641</v>
      </c>
    </row>
    <row r="15" spans="1:1" x14ac:dyDescent="0.25">
      <c r="A15" t="s">
        <v>642</v>
      </c>
    </row>
    <row r="16" spans="1:1" x14ac:dyDescent="0.25">
      <c r="A16" t="s">
        <v>643</v>
      </c>
    </row>
    <row r="17" spans="1:1" x14ac:dyDescent="0.25">
      <c r="A17" t="s">
        <v>644</v>
      </c>
    </row>
    <row r="18" spans="1:1" x14ac:dyDescent="0.25">
      <c r="A18" t="s">
        <v>645</v>
      </c>
    </row>
    <row r="19" spans="1:1" x14ac:dyDescent="0.25">
      <c r="A19" t="s">
        <v>646</v>
      </c>
    </row>
    <row r="20" spans="1:1" x14ac:dyDescent="0.25">
      <c r="A20" t="s">
        <v>647</v>
      </c>
    </row>
    <row r="21" spans="1:1" x14ac:dyDescent="0.25">
      <c r="A21" t="s">
        <v>648</v>
      </c>
    </row>
    <row r="22" spans="1:1" x14ac:dyDescent="0.25">
      <c r="A22" t="s">
        <v>649</v>
      </c>
    </row>
    <row r="23" spans="1:1" x14ac:dyDescent="0.25">
      <c r="A23" t="s">
        <v>650</v>
      </c>
    </row>
    <row r="24" spans="1:1" x14ac:dyDescent="0.25">
      <c r="A24" t="s">
        <v>651</v>
      </c>
    </row>
    <row r="25" spans="1:1" x14ac:dyDescent="0.25">
      <c r="A25" t="s">
        <v>652</v>
      </c>
    </row>
    <row r="26" spans="1:1" x14ac:dyDescent="0.25">
      <c r="A26" t="s">
        <v>653</v>
      </c>
    </row>
    <row r="27" spans="1:1" x14ac:dyDescent="0.25">
      <c r="A27" t="s">
        <v>654</v>
      </c>
    </row>
    <row r="28" spans="1:1" x14ac:dyDescent="0.25">
      <c r="A28" t="s">
        <v>655</v>
      </c>
    </row>
    <row r="29" spans="1:1" x14ac:dyDescent="0.25">
      <c r="A29" t="s">
        <v>656</v>
      </c>
    </row>
    <row r="30" spans="1:1" x14ac:dyDescent="0.25">
      <c r="A30" t="s">
        <v>657</v>
      </c>
    </row>
    <row r="31" spans="1:1" x14ac:dyDescent="0.25">
      <c r="A31" t="s">
        <v>658</v>
      </c>
    </row>
    <row r="32" spans="1:1" x14ac:dyDescent="0.25">
      <c r="A32" t="s">
        <v>659</v>
      </c>
    </row>
    <row r="33" spans="1:1" x14ac:dyDescent="0.25">
      <c r="A33" t="s">
        <v>660</v>
      </c>
    </row>
    <row r="34" spans="1:1" x14ac:dyDescent="0.25">
      <c r="A34" t="s">
        <v>661</v>
      </c>
    </row>
    <row r="35" spans="1:1" x14ac:dyDescent="0.25">
      <c r="A35" t="s">
        <v>662</v>
      </c>
    </row>
    <row r="36" spans="1:1" x14ac:dyDescent="0.25">
      <c r="A36" t="s">
        <v>663</v>
      </c>
    </row>
    <row r="37" spans="1:1" x14ac:dyDescent="0.25">
      <c r="A37" t="s">
        <v>664</v>
      </c>
    </row>
    <row r="38" spans="1:1" x14ac:dyDescent="0.25">
      <c r="A38" t="s">
        <v>665</v>
      </c>
    </row>
    <row r="39" spans="1:1" x14ac:dyDescent="0.25">
      <c r="A39" t="s">
        <v>666</v>
      </c>
    </row>
    <row r="40" spans="1:1" x14ac:dyDescent="0.25">
      <c r="A40" t="s">
        <v>667</v>
      </c>
    </row>
    <row r="41" spans="1:1" x14ac:dyDescent="0.25">
      <c r="A41" t="s">
        <v>668</v>
      </c>
    </row>
    <row r="42" spans="1:1" x14ac:dyDescent="0.25">
      <c r="A42" t="s">
        <v>669</v>
      </c>
    </row>
    <row r="43" spans="1:1" x14ac:dyDescent="0.25">
      <c r="A43" t="s">
        <v>670</v>
      </c>
    </row>
    <row r="44" spans="1:1" x14ac:dyDescent="0.25">
      <c r="A44" t="s">
        <v>671</v>
      </c>
    </row>
    <row r="45" spans="1:1" x14ac:dyDescent="0.25">
      <c r="A45" t="s">
        <v>672</v>
      </c>
    </row>
    <row r="46" spans="1:1" x14ac:dyDescent="0.25">
      <c r="A46" t="s">
        <v>673</v>
      </c>
    </row>
    <row r="47" spans="1:1" x14ac:dyDescent="0.25">
      <c r="A47" t="s">
        <v>674</v>
      </c>
    </row>
    <row r="48" spans="1:1" x14ac:dyDescent="0.25">
      <c r="A48" t="s">
        <v>675</v>
      </c>
    </row>
    <row r="49" spans="1:1" x14ac:dyDescent="0.25">
      <c r="A49" t="s">
        <v>676</v>
      </c>
    </row>
    <row r="50" spans="1:1" x14ac:dyDescent="0.25">
      <c r="A50" t="s">
        <v>677</v>
      </c>
    </row>
    <row r="51" spans="1:1" x14ac:dyDescent="0.25">
      <c r="A51" t="s">
        <v>678</v>
      </c>
    </row>
    <row r="52" spans="1:1" x14ac:dyDescent="0.25">
      <c r="A52" t="s">
        <v>679</v>
      </c>
    </row>
    <row r="53" spans="1:1" x14ac:dyDescent="0.25">
      <c r="A53" t="s">
        <v>680</v>
      </c>
    </row>
    <row r="54" spans="1:1" x14ac:dyDescent="0.25">
      <c r="A54" t="s">
        <v>681</v>
      </c>
    </row>
    <row r="55" spans="1:1" x14ac:dyDescent="0.25">
      <c r="A55" t="s">
        <v>682</v>
      </c>
    </row>
    <row r="56" spans="1:1" x14ac:dyDescent="0.25">
      <c r="A56" t="s">
        <v>683</v>
      </c>
    </row>
    <row r="57" spans="1:1" x14ac:dyDescent="0.25">
      <c r="A57" t="s">
        <v>684</v>
      </c>
    </row>
    <row r="58" spans="1:1" x14ac:dyDescent="0.25">
      <c r="A58" t="s">
        <v>685</v>
      </c>
    </row>
    <row r="59" spans="1:1" x14ac:dyDescent="0.25">
      <c r="A59" t="s">
        <v>686</v>
      </c>
    </row>
    <row r="60" spans="1:1" x14ac:dyDescent="0.25">
      <c r="A60" t="s">
        <v>687</v>
      </c>
    </row>
    <row r="61" spans="1:1" x14ac:dyDescent="0.25">
      <c r="A61" t="s">
        <v>688</v>
      </c>
    </row>
    <row r="62" spans="1:1" x14ac:dyDescent="0.25">
      <c r="A62" t="s">
        <v>689</v>
      </c>
    </row>
    <row r="63" spans="1:1" x14ac:dyDescent="0.25">
      <c r="A63" t="s">
        <v>690</v>
      </c>
    </row>
    <row r="64" spans="1:1" x14ac:dyDescent="0.25">
      <c r="A64" t="s">
        <v>691</v>
      </c>
    </row>
    <row r="65" spans="1:1" x14ac:dyDescent="0.25">
      <c r="A65" t="s">
        <v>692</v>
      </c>
    </row>
    <row r="66" spans="1:1" x14ac:dyDescent="0.25">
      <c r="A66" t="s">
        <v>693</v>
      </c>
    </row>
    <row r="67" spans="1:1" x14ac:dyDescent="0.25">
      <c r="A67" t="s">
        <v>694</v>
      </c>
    </row>
    <row r="68" spans="1:1" x14ac:dyDescent="0.25">
      <c r="A68" t="s">
        <v>695</v>
      </c>
    </row>
    <row r="69" spans="1:1" x14ac:dyDescent="0.25">
      <c r="A69" t="s">
        <v>696</v>
      </c>
    </row>
    <row r="70" spans="1:1" x14ac:dyDescent="0.25">
      <c r="A70" t="s">
        <v>697</v>
      </c>
    </row>
    <row r="71" spans="1:1" x14ac:dyDescent="0.25">
      <c r="A71" t="s">
        <v>698</v>
      </c>
    </row>
    <row r="72" spans="1:1" x14ac:dyDescent="0.25">
      <c r="A72" t="s">
        <v>699</v>
      </c>
    </row>
    <row r="73" spans="1:1" x14ac:dyDescent="0.25">
      <c r="A73" t="s">
        <v>700</v>
      </c>
    </row>
    <row r="74" spans="1:1" x14ac:dyDescent="0.25">
      <c r="A74" t="s">
        <v>701</v>
      </c>
    </row>
    <row r="75" spans="1:1" x14ac:dyDescent="0.25">
      <c r="A75" t="s">
        <v>702</v>
      </c>
    </row>
    <row r="76" spans="1:1" x14ac:dyDescent="0.25">
      <c r="A76" t="s">
        <v>703</v>
      </c>
    </row>
    <row r="77" spans="1:1" x14ac:dyDescent="0.25">
      <c r="A77" t="s">
        <v>704</v>
      </c>
    </row>
    <row r="78" spans="1:1" x14ac:dyDescent="0.25">
      <c r="A78" t="s">
        <v>705</v>
      </c>
    </row>
    <row r="79" spans="1:1" x14ac:dyDescent="0.25">
      <c r="A79" t="s">
        <v>706</v>
      </c>
    </row>
    <row r="80" spans="1:1" x14ac:dyDescent="0.25">
      <c r="A80" t="s">
        <v>707</v>
      </c>
    </row>
    <row r="81" spans="1:1" x14ac:dyDescent="0.25">
      <c r="A81" t="s">
        <v>708</v>
      </c>
    </row>
    <row r="82" spans="1:1" x14ac:dyDescent="0.25">
      <c r="A82" t="s">
        <v>709</v>
      </c>
    </row>
    <row r="83" spans="1:1" x14ac:dyDescent="0.25">
      <c r="A83" t="s">
        <v>710</v>
      </c>
    </row>
    <row r="84" spans="1:1" x14ac:dyDescent="0.25">
      <c r="A84" t="s">
        <v>711</v>
      </c>
    </row>
    <row r="85" spans="1:1" x14ac:dyDescent="0.25">
      <c r="A85" t="s">
        <v>712</v>
      </c>
    </row>
    <row r="86" spans="1:1" x14ac:dyDescent="0.25">
      <c r="A86" t="s">
        <v>713</v>
      </c>
    </row>
    <row r="87" spans="1:1" x14ac:dyDescent="0.25">
      <c r="A87" t="s">
        <v>714</v>
      </c>
    </row>
    <row r="88" spans="1:1" x14ac:dyDescent="0.25">
      <c r="A88" t="s">
        <v>715</v>
      </c>
    </row>
    <row r="89" spans="1:1" x14ac:dyDescent="0.25">
      <c r="A89" t="s">
        <v>716</v>
      </c>
    </row>
    <row r="90" spans="1:1" x14ac:dyDescent="0.25">
      <c r="A90" t="s">
        <v>717</v>
      </c>
    </row>
    <row r="91" spans="1:1" x14ac:dyDescent="0.25">
      <c r="A91" t="s">
        <v>718</v>
      </c>
    </row>
    <row r="92" spans="1:1" x14ac:dyDescent="0.25">
      <c r="A92" t="s">
        <v>719</v>
      </c>
    </row>
    <row r="93" spans="1:1" x14ac:dyDescent="0.25">
      <c r="A93" t="s">
        <v>720</v>
      </c>
    </row>
    <row r="94" spans="1:1" x14ac:dyDescent="0.25">
      <c r="A94" t="s">
        <v>721</v>
      </c>
    </row>
    <row r="95" spans="1:1" x14ac:dyDescent="0.25">
      <c r="A95" t="s">
        <v>722</v>
      </c>
    </row>
    <row r="96" spans="1:1" x14ac:dyDescent="0.25">
      <c r="A96" t="s">
        <v>723</v>
      </c>
    </row>
    <row r="97" spans="1:1" x14ac:dyDescent="0.25">
      <c r="A97" t="s">
        <v>724</v>
      </c>
    </row>
    <row r="98" spans="1:1" x14ac:dyDescent="0.25">
      <c r="A98" t="s">
        <v>725</v>
      </c>
    </row>
    <row r="99" spans="1:1" x14ac:dyDescent="0.25">
      <c r="A99" t="s">
        <v>726</v>
      </c>
    </row>
    <row r="100" spans="1:1" x14ac:dyDescent="0.25">
      <c r="A100" t="s">
        <v>727</v>
      </c>
    </row>
    <row r="101" spans="1:1" x14ac:dyDescent="0.25">
      <c r="A101" t="s">
        <v>728</v>
      </c>
    </row>
    <row r="102" spans="1:1" x14ac:dyDescent="0.25">
      <c r="A102" t="s">
        <v>729</v>
      </c>
    </row>
    <row r="103" spans="1:1" x14ac:dyDescent="0.25">
      <c r="A103" t="s">
        <v>730</v>
      </c>
    </row>
    <row r="104" spans="1:1" x14ac:dyDescent="0.25">
      <c r="A104" t="s">
        <v>731</v>
      </c>
    </row>
    <row r="105" spans="1:1" x14ac:dyDescent="0.25">
      <c r="A105" t="s">
        <v>732</v>
      </c>
    </row>
    <row r="106" spans="1:1" x14ac:dyDescent="0.25">
      <c r="A106" t="s">
        <v>733</v>
      </c>
    </row>
    <row r="107" spans="1:1" x14ac:dyDescent="0.25">
      <c r="A107" t="s">
        <v>734</v>
      </c>
    </row>
    <row r="108" spans="1:1" x14ac:dyDescent="0.25">
      <c r="A108" t="s">
        <v>304</v>
      </c>
    </row>
    <row r="109" spans="1:1" x14ac:dyDescent="0.25">
      <c r="A109" t="s">
        <v>304</v>
      </c>
    </row>
    <row r="110" spans="1:1" x14ac:dyDescent="0.25">
      <c r="A110" t="s">
        <v>304</v>
      </c>
    </row>
    <row r="111" spans="1:1" x14ac:dyDescent="0.25">
      <c r="A111" t="s">
        <v>304</v>
      </c>
    </row>
    <row r="112" spans="1:1" x14ac:dyDescent="0.25">
      <c r="A112" t="s">
        <v>304</v>
      </c>
    </row>
    <row r="113" spans="1:1" x14ac:dyDescent="0.25">
      <c r="A113" t="s">
        <v>304</v>
      </c>
    </row>
    <row r="114" spans="1:1" x14ac:dyDescent="0.25">
      <c r="A114" t="s">
        <v>304</v>
      </c>
    </row>
    <row r="115" spans="1:1" x14ac:dyDescent="0.25">
      <c r="A115" t="s">
        <v>304</v>
      </c>
    </row>
    <row r="116" spans="1:1" x14ac:dyDescent="0.25">
      <c r="A116" t="s">
        <v>304</v>
      </c>
    </row>
    <row r="117" spans="1:1" x14ac:dyDescent="0.25">
      <c r="A117" t="s">
        <v>304</v>
      </c>
    </row>
    <row r="118" spans="1:1" x14ac:dyDescent="0.25">
      <c r="A118" t="s">
        <v>304</v>
      </c>
    </row>
    <row r="119" spans="1:1" x14ac:dyDescent="0.25">
      <c r="A119" t="s">
        <v>304</v>
      </c>
    </row>
    <row r="120" spans="1:1" x14ac:dyDescent="0.25">
      <c r="A120" t="s">
        <v>304</v>
      </c>
    </row>
    <row r="121" spans="1:1" x14ac:dyDescent="0.25">
      <c r="A121" t="s">
        <v>304</v>
      </c>
    </row>
    <row r="122" spans="1:1" x14ac:dyDescent="0.25">
      <c r="A122" t="s">
        <v>304</v>
      </c>
    </row>
    <row r="123" spans="1:1" x14ac:dyDescent="0.25">
      <c r="A123" t="s">
        <v>304</v>
      </c>
    </row>
    <row r="124" spans="1:1" x14ac:dyDescent="0.25">
      <c r="A124" t="s">
        <v>304</v>
      </c>
    </row>
    <row r="125" spans="1:1" x14ac:dyDescent="0.25">
      <c r="A125" t="s">
        <v>304</v>
      </c>
    </row>
    <row r="126" spans="1:1" x14ac:dyDescent="0.25">
      <c r="A126" t="s">
        <v>304</v>
      </c>
    </row>
    <row r="127" spans="1:1" x14ac:dyDescent="0.25">
      <c r="A127" t="s">
        <v>304</v>
      </c>
    </row>
    <row r="128" spans="1:1" x14ac:dyDescent="0.25">
      <c r="A128" t="s">
        <v>304</v>
      </c>
    </row>
    <row r="129" spans="1:1" x14ac:dyDescent="0.25">
      <c r="A129" t="s">
        <v>304</v>
      </c>
    </row>
    <row r="130" spans="1:1" x14ac:dyDescent="0.25">
      <c r="A130" t="s">
        <v>304</v>
      </c>
    </row>
    <row r="131" spans="1:1" x14ac:dyDescent="0.25">
      <c r="A131" t="s">
        <v>304</v>
      </c>
    </row>
    <row r="132" spans="1:1" x14ac:dyDescent="0.25">
      <c r="A132" t="s">
        <v>304</v>
      </c>
    </row>
    <row r="133" spans="1:1" x14ac:dyDescent="0.25">
      <c r="A133" t="s">
        <v>304</v>
      </c>
    </row>
    <row r="134" spans="1:1" x14ac:dyDescent="0.25">
      <c r="A134" t="s">
        <v>304</v>
      </c>
    </row>
    <row r="135" spans="1:1" x14ac:dyDescent="0.25">
      <c r="A135" t="s">
        <v>304</v>
      </c>
    </row>
    <row r="136" spans="1:1" x14ac:dyDescent="0.25">
      <c r="A136" t="s">
        <v>304</v>
      </c>
    </row>
    <row r="137" spans="1:1" x14ac:dyDescent="0.25">
      <c r="A137" t="s">
        <v>304</v>
      </c>
    </row>
    <row r="138" spans="1:1" x14ac:dyDescent="0.25">
      <c r="A138" t="s">
        <v>304</v>
      </c>
    </row>
    <row r="139" spans="1:1" x14ac:dyDescent="0.25">
      <c r="A139" t="s">
        <v>304</v>
      </c>
    </row>
    <row r="140" spans="1:1" x14ac:dyDescent="0.25">
      <c r="A140" t="s">
        <v>304</v>
      </c>
    </row>
    <row r="141" spans="1:1" x14ac:dyDescent="0.25">
      <c r="A141" t="s">
        <v>304</v>
      </c>
    </row>
    <row r="142" spans="1:1" x14ac:dyDescent="0.25">
      <c r="A142" t="s">
        <v>304</v>
      </c>
    </row>
    <row r="143" spans="1:1" x14ac:dyDescent="0.25">
      <c r="A143" t="s">
        <v>304</v>
      </c>
    </row>
    <row r="144" spans="1:1" x14ac:dyDescent="0.25">
      <c r="A144" t="s">
        <v>304</v>
      </c>
    </row>
    <row r="145" spans="1:1" x14ac:dyDescent="0.25">
      <c r="A145" t="s">
        <v>304</v>
      </c>
    </row>
    <row r="146" spans="1:1" x14ac:dyDescent="0.25">
      <c r="A146" t="s">
        <v>304</v>
      </c>
    </row>
    <row r="147" spans="1:1" x14ac:dyDescent="0.25">
      <c r="A147" t="s">
        <v>304</v>
      </c>
    </row>
    <row r="148" spans="1:1" x14ac:dyDescent="0.25">
      <c r="A148" t="s">
        <v>304</v>
      </c>
    </row>
    <row r="149" spans="1:1" x14ac:dyDescent="0.25">
      <c r="A149" t="s">
        <v>304</v>
      </c>
    </row>
    <row r="150" spans="1:1" x14ac:dyDescent="0.25">
      <c r="A150" t="s">
        <v>304</v>
      </c>
    </row>
    <row r="151" spans="1:1" x14ac:dyDescent="0.25">
      <c r="A151" t="s">
        <v>304</v>
      </c>
    </row>
    <row r="152" spans="1:1" x14ac:dyDescent="0.25">
      <c r="A152" t="s">
        <v>304</v>
      </c>
    </row>
    <row r="153" spans="1:1" x14ac:dyDescent="0.25">
      <c r="A153" t="s">
        <v>304</v>
      </c>
    </row>
    <row r="154" spans="1:1" x14ac:dyDescent="0.25">
      <c r="A154" t="s">
        <v>304</v>
      </c>
    </row>
    <row r="155" spans="1:1" x14ac:dyDescent="0.25">
      <c r="A155" t="s">
        <v>304</v>
      </c>
    </row>
    <row r="156" spans="1:1" x14ac:dyDescent="0.25">
      <c r="A156" t="s">
        <v>304</v>
      </c>
    </row>
    <row r="157" spans="1:1" x14ac:dyDescent="0.25">
      <c r="A157" t="s">
        <v>304</v>
      </c>
    </row>
    <row r="158" spans="1:1" x14ac:dyDescent="0.25">
      <c r="A158" t="s">
        <v>304</v>
      </c>
    </row>
    <row r="159" spans="1:1" x14ac:dyDescent="0.25">
      <c r="A159" t="s">
        <v>304</v>
      </c>
    </row>
    <row r="160" spans="1:1" x14ac:dyDescent="0.25">
      <c r="A160" t="s">
        <v>304</v>
      </c>
    </row>
    <row r="161" spans="1:1" x14ac:dyDescent="0.25">
      <c r="A161" t="s">
        <v>304</v>
      </c>
    </row>
    <row r="162" spans="1:1" x14ac:dyDescent="0.25">
      <c r="A162" t="s">
        <v>304</v>
      </c>
    </row>
    <row r="163" spans="1:1" x14ac:dyDescent="0.25">
      <c r="A163" t="s">
        <v>304</v>
      </c>
    </row>
    <row r="164" spans="1:1" x14ac:dyDescent="0.25">
      <c r="A164" t="s">
        <v>304</v>
      </c>
    </row>
    <row r="165" spans="1:1" x14ac:dyDescent="0.25">
      <c r="A165" t="s">
        <v>304</v>
      </c>
    </row>
    <row r="166" spans="1:1" x14ac:dyDescent="0.25">
      <c r="A166" t="s">
        <v>304</v>
      </c>
    </row>
    <row r="167" spans="1:1" x14ac:dyDescent="0.25">
      <c r="A167" t="s">
        <v>304</v>
      </c>
    </row>
    <row r="168" spans="1:1" x14ac:dyDescent="0.25">
      <c r="A168" t="s">
        <v>304</v>
      </c>
    </row>
    <row r="169" spans="1:1" x14ac:dyDescent="0.25">
      <c r="A169" t="s">
        <v>304</v>
      </c>
    </row>
    <row r="170" spans="1:1" x14ac:dyDescent="0.25">
      <c r="A170" t="s">
        <v>304</v>
      </c>
    </row>
    <row r="171" spans="1:1" x14ac:dyDescent="0.25">
      <c r="A171" t="s">
        <v>304</v>
      </c>
    </row>
    <row r="172" spans="1:1" x14ac:dyDescent="0.25">
      <c r="A172" t="s">
        <v>304</v>
      </c>
    </row>
    <row r="173" spans="1:1" x14ac:dyDescent="0.25">
      <c r="A173" t="s">
        <v>304</v>
      </c>
    </row>
    <row r="174" spans="1:1" x14ac:dyDescent="0.25">
      <c r="A174" t="s">
        <v>304</v>
      </c>
    </row>
    <row r="175" spans="1:1" x14ac:dyDescent="0.25">
      <c r="A175" t="s">
        <v>304</v>
      </c>
    </row>
    <row r="176" spans="1:1" x14ac:dyDescent="0.25">
      <c r="A176" t="s">
        <v>304</v>
      </c>
    </row>
    <row r="177" spans="1:1" x14ac:dyDescent="0.25">
      <c r="A177" t="s">
        <v>304</v>
      </c>
    </row>
    <row r="178" spans="1:1" x14ac:dyDescent="0.25">
      <c r="A178" t="s">
        <v>304</v>
      </c>
    </row>
    <row r="179" spans="1:1" x14ac:dyDescent="0.25">
      <c r="A179" t="s">
        <v>304</v>
      </c>
    </row>
    <row r="180" spans="1:1" x14ac:dyDescent="0.25">
      <c r="A180" t="s">
        <v>304</v>
      </c>
    </row>
    <row r="181" spans="1:1" x14ac:dyDescent="0.25">
      <c r="A181" t="s">
        <v>304</v>
      </c>
    </row>
    <row r="182" spans="1:1" x14ac:dyDescent="0.25">
      <c r="A182" t="s">
        <v>304</v>
      </c>
    </row>
    <row r="183" spans="1:1" x14ac:dyDescent="0.25">
      <c r="A183" t="s">
        <v>304</v>
      </c>
    </row>
    <row r="184" spans="1:1" x14ac:dyDescent="0.25">
      <c r="A184" t="s">
        <v>304</v>
      </c>
    </row>
    <row r="185" spans="1:1" x14ac:dyDescent="0.25">
      <c r="A185" t="s">
        <v>304</v>
      </c>
    </row>
    <row r="186" spans="1:1" x14ac:dyDescent="0.25">
      <c r="A186" t="s">
        <v>304</v>
      </c>
    </row>
    <row r="187" spans="1:1" x14ac:dyDescent="0.25">
      <c r="A187" t="s">
        <v>304</v>
      </c>
    </row>
    <row r="188" spans="1:1" x14ac:dyDescent="0.25">
      <c r="A188" t="s">
        <v>304</v>
      </c>
    </row>
    <row r="189" spans="1:1" x14ac:dyDescent="0.25">
      <c r="A189" t="s">
        <v>304</v>
      </c>
    </row>
    <row r="190" spans="1:1" x14ac:dyDescent="0.25">
      <c r="A190" t="s">
        <v>304</v>
      </c>
    </row>
    <row r="191" spans="1:1" x14ac:dyDescent="0.25">
      <c r="A191" t="s">
        <v>304</v>
      </c>
    </row>
    <row r="192" spans="1:1" x14ac:dyDescent="0.25">
      <c r="A192" t="s">
        <v>304</v>
      </c>
    </row>
    <row r="193" spans="1:1" x14ac:dyDescent="0.25">
      <c r="A193" t="s">
        <v>304</v>
      </c>
    </row>
    <row r="194" spans="1:1" x14ac:dyDescent="0.25">
      <c r="A194" t="s">
        <v>304</v>
      </c>
    </row>
    <row r="195" spans="1:1" x14ac:dyDescent="0.25">
      <c r="A195" t="s">
        <v>304</v>
      </c>
    </row>
    <row r="196" spans="1:1" x14ac:dyDescent="0.25">
      <c r="A196" t="s">
        <v>304</v>
      </c>
    </row>
    <row r="197" spans="1:1" x14ac:dyDescent="0.25">
      <c r="A197" t="s">
        <v>304</v>
      </c>
    </row>
    <row r="198" spans="1:1" x14ac:dyDescent="0.25">
      <c r="A198" t="s">
        <v>304</v>
      </c>
    </row>
    <row r="199" spans="1:1" x14ac:dyDescent="0.25">
      <c r="A199" t="s">
        <v>304</v>
      </c>
    </row>
    <row r="200" spans="1:1" x14ac:dyDescent="0.25">
      <c r="A200" t="s">
        <v>304</v>
      </c>
    </row>
    <row r="201" spans="1:1" x14ac:dyDescent="0.25">
      <c r="A201" t="s">
        <v>304</v>
      </c>
    </row>
    <row r="202" spans="1:1" x14ac:dyDescent="0.25">
      <c r="A202" t="s">
        <v>304</v>
      </c>
    </row>
    <row r="203" spans="1:1" x14ac:dyDescent="0.25">
      <c r="A203" t="s">
        <v>304</v>
      </c>
    </row>
    <row r="204" spans="1:1" x14ac:dyDescent="0.25">
      <c r="A204" t="s">
        <v>304</v>
      </c>
    </row>
    <row r="205" spans="1:1" x14ac:dyDescent="0.25">
      <c r="A205" t="s">
        <v>304</v>
      </c>
    </row>
    <row r="206" spans="1:1" x14ac:dyDescent="0.25">
      <c r="A206" t="s">
        <v>304</v>
      </c>
    </row>
    <row r="207" spans="1:1" x14ac:dyDescent="0.25">
      <c r="A207" t="s">
        <v>304</v>
      </c>
    </row>
    <row r="208" spans="1:1" x14ac:dyDescent="0.25">
      <c r="A208" t="s">
        <v>304</v>
      </c>
    </row>
    <row r="209" spans="1:1" x14ac:dyDescent="0.25">
      <c r="A209" t="s">
        <v>304</v>
      </c>
    </row>
    <row r="210" spans="1:1" x14ac:dyDescent="0.25">
      <c r="A210" t="s">
        <v>304</v>
      </c>
    </row>
    <row r="211" spans="1:1" x14ac:dyDescent="0.25">
      <c r="A211" t="s">
        <v>304</v>
      </c>
    </row>
    <row r="212" spans="1:1" x14ac:dyDescent="0.25">
      <c r="A212" t="s">
        <v>304</v>
      </c>
    </row>
    <row r="213" spans="1:1" x14ac:dyDescent="0.25">
      <c r="A213" t="s">
        <v>304</v>
      </c>
    </row>
    <row r="214" spans="1:1" x14ac:dyDescent="0.25">
      <c r="A214" t="s">
        <v>304</v>
      </c>
    </row>
    <row r="215" spans="1:1" x14ac:dyDescent="0.25">
      <c r="A215" t="s">
        <v>304</v>
      </c>
    </row>
    <row r="216" spans="1:1" x14ac:dyDescent="0.25">
      <c r="A216" t="s">
        <v>304</v>
      </c>
    </row>
    <row r="217" spans="1:1" x14ac:dyDescent="0.25">
      <c r="A217" t="s">
        <v>304</v>
      </c>
    </row>
    <row r="218" spans="1:1" x14ac:dyDescent="0.25">
      <c r="A218" t="s">
        <v>304</v>
      </c>
    </row>
    <row r="219" spans="1:1" x14ac:dyDescent="0.25">
      <c r="A219" t="s">
        <v>304</v>
      </c>
    </row>
    <row r="220" spans="1:1" x14ac:dyDescent="0.25">
      <c r="A220" t="s">
        <v>304</v>
      </c>
    </row>
    <row r="221" spans="1:1" x14ac:dyDescent="0.25">
      <c r="A221" t="s">
        <v>304</v>
      </c>
    </row>
    <row r="222" spans="1:1" x14ac:dyDescent="0.25">
      <c r="A222" t="s">
        <v>304</v>
      </c>
    </row>
    <row r="223" spans="1:1" x14ac:dyDescent="0.25">
      <c r="A223" t="s">
        <v>304</v>
      </c>
    </row>
    <row r="224" spans="1:1" x14ac:dyDescent="0.25">
      <c r="A224" t="s">
        <v>304</v>
      </c>
    </row>
    <row r="225" spans="1:1" x14ac:dyDescent="0.25">
      <c r="A225" t="s">
        <v>304</v>
      </c>
    </row>
    <row r="226" spans="1:1" x14ac:dyDescent="0.25">
      <c r="A226" t="s">
        <v>304</v>
      </c>
    </row>
    <row r="227" spans="1:1" x14ac:dyDescent="0.25">
      <c r="A227" t="s">
        <v>304</v>
      </c>
    </row>
    <row r="228" spans="1:1" x14ac:dyDescent="0.25">
      <c r="A228" t="s">
        <v>304</v>
      </c>
    </row>
    <row r="229" spans="1:1" x14ac:dyDescent="0.25">
      <c r="A229" t="s">
        <v>304</v>
      </c>
    </row>
    <row r="230" spans="1:1" x14ac:dyDescent="0.25">
      <c r="A230" t="s">
        <v>304</v>
      </c>
    </row>
    <row r="231" spans="1:1" x14ac:dyDescent="0.25">
      <c r="A231" t="s">
        <v>304</v>
      </c>
    </row>
    <row r="232" spans="1:1" x14ac:dyDescent="0.25">
      <c r="A232" t="s">
        <v>304</v>
      </c>
    </row>
    <row r="233" spans="1:1" x14ac:dyDescent="0.25">
      <c r="A233" t="s">
        <v>304</v>
      </c>
    </row>
    <row r="234" spans="1:1" x14ac:dyDescent="0.25">
      <c r="A234" t="s">
        <v>304</v>
      </c>
    </row>
    <row r="235" spans="1:1" x14ac:dyDescent="0.25">
      <c r="A235" t="s">
        <v>304</v>
      </c>
    </row>
    <row r="236" spans="1:1" x14ac:dyDescent="0.25">
      <c r="A236" t="s">
        <v>304</v>
      </c>
    </row>
    <row r="237" spans="1:1" x14ac:dyDescent="0.25">
      <c r="A237" t="s">
        <v>304</v>
      </c>
    </row>
    <row r="238" spans="1:1" x14ac:dyDescent="0.25">
      <c r="A238" t="s">
        <v>304</v>
      </c>
    </row>
    <row r="239" spans="1:1" x14ac:dyDescent="0.25">
      <c r="A239" t="s">
        <v>304</v>
      </c>
    </row>
    <row r="240" spans="1:1" x14ac:dyDescent="0.25">
      <c r="A240" t="s">
        <v>304</v>
      </c>
    </row>
    <row r="241" spans="1:1" x14ac:dyDescent="0.25">
      <c r="A241" t="s">
        <v>304</v>
      </c>
    </row>
    <row r="242" spans="1:1" x14ac:dyDescent="0.25">
      <c r="A242" t="s">
        <v>304</v>
      </c>
    </row>
    <row r="243" spans="1:1" x14ac:dyDescent="0.25">
      <c r="A243" t="s">
        <v>304</v>
      </c>
    </row>
    <row r="244" spans="1:1" x14ac:dyDescent="0.25">
      <c r="A244" t="s">
        <v>304</v>
      </c>
    </row>
    <row r="245" spans="1:1" x14ac:dyDescent="0.25">
      <c r="A245" t="s">
        <v>304</v>
      </c>
    </row>
    <row r="246" spans="1:1" x14ac:dyDescent="0.25">
      <c r="A246" t="s">
        <v>304</v>
      </c>
    </row>
    <row r="247" spans="1:1" x14ac:dyDescent="0.25">
      <c r="A247" t="s">
        <v>304</v>
      </c>
    </row>
    <row r="248" spans="1:1" x14ac:dyDescent="0.25">
      <c r="A248" t="s">
        <v>304</v>
      </c>
    </row>
    <row r="249" spans="1:1" x14ac:dyDescent="0.25">
      <c r="A249" t="s">
        <v>304</v>
      </c>
    </row>
    <row r="250" spans="1:1" x14ac:dyDescent="0.25">
      <c r="A250" t="s">
        <v>304</v>
      </c>
    </row>
    <row r="251" spans="1:1" x14ac:dyDescent="0.25">
      <c r="A251" t="s">
        <v>304</v>
      </c>
    </row>
    <row r="252" spans="1:1" x14ac:dyDescent="0.25">
      <c r="A252" t="s">
        <v>304</v>
      </c>
    </row>
    <row r="253" spans="1:1" x14ac:dyDescent="0.25">
      <c r="A253" t="s">
        <v>304</v>
      </c>
    </row>
    <row r="254" spans="1:1" x14ac:dyDescent="0.25">
      <c r="A254" t="s">
        <v>304</v>
      </c>
    </row>
    <row r="255" spans="1:1" x14ac:dyDescent="0.25">
      <c r="A255" t="s">
        <v>304</v>
      </c>
    </row>
    <row r="256" spans="1:1" x14ac:dyDescent="0.25">
      <c r="A256" t="s">
        <v>304</v>
      </c>
    </row>
    <row r="257" spans="1:1" x14ac:dyDescent="0.25">
      <c r="A257" t="s">
        <v>304</v>
      </c>
    </row>
    <row r="258" spans="1:1" x14ac:dyDescent="0.25">
      <c r="A258" t="s">
        <v>304</v>
      </c>
    </row>
    <row r="259" spans="1:1" x14ac:dyDescent="0.25">
      <c r="A259" t="s">
        <v>304</v>
      </c>
    </row>
    <row r="260" spans="1:1" x14ac:dyDescent="0.25">
      <c r="A260" t="s">
        <v>304</v>
      </c>
    </row>
    <row r="261" spans="1:1" x14ac:dyDescent="0.25">
      <c r="A261" t="s">
        <v>304</v>
      </c>
    </row>
    <row r="262" spans="1:1" x14ac:dyDescent="0.25">
      <c r="A262" t="s">
        <v>304</v>
      </c>
    </row>
    <row r="263" spans="1:1" x14ac:dyDescent="0.25">
      <c r="A263" t="s">
        <v>304</v>
      </c>
    </row>
    <row r="264" spans="1:1" x14ac:dyDescent="0.25">
      <c r="A264" t="s">
        <v>304</v>
      </c>
    </row>
    <row r="265" spans="1:1" x14ac:dyDescent="0.25">
      <c r="A265" t="s">
        <v>304</v>
      </c>
    </row>
    <row r="266" spans="1:1" x14ac:dyDescent="0.25">
      <c r="A266" t="s">
        <v>304</v>
      </c>
    </row>
    <row r="267" spans="1:1" x14ac:dyDescent="0.25">
      <c r="A267" t="s">
        <v>304</v>
      </c>
    </row>
    <row r="268" spans="1:1" x14ac:dyDescent="0.25">
      <c r="A268" t="s">
        <v>304</v>
      </c>
    </row>
    <row r="269" spans="1:1" x14ac:dyDescent="0.25">
      <c r="A269" t="s">
        <v>304</v>
      </c>
    </row>
    <row r="270" spans="1:1" x14ac:dyDescent="0.25">
      <c r="A270" t="s">
        <v>304</v>
      </c>
    </row>
    <row r="271" spans="1:1" x14ac:dyDescent="0.25">
      <c r="A271" t="s">
        <v>304</v>
      </c>
    </row>
    <row r="272" spans="1:1" x14ac:dyDescent="0.25">
      <c r="A272" t="s">
        <v>304</v>
      </c>
    </row>
    <row r="273" spans="1:1" x14ac:dyDescent="0.25">
      <c r="A273" t="s">
        <v>304</v>
      </c>
    </row>
    <row r="274" spans="1:1" x14ac:dyDescent="0.25">
      <c r="A274" t="s">
        <v>304</v>
      </c>
    </row>
    <row r="275" spans="1:1" x14ac:dyDescent="0.25">
      <c r="A275" t="s">
        <v>304</v>
      </c>
    </row>
    <row r="276" spans="1:1" x14ac:dyDescent="0.25">
      <c r="A276" t="s">
        <v>304</v>
      </c>
    </row>
    <row r="277" spans="1:1" x14ac:dyDescent="0.25">
      <c r="A277" t="s">
        <v>304</v>
      </c>
    </row>
    <row r="278" spans="1:1" x14ac:dyDescent="0.25">
      <c r="A278" t="s">
        <v>304</v>
      </c>
    </row>
    <row r="279" spans="1:1" x14ac:dyDescent="0.25">
      <c r="A279" t="s">
        <v>304</v>
      </c>
    </row>
    <row r="280" spans="1:1" x14ac:dyDescent="0.25">
      <c r="A280" t="s">
        <v>304</v>
      </c>
    </row>
    <row r="281" spans="1:1" x14ac:dyDescent="0.25">
      <c r="A281" t="s">
        <v>304</v>
      </c>
    </row>
    <row r="282" spans="1:1" x14ac:dyDescent="0.25">
      <c r="A282" t="s">
        <v>304</v>
      </c>
    </row>
    <row r="283" spans="1:1" x14ac:dyDescent="0.25">
      <c r="A283" t="s">
        <v>304</v>
      </c>
    </row>
    <row r="284" spans="1:1" x14ac:dyDescent="0.25">
      <c r="A284" t="s">
        <v>304</v>
      </c>
    </row>
    <row r="285" spans="1:1" x14ac:dyDescent="0.25">
      <c r="A285" t="s">
        <v>304</v>
      </c>
    </row>
    <row r="286" spans="1:1" x14ac:dyDescent="0.25">
      <c r="A286" t="s">
        <v>304</v>
      </c>
    </row>
    <row r="287" spans="1:1" x14ac:dyDescent="0.25">
      <c r="A287" t="s">
        <v>304</v>
      </c>
    </row>
    <row r="288" spans="1:1" x14ac:dyDescent="0.25">
      <c r="A288" t="s">
        <v>304</v>
      </c>
    </row>
    <row r="289" spans="1:1" x14ac:dyDescent="0.25">
      <c r="A289" t="s">
        <v>304</v>
      </c>
    </row>
    <row r="290" spans="1:1" x14ac:dyDescent="0.25">
      <c r="A290" t="s">
        <v>304</v>
      </c>
    </row>
    <row r="291" spans="1:1" x14ac:dyDescent="0.25">
      <c r="A291" t="s">
        <v>304</v>
      </c>
    </row>
    <row r="292" spans="1:1" x14ac:dyDescent="0.25">
      <c r="A292" t="s">
        <v>304</v>
      </c>
    </row>
    <row r="293" spans="1:1" x14ac:dyDescent="0.25">
      <c r="A293" t="s">
        <v>304</v>
      </c>
    </row>
    <row r="294" spans="1:1" x14ac:dyDescent="0.25">
      <c r="A294" t="s">
        <v>304</v>
      </c>
    </row>
    <row r="295" spans="1:1" x14ac:dyDescent="0.25">
      <c r="A295" t="s">
        <v>304</v>
      </c>
    </row>
    <row r="296" spans="1:1" x14ac:dyDescent="0.25">
      <c r="A296" t="s">
        <v>304</v>
      </c>
    </row>
    <row r="297" spans="1:1" x14ac:dyDescent="0.25">
      <c r="A297" t="s">
        <v>304</v>
      </c>
    </row>
    <row r="298" spans="1:1" x14ac:dyDescent="0.25">
      <c r="A298" t="s">
        <v>304</v>
      </c>
    </row>
    <row r="299" spans="1:1" x14ac:dyDescent="0.25">
      <c r="A299" t="s">
        <v>304</v>
      </c>
    </row>
    <row r="300" spans="1:1" x14ac:dyDescent="0.25">
      <c r="A300" t="s">
        <v>304</v>
      </c>
    </row>
    <row r="301" spans="1:1" x14ac:dyDescent="0.25">
      <c r="A301" t="s">
        <v>304</v>
      </c>
    </row>
    <row r="302" spans="1:1" x14ac:dyDescent="0.25">
      <c r="A302" t="s">
        <v>304</v>
      </c>
    </row>
    <row r="303" spans="1:1" x14ac:dyDescent="0.25">
      <c r="A303" t="s">
        <v>304</v>
      </c>
    </row>
    <row r="304" spans="1:1" x14ac:dyDescent="0.25">
      <c r="A304" t="s">
        <v>304</v>
      </c>
    </row>
    <row r="305" spans="1:1" x14ac:dyDescent="0.25">
      <c r="A305" t="s">
        <v>304</v>
      </c>
    </row>
    <row r="306" spans="1:1" x14ac:dyDescent="0.25">
      <c r="A306" t="s">
        <v>304</v>
      </c>
    </row>
    <row r="307" spans="1:1" x14ac:dyDescent="0.25">
      <c r="A307" t="s">
        <v>304</v>
      </c>
    </row>
    <row r="308" spans="1:1" x14ac:dyDescent="0.25">
      <c r="A308" t="s">
        <v>304</v>
      </c>
    </row>
    <row r="309" spans="1:1" x14ac:dyDescent="0.25">
      <c r="A309" t="s">
        <v>304</v>
      </c>
    </row>
    <row r="310" spans="1:1" x14ac:dyDescent="0.25">
      <c r="A310" t="s">
        <v>304</v>
      </c>
    </row>
    <row r="311" spans="1:1" x14ac:dyDescent="0.25">
      <c r="A311" t="s">
        <v>304</v>
      </c>
    </row>
    <row r="312" spans="1:1" x14ac:dyDescent="0.25">
      <c r="A312" t="s">
        <v>304</v>
      </c>
    </row>
    <row r="313" spans="1:1" x14ac:dyDescent="0.25">
      <c r="A313" t="s">
        <v>304</v>
      </c>
    </row>
    <row r="314" spans="1:1" x14ac:dyDescent="0.25">
      <c r="A314" t="s">
        <v>304</v>
      </c>
    </row>
    <row r="315" spans="1:1" x14ac:dyDescent="0.25">
      <c r="A315" t="s">
        <v>304</v>
      </c>
    </row>
    <row r="316" spans="1:1" x14ac:dyDescent="0.25">
      <c r="A316" t="s">
        <v>304</v>
      </c>
    </row>
    <row r="317" spans="1:1" x14ac:dyDescent="0.25">
      <c r="A317" t="s">
        <v>304</v>
      </c>
    </row>
    <row r="318" spans="1:1" x14ac:dyDescent="0.25">
      <c r="A318" t="s">
        <v>304</v>
      </c>
    </row>
    <row r="319" spans="1:1" x14ac:dyDescent="0.25">
      <c r="A319" t="s">
        <v>304</v>
      </c>
    </row>
    <row r="320" spans="1:1" x14ac:dyDescent="0.25">
      <c r="A320" t="s">
        <v>304</v>
      </c>
    </row>
    <row r="321" spans="1:1" x14ac:dyDescent="0.25">
      <c r="A321" t="s">
        <v>304</v>
      </c>
    </row>
    <row r="322" spans="1:1" x14ac:dyDescent="0.25">
      <c r="A322" t="s">
        <v>304</v>
      </c>
    </row>
    <row r="323" spans="1:1" x14ac:dyDescent="0.25">
      <c r="A323" t="s">
        <v>304</v>
      </c>
    </row>
    <row r="324" spans="1:1" x14ac:dyDescent="0.25">
      <c r="A324" t="s">
        <v>304</v>
      </c>
    </row>
    <row r="325" spans="1:1" x14ac:dyDescent="0.25">
      <c r="A325" t="s">
        <v>304</v>
      </c>
    </row>
    <row r="326" spans="1:1" x14ac:dyDescent="0.25">
      <c r="A326" t="s">
        <v>304</v>
      </c>
    </row>
    <row r="327" spans="1:1" x14ac:dyDescent="0.25">
      <c r="A327" t="s">
        <v>304</v>
      </c>
    </row>
    <row r="328" spans="1:1" x14ac:dyDescent="0.25">
      <c r="A328" t="s">
        <v>304</v>
      </c>
    </row>
    <row r="329" spans="1:1" x14ac:dyDescent="0.25">
      <c r="A329" t="s">
        <v>304</v>
      </c>
    </row>
    <row r="330" spans="1:1" x14ac:dyDescent="0.25">
      <c r="A330" t="s">
        <v>304</v>
      </c>
    </row>
    <row r="331" spans="1:1" x14ac:dyDescent="0.25">
      <c r="A331" t="s">
        <v>304</v>
      </c>
    </row>
    <row r="332" spans="1:1" x14ac:dyDescent="0.25">
      <c r="A332" t="s">
        <v>304</v>
      </c>
    </row>
    <row r="333" spans="1:1" x14ac:dyDescent="0.25">
      <c r="A333" t="s">
        <v>304</v>
      </c>
    </row>
    <row r="334" spans="1:1" x14ac:dyDescent="0.25">
      <c r="A334" t="s">
        <v>304</v>
      </c>
    </row>
    <row r="335" spans="1:1" x14ac:dyDescent="0.25">
      <c r="A335" t="s">
        <v>304</v>
      </c>
    </row>
    <row r="336" spans="1:1" x14ac:dyDescent="0.25">
      <c r="A336" t="s">
        <v>304</v>
      </c>
    </row>
    <row r="337" spans="1:1" x14ac:dyDescent="0.25">
      <c r="A337" t="s">
        <v>304</v>
      </c>
    </row>
    <row r="338" spans="1:1" x14ac:dyDescent="0.25">
      <c r="A338" t="s">
        <v>304</v>
      </c>
    </row>
    <row r="339" spans="1:1" x14ac:dyDescent="0.25">
      <c r="A339" t="s">
        <v>304</v>
      </c>
    </row>
    <row r="340" spans="1:1" x14ac:dyDescent="0.25">
      <c r="A340" t="s">
        <v>304</v>
      </c>
    </row>
    <row r="341" spans="1:1" x14ac:dyDescent="0.25">
      <c r="A341" t="s">
        <v>304</v>
      </c>
    </row>
    <row r="342" spans="1:1" x14ac:dyDescent="0.25">
      <c r="A342" t="s">
        <v>304</v>
      </c>
    </row>
    <row r="343" spans="1:1" x14ac:dyDescent="0.25">
      <c r="A343" t="s">
        <v>304</v>
      </c>
    </row>
    <row r="344" spans="1:1" x14ac:dyDescent="0.25">
      <c r="A344" t="s">
        <v>304</v>
      </c>
    </row>
    <row r="345" spans="1:1" x14ac:dyDescent="0.25">
      <c r="A345" t="s">
        <v>304</v>
      </c>
    </row>
    <row r="346" spans="1:1" x14ac:dyDescent="0.25">
      <c r="A346" t="s">
        <v>304</v>
      </c>
    </row>
    <row r="347" spans="1:1" x14ac:dyDescent="0.25">
      <c r="A347" t="s">
        <v>304</v>
      </c>
    </row>
    <row r="348" spans="1:1" x14ac:dyDescent="0.25">
      <c r="A348" t="s">
        <v>304</v>
      </c>
    </row>
    <row r="349" spans="1:1" x14ac:dyDescent="0.25">
      <c r="A349" t="s">
        <v>304</v>
      </c>
    </row>
    <row r="350" spans="1:1" x14ac:dyDescent="0.25">
      <c r="A350" t="s">
        <v>304</v>
      </c>
    </row>
    <row r="351" spans="1:1" x14ac:dyDescent="0.25">
      <c r="A351" t="s">
        <v>304</v>
      </c>
    </row>
    <row r="352" spans="1:1" x14ac:dyDescent="0.25">
      <c r="A352" t="s">
        <v>304</v>
      </c>
    </row>
    <row r="353" spans="1:1" x14ac:dyDescent="0.25">
      <c r="A353" t="s">
        <v>304</v>
      </c>
    </row>
    <row r="354" spans="1:1" x14ac:dyDescent="0.25">
      <c r="A354" t="s">
        <v>304</v>
      </c>
    </row>
    <row r="355" spans="1:1" x14ac:dyDescent="0.25">
      <c r="A355" t="s">
        <v>304</v>
      </c>
    </row>
    <row r="356" spans="1:1" x14ac:dyDescent="0.25">
      <c r="A356" t="s">
        <v>304</v>
      </c>
    </row>
    <row r="357" spans="1:1" x14ac:dyDescent="0.25">
      <c r="A357" t="s">
        <v>304</v>
      </c>
    </row>
    <row r="358" spans="1:1" x14ac:dyDescent="0.25">
      <c r="A358" t="s">
        <v>304</v>
      </c>
    </row>
    <row r="359" spans="1:1" x14ac:dyDescent="0.25">
      <c r="A359" t="s">
        <v>304</v>
      </c>
    </row>
    <row r="360" spans="1:1" x14ac:dyDescent="0.25">
      <c r="A360" t="s">
        <v>304</v>
      </c>
    </row>
    <row r="361" spans="1:1" x14ac:dyDescent="0.25">
      <c r="A361" t="s">
        <v>304</v>
      </c>
    </row>
    <row r="362" spans="1:1" x14ac:dyDescent="0.25">
      <c r="A362" t="s">
        <v>304</v>
      </c>
    </row>
    <row r="363" spans="1:1" x14ac:dyDescent="0.25">
      <c r="A363" t="s">
        <v>304</v>
      </c>
    </row>
    <row r="364" spans="1:1" x14ac:dyDescent="0.25">
      <c r="A364" t="s">
        <v>304</v>
      </c>
    </row>
    <row r="365" spans="1:1" x14ac:dyDescent="0.25">
      <c r="A365" t="s">
        <v>304</v>
      </c>
    </row>
    <row r="366" spans="1:1" x14ac:dyDescent="0.25">
      <c r="A366" t="s">
        <v>304</v>
      </c>
    </row>
    <row r="367" spans="1:1" x14ac:dyDescent="0.25">
      <c r="A367" t="s">
        <v>304</v>
      </c>
    </row>
    <row r="368" spans="1:1" x14ac:dyDescent="0.25">
      <c r="A368" t="s">
        <v>304</v>
      </c>
    </row>
    <row r="369" spans="1:1" x14ac:dyDescent="0.25">
      <c r="A369" t="s">
        <v>304</v>
      </c>
    </row>
    <row r="370" spans="1:1" x14ac:dyDescent="0.25">
      <c r="A370" t="s">
        <v>304</v>
      </c>
    </row>
    <row r="371" spans="1:1" x14ac:dyDescent="0.25">
      <c r="A371" t="s">
        <v>304</v>
      </c>
    </row>
    <row r="372" spans="1:1" x14ac:dyDescent="0.25">
      <c r="A372" t="s">
        <v>304</v>
      </c>
    </row>
    <row r="373" spans="1:1" x14ac:dyDescent="0.25">
      <c r="A373" t="s">
        <v>304</v>
      </c>
    </row>
    <row r="374" spans="1:1" x14ac:dyDescent="0.25">
      <c r="A374" t="s">
        <v>304</v>
      </c>
    </row>
    <row r="375" spans="1:1" x14ac:dyDescent="0.25">
      <c r="A375" t="s">
        <v>304</v>
      </c>
    </row>
    <row r="376" spans="1:1" x14ac:dyDescent="0.25">
      <c r="A376" t="s">
        <v>304</v>
      </c>
    </row>
    <row r="377" spans="1:1" x14ac:dyDescent="0.25">
      <c r="A377" t="s">
        <v>304</v>
      </c>
    </row>
    <row r="378" spans="1:1" x14ac:dyDescent="0.25">
      <c r="A378" t="s">
        <v>304</v>
      </c>
    </row>
    <row r="379" spans="1:1" x14ac:dyDescent="0.25">
      <c r="A379" t="s">
        <v>304</v>
      </c>
    </row>
    <row r="380" spans="1:1" x14ac:dyDescent="0.25">
      <c r="A380" t="s">
        <v>304</v>
      </c>
    </row>
    <row r="381" spans="1:1" x14ac:dyDescent="0.25">
      <c r="A381" t="s">
        <v>304</v>
      </c>
    </row>
    <row r="382" spans="1:1" x14ac:dyDescent="0.25">
      <c r="A382" t="s">
        <v>304</v>
      </c>
    </row>
    <row r="383" spans="1:1" x14ac:dyDescent="0.25">
      <c r="A383" t="s">
        <v>304</v>
      </c>
    </row>
    <row r="384" spans="1:1" x14ac:dyDescent="0.25">
      <c r="A384" t="s">
        <v>304</v>
      </c>
    </row>
    <row r="385" spans="1:1" x14ac:dyDescent="0.25">
      <c r="A385" t="s">
        <v>304</v>
      </c>
    </row>
    <row r="386" spans="1:1" x14ac:dyDescent="0.25">
      <c r="A386" t="s">
        <v>304</v>
      </c>
    </row>
    <row r="387" spans="1:1" x14ac:dyDescent="0.25">
      <c r="A387" t="s">
        <v>304</v>
      </c>
    </row>
    <row r="388" spans="1:1" x14ac:dyDescent="0.25">
      <c r="A388" t="s">
        <v>304</v>
      </c>
    </row>
    <row r="389" spans="1:1" x14ac:dyDescent="0.25">
      <c r="A389" t="s">
        <v>304</v>
      </c>
    </row>
    <row r="390" spans="1:1" x14ac:dyDescent="0.25">
      <c r="A390" t="s">
        <v>304</v>
      </c>
    </row>
    <row r="391" spans="1:1" x14ac:dyDescent="0.25">
      <c r="A391" t="s">
        <v>304</v>
      </c>
    </row>
    <row r="392" spans="1:1" x14ac:dyDescent="0.25">
      <c r="A392" t="s">
        <v>304</v>
      </c>
    </row>
    <row r="393" spans="1:1" x14ac:dyDescent="0.25">
      <c r="A393" t="s">
        <v>304</v>
      </c>
    </row>
    <row r="394" spans="1:1" x14ac:dyDescent="0.25">
      <c r="A394" t="s">
        <v>304</v>
      </c>
    </row>
    <row r="395" spans="1:1" x14ac:dyDescent="0.25">
      <c r="A395" t="s">
        <v>304</v>
      </c>
    </row>
    <row r="396" spans="1:1" x14ac:dyDescent="0.25">
      <c r="A396" t="s">
        <v>304</v>
      </c>
    </row>
    <row r="397" spans="1:1" x14ac:dyDescent="0.25">
      <c r="A397" t="s">
        <v>304</v>
      </c>
    </row>
    <row r="398" spans="1:1" x14ac:dyDescent="0.25">
      <c r="A398" t="s">
        <v>304</v>
      </c>
    </row>
    <row r="399" spans="1:1" x14ac:dyDescent="0.25">
      <c r="A399" t="s">
        <v>304</v>
      </c>
    </row>
    <row r="400" spans="1:1" x14ac:dyDescent="0.25">
      <c r="A400" t="s">
        <v>304</v>
      </c>
    </row>
    <row r="401" spans="1:1" x14ac:dyDescent="0.25">
      <c r="A401" t="s">
        <v>304</v>
      </c>
    </row>
    <row r="402" spans="1:1" x14ac:dyDescent="0.25">
      <c r="A402" t="s">
        <v>304</v>
      </c>
    </row>
    <row r="403" spans="1:1" x14ac:dyDescent="0.25">
      <c r="A403" t="s">
        <v>304</v>
      </c>
    </row>
    <row r="404" spans="1:1" x14ac:dyDescent="0.25">
      <c r="A404" t="s">
        <v>304</v>
      </c>
    </row>
    <row r="405" spans="1:1" x14ac:dyDescent="0.25">
      <c r="A405" t="s">
        <v>304</v>
      </c>
    </row>
    <row r="406" spans="1:1" x14ac:dyDescent="0.25">
      <c r="A406" t="s">
        <v>304</v>
      </c>
    </row>
    <row r="407" spans="1:1" x14ac:dyDescent="0.25">
      <c r="A407" t="s">
        <v>304</v>
      </c>
    </row>
    <row r="408" spans="1:1" x14ac:dyDescent="0.25">
      <c r="A408" t="s">
        <v>304</v>
      </c>
    </row>
    <row r="409" spans="1:1" x14ac:dyDescent="0.25">
      <c r="A409" t="s">
        <v>304</v>
      </c>
    </row>
    <row r="410" spans="1:1" x14ac:dyDescent="0.25">
      <c r="A410" t="s">
        <v>304</v>
      </c>
    </row>
    <row r="411" spans="1:1" x14ac:dyDescent="0.25">
      <c r="A411" t="s">
        <v>304</v>
      </c>
    </row>
    <row r="412" spans="1:1" x14ac:dyDescent="0.25">
      <c r="A412" t="s">
        <v>304</v>
      </c>
    </row>
    <row r="413" spans="1:1" x14ac:dyDescent="0.25">
      <c r="A413" t="s">
        <v>304</v>
      </c>
    </row>
    <row r="414" spans="1:1" x14ac:dyDescent="0.25">
      <c r="A414" t="s">
        <v>304</v>
      </c>
    </row>
    <row r="415" spans="1:1" x14ac:dyDescent="0.25">
      <c r="A415" t="s">
        <v>304</v>
      </c>
    </row>
    <row r="416" spans="1:1" x14ac:dyDescent="0.25">
      <c r="A416" t="s">
        <v>304</v>
      </c>
    </row>
    <row r="417" spans="1:1" x14ac:dyDescent="0.25">
      <c r="A417" t="s">
        <v>304</v>
      </c>
    </row>
    <row r="418" spans="1:1" x14ac:dyDescent="0.25">
      <c r="A418" t="s">
        <v>304</v>
      </c>
    </row>
    <row r="419" spans="1:1" x14ac:dyDescent="0.25">
      <c r="A419" t="s">
        <v>304</v>
      </c>
    </row>
    <row r="420" spans="1:1" x14ac:dyDescent="0.25">
      <c r="A420" t="s">
        <v>304</v>
      </c>
    </row>
    <row r="421" spans="1:1" x14ac:dyDescent="0.25">
      <c r="A421" t="s">
        <v>304</v>
      </c>
    </row>
    <row r="422" spans="1:1" x14ac:dyDescent="0.25">
      <c r="A422" t="s">
        <v>304</v>
      </c>
    </row>
    <row r="423" spans="1:1" x14ac:dyDescent="0.25">
      <c r="A423" t="s">
        <v>304</v>
      </c>
    </row>
    <row r="424" spans="1:1" x14ac:dyDescent="0.25">
      <c r="A424" t="s">
        <v>304</v>
      </c>
    </row>
    <row r="425" spans="1:1" x14ac:dyDescent="0.25">
      <c r="A425" t="s">
        <v>304</v>
      </c>
    </row>
    <row r="426" spans="1:1" x14ac:dyDescent="0.25">
      <c r="A426" t="s">
        <v>304</v>
      </c>
    </row>
    <row r="427" spans="1:1" x14ac:dyDescent="0.25">
      <c r="A427" t="s">
        <v>304</v>
      </c>
    </row>
    <row r="428" spans="1:1" x14ac:dyDescent="0.25">
      <c r="A428" t="s">
        <v>304</v>
      </c>
    </row>
    <row r="429" spans="1:1" x14ac:dyDescent="0.25">
      <c r="A429" t="s">
        <v>304</v>
      </c>
    </row>
    <row r="430" spans="1:1" x14ac:dyDescent="0.25">
      <c r="A430" t="s">
        <v>304</v>
      </c>
    </row>
    <row r="431" spans="1:1" x14ac:dyDescent="0.25">
      <c r="A431" t="s">
        <v>304</v>
      </c>
    </row>
    <row r="432" spans="1:1" x14ac:dyDescent="0.25">
      <c r="A432" t="s">
        <v>304</v>
      </c>
    </row>
    <row r="433" spans="1:1" x14ac:dyDescent="0.25">
      <c r="A433" t="s">
        <v>304</v>
      </c>
    </row>
    <row r="434" spans="1:1" x14ac:dyDescent="0.25">
      <c r="A434" t="s">
        <v>304</v>
      </c>
    </row>
    <row r="435" spans="1:1" x14ac:dyDescent="0.25">
      <c r="A435" t="s">
        <v>304</v>
      </c>
    </row>
    <row r="436" spans="1:1" x14ac:dyDescent="0.25">
      <c r="A436" t="s">
        <v>304</v>
      </c>
    </row>
    <row r="437" spans="1:1" x14ac:dyDescent="0.25">
      <c r="A437" t="s">
        <v>304</v>
      </c>
    </row>
    <row r="438" spans="1:1" x14ac:dyDescent="0.25">
      <c r="A438" t="s">
        <v>304</v>
      </c>
    </row>
    <row r="439" spans="1:1" x14ac:dyDescent="0.25">
      <c r="A439" t="s">
        <v>304</v>
      </c>
    </row>
    <row r="440" spans="1:1" x14ac:dyDescent="0.25">
      <c r="A440" t="s">
        <v>304</v>
      </c>
    </row>
    <row r="441" spans="1:1" x14ac:dyDescent="0.25">
      <c r="A441" t="s">
        <v>304</v>
      </c>
    </row>
    <row r="442" spans="1:1" x14ac:dyDescent="0.25">
      <c r="A442" t="s">
        <v>304</v>
      </c>
    </row>
    <row r="443" spans="1:1" x14ac:dyDescent="0.25">
      <c r="A443" t="s">
        <v>304</v>
      </c>
    </row>
    <row r="444" spans="1:1" x14ac:dyDescent="0.25">
      <c r="A444" t="s">
        <v>304</v>
      </c>
    </row>
    <row r="445" spans="1:1" x14ac:dyDescent="0.25">
      <c r="A445" t="s">
        <v>304</v>
      </c>
    </row>
    <row r="446" spans="1:1" x14ac:dyDescent="0.25">
      <c r="A446" t="s">
        <v>304</v>
      </c>
    </row>
    <row r="447" spans="1:1" x14ac:dyDescent="0.25">
      <c r="A447" t="s">
        <v>304</v>
      </c>
    </row>
    <row r="448" spans="1:1" x14ac:dyDescent="0.25">
      <c r="A448" t="s">
        <v>304</v>
      </c>
    </row>
    <row r="449" spans="1:1" x14ac:dyDescent="0.25">
      <c r="A449" t="s">
        <v>304</v>
      </c>
    </row>
    <row r="450" spans="1:1" x14ac:dyDescent="0.25">
      <c r="A450" t="s">
        <v>304</v>
      </c>
    </row>
    <row r="451" spans="1:1" x14ac:dyDescent="0.25">
      <c r="A451" t="s">
        <v>304</v>
      </c>
    </row>
    <row r="452" spans="1:1" x14ac:dyDescent="0.25">
      <c r="A452" t="s">
        <v>304</v>
      </c>
    </row>
    <row r="453" spans="1:1" x14ac:dyDescent="0.25">
      <c r="A453" t="s">
        <v>304</v>
      </c>
    </row>
    <row r="454" spans="1:1" x14ac:dyDescent="0.25">
      <c r="A454" t="s">
        <v>304</v>
      </c>
    </row>
    <row r="455" spans="1:1" x14ac:dyDescent="0.25">
      <c r="A455" t="s">
        <v>304</v>
      </c>
    </row>
    <row r="456" spans="1:1" x14ac:dyDescent="0.25">
      <c r="A456" t="s">
        <v>304</v>
      </c>
    </row>
    <row r="457" spans="1:1" x14ac:dyDescent="0.25">
      <c r="A457" t="s">
        <v>304</v>
      </c>
    </row>
    <row r="458" spans="1:1" x14ac:dyDescent="0.25">
      <c r="A458" t="s">
        <v>304</v>
      </c>
    </row>
    <row r="459" spans="1:1" x14ac:dyDescent="0.25">
      <c r="A459" t="s">
        <v>304</v>
      </c>
    </row>
    <row r="460" spans="1:1" x14ac:dyDescent="0.25">
      <c r="A460" t="s">
        <v>304</v>
      </c>
    </row>
    <row r="461" spans="1:1" x14ac:dyDescent="0.25">
      <c r="A461" t="s">
        <v>304</v>
      </c>
    </row>
    <row r="462" spans="1:1" x14ac:dyDescent="0.25">
      <c r="A462" t="s">
        <v>304</v>
      </c>
    </row>
    <row r="463" spans="1:1" x14ac:dyDescent="0.25">
      <c r="A463" t="s">
        <v>304</v>
      </c>
    </row>
    <row r="464" spans="1:1" x14ac:dyDescent="0.25">
      <c r="A464" t="s">
        <v>304</v>
      </c>
    </row>
    <row r="465" spans="1:1" x14ac:dyDescent="0.25">
      <c r="A465" t="s">
        <v>304</v>
      </c>
    </row>
    <row r="466" spans="1:1" x14ac:dyDescent="0.25">
      <c r="A466" t="s">
        <v>304</v>
      </c>
    </row>
    <row r="467" spans="1:1" x14ac:dyDescent="0.25">
      <c r="A467" t="s">
        <v>304</v>
      </c>
    </row>
    <row r="468" spans="1:1" x14ac:dyDescent="0.25">
      <c r="A468" t="s">
        <v>304</v>
      </c>
    </row>
    <row r="469" spans="1:1" x14ac:dyDescent="0.25">
      <c r="A469" t="s">
        <v>304</v>
      </c>
    </row>
    <row r="470" spans="1:1" x14ac:dyDescent="0.25">
      <c r="A470" t="s">
        <v>304</v>
      </c>
    </row>
    <row r="471" spans="1:1" x14ac:dyDescent="0.25">
      <c r="A471" t="s">
        <v>304</v>
      </c>
    </row>
    <row r="472" spans="1:1" x14ac:dyDescent="0.25">
      <c r="A472" t="s">
        <v>304</v>
      </c>
    </row>
    <row r="473" spans="1:1" x14ac:dyDescent="0.25">
      <c r="A473" t="s">
        <v>304</v>
      </c>
    </row>
    <row r="474" spans="1:1" x14ac:dyDescent="0.25">
      <c r="A474" t="s">
        <v>304</v>
      </c>
    </row>
    <row r="475" spans="1:1" x14ac:dyDescent="0.25">
      <c r="A475" t="s">
        <v>304</v>
      </c>
    </row>
    <row r="476" spans="1:1" x14ac:dyDescent="0.25">
      <c r="A476" t="s">
        <v>304</v>
      </c>
    </row>
    <row r="477" spans="1:1" x14ac:dyDescent="0.25">
      <c r="A477" t="s">
        <v>304</v>
      </c>
    </row>
    <row r="478" spans="1:1" x14ac:dyDescent="0.25">
      <c r="A478" t="s">
        <v>304</v>
      </c>
    </row>
    <row r="479" spans="1:1" x14ac:dyDescent="0.25">
      <c r="A479" t="s">
        <v>304</v>
      </c>
    </row>
    <row r="480" spans="1:1" x14ac:dyDescent="0.25">
      <c r="A480" t="s">
        <v>304</v>
      </c>
    </row>
    <row r="481" spans="1:1" x14ac:dyDescent="0.25">
      <c r="A481" t="s">
        <v>304</v>
      </c>
    </row>
    <row r="482" spans="1:1" x14ac:dyDescent="0.25">
      <c r="A482" t="s">
        <v>304</v>
      </c>
    </row>
    <row r="483" spans="1:1" x14ac:dyDescent="0.25">
      <c r="A483" t="s">
        <v>304</v>
      </c>
    </row>
    <row r="484" spans="1:1" x14ac:dyDescent="0.25">
      <c r="A484" t="s">
        <v>304</v>
      </c>
    </row>
    <row r="485" spans="1:1" x14ac:dyDescent="0.25">
      <c r="A485" t="s">
        <v>304</v>
      </c>
    </row>
    <row r="486" spans="1:1" x14ac:dyDescent="0.25">
      <c r="A486" t="s">
        <v>304</v>
      </c>
    </row>
    <row r="487" spans="1:1" x14ac:dyDescent="0.25">
      <c r="A487" t="s">
        <v>304</v>
      </c>
    </row>
    <row r="488" spans="1:1" x14ac:dyDescent="0.25">
      <c r="A488" t="s">
        <v>304</v>
      </c>
    </row>
    <row r="489" spans="1:1" x14ac:dyDescent="0.25">
      <c r="A489" t="s">
        <v>304</v>
      </c>
    </row>
    <row r="490" spans="1:1" x14ac:dyDescent="0.25">
      <c r="A490" t="s">
        <v>304</v>
      </c>
    </row>
    <row r="491" spans="1:1" x14ac:dyDescent="0.25">
      <c r="A491" t="s">
        <v>304</v>
      </c>
    </row>
    <row r="492" spans="1:1" x14ac:dyDescent="0.25">
      <c r="A492" t="s">
        <v>304</v>
      </c>
    </row>
    <row r="493" spans="1:1" x14ac:dyDescent="0.25">
      <c r="A493" t="s">
        <v>304</v>
      </c>
    </row>
    <row r="494" spans="1:1" x14ac:dyDescent="0.25">
      <c r="A494" t="s">
        <v>304</v>
      </c>
    </row>
    <row r="495" spans="1:1" x14ac:dyDescent="0.25">
      <c r="A495" t="s">
        <v>304</v>
      </c>
    </row>
    <row r="496" spans="1:1" x14ac:dyDescent="0.25">
      <c r="A496" t="s">
        <v>304</v>
      </c>
    </row>
    <row r="497" spans="1:1" x14ac:dyDescent="0.25">
      <c r="A497" t="s">
        <v>304</v>
      </c>
    </row>
    <row r="498" spans="1:1" x14ac:dyDescent="0.25">
      <c r="A498" t="s">
        <v>304</v>
      </c>
    </row>
    <row r="499" spans="1:1" x14ac:dyDescent="0.25">
      <c r="A499" t="s">
        <v>304</v>
      </c>
    </row>
    <row r="500" spans="1:1" x14ac:dyDescent="0.25">
      <c r="A500" t="s">
        <v>304</v>
      </c>
    </row>
    <row r="501" spans="1:1" x14ac:dyDescent="0.25">
      <c r="A501" t="s">
        <v>304</v>
      </c>
    </row>
    <row r="502" spans="1:1" x14ac:dyDescent="0.25">
      <c r="A502" t="s">
        <v>304</v>
      </c>
    </row>
    <row r="503" spans="1:1" x14ac:dyDescent="0.25">
      <c r="A503" t="s">
        <v>304</v>
      </c>
    </row>
    <row r="504" spans="1:1" x14ac:dyDescent="0.25">
      <c r="A504" t="s">
        <v>304</v>
      </c>
    </row>
    <row r="505" spans="1:1" x14ac:dyDescent="0.25">
      <c r="A505" t="s">
        <v>304</v>
      </c>
    </row>
    <row r="506" spans="1:1" x14ac:dyDescent="0.25">
      <c r="A506" t="s">
        <v>304</v>
      </c>
    </row>
    <row r="507" spans="1:1" x14ac:dyDescent="0.25">
      <c r="A507" t="s">
        <v>304</v>
      </c>
    </row>
    <row r="508" spans="1:1" x14ac:dyDescent="0.25">
      <c r="A508" t="s">
        <v>304</v>
      </c>
    </row>
    <row r="509" spans="1:1" x14ac:dyDescent="0.25">
      <c r="A509" t="s">
        <v>304</v>
      </c>
    </row>
    <row r="510" spans="1:1" x14ac:dyDescent="0.25">
      <c r="A510" t="s">
        <v>304</v>
      </c>
    </row>
    <row r="511" spans="1:1" x14ac:dyDescent="0.25">
      <c r="A511" t="s">
        <v>304</v>
      </c>
    </row>
    <row r="512" spans="1:1" x14ac:dyDescent="0.25">
      <c r="A512" t="s">
        <v>304</v>
      </c>
    </row>
    <row r="513" spans="1:1" x14ac:dyDescent="0.25">
      <c r="A513" t="s">
        <v>304</v>
      </c>
    </row>
    <row r="514" spans="1:1" x14ac:dyDescent="0.25">
      <c r="A514" t="s">
        <v>304</v>
      </c>
    </row>
    <row r="515" spans="1:1" x14ac:dyDescent="0.25">
      <c r="A515" t="s">
        <v>304</v>
      </c>
    </row>
    <row r="516" spans="1:1" x14ac:dyDescent="0.25">
      <c r="A516" t="s">
        <v>304</v>
      </c>
    </row>
    <row r="517" spans="1:1" x14ac:dyDescent="0.25">
      <c r="A517" t="s">
        <v>304</v>
      </c>
    </row>
    <row r="518" spans="1:1" x14ac:dyDescent="0.25">
      <c r="A518" t="s">
        <v>304</v>
      </c>
    </row>
    <row r="519" spans="1:1" x14ac:dyDescent="0.25">
      <c r="A519" t="s">
        <v>304</v>
      </c>
    </row>
    <row r="520" spans="1:1" x14ac:dyDescent="0.25">
      <c r="A520" t="s">
        <v>304</v>
      </c>
    </row>
    <row r="521" spans="1:1" x14ac:dyDescent="0.25">
      <c r="A521" t="s">
        <v>304</v>
      </c>
    </row>
    <row r="522" spans="1:1" x14ac:dyDescent="0.25">
      <c r="A522" t="s">
        <v>304</v>
      </c>
    </row>
    <row r="523" spans="1:1" x14ac:dyDescent="0.25">
      <c r="A523" t="s">
        <v>304</v>
      </c>
    </row>
    <row r="524" spans="1:1" x14ac:dyDescent="0.25">
      <c r="A524" t="s">
        <v>304</v>
      </c>
    </row>
    <row r="525" spans="1:1" x14ac:dyDescent="0.25">
      <c r="A525" t="s">
        <v>304</v>
      </c>
    </row>
    <row r="526" spans="1:1" x14ac:dyDescent="0.25">
      <c r="A526" t="s">
        <v>304</v>
      </c>
    </row>
    <row r="527" spans="1:1" x14ac:dyDescent="0.25">
      <c r="A527" t="s">
        <v>304</v>
      </c>
    </row>
    <row r="528" spans="1:1" x14ac:dyDescent="0.25">
      <c r="A528" t="s">
        <v>304</v>
      </c>
    </row>
    <row r="529" spans="1:1" x14ac:dyDescent="0.25">
      <c r="A529" t="s">
        <v>304</v>
      </c>
    </row>
    <row r="530" spans="1:1" x14ac:dyDescent="0.25">
      <c r="A530" t="s">
        <v>304</v>
      </c>
    </row>
    <row r="531" spans="1:1" x14ac:dyDescent="0.25">
      <c r="A531" t="s">
        <v>304</v>
      </c>
    </row>
    <row r="532" spans="1:1" x14ac:dyDescent="0.25">
      <c r="A532" t="s">
        <v>304</v>
      </c>
    </row>
    <row r="533" spans="1:1" x14ac:dyDescent="0.25">
      <c r="A533" t="s">
        <v>304</v>
      </c>
    </row>
    <row r="534" spans="1:1" x14ac:dyDescent="0.25">
      <c r="A534" t="s">
        <v>304</v>
      </c>
    </row>
    <row r="535" spans="1:1" x14ac:dyDescent="0.25">
      <c r="A535" t="s">
        <v>304</v>
      </c>
    </row>
    <row r="536" spans="1:1" x14ac:dyDescent="0.25">
      <c r="A536" t="s">
        <v>304</v>
      </c>
    </row>
    <row r="537" spans="1:1" x14ac:dyDescent="0.25">
      <c r="A537" t="s">
        <v>304</v>
      </c>
    </row>
    <row r="538" spans="1:1" x14ac:dyDescent="0.25">
      <c r="A538" t="s">
        <v>304</v>
      </c>
    </row>
    <row r="539" spans="1:1" x14ac:dyDescent="0.25">
      <c r="A539" t="s">
        <v>304</v>
      </c>
    </row>
    <row r="540" spans="1:1" x14ac:dyDescent="0.25">
      <c r="A540" t="s">
        <v>304</v>
      </c>
    </row>
    <row r="541" spans="1:1" x14ac:dyDescent="0.25">
      <c r="A541" t="s">
        <v>304</v>
      </c>
    </row>
    <row r="542" spans="1:1" x14ac:dyDescent="0.25">
      <c r="A542" t="s">
        <v>304</v>
      </c>
    </row>
    <row r="543" spans="1:1" x14ac:dyDescent="0.25">
      <c r="A543" t="s">
        <v>304</v>
      </c>
    </row>
    <row r="544" spans="1:1" x14ac:dyDescent="0.25">
      <c r="A544" t="s">
        <v>304</v>
      </c>
    </row>
    <row r="545" spans="1:1" x14ac:dyDescent="0.25">
      <c r="A545" t="s">
        <v>304</v>
      </c>
    </row>
    <row r="546" spans="1:1" x14ac:dyDescent="0.25">
      <c r="A546" t="s">
        <v>304</v>
      </c>
    </row>
    <row r="547" spans="1:1" x14ac:dyDescent="0.25">
      <c r="A547" t="s">
        <v>304</v>
      </c>
    </row>
    <row r="548" spans="1:1" x14ac:dyDescent="0.25">
      <c r="A548" t="s">
        <v>304</v>
      </c>
    </row>
    <row r="549" spans="1:1" x14ac:dyDescent="0.25">
      <c r="A549" t="s">
        <v>304</v>
      </c>
    </row>
    <row r="550" spans="1:1" x14ac:dyDescent="0.25">
      <c r="A550" t="s">
        <v>304</v>
      </c>
    </row>
    <row r="551" spans="1:1" x14ac:dyDescent="0.25">
      <c r="A551" t="s">
        <v>304</v>
      </c>
    </row>
    <row r="552" spans="1:1" x14ac:dyDescent="0.25">
      <c r="A552" t="s">
        <v>304</v>
      </c>
    </row>
    <row r="553" spans="1:1" x14ac:dyDescent="0.25">
      <c r="A553" t="s">
        <v>304</v>
      </c>
    </row>
    <row r="554" spans="1:1" x14ac:dyDescent="0.25">
      <c r="A554" t="s">
        <v>304</v>
      </c>
    </row>
    <row r="555" spans="1:1" x14ac:dyDescent="0.25">
      <c r="A555" t="s">
        <v>304</v>
      </c>
    </row>
    <row r="556" spans="1:1" x14ac:dyDescent="0.25">
      <c r="A556" t="s">
        <v>304</v>
      </c>
    </row>
    <row r="557" spans="1:1" x14ac:dyDescent="0.25">
      <c r="A557" t="s">
        <v>304</v>
      </c>
    </row>
    <row r="558" spans="1:1" x14ac:dyDescent="0.25">
      <c r="A558" t="s">
        <v>304</v>
      </c>
    </row>
    <row r="559" spans="1:1" x14ac:dyDescent="0.25">
      <c r="A559" t="s">
        <v>304</v>
      </c>
    </row>
    <row r="560" spans="1:1" x14ac:dyDescent="0.25">
      <c r="A560" t="s">
        <v>304</v>
      </c>
    </row>
    <row r="561" spans="1:1" x14ac:dyDescent="0.25">
      <c r="A561" t="s">
        <v>304</v>
      </c>
    </row>
    <row r="562" spans="1:1" x14ac:dyDescent="0.25">
      <c r="A562" t="s">
        <v>304</v>
      </c>
    </row>
    <row r="563" spans="1:1" x14ac:dyDescent="0.25">
      <c r="A563" t="s">
        <v>304</v>
      </c>
    </row>
    <row r="564" spans="1:1" x14ac:dyDescent="0.25">
      <c r="A564" t="s">
        <v>304</v>
      </c>
    </row>
    <row r="565" spans="1:1" x14ac:dyDescent="0.25">
      <c r="A565" t="s">
        <v>304</v>
      </c>
    </row>
    <row r="566" spans="1:1" x14ac:dyDescent="0.25">
      <c r="A566" t="s">
        <v>304</v>
      </c>
    </row>
    <row r="567" spans="1:1" x14ac:dyDescent="0.25">
      <c r="A567" t="s">
        <v>304</v>
      </c>
    </row>
    <row r="568" spans="1:1" x14ac:dyDescent="0.25">
      <c r="A568" t="s">
        <v>304</v>
      </c>
    </row>
    <row r="569" spans="1:1" x14ac:dyDescent="0.25">
      <c r="A569" t="s">
        <v>304</v>
      </c>
    </row>
    <row r="570" spans="1:1" x14ac:dyDescent="0.25">
      <c r="A570" t="s">
        <v>304</v>
      </c>
    </row>
    <row r="571" spans="1:1" x14ac:dyDescent="0.25">
      <c r="A571" t="s">
        <v>304</v>
      </c>
    </row>
    <row r="572" spans="1:1" x14ac:dyDescent="0.25">
      <c r="A572" t="s">
        <v>304</v>
      </c>
    </row>
    <row r="573" spans="1:1" x14ac:dyDescent="0.25">
      <c r="A573" t="s">
        <v>304</v>
      </c>
    </row>
    <row r="574" spans="1:1" x14ac:dyDescent="0.25">
      <c r="A574" t="s">
        <v>304</v>
      </c>
    </row>
    <row r="575" spans="1:1" x14ac:dyDescent="0.25">
      <c r="A575" t="s">
        <v>304</v>
      </c>
    </row>
    <row r="576" spans="1:1" x14ac:dyDescent="0.25">
      <c r="A576" t="s">
        <v>304</v>
      </c>
    </row>
    <row r="577" spans="1:1" x14ac:dyDescent="0.25">
      <c r="A577" t="s">
        <v>304</v>
      </c>
    </row>
    <row r="578" spans="1:1" x14ac:dyDescent="0.25">
      <c r="A578" t="s">
        <v>304</v>
      </c>
    </row>
    <row r="579" spans="1:1" x14ac:dyDescent="0.25">
      <c r="A579" t="s">
        <v>304</v>
      </c>
    </row>
    <row r="580" spans="1:1" x14ac:dyDescent="0.25">
      <c r="A580" t="s">
        <v>304</v>
      </c>
    </row>
    <row r="581" spans="1:1" x14ac:dyDescent="0.25">
      <c r="A581" t="s">
        <v>304</v>
      </c>
    </row>
    <row r="582" spans="1:1" x14ac:dyDescent="0.25">
      <c r="A582" t="s">
        <v>304</v>
      </c>
    </row>
    <row r="583" spans="1:1" x14ac:dyDescent="0.25">
      <c r="A583" t="s">
        <v>304</v>
      </c>
    </row>
    <row r="584" spans="1:1" x14ac:dyDescent="0.25">
      <c r="A584" t="s">
        <v>304</v>
      </c>
    </row>
    <row r="585" spans="1:1" x14ac:dyDescent="0.25">
      <c r="A585" t="s">
        <v>304</v>
      </c>
    </row>
    <row r="586" spans="1:1" x14ac:dyDescent="0.25">
      <c r="A586" t="s">
        <v>304</v>
      </c>
    </row>
    <row r="587" spans="1:1" x14ac:dyDescent="0.25">
      <c r="A587" t="s">
        <v>304</v>
      </c>
    </row>
    <row r="588" spans="1:1" x14ac:dyDescent="0.25">
      <c r="A588" t="s">
        <v>304</v>
      </c>
    </row>
    <row r="589" spans="1:1" x14ac:dyDescent="0.25">
      <c r="A589" t="s">
        <v>304</v>
      </c>
    </row>
    <row r="590" spans="1:1" x14ac:dyDescent="0.25">
      <c r="A590" t="s">
        <v>304</v>
      </c>
    </row>
    <row r="591" spans="1:1" x14ac:dyDescent="0.25">
      <c r="A591" t="s">
        <v>304</v>
      </c>
    </row>
    <row r="592" spans="1:1" x14ac:dyDescent="0.25">
      <c r="A592" t="s">
        <v>304</v>
      </c>
    </row>
    <row r="593" spans="1:1" x14ac:dyDescent="0.25">
      <c r="A593" t="s">
        <v>304</v>
      </c>
    </row>
    <row r="594" spans="1:1" x14ac:dyDescent="0.25">
      <c r="A594" t="s">
        <v>304</v>
      </c>
    </row>
    <row r="595" spans="1:1" x14ac:dyDescent="0.25">
      <c r="A595" t="s">
        <v>304</v>
      </c>
    </row>
    <row r="596" spans="1:1" x14ac:dyDescent="0.25">
      <c r="A596" t="s">
        <v>304</v>
      </c>
    </row>
    <row r="597" spans="1:1" x14ac:dyDescent="0.25">
      <c r="A597" t="s">
        <v>304</v>
      </c>
    </row>
    <row r="598" spans="1:1" x14ac:dyDescent="0.25">
      <c r="A598" t="s">
        <v>304</v>
      </c>
    </row>
    <row r="599" spans="1:1" x14ac:dyDescent="0.25">
      <c r="A599" t="s">
        <v>304</v>
      </c>
    </row>
    <row r="600" spans="1:1" x14ac:dyDescent="0.25">
      <c r="A600" t="s">
        <v>304</v>
      </c>
    </row>
    <row r="601" spans="1:1" x14ac:dyDescent="0.25">
      <c r="A601" t="s">
        <v>304</v>
      </c>
    </row>
    <row r="602" spans="1:1" x14ac:dyDescent="0.25">
      <c r="A602" t="s">
        <v>304</v>
      </c>
    </row>
    <row r="603" spans="1:1" x14ac:dyDescent="0.25">
      <c r="A603" t="s">
        <v>304</v>
      </c>
    </row>
    <row r="604" spans="1:1" x14ac:dyDescent="0.25">
      <c r="A604" t="s">
        <v>304</v>
      </c>
    </row>
    <row r="605" spans="1:1" x14ac:dyDescent="0.25">
      <c r="A605" t="s">
        <v>304</v>
      </c>
    </row>
    <row r="606" spans="1:1" x14ac:dyDescent="0.25">
      <c r="A606" t="s">
        <v>304</v>
      </c>
    </row>
    <row r="607" spans="1:1" x14ac:dyDescent="0.25">
      <c r="A607" t="s">
        <v>304</v>
      </c>
    </row>
    <row r="608" spans="1:1" x14ac:dyDescent="0.25">
      <c r="A608" t="s">
        <v>304</v>
      </c>
    </row>
    <row r="609" spans="1:1" x14ac:dyDescent="0.25">
      <c r="A609" t="s">
        <v>304</v>
      </c>
    </row>
    <row r="610" spans="1:1" x14ac:dyDescent="0.25">
      <c r="A610" t="s">
        <v>304</v>
      </c>
    </row>
    <row r="611" spans="1:1" x14ac:dyDescent="0.25">
      <c r="A611" t="s">
        <v>304</v>
      </c>
    </row>
    <row r="612" spans="1:1" x14ac:dyDescent="0.25">
      <c r="A612" t="s">
        <v>304</v>
      </c>
    </row>
    <row r="613" spans="1:1" x14ac:dyDescent="0.25">
      <c r="A613" t="s">
        <v>304</v>
      </c>
    </row>
    <row r="614" spans="1:1" x14ac:dyDescent="0.25">
      <c r="A614" t="s">
        <v>304</v>
      </c>
    </row>
    <row r="615" spans="1:1" x14ac:dyDescent="0.25">
      <c r="A615" t="s">
        <v>304</v>
      </c>
    </row>
    <row r="616" spans="1:1" x14ac:dyDescent="0.25">
      <c r="A616" t="s">
        <v>304</v>
      </c>
    </row>
    <row r="617" spans="1:1" x14ac:dyDescent="0.25">
      <c r="A617" t="s">
        <v>304</v>
      </c>
    </row>
    <row r="618" spans="1:1" x14ac:dyDescent="0.25">
      <c r="A618" t="s">
        <v>304</v>
      </c>
    </row>
    <row r="619" spans="1:1" x14ac:dyDescent="0.25">
      <c r="A619" t="s">
        <v>304</v>
      </c>
    </row>
    <row r="620" spans="1:1" x14ac:dyDescent="0.25">
      <c r="A620" t="s">
        <v>304</v>
      </c>
    </row>
    <row r="621" spans="1:1" x14ac:dyDescent="0.25">
      <c r="A621" t="s">
        <v>304</v>
      </c>
    </row>
    <row r="622" spans="1:1" x14ac:dyDescent="0.25">
      <c r="A622" t="s">
        <v>304</v>
      </c>
    </row>
    <row r="623" spans="1:1" x14ac:dyDescent="0.25">
      <c r="A623" t="s">
        <v>304</v>
      </c>
    </row>
    <row r="624" spans="1:1" x14ac:dyDescent="0.25">
      <c r="A624" t="s">
        <v>304</v>
      </c>
    </row>
    <row r="625" spans="1:1" x14ac:dyDescent="0.25">
      <c r="A625" t="s">
        <v>304</v>
      </c>
    </row>
    <row r="626" spans="1:1" x14ac:dyDescent="0.25">
      <c r="A626" t="s">
        <v>304</v>
      </c>
    </row>
    <row r="627" spans="1:1" x14ac:dyDescent="0.25">
      <c r="A627" t="s">
        <v>304</v>
      </c>
    </row>
    <row r="628" spans="1:1" x14ac:dyDescent="0.25">
      <c r="A628" t="s">
        <v>304</v>
      </c>
    </row>
    <row r="629" spans="1:1" x14ac:dyDescent="0.25">
      <c r="A629" t="s">
        <v>304</v>
      </c>
    </row>
    <row r="630" spans="1:1" x14ac:dyDescent="0.25">
      <c r="A630" t="s">
        <v>304</v>
      </c>
    </row>
    <row r="631" spans="1:1" x14ac:dyDescent="0.25">
      <c r="A631" t="s">
        <v>304</v>
      </c>
    </row>
    <row r="632" spans="1:1" x14ac:dyDescent="0.25">
      <c r="A632" t="s">
        <v>304</v>
      </c>
    </row>
    <row r="633" spans="1:1" x14ac:dyDescent="0.25">
      <c r="A633" t="s">
        <v>304</v>
      </c>
    </row>
    <row r="634" spans="1:1" x14ac:dyDescent="0.25">
      <c r="A634" t="s">
        <v>304</v>
      </c>
    </row>
    <row r="635" spans="1:1" x14ac:dyDescent="0.25">
      <c r="A635" t="s">
        <v>304</v>
      </c>
    </row>
    <row r="636" spans="1:1" x14ac:dyDescent="0.25">
      <c r="A636" t="s">
        <v>304</v>
      </c>
    </row>
    <row r="637" spans="1:1" x14ac:dyDescent="0.25">
      <c r="A637" t="s">
        <v>304</v>
      </c>
    </row>
    <row r="638" spans="1:1" x14ac:dyDescent="0.25">
      <c r="A638" t="s">
        <v>304</v>
      </c>
    </row>
    <row r="639" spans="1:1" x14ac:dyDescent="0.25">
      <c r="A639" t="s">
        <v>304</v>
      </c>
    </row>
    <row r="640" spans="1:1" x14ac:dyDescent="0.25">
      <c r="A640" t="s">
        <v>304</v>
      </c>
    </row>
    <row r="641" spans="1:1" x14ac:dyDescent="0.25">
      <c r="A641" t="s">
        <v>304</v>
      </c>
    </row>
    <row r="642" spans="1:1" x14ac:dyDescent="0.25">
      <c r="A642" t="s">
        <v>304</v>
      </c>
    </row>
    <row r="643" spans="1:1" x14ac:dyDescent="0.25">
      <c r="A643" t="s">
        <v>304</v>
      </c>
    </row>
    <row r="644" spans="1:1" x14ac:dyDescent="0.25">
      <c r="A644" t="s">
        <v>304</v>
      </c>
    </row>
    <row r="645" spans="1:1" x14ac:dyDescent="0.25">
      <c r="A645" t="s">
        <v>304</v>
      </c>
    </row>
    <row r="646" spans="1:1" x14ac:dyDescent="0.25">
      <c r="A646" t="s">
        <v>304</v>
      </c>
    </row>
    <row r="647" spans="1:1" x14ac:dyDescent="0.25">
      <c r="A647" t="s">
        <v>304</v>
      </c>
    </row>
    <row r="648" spans="1:1" x14ac:dyDescent="0.25">
      <c r="A648" t="s">
        <v>304</v>
      </c>
    </row>
    <row r="649" spans="1:1" x14ac:dyDescent="0.25">
      <c r="A649" t="s">
        <v>304</v>
      </c>
    </row>
    <row r="650" spans="1:1" x14ac:dyDescent="0.25">
      <c r="A650" t="s">
        <v>304</v>
      </c>
    </row>
    <row r="651" spans="1:1" x14ac:dyDescent="0.25">
      <c r="A651" t="s">
        <v>304</v>
      </c>
    </row>
    <row r="652" spans="1:1" x14ac:dyDescent="0.25">
      <c r="A652" t="s">
        <v>304</v>
      </c>
    </row>
    <row r="653" spans="1:1" x14ac:dyDescent="0.25">
      <c r="A653" t="s">
        <v>304</v>
      </c>
    </row>
    <row r="654" spans="1:1" x14ac:dyDescent="0.25">
      <c r="A654" t="s">
        <v>304</v>
      </c>
    </row>
    <row r="655" spans="1:1" x14ac:dyDescent="0.25">
      <c r="A655" t="s">
        <v>304</v>
      </c>
    </row>
    <row r="656" spans="1:1" x14ac:dyDescent="0.25">
      <c r="A656" t="s">
        <v>304</v>
      </c>
    </row>
    <row r="657" spans="1:1" x14ac:dyDescent="0.25">
      <c r="A657" t="s">
        <v>304</v>
      </c>
    </row>
    <row r="658" spans="1:1" x14ac:dyDescent="0.25">
      <c r="A658" t="s">
        <v>304</v>
      </c>
    </row>
    <row r="659" spans="1:1" x14ac:dyDescent="0.25">
      <c r="A659" t="s">
        <v>304</v>
      </c>
    </row>
    <row r="660" spans="1:1" x14ac:dyDescent="0.25">
      <c r="A660" t="s">
        <v>304</v>
      </c>
    </row>
    <row r="661" spans="1:1" x14ac:dyDescent="0.25">
      <c r="A661" t="s">
        <v>304</v>
      </c>
    </row>
    <row r="662" spans="1:1" x14ac:dyDescent="0.25">
      <c r="A662" t="s">
        <v>304</v>
      </c>
    </row>
    <row r="663" spans="1:1" x14ac:dyDescent="0.25">
      <c r="A663" t="s">
        <v>304</v>
      </c>
    </row>
    <row r="664" spans="1:1" x14ac:dyDescent="0.25">
      <c r="A664" t="s">
        <v>304</v>
      </c>
    </row>
    <row r="665" spans="1:1" x14ac:dyDescent="0.25">
      <c r="A665" t="s">
        <v>304</v>
      </c>
    </row>
    <row r="666" spans="1:1" x14ac:dyDescent="0.25">
      <c r="A666" t="s">
        <v>304</v>
      </c>
    </row>
    <row r="667" spans="1:1" x14ac:dyDescent="0.25">
      <c r="A667" t="s">
        <v>304</v>
      </c>
    </row>
    <row r="668" spans="1:1" x14ac:dyDescent="0.25">
      <c r="A668" t="s">
        <v>304</v>
      </c>
    </row>
    <row r="669" spans="1:1" x14ac:dyDescent="0.25">
      <c r="A669" t="s">
        <v>304</v>
      </c>
    </row>
    <row r="670" spans="1:1" x14ac:dyDescent="0.25">
      <c r="A670" t="s">
        <v>304</v>
      </c>
    </row>
    <row r="671" spans="1:1" x14ac:dyDescent="0.25">
      <c r="A671" t="s">
        <v>304</v>
      </c>
    </row>
  </sheetData>
  <customSheetViews>
    <customSheetView guid="{84F0FDFB-72A1-4214-8B2B-A048953E297B}">
      <selection sqref="A1:A14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1160"/>
  <sheetViews>
    <sheetView workbookViewId="0">
      <selection activeCell="D2" sqref="D2"/>
    </sheetView>
  </sheetViews>
  <sheetFormatPr defaultRowHeight="15" x14ac:dyDescent="0.25"/>
  <cols>
    <col min="2" max="2" width="2" bestFit="1" customWidth="1"/>
    <col min="3" max="4" width="20.7109375" bestFit="1" customWidth="1"/>
    <col min="6" max="6" width="42.140625" bestFit="1" customWidth="1"/>
    <col min="11" max="11" width="27.140625" bestFit="1" customWidth="1"/>
  </cols>
  <sheetData>
    <row r="1" spans="1:11" x14ac:dyDescent="0.25">
      <c r="A1" s="117" t="str">
        <f>B1</f>
        <v/>
      </c>
      <c r="B1" s="117" t="str">
        <f>IF(D1&lt;&gt;"",$N$2,"")</f>
        <v/>
      </c>
      <c r="C1" s="2" t="s">
        <v>323</v>
      </c>
      <c r="D1" s="2" t="str">
        <f>IF(ISNUMBER(SEARCH('DropDown Lists'!E7,C1)),C1,"")</f>
        <v/>
      </c>
      <c r="E1" s="2"/>
      <c r="F1" s="13" t="s">
        <v>325</v>
      </c>
      <c r="G1" s="2"/>
      <c r="H1" s="2"/>
      <c r="I1" s="2"/>
      <c r="J1" s="2"/>
      <c r="K1" s="13" t="s">
        <v>322</v>
      </c>
    </row>
    <row r="2" spans="1:11" x14ac:dyDescent="0.25">
      <c r="A2" s="117">
        <f t="shared" ref="A2:A65" si="0">B2</f>
        <v>0</v>
      </c>
      <c r="B2" s="117">
        <f t="shared" ref="B2:B65" si="1">IF(D2&lt;&gt;"",$N$2,"")</f>
        <v>0</v>
      </c>
      <c r="C2" s="2" t="s">
        <v>334</v>
      </c>
      <c r="D2" s="2" t="str">
        <f>IF(ISNUMBER(SEARCH('DropDown Lists'!E8,C2)),C2,"")</f>
        <v>full</v>
      </c>
      <c r="E2" s="2"/>
      <c r="F2" s="118" t="str">
        <f>'Program Page'!C14</f>
        <v>C:\Users\azthe\Box Sync\RAship Spring 2017\</v>
      </c>
      <c r="G2" s="2"/>
      <c r="H2" s="2"/>
      <c r="I2" s="2"/>
      <c r="J2" s="2"/>
      <c r="K2" s="117">
        <f>COUNT(B:B)</f>
        <v>2</v>
      </c>
    </row>
    <row r="3" spans="1:11" x14ac:dyDescent="0.25">
      <c r="A3" s="117">
        <f t="shared" si="0"/>
        <v>0</v>
      </c>
      <c r="B3" s="117">
        <f t="shared" si="1"/>
        <v>0</v>
      </c>
      <c r="C3" s="2" t="s">
        <v>335</v>
      </c>
      <c r="D3" s="2" t="str">
        <f>IF(ISNUMBER(SEARCH('DropDown Lists'!E9,C3)),C3,"")</f>
        <v>full - Copy</v>
      </c>
      <c r="E3" s="2"/>
      <c r="F3" s="2"/>
      <c r="G3" s="2"/>
      <c r="H3" s="2"/>
      <c r="I3" s="2"/>
      <c r="J3" s="2"/>
      <c r="K3" s="2"/>
    </row>
    <row r="4" spans="1:11" x14ac:dyDescent="0.25">
      <c r="A4" s="117" t="str">
        <f t="shared" si="0"/>
        <v/>
      </c>
      <c r="B4" s="117" t="str">
        <f t="shared" si="1"/>
        <v/>
      </c>
      <c r="D4" s="2" t="str">
        <f>IF(ISNUMBER(SEARCH('DropDown Lists'!E10,C4)),C4,"")</f>
        <v/>
      </c>
    </row>
    <row r="5" spans="1:11" x14ac:dyDescent="0.25">
      <c r="A5" s="117" t="str">
        <f t="shared" si="0"/>
        <v/>
      </c>
      <c r="B5" s="117" t="str">
        <f t="shared" si="1"/>
        <v/>
      </c>
      <c r="D5" s="2" t="str">
        <f>IF(ISNUMBER(SEARCH('DropDown Lists'!E11,C5)),C5,"")</f>
        <v/>
      </c>
    </row>
    <row r="6" spans="1:11" x14ac:dyDescent="0.25">
      <c r="A6" s="117" t="str">
        <f t="shared" si="0"/>
        <v/>
      </c>
      <c r="B6" s="117" t="str">
        <f t="shared" si="1"/>
        <v/>
      </c>
      <c r="D6" s="2" t="str">
        <f>IF(ISNUMBER(SEARCH('DropDown Lists'!E12,C6)),C6,"")</f>
        <v/>
      </c>
    </row>
    <row r="7" spans="1:11" x14ac:dyDescent="0.25">
      <c r="A7" s="117" t="str">
        <f t="shared" si="0"/>
        <v/>
      </c>
      <c r="B7" s="117" t="str">
        <f t="shared" si="1"/>
        <v/>
      </c>
      <c r="D7" s="2" t="str">
        <f>IF(ISNUMBER(SEARCH('DropDown Lists'!E13,C7)),C7,"")</f>
        <v/>
      </c>
    </row>
    <row r="8" spans="1:11" x14ac:dyDescent="0.25">
      <c r="A8" s="117" t="str">
        <f t="shared" si="0"/>
        <v/>
      </c>
      <c r="B8" s="117" t="str">
        <f t="shared" si="1"/>
        <v/>
      </c>
      <c r="D8" s="2" t="str">
        <f>IF(ISNUMBER(SEARCH('DropDown Lists'!E14,C8)),C8,"")</f>
        <v/>
      </c>
    </row>
    <row r="9" spans="1:11" x14ac:dyDescent="0.25">
      <c r="A9" s="117" t="str">
        <f t="shared" si="0"/>
        <v/>
      </c>
      <c r="B9" s="117" t="str">
        <f t="shared" si="1"/>
        <v/>
      </c>
      <c r="D9" s="2" t="str">
        <f>IF(ISNUMBER(SEARCH('DropDown Lists'!E15,C9)),C9,"")</f>
        <v/>
      </c>
    </row>
    <row r="10" spans="1:11" x14ac:dyDescent="0.25">
      <c r="A10" s="117" t="str">
        <f t="shared" si="0"/>
        <v/>
      </c>
      <c r="B10" s="117" t="str">
        <f t="shared" si="1"/>
        <v/>
      </c>
      <c r="D10" s="2" t="str">
        <f>IF(ISNUMBER(SEARCH('DropDown Lists'!E16,C10)),C10,"")</f>
        <v/>
      </c>
    </row>
    <row r="11" spans="1:11" x14ac:dyDescent="0.25">
      <c r="A11" s="117" t="str">
        <f t="shared" si="0"/>
        <v/>
      </c>
      <c r="B11" s="117" t="str">
        <f t="shared" si="1"/>
        <v/>
      </c>
      <c r="D11" s="2" t="str">
        <f>IF(ISNUMBER(SEARCH('DropDown Lists'!E17,C11)),C11,"")</f>
        <v/>
      </c>
    </row>
    <row r="12" spans="1:11" x14ac:dyDescent="0.25">
      <c r="A12" s="117" t="str">
        <f t="shared" si="0"/>
        <v/>
      </c>
      <c r="B12" s="117" t="str">
        <f t="shared" si="1"/>
        <v/>
      </c>
      <c r="D12" s="2" t="str">
        <f>IF(ISNUMBER(SEARCH('DropDown Lists'!E18,C12)),C12,"")</f>
        <v/>
      </c>
    </row>
    <row r="13" spans="1:11" x14ac:dyDescent="0.25">
      <c r="A13" s="117" t="str">
        <f t="shared" si="0"/>
        <v/>
      </c>
      <c r="B13" s="117" t="str">
        <f t="shared" si="1"/>
        <v/>
      </c>
      <c r="D13" s="2" t="str">
        <f>IF(ISNUMBER(SEARCH('DropDown Lists'!E19,C13)),C13,"")</f>
        <v/>
      </c>
    </row>
    <row r="14" spans="1:11" x14ac:dyDescent="0.25">
      <c r="A14" s="117" t="str">
        <f t="shared" si="0"/>
        <v/>
      </c>
      <c r="B14" s="117" t="str">
        <f t="shared" si="1"/>
        <v/>
      </c>
      <c r="D14" s="2" t="str">
        <f>IF(ISNUMBER(SEARCH('DropDown Lists'!E20,C14)),C14,"")</f>
        <v/>
      </c>
    </row>
    <row r="15" spans="1:11" x14ac:dyDescent="0.25">
      <c r="A15" s="117" t="str">
        <f t="shared" si="0"/>
        <v/>
      </c>
      <c r="B15" s="117" t="str">
        <f t="shared" si="1"/>
        <v/>
      </c>
      <c r="D15" s="2" t="str">
        <f>IF(ISNUMBER(SEARCH('DropDown Lists'!E21,C15)),C15,"")</f>
        <v/>
      </c>
    </row>
    <row r="16" spans="1:11" x14ac:dyDescent="0.25">
      <c r="A16" s="117" t="str">
        <f t="shared" si="0"/>
        <v/>
      </c>
      <c r="B16" s="117" t="str">
        <f t="shared" si="1"/>
        <v/>
      </c>
      <c r="D16" s="2" t="str">
        <f>IF(ISNUMBER(SEARCH('DropDown Lists'!E22,C16)),C16,"")</f>
        <v/>
      </c>
    </row>
    <row r="17" spans="1:4" x14ac:dyDescent="0.25">
      <c r="A17" s="117" t="str">
        <f t="shared" si="0"/>
        <v/>
      </c>
      <c r="B17" s="117" t="str">
        <f t="shared" si="1"/>
        <v/>
      </c>
      <c r="D17" s="2" t="str">
        <f>IF(ISNUMBER(SEARCH('DropDown Lists'!E23,C17)),C17,"")</f>
        <v/>
      </c>
    </row>
    <row r="18" spans="1:4" x14ac:dyDescent="0.25">
      <c r="A18" s="117" t="str">
        <f t="shared" si="0"/>
        <v/>
      </c>
      <c r="B18" s="117" t="str">
        <f t="shared" si="1"/>
        <v/>
      </c>
      <c r="D18" s="2" t="str">
        <f>IF(ISNUMBER(SEARCH('DropDown Lists'!E24,C18)),C18,"")</f>
        <v/>
      </c>
    </row>
    <row r="19" spans="1:4" x14ac:dyDescent="0.25">
      <c r="A19" s="117" t="str">
        <f t="shared" si="0"/>
        <v/>
      </c>
      <c r="B19" s="117" t="str">
        <f t="shared" si="1"/>
        <v/>
      </c>
      <c r="D19" s="2" t="str">
        <f>IF(ISNUMBER(SEARCH('DropDown Lists'!E25,C19)),C19,"")</f>
        <v/>
      </c>
    </row>
    <row r="20" spans="1:4" x14ac:dyDescent="0.25">
      <c r="A20" s="117" t="str">
        <f t="shared" si="0"/>
        <v/>
      </c>
      <c r="B20" s="117" t="str">
        <f t="shared" si="1"/>
        <v/>
      </c>
      <c r="D20" s="2" t="str">
        <f>IF(ISNUMBER(SEARCH('DropDown Lists'!E26,C20)),C20,"")</f>
        <v/>
      </c>
    </row>
    <row r="21" spans="1:4" x14ac:dyDescent="0.25">
      <c r="A21" s="117" t="str">
        <f t="shared" si="0"/>
        <v/>
      </c>
      <c r="B21" s="117" t="str">
        <f t="shared" si="1"/>
        <v/>
      </c>
      <c r="D21" s="2" t="str">
        <f>IF(ISNUMBER(SEARCH('DropDown Lists'!E27,C21)),C21,"")</f>
        <v/>
      </c>
    </row>
    <row r="22" spans="1:4" x14ac:dyDescent="0.25">
      <c r="A22" s="117" t="str">
        <f t="shared" si="0"/>
        <v/>
      </c>
      <c r="B22" s="117" t="str">
        <f t="shared" si="1"/>
        <v/>
      </c>
      <c r="D22" s="2" t="str">
        <f>IF(ISNUMBER(SEARCH('DropDown Lists'!E28,C22)),C22,"")</f>
        <v/>
      </c>
    </row>
    <row r="23" spans="1:4" x14ac:dyDescent="0.25">
      <c r="A23" s="117" t="str">
        <f t="shared" si="0"/>
        <v/>
      </c>
      <c r="B23" s="117" t="str">
        <f t="shared" si="1"/>
        <v/>
      </c>
      <c r="D23" s="2" t="str">
        <f>IF(ISNUMBER(SEARCH('DropDown Lists'!E29,C23)),C23,"")</f>
        <v/>
      </c>
    </row>
    <row r="24" spans="1:4" x14ac:dyDescent="0.25">
      <c r="A24" s="117" t="str">
        <f t="shared" si="0"/>
        <v/>
      </c>
      <c r="B24" s="117" t="str">
        <f t="shared" si="1"/>
        <v/>
      </c>
      <c r="D24" s="2" t="str">
        <f>IF(ISNUMBER(SEARCH('DropDown Lists'!E30,C24)),C24,"")</f>
        <v/>
      </c>
    </row>
    <row r="25" spans="1:4" x14ac:dyDescent="0.25">
      <c r="A25" s="117" t="str">
        <f t="shared" si="0"/>
        <v/>
      </c>
      <c r="B25" s="117" t="str">
        <f t="shared" si="1"/>
        <v/>
      </c>
      <c r="D25" s="2" t="str">
        <f>IF(ISNUMBER(SEARCH('DropDown Lists'!E31,C25)),C25,"")</f>
        <v/>
      </c>
    </row>
    <row r="26" spans="1:4" x14ac:dyDescent="0.25">
      <c r="A26" s="117" t="str">
        <f t="shared" si="0"/>
        <v/>
      </c>
      <c r="B26" s="117" t="str">
        <f t="shared" si="1"/>
        <v/>
      </c>
      <c r="D26" s="2" t="str">
        <f>IF(ISNUMBER(SEARCH('DropDown Lists'!E32,C26)),C26,"")</f>
        <v/>
      </c>
    </row>
    <row r="27" spans="1:4" x14ac:dyDescent="0.25">
      <c r="A27" s="117" t="str">
        <f t="shared" si="0"/>
        <v/>
      </c>
      <c r="B27" s="117" t="str">
        <f t="shared" si="1"/>
        <v/>
      </c>
      <c r="D27" s="2" t="str">
        <f>IF(ISNUMBER(SEARCH('DropDown Lists'!E33,C27)),C27,"")</f>
        <v/>
      </c>
    </row>
    <row r="28" spans="1:4" x14ac:dyDescent="0.25">
      <c r="A28" s="117" t="str">
        <f t="shared" si="0"/>
        <v/>
      </c>
      <c r="B28" s="117" t="str">
        <f t="shared" si="1"/>
        <v/>
      </c>
      <c r="D28" s="2" t="str">
        <f>IF(ISNUMBER(SEARCH('DropDown Lists'!E34,C28)),C28,"")</f>
        <v/>
      </c>
    </row>
    <row r="29" spans="1:4" x14ac:dyDescent="0.25">
      <c r="A29" s="117" t="str">
        <f t="shared" si="0"/>
        <v/>
      </c>
      <c r="B29" s="117" t="str">
        <f t="shared" si="1"/>
        <v/>
      </c>
      <c r="D29" s="2" t="str">
        <f>IF(ISNUMBER(SEARCH('DropDown Lists'!E35,C29)),C29,"")</f>
        <v/>
      </c>
    </row>
    <row r="30" spans="1:4" x14ac:dyDescent="0.25">
      <c r="A30" s="117" t="str">
        <f t="shared" si="0"/>
        <v/>
      </c>
      <c r="B30" s="117" t="str">
        <f t="shared" si="1"/>
        <v/>
      </c>
      <c r="D30" s="2" t="str">
        <f>IF(ISNUMBER(SEARCH('DropDown Lists'!E36,C30)),C30,"")</f>
        <v/>
      </c>
    </row>
    <row r="31" spans="1:4" x14ac:dyDescent="0.25">
      <c r="A31" s="117" t="str">
        <f t="shared" si="0"/>
        <v/>
      </c>
      <c r="B31" s="117" t="str">
        <f t="shared" si="1"/>
        <v/>
      </c>
      <c r="D31" s="2" t="str">
        <f>IF(ISNUMBER(SEARCH('DropDown Lists'!E37,C31)),C31,"")</f>
        <v/>
      </c>
    </row>
    <row r="32" spans="1:4" x14ac:dyDescent="0.25">
      <c r="A32" s="117" t="str">
        <f t="shared" si="0"/>
        <v/>
      </c>
      <c r="B32" s="117" t="str">
        <f t="shared" si="1"/>
        <v/>
      </c>
      <c r="D32" s="2" t="str">
        <f>IF(ISNUMBER(SEARCH('DropDown Lists'!E38,C32)),C32,"")</f>
        <v/>
      </c>
    </row>
    <row r="33" spans="1:4" x14ac:dyDescent="0.25">
      <c r="A33" s="117" t="str">
        <f t="shared" si="0"/>
        <v/>
      </c>
      <c r="B33" s="117" t="str">
        <f t="shared" si="1"/>
        <v/>
      </c>
      <c r="D33" s="2" t="str">
        <f>IF(ISNUMBER(SEARCH('DropDown Lists'!E39,C33)),C33,"")</f>
        <v/>
      </c>
    </row>
    <row r="34" spans="1:4" x14ac:dyDescent="0.25">
      <c r="A34" s="117" t="str">
        <f t="shared" si="0"/>
        <v/>
      </c>
      <c r="B34" s="117" t="str">
        <f t="shared" si="1"/>
        <v/>
      </c>
      <c r="D34" s="2" t="str">
        <f>IF(ISNUMBER(SEARCH('DropDown Lists'!E40,C34)),C34,"")</f>
        <v/>
      </c>
    </row>
    <row r="35" spans="1:4" x14ac:dyDescent="0.25">
      <c r="A35" s="117" t="str">
        <f t="shared" si="0"/>
        <v/>
      </c>
      <c r="B35" s="117" t="str">
        <f t="shared" si="1"/>
        <v/>
      </c>
      <c r="D35" s="2" t="str">
        <f>IF(ISNUMBER(SEARCH('DropDown Lists'!E41,C35)),C35,"")</f>
        <v/>
      </c>
    </row>
    <row r="36" spans="1:4" x14ac:dyDescent="0.25">
      <c r="A36" s="117" t="str">
        <f t="shared" si="0"/>
        <v/>
      </c>
      <c r="B36" s="117" t="str">
        <f t="shared" si="1"/>
        <v/>
      </c>
      <c r="D36" s="2" t="str">
        <f>IF(ISNUMBER(SEARCH('DropDown Lists'!E42,C36)),C36,"")</f>
        <v/>
      </c>
    </row>
    <row r="37" spans="1:4" x14ac:dyDescent="0.25">
      <c r="A37" s="117" t="str">
        <f t="shared" si="0"/>
        <v/>
      </c>
      <c r="B37" s="117" t="str">
        <f t="shared" si="1"/>
        <v/>
      </c>
      <c r="D37" s="2" t="str">
        <f>IF(ISNUMBER(SEARCH('DropDown Lists'!E43,C37)),C37,"")</f>
        <v/>
      </c>
    </row>
    <row r="38" spans="1:4" x14ac:dyDescent="0.25">
      <c r="A38" s="117" t="str">
        <f t="shared" si="0"/>
        <v/>
      </c>
      <c r="B38" s="117" t="str">
        <f t="shared" si="1"/>
        <v/>
      </c>
      <c r="D38" s="2" t="str">
        <f>IF(ISNUMBER(SEARCH('DropDown Lists'!E44,C38)),C38,"")</f>
        <v/>
      </c>
    </row>
    <row r="39" spans="1:4" x14ac:dyDescent="0.25">
      <c r="A39" s="117" t="str">
        <f t="shared" si="0"/>
        <v/>
      </c>
      <c r="B39" s="117" t="str">
        <f t="shared" si="1"/>
        <v/>
      </c>
      <c r="D39" s="2" t="str">
        <f>IF(ISNUMBER(SEARCH('DropDown Lists'!E45,C39)),C39,"")</f>
        <v/>
      </c>
    </row>
    <row r="40" spans="1:4" x14ac:dyDescent="0.25">
      <c r="A40" s="117" t="str">
        <f t="shared" si="0"/>
        <v/>
      </c>
      <c r="B40" s="117" t="str">
        <f t="shared" si="1"/>
        <v/>
      </c>
      <c r="D40" s="2" t="str">
        <f>IF(ISNUMBER(SEARCH('DropDown Lists'!E46,C40)),C40,"")</f>
        <v/>
      </c>
    </row>
    <row r="41" spans="1:4" x14ac:dyDescent="0.25">
      <c r="A41" s="117" t="str">
        <f t="shared" si="0"/>
        <v/>
      </c>
      <c r="B41" s="117" t="str">
        <f t="shared" si="1"/>
        <v/>
      </c>
      <c r="D41" s="2" t="str">
        <f>IF(ISNUMBER(SEARCH('DropDown Lists'!E47,C41)),C41,"")</f>
        <v/>
      </c>
    </row>
    <row r="42" spans="1:4" x14ac:dyDescent="0.25">
      <c r="A42" s="117" t="str">
        <f t="shared" si="0"/>
        <v/>
      </c>
      <c r="B42" s="117" t="str">
        <f t="shared" si="1"/>
        <v/>
      </c>
      <c r="D42" s="2" t="str">
        <f>IF(ISNUMBER(SEARCH('DropDown Lists'!E48,C42)),C42,"")</f>
        <v/>
      </c>
    </row>
    <row r="43" spans="1:4" x14ac:dyDescent="0.25">
      <c r="A43" s="117" t="str">
        <f t="shared" si="0"/>
        <v/>
      </c>
      <c r="B43" s="117" t="str">
        <f t="shared" si="1"/>
        <v/>
      </c>
      <c r="D43" s="2" t="str">
        <f>IF(ISNUMBER(SEARCH('DropDown Lists'!E49,C43)),C43,"")</f>
        <v/>
      </c>
    </row>
    <row r="44" spans="1:4" x14ac:dyDescent="0.25">
      <c r="A44" s="117" t="str">
        <f t="shared" si="0"/>
        <v/>
      </c>
      <c r="B44" s="117" t="str">
        <f t="shared" si="1"/>
        <v/>
      </c>
      <c r="D44" s="2" t="str">
        <f>IF(ISNUMBER(SEARCH('DropDown Lists'!E50,C44)),C44,"")</f>
        <v/>
      </c>
    </row>
    <row r="45" spans="1:4" x14ac:dyDescent="0.25">
      <c r="A45" s="117" t="str">
        <f t="shared" si="0"/>
        <v/>
      </c>
      <c r="B45" s="117" t="str">
        <f t="shared" si="1"/>
        <v/>
      </c>
      <c r="D45" s="2" t="str">
        <f>IF(ISNUMBER(SEARCH('DropDown Lists'!E51,C45)),C45,"")</f>
        <v/>
      </c>
    </row>
    <row r="46" spans="1:4" x14ac:dyDescent="0.25">
      <c r="A46" s="117" t="str">
        <f t="shared" si="0"/>
        <v/>
      </c>
      <c r="B46" s="117" t="str">
        <f t="shared" si="1"/>
        <v/>
      </c>
      <c r="D46" s="2" t="str">
        <f>IF(ISNUMBER(SEARCH('DropDown Lists'!E52,C46)),C46,"")</f>
        <v/>
      </c>
    </row>
    <row r="47" spans="1:4" x14ac:dyDescent="0.25">
      <c r="A47" s="117" t="str">
        <f t="shared" si="0"/>
        <v/>
      </c>
      <c r="B47" s="117" t="str">
        <f t="shared" si="1"/>
        <v/>
      </c>
      <c r="D47" s="2" t="str">
        <f>IF(ISNUMBER(SEARCH('DropDown Lists'!E53,C47)),C47,"")</f>
        <v/>
      </c>
    </row>
    <row r="48" spans="1:4" x14ac:dyDescent="0.25">
      <c r="A48" s="117" t="str">
        <f t="shared" si="0"/>
        <v/>
      </c>
      <c r="B48" s="117" t="str">
        <f t="shared" si="1"/>
        <v/>
      </c>
      <c r="D48" s="2" t="str">
        <f>IF(ISNUMBER(SEARCH('DropDown Lists'!E54,C48)),C48,"")</f>
        <v/>
      </c>
    </row>
    <row r="49" spans="1:4" x14ac:dyDescent="0.25">
      <c r="A49" s="117" t="str">
        <f t="shared" si="0"/>
        <v/>
      </c>
      <c r="B49" s="117" t="str">
        <f t="shared" si="1"/>
        <v/>
      </c>
      <c r="D49" s="2" t="str">
        <f>IF(ISNUMBER(SEARCH('DropDown Lists'!E55,C49)),C49,"")</f>
        <v/>
      </c>
    </row>
    <row r="50" spans="1:4" x14ac:dyDescent="0.25">
      <c r="A50" s="117" t="str">
        <f t="shared" si="0"/>
        <v/>
      </c>
      <c r="B50" s="117" t="str">
        <f t="shared" si="1"/>
        <v/>
      </c>
      <c r="D50" s="2" t="str">
        <f>IF(ISNUMBER(SEARCH('DropDown Lists'!E56,C50)),C50,"")</f>
        <v/>
      </c>
    </row>
    <row r="51" spans="1:4" x14ac:dyDescent="0.25">
      <c r="A51" s="117" t="str">
        <f t="shared" si="0"/>
        <v/>
      </c>
      <c r="B51" s="117" t="str">
        <f t="shared" si="1"/>
        <v/>
      </c>
      <c r="D51" s="2" t="str">
        <f>IF(ISNUMBER(SEARCH('DropDown Lists'!E57,C51)),C51,"")</f>
        <v/>
      </c>
    </row>
    <row r="52" spans="1:4" x14ac:dyDescent="0.25">
      <c r="A52" s="117" t="str">
        <f t="shared" si="0"/>
        <v/>
      </c>
      <c r="B52" s="117" t="str">
        <f t="shared" si="1"/>
        <v/>
      </c>
      <c r="D52" s="2" t="str">
        <f>IF(ISNUMBER(SEARCH('DropDown Lists'!E58,C52)),C52,"")</f>
        <v/>
      </c>
    </row>
    <row r="53" spans="1:4" x14ac:dyDescent="0.25">
      <c r="A53" s="117" t="str">
        <f t="shared" si="0"/>
        <v/>
      </c>
      <c r="B53" s="117" t="str">
        <f t="shared" si="1"/>
        <v/>
      </c>
      <c r="D53" s="2" t="str">
        <f>IF(ISNUMBER(SEARCH('DropDown Lists'!E59,C53)),C53,"")</f>
        <v/>
      </c>
    </row>
    <row r="54" spans="1:4" x14ac:dyDescent="0.25">
      <c r="A54" s="117" t="str">
        <f t="shared" si="0"/>
        <v/>
      </c>
      <c r="B54" s="117" t="str">
        <f t="shared" si="1"/>
        <v/>
      </c>
      <c r="D54" s="2" t="str">
        <f>IF(ISNUMBER(SEARCH('DropDown Lists'!E60,C54)),C54,"")</f>
        <v/>
      </c>
    </row>
    <row r="55" spans="1:4" x14ac:dyDescent="0.25">
      <c r="A55" s="117" t="str">
        <f t="shared" si="0"/>
        <v/>
      </c>
      <c r="B55" s="117" t="str">
        <f t="shared" si="1"/>
        <v/>
      </c>
      <c r="D55" s="2" t="str">
        <f>IF(ISNUMBER(SEARCH('DropDown Lists'!E61,C55)),C55,"")</f>
        <v/>
      </c>
    </row>
    <row r="56" spans="1:4" x14ac:dyDescent="0.25">
      <c r="A56" s="117" t="str">
        <f t="shared" si="0"/>
        <v/>
      </c>
      <c r="B56" s="117" t="str">
        <f t="shared" si="1"/>
        <v/>
      </c>
      <c r="D56" s="2" t="str">
        <f>IF(ISNUMBER(SEARCH('DropDown Lists'!E62,C56)),C56,"")</f>
        <v/>
      </c>
    </row>
    <row r="57" spans="1:4" x14ac:dyDescent="0.25">
      <c r="A57" s="117" t="str">
        <f t="shared" si="0"/>
        <v/>
      </c>
      <c r="B57" s="117" t="str">
        <f t="shared" si="1"/>
        <v/>
      </c>
      <c r="D57" s="2" t="str">
        <f>IF(ISNUMBER(SEARCH('DropDown Lists'!E63,C57)),C57,"")</f>
        <v/>
      </c>
    </row>
    <row r="58" spans="1:4" x14ac:dyDescent="0.25">
      <c r="A58" s="117" t="str">
        <f t="shared" si="0"/>
        <v/>
      </c>
      <c r="B58" s="117" t="str">
        <f t="shared" si="1"/>
        <v/>
      </c>
      <c r="D58" s="2" t="str">
        <f>IF(ISNUMBER(SEARCH('DropDown Lists'!E64,C58)),C58,"")</f>
        <v/>
      </c>
    </row>
    <row r="59" spans="1:4" x14ac:dyDescent="0.25">
      <c r="A59" s="117" t="str">
        <f t="shared" si="0"/>
        <v/>
      </c>
      <c r="B59" s="117" t="str">
        <f t="shared" si="1"/>
        <v/>
      </c>
      <c r="D59" s="2" t="str">
        <f>IF(ISNUMBER(SEARCH('DropDown Lists'!E65,C59)),C59,"")</f>
        <v/>
      </c>
    </row>
    <row r="60" spans="1:4" x14ac:dyDescent="0.25">
      <c r="A60" s="117" t="str">
        <f t="shared" si="0"/>
        <v/>
      </c>
      <c r="B60" s="117" t="str">
        <f t="shared" si="1"/>
        <v/>
      </c>
      <c r="D60" s="2" t="str">
        <f>IF(ISNUMBER(SEARCH('DropDown Lists'!E66,C60)),C60,"")</f>
        <v/>
      </c>
    </row>
    <row r="61" spans="1:4" x14ac:dyDescent="0.25">
      <c r="A61" s="117" t="str">
        <f t="shared" si="0"/>
        <v/>
      </c>
      <c r="B61" s="117" t="str">
        <f t="shared" si="1"/>
        <v/>
      </c>
      <c r="D61" s="2" t="str">
        <f>IF(ISNUMBER(SEARCH('DropDown Lists'!E67,C61)),C61,"")</f>
        <v/>
      </c>
    </row>
    <row r="62" spans="1:4" x14ac:dyDescent="0.25">
      <c r="A62" s="117" t="str">
        <f t="shared" si="0"/>
        <v/>
      </c>
      <c r="B62" s="117" t="str">
        <f t="shared" si="1"/>
        <v/>
      </c>
      <c r="D62" s="2" t="str">
        <f>IF(ISNUMBER(SEARCH('DropDown Lists'!E68,C62)),C62,"")</f>
        <v/>
      </c>
    </row>
    <row r="63" spans="1:4" x14ac:dyDescent="0.25">
      <c r="A63" s="117" t="str">
        <f t="shared" si="0"/>
        <v/>
      </c>
      <c r="B63" s="117" t="str">
        <f t="shared" si="1"/>
        <v/>
      </c>
      <c r="D63" s="2" t="str">
        <f>IF(ISNUMBER(SEARCH('DropDown Lists'!E69,C63)),C63,"")</f>
        <v/>
      </c>
    </row>
    <row r="64" spans="1:4" x14ac:dyDescent="0.25">
      <c r="A64" s="117" t="str">
        <f t="shared" si="0"/>
        <v/>
      </c>
      <c r="B64" s="117" t="str">
        <f t="shared" si="1"/>
        <v/>
      </c>
      <c r="D64" s="2" t="str">
        <f>IF(ISNUMBER(SEARCH('DropDown Lists'!E70,C64)),C64,"")</f>
        <v/>
      </c>
    </row>
    <row r="65" spans="1:4" x14ac:dyDescent="0.25">
      <c r="A65" s="117" t="str">
        <f t="shared" si="0"/>
        <v/>
      </c>
      <c r="B65" s="117" t="str">
        <f t="shared" si="1"/>
        <v/>
      </c>
      <c r="D65" s="2" t="str">
        <f>IF(ISNUMBER(SEARCH('DropDown Lists'!E71,C65)),C65,"")</f>
        <v/>
      </c>
    </row>
    <row r="66" spans="1:4" x14ac:dyDescent="0.25">
      <c r="A66" s="117" t="str">
        <f t="shared" ref="A66:A129" si="2">B66</f>
        <v/>
      </c>
      <c r="B66" s="117" t="str">
        <f t="shared" ref="B66:B129" si="3">IF(D66&lt;&gt;"",$N$2,"")</f>
        <v/>
      </c>
      <c r="D66" s="2" t="str">
        <f>IF(ISNUMBER(SEARCH('DropDown Lists'!E72,C66)),C66,"")</f>
        <v/>
      </c>
    </row>
    <row r="67" spans="1:4" x14ac:dyDescent="0.25">
      <c r="A67" s="117" t="str">
        <f t="shared" si="2"/>
        <v/>
      </c>
      <c r="B67" s="117" t="str">
        <f t="shared" si="3"/>
        <v/>
      </c>
      <c r="D67" s="2" t="str">
        <f>IF(ISNUMBER(SEARCH('DropDown Lists'!E73,C67)),C67,"")</f>
        <v/>
      </c>
    </row>
    <row r="68" spans="1:4" x14ac:dyDescent="0.25">
      <c r="A68" s="117" t="str">
        <f t="shared" si="2"/>
        <v/>
      </c>
      <c r="B68" s="117" t="str">
        <f t="shared" si="3"/>
        <v/>
      </c>
      <c r="D68" s="2" t="str">
        <f>IF(ISNUMBER(SEARCH('DropDown Lists'!E74,C68)),C68,"")</f>
        <v/>
      </c>
    </row>
    <row r="69" spans="1:4" x14ac:dyDescent="0.25">
      <c r="A69" s="117" t="str">
        <f t="shared" si="2"/>
        <v/>
      </c>
      <c r="B69" s="117" t="str">
        <f t="shared" si="3"/>
        <v/>
      </c>
      <c r="D69" s="2" t="str">
        <f>IF(ISNUMBER(SEARCH('DropDown Lists'!E75,C69)),C69,"")</f>
        <v/>
      </c>
    </row>
    <row r="70" spans="1:4" x14ac:dyDescent="0.25">
      <c r="A70" s="117" t="str">
        <f t="shared" si="2"/>
        <v/>
      </c>
      <c r="B70" s="117" t="str">
        <f t="shared" si="3"/>
        <v/>
      </c>
      <c r="D70" s="2" t="str">
        <f>IF(ISNUMBER(SEARCH('DropDown Lists'!E76,C70)),C70,"")</f>
        <v/>
      </c>
    </row>
    <row r="71" spans="1:4" x14ac:dyDescent="0.25">
      <c r="A71" s="117" t="str">
        <f t="shared" si="2"/>
        <v/>
      </c>
      <c r="B71" s="117" t="str">
        <f t="shared" si="3"/>
        <v/>
      </c>
      <c r="D71" s="2" t="str">
        <f>IF(ISNUMBER(SEARCH('DropDown Lists'!E77,C71)),C71,"")</f>
        <v/>
      </c>
    </row>
    <row r="72" spans="1:4" x14ac:dyDescent="0.25">
      <c r="A72" s="117" t="str">
        <f t="shared" si="2"/>
        <v/>
      </c>
      <c r="B72" s="117" t="str">
        <f t="shared" si="3"/>
        <v/>
      </c>
      <c r="D72" s="2" t="str">
        <f>IF(ISNUMBER(SEARCH('DropDown Lists'!E78,C72)),C72,"")</f>
        <v/>
      </c>
    </row>
    <row r="73" spans="1:4" x14ac:dyDescent="0.25">
      <c r="A73" s="117" t="str">
        <f t="shared" si="2"/>
        <v/>
      </c>
      <c r="B73" s="117" t="str">
        <f t="shared" si="3"/>
        <v/>
      </c>
      <c r="D73" s="2" t="str">
        <f>IF(ISNUMBER(SEARCH('DropDown Lists'!E79,C73)),C73,"")</f>
        <v/>
      </c>
    </row>
    <row r="74" spans="1:4" x14ac:dyDescent="0.25">
      <c r="A74" s="117" t="str">
        <f t="shared" si="2"/>
        <v/>
      </c>
      <c r="B74" s="117" t="str">
        <f t="shared" si="3"/>
        <v/>
      </c>
      <c r="D74" s="2" t="str">
        <f>IF(ISNUMBER(SEARCH('DropDown Lists'!E80,C74)),C74,"")</f>
        <v/>
      </c>
    </row>
    <row r="75" spans="1:4" x14ac:dyDescent="0.25">
      <c r="A75" s="117" t="str">
        <f t="shared" si="2"/>
        <v/>
      </c>
      <c r="B75" s="117" t="str">
        <f t="shared" si="3"/>
        <v/>
      </c>
      <c r="D75" s="2" t="str">
        <f>IF(ISNUMBER(SEARCH('DropDown Lists'!E81,C75)),C75,"")</f>
        <v/>
      </c>
    </row>
    <row r="76" spans="1:4" x14ac:dyDescent="0.25">
      <c r="A76" s="117" t="str">
        <f t="shared" si="2"/>
        <v/>
      </c>
      <c r="B76" s="117" t="str">
        <f t="shared" si="3"/>
        <v/>
      </c>
      <c r="D76" s="2" t="str">
        <f>IF(ISNUMBER(SEARCH('DropDown Lists'!E82,C76)),C76,"")</f>
        <v/>
      </c>
    </row>
    <row r="77" spans="1:4" x14ac:dyDescent="0.25">
      <c r="A77" s="117" t="str">
        <f t="shared" si="2"/>
        <v/>
      </c>
      <c r="B77" s="117" t="str">
        <f t="shared" si="3"/>
        <v/>
      </c>
      <c r="D77" s="2" t="str">
        <f>IF(ISNUMBER(SEARCH('DropDown Lists'!E83,C77)),C77,"")</f>
        <v/>
      </c>
    </row>
    <row r="78" spans="1:4" x14ac:dyDescent="0.25">
      <c r="A78" s="117" t="str">
        <f t="shared" si="2"/>
        <v/>
      </c>
      <c r="B78" s="117" t="str">
        <f t="shared" si="3"/>
        <v/>
      </c>
      <c r="D78" s="2" t="str">
        <f>IF(ISNUMBER(SEARCH('DropDown Lists'!E84,C78)),C78,"")</f>
        <v/>
      </c>
    </row>
    <row r="79" spans="1:4" x14ac:dyDescent="0.25">
      <c r="A79" s="117" t="str">
        <f t="shared" si="2"/>
        <v/>
      </c>
      <c r="B79" s="117" t="str">
        <f t="shared" si="3"/>
        <v/>
      </c>
      <c r="D79" s="2" t="str">
        <f>IF(ISNUMBER(SEARCH('DropDown Lists'!E85,C79)),C79,"")</f>
        <v/>
      </c>
    </row>
    <row r="80" spans="1:4" x14ac:dyDescent="0.25">
      <c r="A80" s="117" t="str">
        <f t="shared" si="2"/>
        <v/>
      </c>
      <c r="B80" s="117" t="str">
        <f t="shared" si="3"/>
        <v/>
      </c>
      <c r="D80" s="2" t="str">
        <f>IF(ISNUMBER(SEARCH('DropDown Lists'!E86,C80)),C80,"")</f>
        <v/>
      </c>
    </row>
    <row r="81" spans="1:4" x14ac:dyDescent="0.25">
      <c r="A81" s="117" t="str">
        <f t="shared" si="2"/>
        <v/>
      </c>
      <c r="B81" s="117" t="str">
        <f t="shared" si="3"/>
        <v/>
      </c>
      <c r="D81" s="2" t="str">
        <f>IF(ISNUMBER(SEARCH('DropDown Lists'!E87,C81)),C81,"")</f>
        <v/>
      </c>
    </row>
    <row r="82" spans="1:4" x14ac:dyDescent="0.25">
      <c r="A82" s="117" t="str">
        <f t="shared" si="2"/>
        <v/>
      </c>
      <c r="B82" s="117" t="str">
        <f t="shared" si="3"/>
        <v/>
      </c>
      <c r="D82" s="2" t="str">
        <f>IF(ISNUMBER(SEARCH('DropDown Lists'!E88,C82)),C82,"")</f>
        <v/>
      </c>
    </row>
    <row r="83" spans="1:4" x14ac:dyDescent="0.25">
      <c r="A83" s="117" t="str">
        <f t="shared" si="2"/>
        <v/>
      </c>
      <c r="B83" s="117" t="str">
        <f t="shared" si="3"/>
        <v/>
      </c>
      <c r="D83" s="2" t="str">
        <f>IF(ISNUMBER(SEARCH('DropDown Lists'!E89,C83)),C83,"")</f>
        <v/>
      </c>
    </row>
    <row r="84" spans="1:4" x14ac:dyDescent="0.25">
      <c r="A84" s="117" t="str">
        <f t="shared" si="2"/>
        <v/>
      </c>
      <c r="B84" s="117" t="str">
        <f t="shared" si="3"/>
        <v/>
      </c>
      <c r="D84" s="2" t="str">
        <f>IF(ISNUMBER(SEARCH('DropDown Lists'!E90,C84)),C84,"")</f>
        <v/>
      </c>
    </row>
    <row r="85" spans="1:4" x14ac:dyDescent="0.25">
      <c r="A85" s="117" t="str">
        <f t="shared" si="2"/>
        <v/>
      </c>
      <c r="B85" s="117" t="str">
        <f t="shared" si="3"/>
        <v/>
      </c>
      <c r="D85" s="2" t="str">
        <f>IF(ISNUMBER(SEARCH('DropDown Lists'!E91,C85)),C85,"")</f>
        <v/>
      </c>
    </row>
    <row r="86" spans="1:4" x14ac:dyDescent="0.25">
      <c r="A86" s="117" t="str">
        <f t="shared" si="2"/>
        <v/>
      </c>
      <c r="B86" s="117" t="str">
        <f t="shared" si="3"/>
        <v/>
      </c>
      <c r="D86" s="2" t="str">
        <f>IF(ISNUMBER(SEARCH('DropDown Lists'!E92,C86)),C86,"")</f>
        <v/>
      </c>
    </row>
    <row r="87" spans="1:4" x14ac:dyDescent="0.25">
      <c r="A87" s="117" t="str">
        <f t="shared" si="2"/>
        <v/>
      </c>
      <c r="B87" s="117" t="str">
        <f t="shared" si="3"/>
        <v/>
      </c>
      <c r="D87" s="2" t="str">
        <f>IF(ISNUMBER(SEARCH('DropDown Lists'!E93,C87)),C87,"")</f>
        <v/>
      </c>
    </row>
    <row r="88" spans="1:4" x14ac:dyDescent="0.25">
      <c r="A88" s="117" t="str">
        <f t="shared" si="2"/>
        <v/>
      </c>
      <c r="B88" s="117" t="str">
        <f t="shared" si="3"/>
        <v/>
      </c>
      <c r="D88" s="2" t="str">
        <f>IF(ISNUMBER(SEARCH('DropDown Lists'!E94,C88)),C88,"")</f>
        <v/>
      </c>
    </row>
    <row r="89" spans="1:4" x14ac:dyDescent="0.25">
      <c r="A89" s="117" t="str">
        <f t="shared" si="2"/>
        <v/>
      </c>
      <c r="B89" s="117" t="str">
        <f t="shared" si="3"/>
        <v/>
      </c>
      <c r="D89" s="2" t="str">
        <f>IF(ISNUMBER(SEARCH('DropDown Lists'!E95,C89)),C89,"")</f>
        <v/>
      </c>
    </row>
    <row r="90" spans="1:4" x14ac:dyDescent="0.25">
      <c r="A90" s="117" t="str">
        <f t="shared" si="2"/>
        <v/>
      </c>
      <c r="B90" s="117" t="str">
        <f t="shared" si="3"/>
        <v/>
      </c>
      <c r="D90" s="2" t="str">
        <f>IF(ISNUMBER(SEARCH('DropDown Lists'!E96,C90)),C90,"")</f>
        <v/>
      </c>
    </row>
    <row r="91" spans="1:4" x14ac:dyDescent="0.25">
      <c r="A91" s="117" t="str">
        <f t="shared" si="2"/>
        <v/>
      </c>
      <c r="B91" s="117" t="str">
        <f t="shared" si="3"/>
        <v/>
      </c>
      <c r="D91" s="2" t="str">
        <f>IF(ISNUMBER(SEARCH('DropDown Lists'!E97,C91)),C91,"")</f>
        <v/>
      </c>
    </row>
    <row r="92" spans="1:4" x14ac:dyDescent="0.25">
      <c r="A92" s="117" t="str">
        <f t="shared" si="2"/>
        <v/>
      </c>
      <c r="B92" s="117" t="str">
        <f t="shared" si="3"/>
        <v/>
      </c>
      <c r="D92" s="2" t="str">
        <f>IF(ISNUMBER(SEARCH('DropDown Lists'!E98,C92)),C92,"")</f>
        <v/>
      </c>
    </row>
    <row r="93" spans="1:4" x14ac:dyDescent="0.25">
      <c r="A93" s="117" t="str">
        <f t="shared" si="2"/>
        <v/>
      </c>
      <c r="B93" s="117" t="str">
        <f t="shared" si="3"/>
        <v/>
      </c>
      <c r="D93" s="2" t="str">
        <f>IF(ISNUMBER(SEARCH('DropDown Lists'!E99,C93)),C93,"")</f>
        <v/>
      </c>
    </row>
    <row r="94" spans="1:4" x14ac:dyDescent="0.25">
      <c r="A94" s="117" t="str">
        <f t="shared" si="2"/>
        <v/>
      </c>
      <c r="B94" s="117" t="str">
        <f t="shared" si="3"/>
        <v/>
      </c>
      <c r="D94" s="2" t="str">
        <f>IF(ISNUMBER(SEARCH('DropDown Lists'!E100,C94)),C94,"")</f>
        <v/>
      </c>
    </row>
    <row r="95" spans="1:4" x14ac:dyDescent="0.25">
      <c r="A95" s="117" t="str">
        <f t="shared" si="2"/>
        <v/>
      </c>
      <c r="B95" s="117" t="str">
        <f t="shared" si="3"/>
        <v/>
      </c>
      <c r="D95" s="2" t="str">
        <f>IF(ISNUMBER(SEARCH('DropDown Lists'!E101,C95)),C95,"")</f>
        <v/>
      </c>
    </row>
    <row r="96" spans="1:4" x14ac:dyDescent="0.25">
      <c r="A96" s="117" t="str">
        <f t="shared" si="2"/>
        <v/>
      </c>
      <c r="B96" s="117" t="str">
        <f t="shared" si="3"/>
        <v/>
      </c>
      <c r="D96" s="2" t="str">
        <f>IF(ISNUMBER(SEARCH('DropDown Lists'!E102,C96)),C96,"")</f>
        <v/>
      </c>
    </row>
    <row r="97" spans="1:4" x14ac:dyDescent="0.25">
      <c r="A97" s="117" t="str">
        <f t="shared" si="2"/>
        <v/>
      </c>
      <c r="B97" s="117" t="str">
        <f t="shared" si="3"/>
        <v/>
      </c>
      <c r="D97" s="2" t="str">
        <f>IF(ISNUMBER(SEARCH('DropDown Lists'!E103,C97)),C97,"")</f>
        <v/>
      </c>
    </row>
    <row r="98" spans="1:4" x14ac:dyDescent="0.25">
      <c r="A98" s="117" t="str">
        <f t="shared" si="2"/>
        <v/>
      </c>
      <c r="B98" s="117" t="str">
        <f t="shared" si="3"/>
        <v/>
      </c>
      <c r="D98" s="2" t="str">
        <f>IF(ISNUMBER(SEARCH('DropDown Lists'!E104,C98)),C98,"")</f>
        <v/>
      </c>
    </row>
    <row r="99" spans="1:4" x14ac:dyDescent="0.25">
      <c r="A99" s="117" t="str">
        <f t="shared" si="2"/>
        <v/>
      </c>
      <c r="B99" s="117" t="str">
        <f t="shared" si="3"/>
        <v/>
      </c>
      <c r="D99" s="2" t="str">
        <f>IF(ISNUMBER(SEARCH('DropDown Lists'!E105,C99)),C99,"")</f>
        <v/>
      </c>
    </row>
    <row r="100" spans="1:4" x14ac:dyDescent="0.25">
      <c r="A100" s="117" t="str">
        <f t="shared" si="2"/>
        <v/>
      </c>
      <c r="B100" s="117" t="str">
        <f t="shared" si="3"/>
        <v/>
      </c>
      <c r="D100" s="2" t="str">
        <f>IF(ISNUMBER(SEARCH('DropDown Lists'!E106,C100)),C100,"")</f>
        <v/>
      </c>
    </row>
    <row r="101" spans="1:4" x14ac:dyDescent="0.25">
      <c r="A101" s="117" t="str">
        <f t="shared" si="2"/>
        <v/>
      </c>
      <c r="B101" s="117" t="str">
        <f t="shared" si="3"/>
        <v/>
      </c>
      <c r="D101" s="2" t="str">
        <f>IF(ISNUMBER(SEARCH('DropDown Lists'!E107,C101)),C101,"")</f>
        <v/>
      </c>
    </row>
    <row r="102" spans="1:4" x14ac:dyDescent="0.25">
      <c r="A102" s="117" t="str">
        <f t="shared" si="2"/>
        <v/>
      </c>
      <c r="B102" s="117" t="str">
        <f t="shared" si="3"/>
        <v/>
      </c>
      <c r="D102" s="2" t="str">
        <f>IF(ISNUMBER(SEARCH('DropDown Lists'!E108,C102)),C102,"")</f>
        <v/>
      </c>
    </row>
    <row r="103" spans="1:4" x14ac:dyDescent="0.25">
      <c r="A103" s="117" t="str">
        <f t="shared" si="2"/>
        <v/>
      </c>
      <c r="B103" s="117" t="str">
        <f t="shared" si="3"/>
        <v/>
      </c>
      <c r="D103" s="2" t="str">
        <f>IF(ISNUMBER(SEARCH('DropDown Lists'!E109,C103)),C103,"")</f>
        <v/>
      </c>
    </row>
    <row r="104" spans="1:4" x14ac:dyDescent="0.25">
      <c r="A104" s="117" t="str">
        <f t="shared" si="2"/>
        <v/>
      </c>
      <c r="B104" s="117" t="str">
        <f t="shared" si="3"/>
        <v/>
      </c>
      <c r="D104" s="2" t="str">
        <f>IF(ISNUMBER(SEARCH('DropDown Lists'!E110,C104)),C104,"")</f>
        <v/>
      </c>
    </row>
    <row r="105" spans="1:4" x14ac:dyDescent="0.25">
      <c r="A105" s="117" t="str">
        <f t="shared" si="2"/>
        <v/>
      </c>
      <c r="B105" s="117" t="str">
        <f t="shared" si="3"/>
        <v/>
      </c>
      <c r="D105" s="2" t="str">
        <f>IF(ISNUMBER(SEARCH('DropDown Lists'!E111,C105)),C105,"")</f>
        <v/>
      </c>
    </row>
    <row r="106" spans="1:4" x14ac:dyDescent="0.25">
      <c r="A106" s="117" t="str">
        <f t="shared" si="2"/>
        <v/>
      </c>
      <c r="B106" s="117" t="str">
        <f t="shared" si="3"/>
        <v/>
      </c>
      <c r="D106" s="2" t="str">
        <f>IF(ISNUMBER(SEARCH('DropDown Lists'!E112,C106)),C106,"")</f>
        <v/>
      </c>
    </row>
    <row r="107" spans="1:4" x14ac:dyDescent="0.25">
      <c r="A107" s="117" t="str">
        <f t="shared" si="2"/>
        <v/>
      </c>
      <c r="B107" s="117" t="str">
        <f t="shared" si="3"/>
        <v/>
      </c>
      <c r="D107" s="2" t="str">
        <f>IF(ISNUMBER(SEARCH('DropDown Lists'!E113,C107)),C107,"")</f>
        <v/>
      </c>
    </row>
    <row r="108" spans="1:4" x14ac:dyDescent="0.25">
      <c r="A108" s="117" t="str">
        <f t="shared" si="2"/>
        <v/>
      </c>
      <c r="B108" s="117" t="str">
        <f t="shared" si="3"/>
        <v/>
      </c>
      <c r="D108" s="2" t="str">
        <f>IF(ISNUMBER(SEARCH('DropDown Lists'!E114,C108)),C108,"")</f>
        <v/>
      </c>
    </row>
    <row r="109" spans="1:4" x14ac:dyDescent="0.25">
      <c r="A109" s="117" t="str">
        <f t="shared" si="2"/>
        <v/>
      </c>
      <c r="B109" s="117" t="str">
        <f t="shared" si="3"/>
        <v/>
      </c>
      <c r="D109" s="2" t="str">
        <f>IF(ISNUMBER(SEARCH('DropDown Lists'!E115,C109)),C109,"")</f>
        <v/>
      </c>
    </row>
    <row r="110" spans="1:4" x14ac:dyDescent="0.25">
      <c r="A110" s="117" t="str">
        <f t="shared" si="2"/>
        <v/>
      </c>
      <c r="B110" s="117" t="str">
        <f t="shared" si="3"/>
        <v/>
      </c>
      <c r="D110" s="2" t="str">
        <f>IF(ISNUMBER(SEARCH('DropDown Lists'!E116,C110)),C110,"")</f>
        <v/>
      </c>
    </row>
    <row r="111" spans="1:4" x14ac:dyDescent="0.25">
      <c r="A111" s="117" t="str">
        <f t="shared" si="2"/>
        <v/>
      </c>
      <c r="B111" s="117" t="str">
        <f t="shared" si="3"/>
        <v/>
      </c>
      <c r="D111" s="2" t="str">
        <f>IF(ISNUMBER(SEARCH('DropDown Lists'!E117,C111)),C111,"")</f>
        <v/>
      </c>
    </row>
    <row r="112" spans="1:4" x14ac:dyDescent="0.25">
      <c r="A112" s="117" t="str">
        <f t="shared" si="2"/>
        <v/>
      </c>
      <c r="B112" s="117" t="str">
        <f t="shared" si="3"/>
        <v/>
      </c>
      <c r="D112" s="2" t="str">
        <f>IF(ISNUMBER(SEARCH('DropDown Lists'!E118,C112)),C112,"")</f>
        <v/>
      </c>
    </row>
    <row r="113" spans="1:4" x14ac:dyDescent="0.25">
      <c r="A113" s="117" t="str">
        <f t="shared" si="2"/>
        <v/>
      </c>
      <c r="B113" s="117" t="str">
        <f t="shared" si="3"/>
        <v/>
      </c>
      <c r="D113" s="2" t="str">
        <f>IF(ISNUMBER(SEARCH('DropDown Lists'!E119,C113)),C113,"")</f>
        <v/>
      </c>
    </row>
    <row r="114" spans="1:4" x14ac:dyDescent="0.25">
      <c r="A114" s="117" t="str">
        <f t="shared" si="2"/>
        <v/>
      </c>
      <c r="B114" s="117" t="str">
        <f t="shared" si="3"/>
        <v/>
      </c>
      <c r="D114" s="2" t="str">
        <f>IF(ISNUMBER(SEARCH('DropDown Lists'!E120,C114)),C114,"")</f>
        <v/>
      </c>
    </row>
    <row r="115" spans="1:4" x14ac:dyDescent="0.25">
      <c r="A115" s="117" t="str">
        <f t="shared" si="2"/>
        <v/>
      </c>
      <c r="B115" s="117" t="str">
        <f t="shared" si="3"/>
        <v/>
      </c>
      <c r="D115" s="2" t="str">
        <f>IF(ISNUMBER(SEARCH('DropDown Lists'!E121,C115)),C115,"")</f>
        <v/>
      </c>
    </row>
    <row r="116" spans="1:4" x14ac:dyDescent="0.25">
      <c r="A116" s="117" t="str">
        <f t="shared" si="2"/>
        <v/>
      </c>
      <c r="B116" s="117" t="str">
        <f t="shared" si="3"/>
        <v/>
      </c>
      <c r="D116" s="2" t="str">
        <f>IF(ISNUMBER(SEARCH('DropDown Lists'!E122,C116)),C116,"")</f>
        <v/>
      </c>
    </row>
    <row r="117" spans="1:4" x14ac:dyDescent="0.25">
      <c r="A117" s="117" t="str">
        <f t="shared" si="2"/>
        <v/>
      </c>
      <c r="B117" s="117" t="str">
        <f t="shared" si="3"/>
        <v/>
      </c>
      <c r="D117" s="2" t="str">
        <f>IF(ISNUMBER(SEARCH('DropDown Lists'!E123,C117)),C117,"")</f>
        <v/>
      </c>
    </row>
    <row r="118" spans="1:4" x14ac:dyDescent="0.25">
      <c r="A118" s="117" t="str">
        <f t="shared" si="2"/>
        <v/>
      </c>
      <c r="B118" s="117" t="str">
        <f t="shared" si="3"/>
        <v/>
      </c>
      <c r="D118" s="2" t="str">
        <f>IF(ISNUMBER(SEARCH('DropDown Lists'!E124,C118)),C118,"")</f>
        <v/>
      </c>
    </row>
    <row r="119" spans="1:4" x14ac:dyDescent="0.25">
      <c r="A119" s="117" t="str">
        <f t="shared" si="2"/>
        <v/>
      </c>
      <c r="B119" s="117" t="str">
        <f t="shared" si="3"/>
        <v/>
      </c>
      <c r="D119" s="2" t="str">
        <f>IF(ISNUMBER(SEARCH('DropDown Lists'!E125,C119)),C119,"")</f>
        <v/>
      </c>
    </row>
    <row r="120" spans="1:4" x14ac:dyDescent="0.25">
      <c r="A120" s="117" t="str">
        <f t="shared" si="2"/>
        <v/>
      </c>
      <c r="B120" s="117" t="str">
        <f t="shared" si="3"/>
        <v/>
      </c>
      <c r="D120" s="2" t="str">
        <f>IF(ISNUMBER(SEARCH('DropDown Lists'!E126,C120)),C120,"")</f>
        <v/>
      </c>
    </row>
    <row r="121" spans="1:4" x14ac:dyDescent="0.25">
      <c r="A121" s="117" t="str">
        <f t="shared" si="2"/>
        <v/>
      </c>
      <c r="B121" s="117" t="str">
        <f t="shared" si="3"/>
        <v/>
      </c>
      <c r="D121" s="2" t="str">
        <f>IF(ISNUMBER(SEARCH('DropDown Lists'!E127,C121)),C121,"")</f>
        <v/>
      </c>
    </row>
    <row r="122" spans="1:4" x14ac:dyDescent="0.25">
      <c r="A122" s="117" t="str">
        <f t="shared" si="2"/>
        <v/>
      </c>
      <c r="B122" s="117" t="str">
        <f t="shared" si="3"/>
        <v/>
      </c>
      <c r="D122" s="2" t="str">
        <f>IF(ISNUMBER(SEARCH('DropDown Lists'!E128,C122)),C122,"")</f>
        <v/>
      </c>
    </row>
    <row r="123" spans="1:4" x14ac:dyDescent="0.25">
      <c r="A123" s="117" t="str">
        <f t="shared" si="2"/>
        <v/>
      </c>
      <c r="B123" s="117" t="str">
        <f t="shared" si="3"/>
        <v/>
      </c>
      <c r="D123" s="2" t="str">
        <f>IF(ISNUMBER(SEARCH('DropDown Lists'!E129,C123)),C123,"")</f>
        <v/>
      </c>
    </row>
    <row r="124" spans="1:4" x14ac:dyDescent="0.25">
      <c r="A124" s="117" t="str">
        <f t="shared" si="2"/>
        <v/>
      </c>
      <c r="B124" s="117" t="str">
        <f t="shared" si="3"/>
        <v/>
      </c>
      <c r="D124" s="2" t="str">
        <f>IF(ISNUMBER(SEARCH('DropDown Lists'!E130,C124)),C124,"")</f>
        <v/>
      </c>
    </row>
    <row r="125" spans="1:4" x14ac:dyDescent="0.25">
      <c r="A125" s="117" t="str">
        <f t="shared" si="2"/>
        <v/>
      </c>
      <c r="B125" s="117" t="str">
        <f t="shared" si="3"/>
        <v/>
      </c>
      <c r="D125" s="2" t="str">
        <f>IF(ISNUMBER(SEARCH('DropDown Lists'!E131,C125)),C125,"")</f>
        <v/>
      </c>
    </row>
    <row r="126" spans="1:4" x14ac:dyDescent="0.25">
      <c r="A126" s="117" t="str">
        <f t="shared" si="2"/>
        <v/>
      </c>
      <c r="B126" s="117" t="str">
        <f t="shared" si="3"/>
        <v/>
      </c>
      <c r="D126" s="2" t="str">
        <f>IF(ISNUMBER(SEARCH('DropDown Lists'!E132,C126)),C126,"")</f>
        <v/>
      </c>
    </row>
    <row r="127" spans="1:4" x14ac:dyDescent="0.25">
      <c r="A127" s="117" t="str">
        <f t="shared" si="2"/>
        <v/>
      </c>
      <c r="B127" s="117" t="str">
        <f t="shared" si="3"/>
        <v/>
      </c>
      <c r="D127" s="2" t="str">
        <f>IF(ISNUMBER(SEARCH('DropDown Lists'!E133,C127)),C127,"")</f>
        <v/>
      </c>
    </row>
    <row r="128" spans="1:4" x14ac:dyDescent="0.25">
      <c r="A128" s="117" t="str">
        <f t="shared" si="2"/>
        <v/>
      </c>
      <c r="B128" s="117" t="str">
        <f t="shared" si="3"/>
        <v/>
      </c>
      <c r="D128" s="2" t="str">
        <f>IF(ISNUMBER(SEARCH('DropDown Lists'!E134,C128)),C128,"")</f>
        <v/>
      </c>
    </row>
    <row r="129" spans="1:4" x14ac:dyDescent="0.25">
      <c r="A129" s="117" t="str">
        <f t="shared" si="2"/>
        <v/>
      </c>
      <c r="B129" s="117" t="str">
        <f t="shared" si="3"/>
        <v/>
      </c>
      <c r="D129" s="2" t="str">
        <f>IF(ISNUMBER(SEARCH('DropDown Lists'!E135,C129)),C129,"")</f>
        <v/>
      </c>
    </row>
    <row r="130" spans="1:4" x14ac:dyDescent="0.25">
      <c r="A130" s="117" t="str">
        <f t="shared" ref="A130:A193" si="4">B130</f>
        <v/>
      </c>
      <c r="B130" s="117" t="str">
        <f t="shared" ref="B130:B193" si="5">IF(D130&lt;&gt;"",$N$2,"")</f>
        <v/>
      </c>
      <c r="D130" s="2" t="str">
        <f>IF(ISNUMBER(SEARCH('DropDown Lists'!E136,C130)),C130,"")</f>
        <v/>
      </c>
    </row>
    <row r="131" spans="1:4" x14ac:dyDescent="0.25">
      <c r="A131" s="117" t="str">
        <f t="shared" si="4"/>
        <v/>
      </c>
      <c r="B131" s="117" t="str">
        <f t="shared" si="5"/>
        <v/>
      </c>
      <c r="D131" s="2" t="str">
        <f>IF(ISNUMBER(SEARCH('DropDown Lists'!E137,C131)),C131,"")</f>
        <v/>
      </c>
    </row>
    <row r="132" spans="1:4" x14ac:dyDescent="0.25">
      <c r="A132" s="117" t="str">
        <f t="shared" si="4"/>
        <v/>
      </c>
      <c r="B132" s="117" t="str">
        <f t="shared" si="5"/>
        <v/>
      </c>
      <c r="D132" s="2" t="str">
        <f>IF(ISNUMBER(SEARCH('DropDown Lists'!E138,C132)),C132,"")</f>
        <v/>
      </c>
    </row>
    <row r="133" spans="1:4" x14ac:dyDescent="0.25">
      <c r="A133" s="117" t="str">
        <f t="shared" si="4"/>
        <v/>
      </c>
      <c r="B133" s="117" t="str">
        <f t="shared" si="5"/>
        <v/>
      </c>
      <c r="D133" s="2" t="str">
        <f>IF(ISNUMBER(SEARCH('DropDown Lists'!E139,C133)),C133,"")</f>
        <v/>
      </c>
    </row>
    <row r="134" spans="1:4" x14ac:dyDescent="0.25">
      <c r="A134" s="117" t="str">
        <f t="shared" si="4"/>
        <v/>
      </c>
      <c r="B134" s="117" t="str">
        <f t="shared" si="5"/>
        <v/>
      </c>
      <c r="D134" s="2" t="str">
        <f>IF(ISNUMBER(SEARCH('DropDown Lists'!E140,C134)),C134,"")</f>
        <v/>
      </c>
    </row>
    <row r="135" spans="1:4" x14ac:dyDescent="0.25">
      <c r="A135" s="117" t="str">
        <f t="shared" si="4"/>
        <v/>
      </c>
      <c r="B135" s="117" t="str">
        <f t="shared" si="5"/>
        <v/>
      </c>
      <c r="D135" s="2" t="str">
        <f>IF(ISNUMBER(SEARCH('DropDown Lists'!E141,C135)),C135,"")</f>
        <v/>
      </c>
    </row>
    <row r="136" spans="1:4" x14ac:dyDescent="0.25">
      <c r="A136" s="117" t="str">
        <f t="shared" si="4"/>
        <v/>
      </c>
      <c r="B136" s="117" t="str">
        <f t="shared" si="5"/>
        <v/>
      </c>
      <c r="D136" s="2" t="str">
        <f>IF(ISNUMBER(SEARCH('DropDown Lists'!E142,C136)),C136,"")</f>
        <v/>
      </c>
    </row>
    <row r="137" spans="1:4" x14ac:dyDescent="0.25">
      <c r="A137" s="117" t="str">
        <f t="shared" si="4"/>
        <v/>
      </c>
      <c r="B137" s="117" t="str">
        <f t="shared" si="5"/>
        <v/>
      </c>
      <c r="D137" s="2" t="str">
        <f>IF(ISNUMBER(SEARCH('DropDown Lists'!E143,C137)),C137,"")</f>
        <v/>
      </c>
    </row>
    <row r="138" spans="1:4" x14ac:dyDescent="0.25">
      <c r="A138" s="117" t="str">
        <f t="shared" si="4"/>
        <v/>
      </c>
      <c r="B138" s="117" t="str">
        <f t="shared" si="5"/>
        <v/>
      </c>
      <c r="D138" s="2" t="str">
        <f>IF(ISNUMBER(SEARCH('DropDown Lists'!E144,C138)),C138,"")</f>
        <v/>
      </c>
    </row>
    <row r="139" spans="1:4" x14ac:dyDescent="0.25">
      <c r="A139" s="117" t="str">
        <f t="shared" si="4"/>
        <v/>
      </c>
      <c r="B139" s="117" t="str">
        <f t="shared" si="5"/>
        <v/>
      </c>
      <c r="D139" s="2" t="str">
        <f>IF(ISNUMBER(SEARCH('DropDown Lists'!E145,C139)),C139,"")</f>
        <v/>
      </c>
    </row>
    <row r="140" spans="1:4" x14ac:dyDescent="0.25">
      <c r="A140" s="117" t="str">
        <f t="shared" si="4"/>
        <v/>
      </c>
      <c r="B140" s="117" t="str">
        <f t="shared" si="5"/>
        <v/>
      </c>
      <c r="D140" s="2" t="str">
        <f>IF(ISNUMBER(SEARCH('DropDown Lists'!E146,C140)),C140,"")</f>
        <v/>
      </c>
    </row>
    <row r="141" spans="1:4" x14ac:dyDescent="0.25">
      <c r="A141" s="117" t="str">
        <f t="shared" si="4"/>
        <v/>
      </c>
      <c r="B141" s="117" t="str">
        <f t="shared" si="5"/>
        <v/>
      </c>
      <c r="D141" s="2" t="str">
        <f>IF(ISNUMBER(SEARCH('DropDown Lists'!E147,C141)),C141,"")</f>
        <v/>
      </c>
    </row>
    <row r="142" spans="1:4" x14ac:dyDescent="0.25">
      <c r="A142" s="117" t="str">
        <f t="shared" si="4"/>
        <v/>
      </c>
      <c r="B142" s="117" t="str">
        <f t="shared" si="5"/>
        <v/>
      </c>
      <c r="D142" s="2" t="str">
        <f>IF(ISNUMBER(SEARCH('DropDown Lists'!E148,C142)),C142,"")</f>
        <v/>
      </c>
    </row>
    <row r="143" spans="1:4" x14ac:dyDescent="0.25">
      <c r="A143" s="117" t="str">
        <f t="shared" si="4"/>
        <v/>
      </c>
      <c r="B143" s="117" t="str">
        <f t="shared" si="5"/>
        <v/>
      </c>
      <c r="D143" s="2" t="str">
        <f>IF(ISNUMBER(SEARCH('DropDown Lists'!E149,C143)),C143,"")</f>
        <v/>
      </c>
    </row>
    <row r="144" spans="1:4" x14ac:dyDescent="0.25">
      <c r="A144" s="117" t="str">
        <f t="shared" si="4"/>
        <v/>
      </c>
      <c r="B144" s="117" t="str">
        <f t="shared" si="5"/>
        <v/>
      </c>
      <c r="D144" s="2" t="str">
        <f>IF(ISNUMBER(SEARCH('DropDown Lists'!E150,C144)),C144,"")</f>
        <v/>
      </c>
    </row>
    <row r="145" spans="1:4" x14ac:dyDescent="0.25">
      <c r="A145" s="117" t="str">
        <f t="shared" si="4"/>
        <v/>
      </c>
      <c r="B145" s="117" t="str">
        <f t="shared" si="5"/>
        <v/>
      </c>
      <c r="D145" s="2" t="str">
        <f>IF(ISNUMBER(SEARCH('DropDown Lists'!E151,C145)),C145,"")</f>
        <v/>
      </c>
    </row>
    <row r="146" spans="1:4" x14ac:dyDescent="0.25">
      <c r="A146" s="117" t="str">
        <f t="shared" si="4"/>
        <v/>
      </c>
      <c r="B146" s="117" t="str">
        <f t="shared" si="5"/>
        <v/>
      </c>
      <c r="D146" s="2" t="str">
        <f>IF(ISNUMBER(SEARCH('DropDown Lists'!E152,C146)),C146,"")</f>
        <v/>
      </c>
    </row>
    <row r="147" spans="1:4" x14ac:dyDescent="0.25">
      <c r="A147" s="117" t="str">
        <f t="shared" si="4"/>
        <v/>
      </c>
      <c r="B147" s="117" t="str">
        <f t="shared" si="5"/>
        <v/>
      </c>
      <c r="D147" s="2" t="str">
        <f>IF(ISNUMBER(SEARCH('DropDown Lists'!E153,C147)),C147,"")</f>
        <v/>
      </c>
    </row>
    <row r="148" spans="1:4" x14ac:dyDescent="0.25">
      <c r="A148" s="117" t="str">
        <f t="shared" si="4"/>
        <v/>
      </c>
      <c r="B148" s="117" t="str">
        <f t="shared" si="5"/>
        <v/>
      </c>
      <c r="D148" s="2" t="str">
        <f>IF(ISNUMBER(SEARCH('DropDown Lists'!E154,C148)),C148,"")</f>
        <v/>
      </c>
    </row>
    <row r="149" spans="1:4" x14ac:dyDescent="0.25">
      <c r="A149" s="117" t="str">
        <f t="shared" si="4"/>
        <v/>
      </c>
      <c r="B149" s="117" t="str">
        <f t="shared" si="5"/>
        <v/>
      </c>
      <c r="D149" s="2" t="str">
        <f>IF(ISNUMBER(SEARCH('DropDown Lists'!E155,C149)),C149,"")</f>
        <v/>
      </c>
    </row>
    <row r="150" spans="1:4" x14ac:dyDescent="0.25">
      <c r="A150" s="117" t="str">
        <f t="shared" si="4"/>
        <v/>
      </c>
      <c r="B150" s="117" t="str">
        <f t="shared" si="5"/>
        <v/>
      </c>
      <c r="D150" s="2" t="str">
        <f>IF(ISNUMBER(SEARCH('DropDown Lists'!E156,C150)),C150,"")</f>
        <v/>
      </c>
    </row>
    <row r="151" spans="1:4" x14ac:dyDescent="0.25">
      <c r="A151" s="117" t="str">
        <f t="shared" si="4"/>
        <v/>
      </c>
      <c r="B151" s="117" t="str">
        <f t="shared" si="5"/>
        <v/>
      </c>
      <c r="D151" s="2" t="str">
        <f>IF(ISNUMBER(SEARCH('DropDown Lists'!E157,C151)),C151,"")</f>
        <v/>
      </c>
    </row>
    <row r="152" spans="1:4" x14ac:dyDescent="0.25">
      <c r="A152" s="117" t="str">
        <f t="shared" si="4"/>
        <v/>
      </c>
      <c r="B152" s="117" t="str">
        <f t="shared" si="5"/>
        <v/>
      </c>
      <c r="D152" s="2" t="str">
        <f>IF(ISNUMBER(SEARCH('DropDown Lists'!E158,C152)),C152,"")</f>
        <v/>
      </c>
    </row>
    <row r="153" spans="1:4" x14ac:dyDescent="0.25">
      <c r="A153" s="117" t="str">
        <f t="shared" si="4"/>
        <v/>
      </c>
      <c r="B153" s="117" t="str">
        <f t="shared" si="5"/>
        <v/>
      </c>
      <c r="D153" s="2" t="str">
        <f>IF(ISNUMBER(SEARCH('DropDown Lists'!E159,C153)),C153,"")</f>
        <v/>
      </c>
    </row>
    <row r="154" spans="1:4" x14ac:dyDescent="0.25">
      <c r="A154" s="117" t="str">
        <f t="shared" si="4"/>
        <v/>
      </c>
      <c r="B154" s="117" t="str">
        <f t="shared" si="5"/>
        <v/>
      </c>
      <c r="D154" s="2" t="str">
        <f>IF(ISNUMBER(SEARCH('DropDown Lists'!E160,C154)),C154,"")</f>
        <v/>
      </c>
    </row>
    <row r="155" spans="1:4" x14ac:dyDescent="0.25">
      <c r="A155" s="117" t="str">
        <f t="shared" si="4"/>
        <v/>
      </c>
      <c r="B155" s="117" t="str">
        <f t="shared" si="5"/>
        <v/>
      </c>
      <c r="D155" s="2" t="str">
        <f>IF(ISNUMBER(SEARCH('DropDown Lists'!E161,C155)),C155,"")</f>
        <v/>
      </c>
    </row>
    <row r="156" spans="1:4" x14ac:dyDescent="0.25">
      <c r="A156" s="117" t="str">
        <f t="shared" si="4"/>
        <v/>
      </c>
      <c r="B156" s="117" t="str">
        <f t="shared" si="5"/>
        <v/>
      </c>
      <c r="D156" s="2" t="str">
        <f>IF(ISNUMBER(SEARCH('DropDown Lists'!E162,C156)),C156,"")</f>
        <v/>
      </c>
    </row>
    <row r="157" spans="1:4" x14ac:dyDescent="0.25">
      <c r="A157" s="117" t="str">
        <f t="shared" si="4"/>
        <v/>
      </c>
      <c r="B157" s="117" t="str">
        <f t="shared" si="5"/>
        <v/>
      </c>
      <c r="D157" s="2" t="str">
        <f>IF(ISNUMBER(SEARCH('DropDown Lists'!E163,C157)),C157,"")</f>
        <v/>
      </c>
    </row>
    <row r="158" spans="1:4" x14ac:dyDescent="0.25">
      <c r="A158" s="117" t="str">
        <f t="shared" si="4"/>
        <v/>
      </c>
      <c r="B158" s="117" t="str">
        <f t="shared" si="5"/>
        <v/>
      </c>
      <c r="D158" s="2" t="str">
        <f>IF(ISNUMBER(SEARCH('DropDown Lists'!E164,C158)),C158,"")</f>
        <v/>
      </c>
    </row>
    <row r="159" spans="1:4" x14ac:dyDescent="0.25">
      <c r="A159" s="117" t="str">
        <f t="shared" si="4"/>
        <v/>
      </c>
      <c r="B159" s="117" t="str">
        <f t="shared" si="5"/>
        <v/>
      </c>
      <c r="D159" s="2" t="str">
        <f>IF(ISNUMBER(SEARCH('DropDown Lists'!E165,C159)),C159,"")</f>
        <v/>
      </c>
    </row>
    <row r="160" spans="1:4" x14ac:dyDescent="0.25">
      <c r="A160" s="117" t="str">
        <f t="shared" si="4"/>
        <v/>
      </c>
      <c r="B160" s="117" t="str">
        <f t="shared" si="5"/>
        <v/>
      </c>
      <c r="D160" s="2" t="str">
        <f>IF(ISNUMBER(SEARCH('DropDown Lists'!E166,C160)),C160,"")</f>
        <v/>
      </c>
    </row>
    <row r="161" spans="1:4" x14ac:dyDescent="0.25">
      <c r="A161" s="117" t="str">
        <f t="shared" si="4"/>
        <v/>
      </c>
      <c r="B161" s="117" t="str">
        <f t="shared" si="5"/>
        <v/>
      </c>
      <c r="D161" s="2" t="str">
        <f>IF(ISNUMBER(SEARCH('DropDown Lists'!E167,C161)),C161,"")</f>
        <v/>
      </c>
    </row>
    <row r="162" spans="1:4" x14ac:dyDescent="0.25">
      <c r="A162" s="117" t="str">
        <f t="shared" si="4"/>
        <v/>
      </c>
      <c r="B162" s="117" t="str">
        <f t="shared" si="5"/>
        <v/>
      </c>
      <c r="D162" s="2" t="str">
        <f>IF(ISNUMBER(SEARCH('DropDown Lists'!E168,C162)),C162,"")</f>
        <v/>
      </c>
    </row>
    <row r="163" spans="1:4" x14ac:dyDescent="0.25">
      <c r="A163" s="117" t="str">
        <f t="shared" si="4"/>
        <v/>
      </c>
      <c r="B163" s="117" t="str">
        <f t="shared" si="5"/>
        <v/>
      </c>
      <c r="D163" s="2" t="str">
        <f>IF(ISNUMBER(SEARCH('DropDown Lists'!E169,C163)),C163,"")</f>
        <v/>
      </c>
    </row>
    <row r="164" spans="1:4" x14ac:dyDescent="0.25">
      <c r="A164" s="117" t="str">
        <f t="shared" si="4"/>
        <v/>
      </c>
      <c r="B164" s="117" t="str">
        <f t="shared" si="5"/>
        <v/>
      </c>
      <c r="D164" s="2" t="str">
        <f>IF(ISNUMBER(SEARCH('DropDown Lists'!E170,C164)),C164,"")</f>
        <v/>
      </c>
    </row>
    <row r="165" spans="1:4" x14ac:dyDescent="0.25">
      <c r="A165" s="117" t="str">
        <f t="shared" si="4"/>
        <v/>
      </c>
      <c r="B165" s="117" t="str">
        <f t="shared" si="5"/>
        <v/>
      </c>
      <c r="D165" s="2" t="str">
        <f>IF(ISNUMBER(SEARCH('DropDown Lists'!E171,C165)),C165,"")</f>
        <v/>
      </c>
    </row>
    <row r="166" spans="1:4" x14ac:dyDescent="0.25">
      <c r="A166" s="117" t="str">
        <f t="shared" si="4"/>
        <v/>
      </c>
      <c r="B166" s="117" t="str">
        <f t="shared" si="5"/>
        <v/>
      </c>
      <c r="D166" s="2" t="str">
        <f>IF(ISNUMBER(SEARCH('DropDown Lists'!E172,C166)),C166,"")</f>
        <v/>
      </c>
    </row>
    <row r="167" spans="1:4" x14ac:dyDescent="0.25">
      <c r="A167" s="117" t="str">
        <f t="shared" si="4"/>
        <v/>
      </c>
      <c r="B167" s="117" t="str">
        <f t="shared" si="5"/>
        <v/>
      </c>
      <c r="D167" s="2" t="str">
        <f>IF(ISNUMBER(SEARCH('DropDown Lists'!E173,C167)),C167,"")</f>
        <v/>
      </c>
    </row>
    <row r="168" spans="1:4" x14ac:dyDescent="0.25">
      <c r="A168" s="117" t="str">
        <f t="shared" si="4"/>
        <v/>
      </c>
      <c r="B168" s="117" t="str">
        <f t="shared" si="5"/>
        <v/>
      </c>
      <c r="D168" s="2" t="str">
        <f>IF(ISNUMBER(SEARCH('DropDown Lists'!E174,C168)),C168,"")</f>
        <v/>
      </c>
    </row>
    <row r="169" spans="1:4" x14ac:dyDescent="0.25">
      <c r="A169" s="117" t="str">
        <f t="shared" si="4"/>
        <v/>
      </c>
      <c r="B169" s="117" t="str">
        <f t="shared" si="5"/>
        <v/>
      </c>
      <c r="D169" s="2" t="str">
        <f>IF(ISNUMBER(SEARCH('DropDown Lists'!E175,C169)),C169,"")</f>
        <v/>
      </c>
    </row>
    <row r="170" spans="1:4" x14ac:dyDescent="0.25">
      <c r="A170" s="117" t="str">
        <f t="shared" si="4"/>
        <v/>
      </c>
      <c r="B170" s="117" t="str">
        <f t="shared" si="5"/>
        <v/>
      </c>
      <c r="D170" s="2" t="str">
        <f>IF(ISNUMBER(SEARCH('DropDown Lists'!E176,C170)),C170,"")</f>
        <v/>
      </c>
    </row>
    <row r="171" spans="1:4" x14ac:dyDescent="0.25">
      <c r="A171" s="117" t="str">
        <f t="shared" si="4"/>
        <v/>
      </c>
      <c r="B171" s="117" t="str">
        <f t="shared" si="5"/>
        <v/>
      </c>
      <c r="D171" s="2" t="str">
        <f>IF(ISNUMBER(SEARCH('DropDown Lists'!E177,C171)),C171,"")</f>
        <v/>
      </c>
    </row>
    <row r="172" spans="1:4" x14ac:dyDescent="0.25">
      <c r="A172" s="117" t="str">
        <f t="shared" si="4"/>
        <v/>
      </c>
      <c r="B172" s="117" t="str">
        <f t="shared" si="5"/>
        <v/>
      </c>
      <c r="D172" s="2" t="str">
        <f>IF(ISNUMBER(SEARCH('DropDown Lists'!E178,C172)),C172,"")</f>
        <v/>
      </c>
    </row>
    <row r="173" spans="1:4" x14ac:dyDescent="0.25">
      <c r="A173" s="117" t="str">
        <f t="shared" si="4"/>
        <v/>
      </c>
      <c r="B173" s="117" t="str">
        <f t="shared" si="5"/>
        <v/>
      </c>
      <c r="D173" s="2" t="str">
        <f>IF(ISNUMBER(SEARCH('DropDown Lists'!E179,C173)),C173,"")</f>
        <v/>
      </c>
    </row>
    <row r="174" spans="1:4" x14ac:dyDescent="0.25">
      <c r="A174" s="117" t="str">
        <f t="shared" si="4"/>
        <v/>
      </c>
      <c r="B174" s="117" t="str">
        <f t="shared" si="5"/>
        <v/>
      </c>
      <c r="D174" s="2" t="str">
        <f>IF(ISNUMBER(SEARCH('DropDown Lists'!E180,C174)),C174,"")</f>
        <v/>
      </c>
    </row>
    <row r="175" spans="1:4" x14ac:dyDescent="0.25">
      <c r="A175" s="117" t="str">
        <f t="shared" si="4"/>
        <v/>
      </c>
      <c r="B175" s="117" t="str">
        <f t="shared" si="5"/>
        <v/>
      </c>
      <c r="D175" s="2" t="str">
        <f>IF(ISNUMBER(SEARCH('DropDown Lists'!E181,C175)),C175,"")</f>
        <v/>
      </c>
    </row>
    <row r="176" spans="1:4" x14ac:dyDescent="0.25">
      <c r="A176" s="117" t="str">
        <f t="shared" si="4"/>
        <v/>
      </c>
      <c r="B176" s="117" t="str">
        <f t="shared" si="5"/>
        <v/>
      </c>
      <c r="D176" s="2" t="str">
        <f>IF(ISNUMBER(SEARCH('DropDown Lists'!E182,C176)),C176,"")</f>
        <v/>
      </c>
    </row>
    <row r="177" spans="1:4" x14ac:dyDescent="0.25">
      <c r="A177" s="117" t="str">
        <f t="shared" si="4"/>
        <v/>
      </c>
      <c r="B177" s="117" t="str">
        <f t="shared" si="5"/>
        <v/>
      </c>
      <c r="D177" s="2" t="str">
        <f>IF(ISNUMBER(SEARCH('DropDown Lists'!E183,C177)),C177,"")</f>
        <v/>
      </c>
    </row>
    <row r="178" spans="1:4" x14ac:dyDescent="0.25">
      <c r="A178" s="117" t="str">
        <f t="shared" si="4"/>
        <v/>
      </c>
      <c r="B178" s="117" t="str">
        <f t="shared" si="5"/>
        <v/>
      </c>
      <c r="D178" s="2" t="str">
        <f>IF(ISNUMBER(SEARCH('DropDown Lists'!E184,C178)),C178,"")</f>
        <v/>
      </c>
    </row>
    <row r="179" spans="1:4" x14ac:dyDescent="0.25">
      <c r="A179" s="117" t="str">
        <f t="shared" si="4"/>
        <v/>
      </c>
      <c r="B179" s="117" t="str">
        <f t="shared" si="5"/>
        <v/>
      </c>
      <c r="D179" s="2" t="str">
        <f>IF(ISNUMBER(SEARCH('DropDown Lists'!E185,C179)),C179,"")</f>
        <v/>
      </c>
    </row>
    <row r="180" spans="1:4" x14ac:dyDescent="0.25">
      <c r="A180" s="117" t="str">
        <f t="shared" si="4"/>
        <v/>
      </c>
      <c r="B180" s="117" t="str">
        <f t="shared" si="5"/>
        <v/>
      </c>
      <c r="D180" s="2" t="str">
        <f>IF(ISNUMBER(SEARCH('DropDown Lists'!E186,C180)),C180,"")</f>
        <v/>
      </c>
    </row>
    <row r="181" spans="1:4" x14ac:dyDescent="0.25">
      <c r="A181" s="117" t="str">
        <f t="shared" si="4"/>
        <v/>
      </c>
      <c r="B181" s="117" t="str">
        <f t="shared" si="5"/>
        <v/>
      </c>
      <c r="D181" s="2" t="str">
        <f>IF(ISNUMBER(SEARCH('DropDown Lists'!E187,C181)),C181,"")</f>
        <v/>
      </c>
    </row>
    <row r="182" spans="1:4" x14ac:dyDescent="0.25">
      <c r="A182" s="117" t="str">
        <f t="shared" si="4"/>
        <v/>
      </c>
      <c r="B182" s="117" t="str">
        <f t="shared" si="5"/>
        <v/>
      </c>
      <c r="D182" s="2" t="str">
        <f>IF(ISNUMBER(SEARCH('DropDown Lists'!E188,C182)),C182,"")</f>
        <v/>
      </c>
    </row>
    <row r="183" spans="1:4" x14ac:dyDescent="0.25">
      <c r="A183" s="117" t="str">
        <f t="shared" si="4"/>
        <v/>
      </c>
      <c r="B183" s="117" t="str">
        <f t="shared" si="5"/>
        <v/>
      </c>
      <c r="D183" s="2" t="str">
        <f>IF(ISNUMBER(SEARCH('DropDown Lists'!E189,C183)),C183,"")</f>
        <v/>
      </c>
    </row>
    <row r="184" spans="1:4" x14ac:dyDescent="0.25">
      <c r="A184" s="117" t="str">
        <f t="shared" si="4"/>
        <v/>
      </c>
      <c r="B184" s="117" t="str">
        <f t="shared" si="5"/>
        <v/>
      </c>
      <c r="D184" s="2" t="str">
        <f>IF(ISNUMBER(SEARCH('DropDown Lists'!E190,C184)),C184,"")</f>
        <v/>
      </c>
    </row>
    <row r="185" spans="1:4" x14ac:dyDescent="0.25">
      <c r="A185" s="117" t="str">
        <f t="shared" si="4"/>
        <v/>
      </c>
      <c r="B185" s="117" t="str">
        <f t="shared" si="5"/>
        <v/>
      </c>
      <c r="D185" s="2" t="str">
        <f>IF(ISNUMBER(SEARCH('DropDown Lists'!E191,C185)),C185,"")</f>
        <v/>
      </c>
    </row>
    <row r="186" spans="1:4" x14ac:dyDescent="0.25">
      <c r="A186" s="117" t="str">
        <f t="shared" si="4"/>
        <v/>
      </c>
      <c r="B186" s="117" t="str">
        <f t="shared" si="5"/>
        <v/>
      </c>
      <c r="D186" s="2" t="str">
        <f>IF(ISNUMBER(SEARCH('DropDown Lists'!E192,C186)),C186,"")</f>
        <v/>
      </c>
    </row>
    <row r="187" spans="1:4" x14ac:dyDescent="0.25">
      <c r="A187" s="117" t="str">
        <f t="shared" si="4"/>
        <v/>
      </c>
      <c r="B187" s="117" t="str">
        <f t="shared" si="5"/>
        <v/>
      </c>
      <c r="D187" s="2" t="str">
        <f>IF(ISNUMBER(SEARCH('DropDown Lists'!E193,C187)),C187,"")</f>
        <v/>
      </c>
    </row>
    <row r="188" spans="1:4" x14ac:dyDescent="0.25">
      <c r="A188" s="117" t="str">
        <f t="shared" si="4"/>
        <v/>
      </c>
      <c r="B188" s="117" t="str">
        <f t="shared" si="5"/>
        <v/>
      </c>
      <c r="D188" s="2" t="str">
        <f>IF(ISNUMBER(SEARCH('DropDown Lists'!E194,C188)),C188,"")</f>
        <v/>
      </c>
    </row>
    <row r="189" spans="1:4" x14ac:dyDescent="0.25">
      <c r="A189" s="117" t="str">
        <f t="shared" si="4"/>
        <v/>
      </c>
      <c r="B189" s="117" t="str">
        <f t="shared" si="5"/>
        <v/>
      </c>
      <c r="D189" s="2" t="str">
        <f>IF(ISNUMBER(SEARCH('DropDown Lists'!E195,C189)),C189,"")</f>
        <v/>
      </c>
    </row>
    <row r="190" spans="1:4" x14ac:dyDescent="0.25">
      <c r="A190" s="117" t="str">
        <f t="shared" si="4"/>
        <v/>
      </c>
      <c r="B190" s="117" t="str">
        <f t="shared" si="5"/>
        <v/>
      </c>
      <c r="D190" s="2" t="str">
        <f>IF(ISNUMBER(SEARCH('DropDown Lists'!E196,C190)),C190,"")</f>
        <v/>
      </c>
    </row>
    <row r="191" spans="1:4" x14ac:dyDescent="0.25">
      <c r="A191" s="117" t="str">
        <f t="shared" si="4"/>
        <v/>
      </c>
      <c r="B191" s="117" t="str">
        <f t="shared" si="5"/>
        <v/>
      </c>
      <c r="D191" s="2" t="str">
        <f>IF(ISNUMBER(SEARCH('DropDown Lists'!E197,C191)),C191,"")</f>
        <v/>
      </c>
    </row>
    <row r="192" spans="1:4" x14ac:dyDescent="0.25">
      <c r="A192" s="117" t="str">
        <f t="shared" si="4"/>
        <v/>
      </c>
      <c r="B192" s="117" t="str">
        <f t="shared" si="5"/>
        <v/>
      </c>
      <c r="D192" s="2" t="str">
        <f>IF(ISNUMBER(SEARCH('DropDown Lists'!E198,C192)),C192,"")</f>
        <v/>
      </c>
    </row>
    <row r="193" spans="1:4" x14ac:dyDescent="0.25">
      <c r="A193" s="117" t="str">
        <f t="shared" si="4"/>
        <v/>
      </c>
      <c r="B193" s="117" t="str">
        <f t="shared" si="5"/>
        <v/>
      </c>
      <c r="D193" s="2" t="str">
        <f>IF(ISNUMBER(SEARCH('DropDown Lists'!E199,C193)),C193,"")</f>
        <v/>
      </c>
    </row>
    <row r="194" spans="1:4" x14ac:dyDescent="0.25">
      <c r="A194" s="117" t="str">
        <f t="shared" ref="A194:A257" si="6">B194</f>
        <v/>
      </c>
      <c r="B194" s="117" t="str">
        <f t="shared" ref="B194:B257" si="7">IF(D194&lt;&gt;"",$N$2,"")</f>
        <v/>
      </c>
      <c r="D194" s="2" t="str">
        <f>IF(ISNUMBER(SEARCH('DropDown Lists'!E200,C194)),C194,"")</f>
        <v/>
      </c>
    </row>
    <row r="195" spans="1:4" x14ac:dyDescent="0.25">
      <c r="A195" s="117" t="str">
        <f t="shared" si="6"/>
        <v/>
      </c>
      <c r="B195" s="117" t="str">
        <f t="shared" si="7"/>
        <v/>
      </c>
      <c r="D195" s="2" t="str">
        <f>IF(ISNUMBER(SEARCH('DropDown Lists'!E201,C195)),C195,"")</f>
        <v/>
      </c>
    </row>
    <row r="196" spans="1:4" x14ac:dyDescent="0.25">
      <c r="A196" s="117" t="str">
        <f t="shared" si="6"/>
        <v/>
      </c>
      <c r="B196" s="117" t="str">
        <f t="shared" si="7"/>
        <v/>
      </c>
      <c r="D196" s="2" t="str">
        <f>IF(ISNUMBER(SEARCH('DropDown Lists'!E202,C196)),C196,"")</f>
        <v/>
      </c>
    </row>
    <row r="197" spans="1:4" x14ac:dyDescent="0.25">
      <c r="A197" s="117" t="str">
        <f t="shared" si="6"/>
        <v/>
      </c>
      <c r="B197" s="117" t="str">
        <f t="shared" si="7"/>
        <v/>
      </c>
      <c r="D197" s="2" t="str">
        <f>IF(ISNUMBER(SEARCH('DropDown Lists'!E203,C197)),C197,"")</f>
        <v/>
      </c>
    </row>
    <row r="198" spans="1:4" x14ac:dyDescent="0.25">
      <c r="A198" s="117" t="str">
        <f t="shared" si="6"/>
        <v/>
      </c>
      <c r="B198" s="117" t="str">
        <f t="shared" si="7"/>
        <v/>
      </c>
      <c r="D198" s="2" t="str">
        <f>IF(ISNUMBER(SEARCH('DropDown Lists'!E204,C198)),C198,"")</f>
        <v/>
      </c>
    </row>
    <row r="199" spans="1:4" x14ac:dyDescent="0.25">
      <c r="A199" s="117" t="str">
        <f t="shared" si="6"/>
        <v/>
      </c>
      <c r="B199" s="117" t="str">
        <f t="shared" si="7"/>
        <v/>
      </c>
      <c r="D199" s="2" t="str">
        <f>IF(ISNUMBER(SEARCH('DropDown Lists'!E205,C199)),C199,"")</f>
        <v/>
      </c>
    </row>
    <row r="200" spans="1:4" x14ac:dyDescent="0.25">
      <c r="A200" s="117" t="str">
        <f t="shared" si="6"/>
        <v/>
      </c>
      <c r="B200" s="117" t="str">
        <f t="shared" si="7"/>
        <v/>
      </c>
      <c r="D200" s="2" t="str">
        <f>IF(ISNUMBER(SEARCH('DropDown Lists'!E206,C200)),C200,"")</f>
        <v/>
      </c>
    </row>
    <row r="201" spans="1:4" x14ac:dyDescent="0.25">
      <c r="A201" s="117" t="str">
        <f t="shared" si="6"/>
        <v/>
      </c>
      <c r="B201" s="117" t="str">
        <f t="shared" si="7"/>
        <v/>
      </c>
      <c r="D201" s="2" t="str">
        <f>IF(ISNUMBER(SEARCH('DropDown Lists'!E207,C201)),C201,"")</f>
        <v/>
      </c>
    </row>
    <row r="202" spans="1:4" x14ac:dyDescent="0.25">
      <c r="A202" s="117" t="str">
        <f t="shared" si="6"/>
        <v/>
      </c>
      <c r="B202" s="117" t="str">
        <f t="shared" si="7"/>
        <v/>
      </c>
      <c r="D202" s="2" t="str">
        <f>IF(ISNUMBER(SEARCH('DropDown Lists'!E208,C202)),C202,"")</f>
        <v/>
      </c>
    </row>
    <row r="203" spans="1:4" x14ac:dyDescent="0.25">
      <c r="A203" s="117" t="str">
        <f t="shared" si="6"/>
        <v/>
      </c>
      <c r="B203" s="117" t="str">
        <f t="shared" si="7"/>
        <v/>
      </c>
      <c r="D203" s="2" t="str">
        <f>IF(ISNUMBER(SEARCH('DropDown Lists'!E209,C203)),C203,"")</f>
        <v/>
      </c>
    </row>
    <row r="204" spans="1:4" x14ac:dyDescent="0.25">
      <c r="A204" s="117" t="str">
        <f t="shared" si="6"/>
        <v/>
      </c>
      <c r="B204" s="117" t="str">
        <f t="shared" si="7"/>
        <v/>
      </c>
      <c r="D204" s="2" t="str">
        <f>IF(ISNUMBER(SEARCH('DropDown Lists'!E210,C204)),C204,"")</f>
        <v/>
      </c>
    </row>
    <row r="205" spans="1:4" x14ac:dyDescent="0.25">
      <c r="A205" s="117" t="str">
        <f t="shared" si="6"/>
        <v/>
      </c>
      <c r="B205" s="117" t="str">
        <f t="shared" si="7"/>
        <v/>
      </c>
      <c r="D205" s="2" t="str">
        <f>IF(ISNUMBER(SEARCH('DropDown Lists'!E211,C205)),C205,"")</f>
        <v/>
      </c>
    </row>
    <row r="206" spans="1:4" x14ac:dyDescent="0.25">
      <c r="A206" s="117" t="str">
        <f t="shared" si="6"/>
        <v/>
      </c>
      <c r="B206" s="117" t="str">
        <f t="shared" si="7"/>
        <v/>
      </c>
      <c r="D206" s="2" t="str">
        <f>IF(ISNUMBER(SEARCH('DropDown Lists'!E212,C206)),C206,"")</f>
        <v/>
      </c>
    </row>
    <row r="207" spans="1:4" x14ac:dyDescent="0.25">
      <c r="A207" s="117" t="str">
        <f t="shared" si="6"/>
        <v/>
      </c>
      <c r="B207" s="117" t="str">
        <f t="shared" si="7"/>
        <v/>
      </c>
      <c r="D207" s="2" t="str">
        <f>IF(ISNUMBER(SEARCH('DropDown Lists'!E213,C207)),C207,"")</f>
        <v/>
      </c>
    </row>
    <row r="208" spans="1:4" x14ac:dyDescent="0.25">
      <c r="A208" s="117" t="str">
        <f t="shared" si="6"/>
        <v/>
      </c>
      <c r="B208" s="117" t="str">
        <f t="shared" si="7"/>
        <v/>
      </c>
      <c r="D208" s="2" t="str">
        <f>IF(ISNUMBER(SEARCH('DropDown Lists'!E214,C208)),C208,"")</f>
        <v/>
      </c>
    </row>
    <row r="209" spans="1:4" x14ac:dyDescent="0.25">
      <c r="A209" s="117" t="str">
        <f t="shared" si="6"/>
        <v/>
      </c>
      <c r="B209" s="117" t="str">
        <f t="shared" si="7"/>
        <v/>
      </c>
      <c r="D209" s="2" t="str">
        <f>IF(ISNUMBER(SEARCH('DropDown Lists'!E215,C209)),C209,"")</f>
        <v/>
      </c>
    </row>
    <row r="210" spans="1:4" x14ac:dyDescent="0.25">
      <c r="A210" s="117" t="str">
        <f t="shared" si="6"/>
        <v/>
      </c>
      <c r="B210" s="117" t="str">
        <f t="shared" si="7"/>
        <v/>
      </c>
      <c r="D210" s="2" t="str">
        <f>IF(ISNUMBER(SEARCH('DropDown Lists'!E216,C210)),C210,"")</f>
        <v/>
      </c>
    </row>
    <row r="211" spans="1:4" x14ac:dyDescent="0.25">
      <c r="A211" s="117" t="str">
        <f t="shared" si="6"/>
        <v/>
      </c>
      <c r="B211" s="117" t="str">
        <f t="shared" si="7"/>
        <v/>
      </c>
      <c r="D211" s="2" t="str">
        <f>IF(ISNUMBER(SEARCH('DropDown Lists'!E217,C211)),C211,"")</f>
        <v/>
      </c>
    </row>
    <row r="212" spans="1:4" x14ac:dyDescent="0.25">
      <c r="A212" s="117" t="str">
        <f t="shared" si="6"/>
        <v/>
      </c>
      <c r="B212" s="117" t="str">
        <f t="shared" si="7"/>
        <v/>
      </c>
      <c r="D212" s="2" t="str">
        <f>IF(ISNUMBER(SEARCH('DropDown Lists'!E218,C212)),C212,"")</f>
        <v/>
      </c>
    </row>
    <row r="213" spans="1:4" x14ac:dyDescent="0.25">
      <c r="A213" s="117" t="str">
        <f t="shared" si="6"/>
        <v/>
      </c>
      <c r="B213" s="117" t="str">
        <f t="shared" si="7"/>
        <v/>
      </c>
      <c r="D213" s="2" t="str">
        <f>IF(ISNUMBER(SEARCH('DropDown Lists'!E219,C213)),C213,"")</f>
        <v/>
      </c>
    </row>
    <row r="214" spans="1:4" x14ac:dyDescent="0.25">
      <c r="A214" s="117" t="str">
        <f t="shared" si="6"/>
        <v/>
      </c>
      <c r="B214" s="117" t="str">
        <f t="shared" si="7"/>
        <v/>
      </c>
      <c r="D214" s="2" t="str">
        <f>IF(ISNUMBER(SEARCH('DropDown Lists'!E220,C214)),C214,"")</f>
        <v/>
      </c>
    </row>
    <row r="215" spans="1:4" x14ac:dyDescent="0.25">
      <c r="A215" s="117" t="str">
        <f t="shared" si="6"/>
        <v/>
      </c>
      <c r="B215" s="117" t="str">
        <f t="shared" si="7"/>
        <v/>
      </c>
      <c r="D215" s="2" t="str">
        <f>IF(ISNUMBER(SEARCH('DropDown Lists'!E221,C215)),C215,"")</f>
        <v/>
      </c>
    </row>
    <row r="216" spans="1:4" x14ac:dyDescent="0.25">
      <c r="A216" s="117" t="str">
        <f t="shared" si="6"/>
        <v/>
      </c>
      <c r="B216" s="117" t="str">
        <f t="shared" si="7"/>
        <v/>
      </c>
      <c r="D216" s="2" t="str">
        <f>IF(ISNUMBER(SEARCH('DropDown Lists'!E222,C216)),C216,"")</f>
        <v/>
      </c>
    </row>
    <row r="217" spans="1:4" x14ac:dyDescent="0.25">
      <c r="A217" s="117" t="str">
        <f t="shared" si="6"/>
        <v/>
      </c>
      <c r="B217" s="117" t="str">
        <f t="shared" si="7"/>
        <v/>
      </c>
      <c r="D217" s="2" t="str">
        <f>IF(ISNUMBER(SEARCH('DropDown Lists'!E223,C217)),C217,"")</f>
        <v/>
      </c>
    </row>
    <row r="218" spans="1:4" x14ac:dyDescent="0.25">
      <c r="A218" s="117" t="str">
        <f t="shared" si="6"/>
        <v/>
      </c>
      <c r="B218" s="117" t="str">
        <f t="shared" si="7"/>
        <v/>
      </c>
      <c r="D218" s="2" t="str">
        <f>IF(ISNUMBER(SEARCH('DropDown Lists'!E224,C218)),C218,"")</f>
        <v/>
      </c>
    </row>
    <row r="219" spans="1:4" x14ac:dyDescent="0.25">
      <c r="A219" s="117" t="str">
        <f t="shared" si="6"/>
        <v/>
      </c>
      <c r="B219" s="117" t="str">
        <f t="shared" si="7"/>
        <v/>
      </c>
      <c r="D219" s="2" t="str">
        <f>IF(ISNUMBER(SEARCH('DropDown Lists'!E225,C219)),C219,"")</f>
        <v/>
      </c>
    </row>
    <row r="220" spans="1:4" x14ac:dyDescent="0.25">
      <c r="A220" s="117" t="str">
        <f t="shared" si="6"/>
        <v/>
      </c>
      <c r="B220" s="117" t="str">
        <f t="shared" si="7"/>
        <v/>
      </c>
      <c r="D220" s="2" t="str">
        <f>IF(ISNUMBER(SEARCH('DropDown Lists'!E226,C220)),C220,"")</f>
        <v/>
      </c>
    </row>
    <row r="221" spans="1:4" x14ac:dyDescent="0.25">
      <c r="A221" s="117" t="str">
        <f t="shared" si="6"/>
        <v/>
      </c>
      <c r="B221" s="117" t="str">
        <f t="shared" si="7"/>
        <v/>
      </c>
      <c r="D221" s="2" t="str">
        <f>IF(ISNUMBER(SEARCH('DropDown Lists'!E227,C221)),C221,"")</f>
        <v/>
      </c>
    </row>
    <row r="222" spans="1:4" x14ac:dyDescent="0.25">
      <c r="A222" s="117" t="str">
        <f t="shared" si="6"/>
        <v/>
      </c>
      <c r="B222" s="117" t="str">
        <f t="shared" si="7"/>
        <v/>
      </c>
      <c r="D222" s="2" t="str">
        <f>IF(ISNUMBER(SEARCH('DropDown Lists'!E228,C222)),C222,"")</f>
        <v/>
      </c>
    </row>
    <row r="223" spans="1:4" x14ac:dyDescent="0.25">
      <c r="A223" s="117" t="str">
        <f t="shared" si="6"/>
        <v/>
      </c>
      <c r="B223" s="117" t="str">
        <f t="shared" si="7"/>
        <v/>
      </c>
      <c r="D223" s="2" t="str">
        <f>IF(ISNUMBER(SEARCH('DropDown Lists'!E229,C223)),C223,"")</f>
        <v/>
      </c>
    </row>
    <row r="224" spans="1:4" x14ac:dyDescent="0.25">
      <c r="A224" s="117" t="str">
        <f t="shared" si="6"/>
        <v/>
      </c>
      <c r="B224" s="117" t="str">
        <f t="shared" si="7"/>
        <v/>
      </c>
      <c r="D224" s="2" t="str">
        <f>IF(ISNUMBER(SEARCH('DropDown Lists'!E230,C224)),C224,"")</f>
        <v/>
      </c>
    </row>
    <row r="225" spans="1:4" x14ac:dyDescent="0.25">
      <c r="A225" s="117" t="str">
        <f t="shared" si="6"/>
        <v/>
      </c>
      <c r="B225" s="117" t="str">
        <f t="shared" si="7"/>
        <v/>
      </c>
      <c r="D225" s="2" t="str">
        <f>IF(ISNUMBER(SEARCH('DropDown Lists'!E231,C225)),C225,"")</f>
        <v/>
      </c>
    </row>
    <row r="226" spans="1:4" x14ac:dyDescent="0.25">
      <c r="A226" s="117" t="str">
        <f t="shared" si="6"/>
        <v/>
      </c>
      <c r="B226" s="117" t="str">
        <f t="shared" si="7"/>
        <v/>
      </c>
      <c r="D226" s="2" t="str">
        <f>IF(ISNUMBER(SEARCH('DropDown Lists'!E232,C226)),C226,"")</f>
        <v/>
      </c>
    </row>
    <row r="227" spans="1:4" x14ac:dyDescent="0.25">
      <c r="A227" s="117" t="str">
        <f t="shared" si="6"/>
        <v/>
      </c>
      <c r="B227" s="117" t="str">
        <f t="shared" si="7"/>
        <v/>
      </c>
      <c r="D227" s="2" t="str">
        <f>IF(ISNUMBER(SEARCH('DropDown Lists'!E233,C227)),C227,"")</f>
        <v/>
      </c>
    </row>
    <row r="228" spans="1:4" x14ac:dyDescent="0.25">
      <c r="A228" s="117" t="str">
        <f t="shared" si="6"/>
        <v/>
      </c>
      <c r="B228" s="117" t="str">
        <f t="shared" si="7"/>
        <v/>
      </c>
      <c r="D228" s="2" t="str">
        <f>IF(ISNUMBER(SEARCH('DropDown Lists'!E234,C228)),C228,"")</f>
        <v/>
      </c>
    </row>
    <row r="229" spans="1:4" x14ac:dyDescent="0.25">
      <c r="A229" s="117" t="str">
        <f t="shared" si="6"/>
        <v/>
      </c>
      <c r="B229" s="117" t="str">
        <f t="shared" si="7"/>
        <v/>
      </c>
      <c r="D229" s="2" t="str">
        <f>IF(ISNUMBER(SEARCH('DropDown Lists'!E235,C229)),C229,"")</f>
        <v/>
      </c>
    </row>
    <row r="230" spans="1:4" x14ac:dyDescent="0.25">
      <c r="A230" s="117" t="str">
        <f t="shared" si="6"/>
        <v/>
      </c>
      <c r="B230" s="117" t="str">
        <f t="shared" si="7"/>
        <v/>
      </c>
      <c r="D230" s="2" t="str">
        <f>IF(ISNUMBER(SEARCH('DropDown Lists'!E236,C230)),C230,"")</f>
        <v/>
      </c>
    </row>
    <row r="231" spans="1:4" x14ac:dyDescent="0.25">
      <c r="A231" s="117" t="str">
        <f t="shared" si="6"/>
        <v/>
      </c>
      <c r="B231" s="117" t="str">
        <f t="shared" si="7"/>
        <v/>
      </c>
      <c r="D231" s="2" t="str">
        <f>IF(ISNUMBER(SEARCH('DropDown Lists'!E237,C231)),C231,"")</f>
        <v/>
      </c>
    </row>
    <row r="232" spans="1:4" x14ac:dyDescent="0.25">
      <c r="A232" s="117" t="str">
        <f t="shared" si="6"/>
        <v/>
      </c>
      <c r="B232" s="117" t="str">
        <f t="shared" si="7"/>
        <v/>
      </c>
      <c r="D232" s="2" t="str">
        <f>IF(ISNUMBER(SEARCH('DropDown Lists'!E238,C232)),C232,"")</f>
        <v/>
      </c>
    </row>
    <row r="233" spans="1:4" x14ac:dyDescent="0.25">
      <c r="A233" s="117" t="str">
        <f t="shared" si="6"/>
        <v/>
      </c>
      <c r="B233" s="117" t="str">
        <f t="shared" si="7"/>
        <v/>
      </c>
      <c r="D233" s="2" t="str">
        <f>IF(ISNUMBER(SEARCH('DropDown Lists'!E239,C233)),C233,"")</f>
        <v/>
      </c>
    </row>
    <row r="234" spans="1:4" x14ac:dyDescent="0.25">
      <c r="A234" s="117" t="str">
        <f t="shared" si="6"/>
        <v/>
      </c>
      <c r="B234" s="117" t="str">
        <f t="shared" si="7"/>
        <v/>
      </c>
      <c r="D234" s="2" t="str">
        <f>IF(ISNUMBER(SEARCH('DropDown Lists'!E240,C234)),C234,"")</f>
        <v/>
      </c>
    </row>
    <row r="235" spans="1:4" x14ac:dyDescent="0.25">
      <c r="A235" s="117" t="str">
        <f t="shared" si="6"/>
        <v/>
      </c>
      <c r="B235" s="117" t="str">
        <f t="shared" si="7"/>
        <v/>
      </c>
      <c r="D235" s="2" t="str">
        <f>IF(ISNUMBER(SEARCH('DropDown Lists'!E241,C235)),C235,"")</f>
        <v/>
      </c>
    </row>
    <row r="236" spans="1:4" x14ac:dyDescent="0.25">
      <c r="A236" s="117" t="str">
        <f t="shared" si="6"/>
        <v/>
      </c>
      <c r="B236" s="117" t="str">
        <f t="shared" si="7"/>
        <v/>
      </c>
      <c r="D236" s="2" t="str">
        <f>IF(ISNUMBER(SEARCH('DropDown Lists'!E242,C236)),C236,"")</f>
        <v/>
      </c>
    </row>
    <row r="237" spans="1:4" x14ac:dyDescent="0.25">
      <c r="A237" s="117" t="str">
        <f t="shared" si="6"/>
        <v/>
      </c>
      <c r="B237" s="117" t="str">
        <f t="shared" si="7"/>
        <v/>
      </c>
      <c r="D237" s="2" t="str">
        <f>IF(ISNUMBER(SEARCH('DropDown Lists'!E243,C237)),C237,"")</f>
        <v/>
      </c>
    </row>
    <row r="238" spans="1:4" x14ac:dyDescent="0.25">
      <c r="A238" s="117" t="str">
        <f t="shared" si="6"/>
        <v/>
      </c>
      <c r="B238" s="117" t="str">
        <f t="shared" si="7"/>
        <v/>
      </c>
      <c r="D238" s="2" t="str">
        <f>IF(ISNUMBER(SEARCH('DropDown Lists'!E244,C238)),C238,"")</f>
        <v/>
      </c>
    </row>
    <row r="239" spans="1:4" x14ac:dyDescent="0.25">
      <c r="A239" s="117" t="str">
        <f t="shared" si="6"/>
        <v/>
      </c>
      <c r="B239" s="117" t="str">
        <f t="shared" si="7"/>
        <v/>
      </c>
      <c r="D239" s="2" t="str">
        <f>IF(ISNUMBER(SEARCH('DropDown Lists'!E245,C239)),C239,"")</f>
        <v/>
      </c>
    </row>
    <row r="240" spans="1:4" x14ac:dyDescent="0.25">
      <c r="A240" s="117" t="str">
        <f t="shared" si="6"/>
        <v/>
      </c>
      <c r="B240" s="117" t="str">
        <f t="shared" si="7"/>
        <v/>
      </c>
      <c r="D240" s="2" t="str">
        <f>IF(ISNUMBER(SEARCH('DropDown Lists'!E246,C240)),C240,"")</f>
        <v/>
      </c>
    </row>
    <row r="241" spans="1:4" x14ac:dyDescent="0.25">
      <c r="A241" s="117" t="str">
        <f t="shared" si="6"/>
        <v/>
      </c>
      <c r="B241" s="117" t="str">
        <f t="shared" si="7"/>
        <v/>
      </c>
      <c r="D241" s="2" t="str">
        <f>IF(ISNUMBER(SEARCH('DropDown Lists'!E247,C241)),C241,"")</f>
        <v/>
      </c>
    </row>
    <row r="242" spans="1:4" x14ac:dyDescent="0.25">
      <c r="A242" s="117" t="str">
        <f t="shared" si="6"/>
        <v/>
      </c>
      <c r="B242" s="117" t="str">
        <f t="shared" si="7"/>
        <v/>
      </c>
      <c r="D242" s="2" t="str">
        <f>IF(ISNUMBER(SEARCH('DropDown Lists'!E248,C242)),C242,"")</f>
        <v/>
      </c>
    </row>
    <row r="243" spans="1:4" x14ac:dyDescent="0.25">
      <c r="A243" s="117" t="str">
        <f t="shared" si="6"/>
        <v/>
      </c>
      <c r="B243" s="117" t="str">
        <f t="shared" si="7"/>
        <v/>
      </c>
      <c r="D243" s="2" t="str">
        <f>IF(ISNUMBER(SEARCH('DropDown Lists'!E249,C243)),C243,"")</f>
        <v/>
      </c>
    </row>
    <row r="244" spans="1:4" x14ac:dyDescent="0.25">
      <c r="A244" s="117" t="str">
        <f t="shared" si="6"/>
        <v/>
      </c>
      <c r="B244" s="117" t="str">
        <f t="shared" si="7"/>
        <v/>
      </c>
      <c r="D244" s="2" t="str">
        <f>IF(ISNUMBER(SEARCH('DropDown Lists'!E250,C244)),C244,"")</f>
        <v/>
      </c>
    </row>
    <row r="245" spans="1:4" x14ac:dyDescent="0.25">
      <c r="A245" s="117" t="str">
        <f t="shared" si="6"/>
        <v/>
      </c>
      <c r="B245" s="117" t="str">
        <f t="shared" si="7"/>
        <v/>
      </c>
      <c r="D245" s="2" t="str">
        <f>IF(ISNUMBER(SEARCH('DropDown Lists'!E251,C245)),C245,"")</f>
        <v/>
      </c>
    </row>
    <row r="246" spans="1:4" x14ac:dyDescent="0.25">
      <c r="A246" s="117" t="str">
        <f t="shared" si="6"/>
        <v/>
      </c>
      <c r="B246" s="117" t="str">
        <f t="shared" si="7"/>
        <v/>
      </c>
      <c r="D246" s="2" t="str">
        <f>IF(ISNUMBER(SEARCH('DropDown Lists'!E252,C246)),C246,"")</f>
        <v/>
      </c>
    </row>
    <row r="247" spans="1:4" x14ac:dyDescent="0.25">
      <c r="A247" s="117" t="str">
        <f t="shared" si="6"/>
        <v/>
      </c>
      <c r="B247" s="117" t="str">
        <f t="shared" si="7"/>
        <v/>
      </c>
      <c r="D247" s="2" t="str">
        <f>IF(ISNUMBER(SEARCH('DropDown Lists'!E253,C247)),C247,"")</f>
        <v/>
      </c>
    </row>
    <row r="248" spans="1:4" x14ac:dyDescent="0.25">
      <c r="A248" s="117" t="str">
        <f t="shared" si="6"/>
        <v/>
      </c>
      <c r="B248" s="117" t="str">
        <f t="shared" si="7"/>
        <v/>
      </c>
      <c r="D248" s="2" t="str">
        <f>IF(ISNUMBER(SEARCH('DropDown Lists'!E254,C248)),C248,"")</f>
        <v/>
      </c>
    </row>
    <row r="249" spans="1:4" x14ac:dyDescent="0.25">
      <c r="A249" s="117" t="str">
        <f t="shared" si="6"/>
        <v/>
      </c>
      <c r="B249" s="117" t="str">
        <f t="shared" si="7"/>
        <v/>
      </c>
      <c r="D249" s="2" t="str">
        <f>IF(ISNUMBER(SEARCH('DropDown Lists'!E255,C249)),C249,"")</f>
        <v/>
      </c>
    </row>
    <row r="250" spans="1:4" x14ac:dyDescent="0.25">
      <c r="A250" s="117" t="str">
        <f t="shared" si="6"/>
        <v/>
      </c>
      <c r="B250" s="117" t="str">
        <f t="shared" si="7"/>
        <v/>
      </c>
      <c r="D250" s="2" t="str">
        <f>IF(ISNUMBER(SEARCH('DropDown Lists'!E256,C250)),C250,"")</f>
        <v/>
      </c>
    </row>
    <row r="251" spans="1:4" x14ac:dyDescent="0.25">
      <c r="A251" s="117" t="str">
        <f t="shared" si="6"/>
        <v/>
      </c>
      <c r="B251" s="117" t="str">
        <f t="shared" si="7"/>
        <v/>
      </c>
      <c r="D251" s="2" t="str">
        <f>IF(ISNUMBER(SEARCH('DropDown Lists'!E257,C251)),C251,"")</f>
        <v/>
      </c>
    </row>
    <row r="252" spans="1:4" x14ac:dyDescent="0.25">
      <c r="A252" s="117" t="str">
        <f t="shared" si="6"/>
        <v/>
      </c>
      <c r="B252" s="117" t="str">
        <f t="shared" si="7"/>
        <v/>
      </c>
      <c r="D252" s="2" t="str">
        <f>IF(ISNUMBER(SEARCH('DropDown Lists'!E258,C252)),C252,"")</f>
        <v/>
      </c>
    </row>
    <row r="253" spans="1:4" x14ac:dyDescent="0.25">
      <c r="A253" s="117" t="str">
        <f t="shared" si="6"/>
        <v/>
      </c>
      <c r="B253" s="117" t="str">
        <f t="shared" si="7"/>
        <v/>
      </c>
      <c r="D253" s="2" t="str">
        <f>IF(ISNUMBER(SEARCH('DropDown Lists'!E259,C253)),C253,"")</f>
        <v/>
      </c>
    </row>
    <row r="254" spans="1:4" x14ac:dyDescent="0.25">
      <c r="A254" s="117" t="str">
        <f t="shared" si="6"/>
        <v/>
      </c>
      <c r="B254" s="117" t="str">
        <f t="shared" si="7"/>
        <v/>
      </c>
      <c r="D254" s="2" t="str">
        <f>IF(ISNUMBER(SEARCH('DropDown Lists'!E260,C254)),C254,"")</f>
        <v/>
      </c>
    </row>
    <row r="255" spans="1:4" x14ac:dyDescent="0.25">
      <c r="A255" s="117" t="str">
        <f t="shared" si="6"/>
        <v/>
      </c>
      <c r="B255" s="117" t="str">
        <f t="shared" si="7"/>
        <v/>
      </c>
      <c r="D255" s="2" t="str">
        <f>IF(ISNUMBER(SEARCH('DropDown Lists'!E261,C255)),C255,"")</f>
        <v/>
      </c>
    </row>
    <row r="256" spans="1:4" x14ac:dyDescent="0.25">
      <c r="A256" s="117" t="str">
        <f t="shared" si="6"/>
        <v/>
      </c>
      <c r="B256" s="117" t="str">
        <f t="shared" si="7"/>
        <v/>
      </c>
      <c r="D256" s="2" t="str">
        <f>IF(ISNUMBER(SEARCH('DropDown Lists'!E262,C256)),C256,"")</f>
        <v/>
      </c>
    </row>
    <row r="257" spans="1:4" x14ac:dyDescent="0.25">
      <c r="A257" s="117" t="str">
        <f t="shared" si="6"/>
        <v/>
      </c>
      <c r="B257" s="117" t="str">
        <f t="shared" si="7"/>
        <v/>
      </c>
      <c r="D257" s="2" t="str">
        <f>IF(ISNUMBER(SEARCH('DropDown Lists'!E263,C257)),C257,"")</f>
        <v/>
      </c>
    </row>
    <row r="258" spans="1:4" x14ac:dyDescent="0.25">
      <c r="A258" s="117" t="str">
        <f t="shared" ref="A258:A321" si="8">B258</f>
        <v/>
      </c>
      <c r="B258" s="117" t="str">
        <f t="shared" ref="B258:B321" si="9">IF(D258&lt;&gt;"",$N$2,"")</f>
        <v/>
      </c>
      <c r="D258" s="2" t="str">
        <f>IF(ISNUMBER(SEARCH('DropDown Lists'!E264,C258)),C258,"")</f>
        <v/>
      </c>
    </row>
    <row r="259" spans="1:4" x14ac:dyDescent="0.25">
      <c r="A259" s="117" t="str">
        <f t="shared" si="8"/>
        <v/>
      </c>
      <c r="B259" s="117" t="str">
        <f t="shared" si="9"/>
        <v/>
      </c>
      <c r="D259" s="2" t="str">
        <f>IF(ISNUMBER(SEARCH('DropDown Lists'!E265,C259)),C259,"")</f>
        <v/>
      </c>
    </row>
    <row r="260" spans="1:4" x14ac:dyDescent="0.25">
      <c r="A260" s="117" t="str">
        <f t="shared" si="8"/>
        <v/>
      </c>
      <c r="B260" s="117" t="str">
        <f t="shared" si="9"/>
        <v/>
      </c>
      <c r="D260" s="2" t="str">
        <f>IF(ISNUMBER(SEARCH('DropDown Lists'!E266,C260)),C260,"")</f>
        <v/>
      </c>
    </row>
    <row r="261" spans="1:4" x14ac:dyDescent="0.25">
      <c r="A261" s="117" t="str">
        <f t="shared" si="8"/>
        <v/>
      </c>
      <c r="B261" s="117" t="str">
        <f t="shared" si="9"/>
        <v/>
      </c>
      <c r="D261" s="2" t="str">
        <f>IF(ISNUMBER(SEARCH('DropDown Lists'!E267,C261)),C261,"")</f>
        <v/>
      </c>
    </row>
    <row r="262" spans="1:4" x14ac:dyDescent="0.25">
      <c r="A262" s="117" t="str">
        <f t="shared" si="8"/>
        <v/>
      </c>
      <c r="B262" s="117" t="str">
        <f t="shared" si="9"/>
        <v/>
      </c>
      <c r="D262" s="2" t="str">
        <f>IF(ISNUMBER(SEARCH('DropDown Lists'!E268,C262)),C262,"")</f>
        <v/>
      </c>
    </row>
    <row r="263" spans="1:4" x14ac:dyDescent="0.25">
      <c r="A263" s="117" t="str">
        <f t="shared" si="8"/>
        <v/>
      </c>
      <c r="B263" s="117" t="str">
        <f t="shared" si="9"/>
        <v/>
      </c>
      <c r="D263" s="2" t="str">
        <f>IF(ISNUMBER(SEARCH('DropDown Lists'!E269,C263)),C263,"")</f>
        <v/>
      </c>
    </row>
    <row r="264" spans="1:4" x14ac:dyDescent="0.25">
      <c r="A264" s="117" t="str">
        <f t="shared" si="8"/>
        <v/>
      </c>
      <c r="B264" s="117" t="str">
        <f t="shared" si="9"/>
        <v/>
      </c>
      <c r="D264" s="2" t="str">
        <f>IF(ISNUMBER(SEARCH('DropDown Lists'!E270,C264)),C264,"")</f>
        <v/>
      </c>
    </row>
    <row r="265" spans="1:4" x14ac:dyDescent="0.25">
      <c r="A265" s="117" t="str">
        <f t="shared" si="8"/>
        <v/>
      </c>
      <c r="B265" s="117" t="str">
        <f t="shared" si="9"/>
        <v/>
      </c>
      <c r="D265" s="2" t="str">
        <f>IF(ISNUMBER(SEARCH('DropDown Lists'!E271,C265)),C265,"")</f>
        <v/>
      </c>
    </row>
    <row r="266" spans="1:4" x14ac:dyDescent="0.25">
      <c r="A266" s="117" t="str">
        <f t="shared" si="8"/>
        <v/>
      </c>
      <c r="B266" s="117" t="str">
        <f t="shared" si="9"/>
        <v/>
      </c>
      <c r="D266" s="2" t="str">
        <f>IF(ISNUMBER(SEARCH('DropDown Lists'!E272,C266)),C266,"")</f>
        <v/>
      </c>
    </row>
    <row r="267" spans="1:4" x14ac:dyDescent="0.25">
      <c r="A267" s="117" t="str">
        <f t="shared" si="8"/>
        <v/>
      </c>
      <c r="B267" s="117" t="str">
        <f t="shared" si="9"/>
        <v/>
      </c>
      <c r="D267" s="2" t="str">
        <f>IF(ISNUMBER(SEARCH('DropDown Lists'!E273,C267)),C267,"")</f>
        <v/>
      </c>
    </row>
    <row r="268" spans="1:4" x14ac:dyDescent="0.25">
      <c r="A268" s="117" t="str">
        <f t="shared" si="8"/>
        <v/>
      </c>
      <c r="B268" s="117" t="str">
        <f t="shared" si="9"/>
        <v/>
      </c>
      <c r="D268" s="2" t="str">
        <f>IF(ISNUMBER(SEARCH('DropDown Lists'!E274,C268)),C268,"")</f>
        <v/>
      </c>
    </row>
    <row r="269" spans="1:4" x14ac:dyDescent="0.25">
      <c r="A269" s="117" t="str">
        <f t="shared" si="8"/>
        <v/>
      </c>
      <c r="B269" s="117" t="str">
        <f t="shared" si="9"/>
        <v/>
      </c>
      <c r="D269" s="2" t="str">
        <f>IF(ISNUMBER(SEARCH('DropDown Lists'!E275,C269)),C269,"")</f>
        <v/>
      </c>
    </row>
    <row r="270" spans="1:4" x14ac:dyDescent="0.25">
      <c r="A270" s="117" t="str">
        <f t="shared" si="8"/>
        <v/>
      </c>
      <c r="B270" s="117" t="str">
        <f t="shared" si="9"/>
        <v/>
      </c>
      <c r="D270" s="2" t="str">
        <f>IF(ISNUMBER(SEARCH('DropDown Lists'!E276,C270)),C270,"")</f>
        <v/>
      </c>
    </row>
    <row r="271" spans="1:4" x14ac:dyDescent="0.25">
      <c r="A271" s="117" t="str">
        <f t="shared" si="8"/>
        <v/>
      </c>
      <c r="B271" s="117" t="str">
        <f t="shared" si="9"/>
        <v/>
      </c>
      <c r="D271" s="2" t="str">
        <f>IF(ISNUMBER(SEARCH('DropDown Lists'!E277,C271)),C271,"")</f>
        <v/>
      </c>
    </row>
    <row r="272" spans="1:4" x14ac:dyDescent="0.25">
      <c r="A272" s="117" t="str">
        <f t="shared" si="8"/>
        <v/>
      </c>
      <c r="B272" s="117" t="str">
        <f t="shared" si="9"/>
        <v/>
      </c>
      <c r="D272" s="2" t="str">
        <f>IF(ISNUMBER(SEARCH('DropDown Lists'!E278,C272)),C272,"")</f>
        <v/>
      </c>
    </row>
    <row r="273" spans="1:4" x14ac:dyDescent="0.25">
      <c r="A273" s="117" t="str">
        <f t="shared" si="8"/>
        <v/>
      </c>
      <c r="B273" s="117" t="str">
        <f t="shared" si="9"/>
        <v/>
      </c>
      <c r="D273" s="2" t="str">
        <f>IF(ISNUMBER(SEARCH('DropDown Lists'!E279,C273)),C273,"")</f>
        <v/>
      </c>
    </row>
    <row r="274" spans="1:4" x14ac:dyDescent="0.25">
      <c r="A274" s="117" t="str">
        <f t="shared" si="8"/>
        <v/>
      </c>
      <c r="B274" s="117" t="str">
        <f t="shared" si="9"/>
        <v/>
      </c>
      <c r="D274" s="2" t="str">
        <f>IF(ISNUMBER(SEARCH('DropDown Lists'!E280,C274)),C274,"")</f>
        <v/>
      </c>
    </row>
    <row r="275" spans="1:4" x14ac:dyDescent="0.25">
      <c r="A275" s="117" t="str">
        <f t="shared" si="8"/>
        <v/>
      </c>
      <c r="B275" s="117" t="str">
        <f t="shared" si="9"/>
        <v/>
      </c>
      <c r="D275" s="2" t="str">
        <f>IF(ISNUMBER(SEARCH('DropDown Lists'!E281,C275)),C275,"")</f>
        <v/>
      </c>
    </row>
    <row r="276" spans="1:4" x14ac:dyDescent="0.25">
      <c r="A276" s="117" t="str">
        <f t="shared" si="8"/>
        <v/>
      </c>
      <c r="B276" s="117" t="str">
        <f t="shared" si="9"/>
        <v/>
      </c>
      <c r="D276" s="2" t="str">
        <f>IF(ISNUMBER(SEARCH('DropDown Lists'!E282,C276)),C276,"")</f>
        <v/>
      </c>
    </row>
    <row r="277" spans="1:4" x14ac:dyDescent="0.25">
      <c r="A277" s="117" t="str">
        <f t="shared" si="8"/>
        <v/>
      </c>
      <c r="B277" s="117" t="str">
        <f t="shared" si="9"/>
        <v/>
      </c>
      <c r="D277" s="2" t="str">
        <f>IF(ISNUMBER(SEARCH('DropDown Lists'!E283,C277)),C277,"")</f>
        <v/>
      </c>
    </row>
    <row r="278" spans="1:4" x14ac:dyDescent="0.25">
      <c r="A278" s="117" t="str">
        <f t="shared" si="8"/>
        <v/>
      </c>
      <c r="B278" s="117" t="str">
        <f t="shared" si="9"/>
        <v/>
      </c>
      <c r="D278" s="2" t="str">
        <f>IF(ISNUMBER(SEARCH('DropDown Lists'!E284,C278)),C278,"")</f>
        <v/>
      </c>
    </row>
    <row r="279" spans="1:4" x14ac:dyDescent="0.25">
      <c r="A279" s="117" t="str">
        <f t="shared" si="8"/>
        <v/>
      </c>
      <c r="B279" s="117" t="str">
        <f t="shared" si="9"/>
        <v/>
      </c>
      <c r="D279" s="2" t="str">
        <f>IF(ISNUMBER(SEARCH('DropDown Lists'!E285,C279)),C279,"")</f>
        <v/>
      </c>
    </row>
    <row r="280" spans="1:4" x14ac:dyDescent="0.25">
      <c r="A280" s="117" t="str">
        <f t="shared" si="8"/>
        <v/>
      </c>
      <c r="B280" s="117" t="str">
        <f t="shared" si="9"/>
        <v/>
      </c>
      <c r="D280" s="2" t="str">
        <f>IF(ISNUMBER(SEARCH('DropDown Lists'!E286,C280)),C280,"")</f>
        <v/>
      </c>
    </row>
    <row r="281" spans="1:4" x14ac:dyDescent="0.25">
      <c r="A281" s="117" t="str">
        <f t="shared" si="8"/>
        <v/>
      </c>
      <c r="B281" s="117" t="str">
        <f t="shared" si="9"/>
        <v/>
      </c>
      <c r="D281" s="2" t="str">
        <f>IF(ISNUMBER(SEARCH('DropDown Lists'!E287,C281)),C281,"")</f>
        <v/>
      </c>
    </row>
    <row r="282" spans="1:4" x14ac:dyDescent="0.25">
      <c r="A282" s="117" t="str">
        <f t="shared" si="8"/>
        <v/>
      </c>
      <c r="B282" s="117" t="str">
        <f t="shared" si="9"/>
        <v/>
      </c>
      <c r="D282" s="2" t="str">
        <f>IF(ISNUMBER(SEARCH('DropDown Lists'!E288,C282)),C282,"")</f>
        <v/>
      </c>
    </row>
    <row r="283" spans="1:4" x14ac:dyDescent="0.25">
      <c r="A283" s="117" t="str">
        <f t="shared" si="8"/>
        <v/>
      </c>
      <c r="B283" s="117" t="str">
        <f t="shared" si="9"/>
        <v/>
      </c>
      <c r="D283" s="2" t="str">
        <f>IF(ISNUMBER(SEARCH('DropDown Lists'!E289,C283)),C283,"")</f>
        <v/>
      </c>
    </row>
    <row r="284" spans="1:4" x14ac:dyDescent="0.25">
      <c r="A284" s="117" t="str">
        <f t="shared" si="8"/>
        <v/>
      </c>
      <c r="B284" s="117" t="str">
        <f t="shared" si="9"/>
        <v/>
      </c>
      <c r="D284" s="2" t="str">
        <f>IF(ISNUMBER(SEARCH('DropDown Lists'!E290,C284)),C284,"")</f>
        <v/>
      </c>
    </row>
    <row r="285" spans="1:4" x14ac:dyDescent="0.25">
      <c r="A285" s="117" t="str">
        <f t="shared" si="8"/>
        <v/>
      </c>
      <c r="B285" s="117" t="str">
        <f t="shared" si="9"/>
        <v/>
      </c>
      <c r="D285" s="2" t="str">
        <f>IF(ISNUMBER(SEARCH('DropDown Lists'!E291,C285)),C285,"")</f>
        <v/>
      </c>
    </row>
    <row r="286" spans="1:4" x14ac:dyDescent="0.25">
      <c r="A286" s="117" t="str">
        <f t="shared" si="8"/>
        <v/>
      </c>
      <c r="B286" s="117" t="str">
        <f t="shared" si="9"/>
        <v/>
      </c>
      <c r="D286" s="2" t="str">
        <f>IF(ISNUMBER(SEARCH('DropDown Lists'!E292,C286)),C286,"")</f>
        <v/>
      </c>
    </row>
    <row r="287" spans="1:4" x14ac:dyDescent="0.25">
      <c r="A287" s="117" t="str">
        <f t="shared" si="8"/>
        <v/>
      </c>
      <c r="B287" s="117" t="str">
        <f t="shared" si="9"/>
        <v/>
      </c>
      <c r="D287" s="2" t="str">
        <f>IF(ISNUMBER(SEARCH('DropDown Lists'!E293,C287)),C287,"")</f>
        <v/>
      </c>
    </row>
    <row r="288" spans="1:4" x14ac:dyDescent="0.25">
      <c r="A288" s="117" t="str">
        <f t="shared" si="8"/>
        <v/>
      </c>
      <c r="B288" s="117" t="str">
        <f t="shared" si="9"/>
        <v/>
      </c>
      <c r="D288" s="2" t="str">
        <f>IF(ISNUMBER(SEARCH('DropDown Lists'!E294,C288)),C288,"")</f>
        <v/>
      </c>
    </row>
    <row r="289" spans="1:4" x14ac:dyDescent="0.25">
      <c r="A289" s="117" t="str">
        <f t="shared" si="8"/>
        <v/>
      </c>
      <c r="B289" s="117" t="str">
        <f t="shared" si="9"/>
        <v/>
      </c>
      <c r="D289" s="2" t="str">
        <f>IF(ISNUMBER(SEARCH('DropDown Lists'!E295,C289)),C289,"")</f>
        <v/>
      </c>
    </row>
    <row r="290" spans="1:4" x14ac:dyDescent="0.25">
      <c r="A290" s="117" t="str">
        <f t="shared" si="8"/>
        <v/>
      </c>
      <c r="B290" s="117" t="str">
        <f t="shared" si="9"/>
        <v/>
      </c>
      <c r="D290" s="2" t="str">
        <f>IF(ISNUMBER(SEARCH('DropDown Lists'!E296,C290)),C290,"")</f>
        <v/>
      </c>
    </row>
    <row r="291" spans="1:4" x14ac:dyDescent="0.25">
      <c r="A291" s="117" t="str">
        <f t="shared" si="8"/>
        <v/>
      </c>
      <c r="B291" s="117" t="str">
        <f t="shared" si="9"/>
        <v/>
      </c>
      <c r="D291" s="2" t="str">
        <f>IF(ISNUMBER(SEARCH('DropDown Lists'!E297,C291)),C291,"")</f>
        <v/>
      </c>
    </row>
    <row r="292" spans="1:4" x14ac:dyDescent="0.25">
      <c r="A292" s="117" t="str">
        <f t="shared" si="8"/>
        <v/>
      </c>
      <c r="B292" s="117" t="str">
        <f t="shared" si="9"/>
        <v/>
      </c>
      <c r="D292" s="2" t="str">
        <f>IF(ISNUMBER(SEARCH('DropDown Lists'!E298,C292)),C292,"")</f>
        <v/>
      </c>
    </row>
    <row r="293" spans="1:4" x14ac:dyDescent="0.25">
      <c r="A293" s="117" t="str">
        <f t="shared" si="8"/>
        <v/>
      </c>
      <c r="B293" s="117" t="str">
        <f t="shared" si="9"/>
        <v/>
      </c>
      <c r="D293" s="2" t="str">
        <f>IF(ISNUMBER(SEARCH('DropDown Lists'!E299,C293)),C293,"")</f>
        <v/>
      </c>
    </row>
    <row r="294" spans="1:4" x14ac:dyDescent="0.25">
      <c r="A294" s="117" t="str">
        <f t="shared" si="8"/>
        <v/>
      </c>
      <c r="B294" s="117" t="str">
        <f t="shared" si="9"/>
        <v/>
      </c>
      <c r="D294" s="2" t="str">
        <f>IF(ISNUMBER(SEARCH('DropDown Lists'!E300,C294)),C294,"")</f>
        <v/>
      </c>
    </row>
    <row r="295" spans="1:4" x14ac:dyDescent="0.25">
      <c r="A295" s="117" t="str">
        <f t="shared" si="8"/>
        <v/>
      </c>
      <c r="B295" s="117" t="str">
        <f t="shared" si="9"/>
        <v/>
      </c>
      <c r="D295" s="2" t="str">
        <f>IF(ISNUMBER(SEARCH('DropDown Lists'!E301,C295)),C295,"")</f>
        <v/>
      </c>
    </row>
    <row r="296" spans="1:4" x14ac:dyDescent="0.25">
      <c r="A296" s="117" t="str">
        <f t="shared" si="8"/>
        <v/>
      </c>
      <c r="B296" s="117" t="str">
        <f t="shared" si="9"/>
        <v/>
      </c>
      <c r="D296" s="2" t="str">
        <f>IF(ISNUMBER(SEARCH('DropDown Lists'!E302,C296)),C296,"")</f>
        <v/>
      </c>
    </row>
    <row r="297" spans="1:4" x14ac:dyDescent="0.25">
      <c r="A297" s="117" t="str">
        <f t="shared" si="8"/>
        <v/>
      </c>
      <c r="B297" s="117" t="str">
        <f t="shared" si="9"/>
        <v/>
      </c>
      <c r="D297" s="2" t="str">
        <f>IF(ISNUMBER(SEARCH('DropDown Lists'!E303,C297)),C297,"")</f>
        <v/>
      </c>
    </row>
    <row r="298" spans="1:4" x14ac:dyDescent="0.25">
      <c r="A298" s="117" t="str">
        <f t="shared" si="8"/>
        <v/>
      </c>
      <c r="B298" s="117" t="str">
        <f t="shared" si="9"/>
        <v/>
      </c>
      <c r="D298" s="2" t="str">
        <f>IF(ISNUMBER(SEARCH('DropDown Lists'!E304,C298)),C298,"")</f>
        <v/>
      </c>
    </row>
    <row r="299" spans="1:4" x14ac:dyDescent="0.25">
      <c r="A299" s="117" t="str">
        <f t="shared" si="8"/>
        <v/>
      </c>
      <c r="B299" s="117" t="str">
        <f t="shared" si="9"/>
        <v/>
      </c>
      <c r="D299" s="2" t="str">
        <f>IF(ISNUMBER(SEARCH('DropDown Lists'!E305,C299)),C299,"")</f>
        <v/>
      </c>
    </row>
    <row r="300" spans="1:4" x14ac:dyDescent="0.25">
      <c r="A300" s="117" t="str">
        <f t="shared" si="8"/>
        <v/>
      </c>
      <c r="B300" s="117" t="str">
        <f t="shared" si="9"/>
        <v/>
      </c>
      <c r="D300" s="2" t="str">
        <f>IF(ISNUMBER(SEARCH('DropDown Lists'!E306,C300)),C300,"")</f>
        <v/>
      </c>
    </row>
    <row r="301" spans="1:4" x14ac:dyDescent="0.25">
      <c r="A301" s="117" t="str">
        <f t="shared" si="8"/>
        <v/>
      </c>
      <c r="B301" s="117" t="str">
        <f t="shared" si="9"/>
        <v/>
      </c>
      <c r="D301" s="2" t="str">
        <f>IF(ISNUMBER(SEARCH('DropDown Lists'!E307,C301)),C301,"")</f>
        <v/>
      </c>
    </row>
    <row r="302" spans="1:4" x14ac:dyDescent="0.25">
      <c r="A302" s="117" t="str">
        <f t="shared" si="8"/>
        <v/>
      </c>
      <c r="B302" s="117" t="str">
        <f t="shared" si="9"/>
        <v/>
      </c>
      <c r="D302" s="2" t="str">
        <f>IF(ISNUMBER(SEARCH('DropDown Lists'!E308,C302)),C302,"")</f>
        <v/>
      </c>
    </row>
    <row r="303" spans="1:4" x14ac:dyDescent="0.25">
      <c r="A303" s="117" t="str">
        <f t="shared" si="8"/>
        <v/>
      </c>
      <c r="B303" s="117" t="str">
        <f t="shared" si="9"/>
        <v/>
      </c>
      <c r="D303" s="2" t="str">
        <f>IF(ISNUMBER(SEARCH('DropDown Lists'!E309,C303)),C303,"")</f>
        <v/>
      </c>
    </row>
    <row r="304" spans="1:4" x14ac:dyDescent="0.25">
      <c r="A304" s="117" t="str">
        <f t="shared" si="8"/>
        <v/>
      </c>
      <c r="B304" s="117" t="str">
        <f t="shared" si="9"/>
        <v/>
      </c>
      <c r="D304" s="2" t="str">
        <f>IF(ISNUMBER(SEARCH('DropDown Lists'!E310,C304)),C304,"")</f>
        <v/>
      </c>
    </row>
    <row r="305" spans="1:4" x14ac:dyDescent="0.25">
      <c r="A305" s="117" t="str">
        <f t="shared" si="8"/>
        <v/>
      </c>
      <c r="B305" s="117" t="str">
        <f t="shared" si="9"/>
        <v/>
      </c>
      <c r="D305" s="2" t="str">
        <f>IF(ISNUMBER(SEARCH('DropDown Lists'!E311,C305)),C305,"")</f>
        <v/>
      </c>
    </row>
    <row r="306" spans="1:4" x14ac:dyDescent="0.25">
      <c r="A306" s="117" t="str">
        <f t="shared" si="8"/>
        <v/>
      </c>
      <c r="B306" s="117" t="str">
        <f t="shared" si="9"/>
        <v/>
      </c>
      <c r="D306" s="2" t="str">
        <f>IF(ISNUMBER(SEARCH('DropDown Lists'!E312,C306)),C306,"")</f>
        <v/>
      </c>
    </row>
    <row r="307" spans="1:4" x14ac:dyDescent="0.25">
      <c r="A307" s="117" t="str">
        <f t="shared" si="8"/>
        <v/>
      </c>
      <c r="B307" s="117" t="str">
        <f t="shared" si="9"/>
        <v/>
      </c>
      <c r="D307" s="2" t="str">
        <f>IF(ISNUMBER(SEARCH('DropDown Lists'!E313,C307)),C307,"")</f>
        <v/>
      </c>
    </row>
    <row r="308" spans="1:4" x14ac:dyDescent="0.25">
      <c r="A308" s="117" t="str">
        <f t="shared" si="8"/>
        <v/>
      </c>
      <c r="B308" s="117" t="str">
        <f t="shared" si="9"/>
        <v/>
      </c>
      <c r="D308" s="2" t="str">
        <f>IF(ISNUMBER(SEARCH('DropDown Lists'!E314,C308)),C308,"")</f>
        <v/>
      </c>
    </row>
    <row r="309" spans="1:4" x14ac:dyDescent="0.25">
      <c r="A309" s="117" t="str">
        <f t="shared" si="8"/>
        <v/>
      </c>
      <c r="B309" s="117" t="str">
        <f t="shared" si="9"/>
        <v/>
      </c>
      <c r="D309" s="2" t="str">
        <f>IF(ISNUMBER(SEARCH('DropDown Lists'!E315,C309)),C309,"")</f>
        <v/>
      </c>
    </row>
    <row r="310" spans="1:4" x14ac:dyDescent="0.25">
      <c r="A310" s="117" t="str">
        <f t="shared" si="8"/>
        <v/>
      </c>
      <c r="B310" s="117" t="str">
        <f t="shared" si="9"/>
        <v/>
      </c>
      <c r="D310" s="2" t="str">
        <f>IF(ISNUMBER(SEARCH('DropDown Lists'!E316,C310)),C310,"")</f>
        <v/>
      </c>
    </row>
    <row r="311" spans="1:4" x14ac:dyDescent="0.25">
      <c r="A311" s="117" t="str">
        <f t="shared" si="8"/>
        <v/>
      </c>
      <c r="B311" s="117" t="str">
        <f t="shared" si="9"/>
        <v/>
      </c>
      <c r="D311" s="2" t="str">
        <f>IF(ISNUMBER(SEARCH('DropDown Lists'!E317,C311)),C311,"")</f>
        <v/>
      </c>
    </row>
    <row r="312" spans="1:4" x14ac:dyDescent="0.25">
      <c r="A312" s="117" t="str">
        <f t="shared" si="8"/>
        <v/>
      </c>
      <c r="B312" s="117" t="str">
        <f t="shared" si="9"/>
        <v/>
      </c>
      <c r="D312" s="2" t="str">
        <f>IF(ISNUMBER(SEARCH('DropDown Lists'!E318,C312)),C312,"")</f>
        <v/>
      </c>
    </row>
    <row r="313" spans="1:4" x14ac:dyDescent="0.25">
      <c r="A313" s="117" t="str">
        <f t="shared" si="8"/>
        <v/>
      </c>
      <c r="B313" s="117" t="str">
        <f t="shared" si="9"/>
        <v/>
      </c>
      <c r="D313" s="2" t="str">
        <f>IF(ISNUMBER(SEARCH('DropDown Lists'!E319,C313)),C313,"")</f>
        <v/>
      </c>
    </row>
    <row r="314" spans="1:4" x14ac:dyDescent="0.25">
      <c r="A314" s="117" t="str">
        <f t="shared" si="8"/>
        <v/>
      </c>
      <c r="B314" s="117" t="str">
        <f t="shared" si="9"/>
        <v/>
      </c>
      <c r="D314" s="2" t="str">
        <f>IF(ISNUMBER(SEARCH('DropDown Lists'!E320,C314)),C314,"")</f>
        <v/>
      </c>
    </row>
    <row r="315" spans="1:4" x14ac:dyDescent="0.25">
      <c r="A315" s="117" t="str">
        <f t="shared" si="8"/>
        <v/>
      </c>
      <c r="B315" s="117" t="str">
        <f t="shared" si="9"/>
        <v/>
      </c>
      <c r="D315" s="2" t="str">
        <f>IF(ISNUMBER(SEARCH('DropDown Lists'!E321,C315)),C315,"")</f>
        <v/>
      </c>
    </row>
    <row r="316" spans="1:4" x14ac:dyDescent="0.25">
      <c r="A316" s="117" t="str">
        <f t="shared" si="8"/>
        <v/>
      </c>
      <c r="B316" s="117" t="str">
        <f t="shared" si="9"/>
        <v/>
      </c>
      <c r="D316" s="2" t="str">
        <f>IF(ISNUMBER(SEARCH('DropDown Lists'!E322,C316)),C316,"")</f>
        <v/>
      </c>
    </row>
    <row r="317" spans="1:4" x14ac:dyDescent="0.25">
      <c r="A317" s="117" t="str">
        <f t="shared" si="8"/>
        <v/>
      </c>
      <c r="B317" s="117" t="str">
        <f t="shared" si="9"/>
        <v/>
      </c>
      <c r="D317" s="2" t="str">
        <f>IF(ISNUMBER(SEARCH('DropDown Lists'!E323,C317)),C317,"")</f>
        <v/>
      </c>
    </row>
    <row r="318" spans="1:4" x14ac:dyDescent="0.25">
      <c r="A318" s="117" t="str">
        <f t="shared" si="8"/>
        <v/>
      </c>
      <c r="B318" s="117" t="str">
        <f t="shared" si="9"/>
        <v/>
      </c>
      <c r="D318" s="2" t="str">
        <f>IF(ISNUMBER(SEARCH('DropDown Lists'!E324,C318)),C318,"")</f>
        <v/>
      </c>
    </row>
    <row r="319" spans="1:4" x14ac:dyDescent="0.25">
      <c r="A319" s="117" t="str">
        <f t="shared" si="8"/>
        <v/>
      </c>
      <c r="B319" s="117" t="str">
        <f t="shared" si="9"/>
        <v/>
      </c>
      <c r="D319" s="2" t="str">
        <f>IF(ISNUMBER(SEARCH('DropDown Lists'!E325,C319)),C319,"")</f>
        <v/>
      </c>
    </row>
    <row r="320" spans="1:4" x14ac:dyDescent="0.25">
      <c r="A320" s="117" t="str">
        <f t="shared" si="8"/>
        <v/>
      </c>
      <c r="B320" s="117" t="str">
        <f t="shared" si="9"/>
        <v/>
      </c>
      <c r="D320" s="2" t="str">
        <f>IF(ISNUMBER(SEARCH('DropDown Lists'!E326,C320)),C320,"")</f>
        <v/>
      </c>
    </row>
    <row r="321" spans="1:4" x14ac:dyDescent="0.25">
      <c r="A321" s="117" t="str">
        <f t="shared" si="8"/>
        <v/>
      </c>
      <c r="B321" s="117" t="str">
        <f t="shared" si="9"/>
        <v/>
      </c>
      <c r="D321" s="2" t="str">
        <f>IF(ISNUMBER(SEARCH('DropDown Lists'!E327,C321)),C321,"")</f>
        <v/>
      </c>
    </row>
    <row r="322" spans="1:4" x14ac:dyDescent="0.25">
      <c r="A322" s="117" t="str">
        <f t="shared" ref="A322:A385" si="10">B322</f>
        <v/>
      </c>
      <c r="B322" s="117" t="str">
        <f t="shared" ref="B322:B385" si="11">IF(D322&lt;&gt;"",$N$2,"")</f>
        <v/>
      </c>
      <c r="D322" s="2" t="str">
        <f>IF(ISNUMBER(SEARCH('DropDown Lists'!E328,C322)),C322,"")</f>
        <v/>
      </c>
    </row>
    <row r="323" spans="1:4" x14ac:dyDescent="0.25">
      <c r="A323" s="117" t="str">
        <f t="shared" si="10"/>
        <v/>
      </c>
      <c r="B323" s="117" t="str">
        <f t="shared" si="11"/>
        <v/>
      </c>
      <c r="D323" s="2" t="str">
        <f>IF(ISNUMBER(SEARCH('DropDown Lists'!E329,C323)),C323,"")</f>
        <v/>
      </c>
    </row>
    <row r="324" spans="1:4" x14ac:dyDescent="0.25">
      <c r="A324" s="117" t="str">
        <f t="shared" si="10"/>
        <v/>
      </c>
      <c r="B324" s="117" t="str">
        <f t="shared" si="11"/>
        <v/>
      </c>
      <c r="D324" s="2" t="str">
        <f>IF(ISNUMBER(SEARCH('DropDown Lists'!E330,C324)),C324,"")</f>
        <v/>
      </c>
    </row>
    <row r="325" spans="1:4" x14ac:dyDescent="0.25">
      <c r="A325" s="117" t="str">
        <f t="shared" si="10"/>
        <v/>
      </c>
      <c r="B325" s="117" t="str">
        <f t="shared" si="11"/>
        <v/>
      </c>
      <c r="D325" s="2" t="str">
        <f>IF(ISNUMBER(SEARCH('DropDown Lists'!E331,C325)),C325,"")</f>
        <v/>
      </c>
    </row>
    <row r="326" spans="1:4" x14ac:dyDescent="0.25">
      <c r="A326" s="117" t="str">
        <f t="shared" si="10"/>
        <v/>
      </c>
      <c r="B326" s="117" t="str">
        <f t="shared" si="11"/>
        <v/>
      </c>
      <c r="D326" s="2" t="str">
        <f>IF(ISNUMBER(SEARCH('DropDown Lists'!E332,C326)),C326,"")</f>
        <v/>
      </c>
    </row>
    <row r="327" spans="1:4" x14ac:dyDescent="0.25">
      <c r="A327" s="117" t="str">
        <f t="shared" si="10"/>
        <v/>
      </c>
      <c r="B327" s="117" t="str">
        <f t="shared" si="11"/>
        <v/>
      </c>
      <c r="D327" s="2" t="str">
        <f>IF(ISNUMBER(SEARCH('DropDown Lists'!E333,C327)),C327,"")</f>
        <v/>
      </c>
    </row>
    <row r="328" spans="1:4" x14ac:dyDescent="0.25">
      <c r="A328" s="117" t="str">
        <f t="shared" si="10"/>
        <v/>
      </c>
      <c r="B328" s="117" t="str">
        <f t="shared" si="11"/>
        <v/>
      </c>
      <c r="D328" s="2" t="str">
        <f>IF(ISNUMBER(SEARCH('DropDown Lists'!E334,C328)),C328,"")</f>
        <v/>
      </c>
    </row>
    <row r="329" spans="1:4" x14ac:dyDescent="0.25">
      <c r="A329" s="117" t="str">
        <f t="shared" si="10"/>
        <v/>
      </c>
      <c r="B329" s="117" t="str">
        <f t="shared" si="11"/>
        <v/>
      </c>
      <c r="D329" s="2" t="str">
        <f>IF(ISNUMBER(SEARCH('DropDown Lists'!E335,C329)),C329,"")</f>
        <v/>
      </c>
    </row>
    <row r="330" spans="1:4" x14ac:dyDescent="0.25">
      <c r="A330" s="117" t="str">
        <f t="shared" si="10"/>
        <v/>
      </c>
      <c r="B330" s="117" t="str">
        <f t="shared" si="11"/>
        <v/>
      </c>
      <c r="D330" s="2" t="str">
        <f>IF(ISNUMBER(SEARCH('DropDown Lists'!E336,C330)),C330,"")</f>
        <v/>
      </c>
    </row>
    <row r="331" spans="1:4" x14ac:dyDescent="0.25">
      <c r="A331" s="117" t="str">
        <f t="shared" si="10"/>
        <v/>
      </c>
      <c r="B331" s="117" t="str">
        <f t="shared" si="11"/>
        <v/>
      </c>
      <c r="D331" s="2" t="str">
        <f>IF(ISNUMBER(SEARCH('DropDown Lists'!E337,C331)),C331,"")</f>
        <v/>
      </c>
    </row>
    <row r="332" spans="1:4" x14ac:dyDescent="0.25">
      <c r="A332" s="117" t="str">
        <f t="shared" si="10"/>
        <v/>
      </c>
      <c r="B332" s="117" t="str">
        <f t="shared" si="11"/>
        <v/>
      </c>
      <c r="D332" s="2" t="str">
        <f>IF(ISNUMBER(SEARCH('DropDown Lists'!E338,C332)),C332,"")</f>
        <v/>
      </c>
    </row>
    <row r="333" spans="1:4" x14ac:dyDescent="0.25">
      <c r="A333" s="117" t="str">
        <f t="shared" si="10"/>
        <v/>
      </c>
      <c r="B333" s="117" t="str">
        <f t="shared" si="11"/>
        <v/>
      </c>
      <c r="D333" s="2" t="str">
        <f>IF(ISNUMBER(SEARCH('DropDown Lists'!E339,C333)),C333,"")</f>
        <v/>
      </c>
    </row>
    <row r="334" spans="1:4" x14ac:dyDescent="0.25">
      <c r="A334" s="117" t="str">
        <f t="shared" si="10"/>
        <v/>
      </c>
      <c r="B334" s="117" t="str">
        <f t="shared" si="11"/>
        <v/>
      </c>
      <c r="D334" s="2" t="str">
        <f>IF(ISNUMBER(SEARCH('DropDown Lists'!E340,C334)),C334,"")</f>
        <v/>
      </c>
    </row>
    <row r="335" spans="1:4" x14ac:dyDescent="0.25">
      <c r="A335" s="117" t="str">
        <f t="shared" si="10"/>
        <v/>
      </c>
      <c r="B335" s="117" t="str">
        <f t="shared" si="11"/>
        <v/>
      </c>
      <c r="D335" s="2" t="str">
        <f>IF(ISNUMBER(SEARCH('DropDown Lists'!E341,C335)),C335,"")</f>
        <v/>
      </c>
    </row>
    <row r="336" spans="1:4" x14ac:dyDescent="0.25">
      <c r="A336" s="117" t="str">
        <f t="shared" si="10"/>
        <v/>
      </c>
      <c r="B336" s="117" t="str">
        <f t="shared" si="11"/>
        <v/>
      </c>
      <c r="D336" s="2" t="str">
        <f>IF(ISNUMBER(SEARCH('DropDown Lists'!E342,C336)),C336,"")</f>
        <v/>
      </c>
    </row>
    <row r="337" spans="1:4" x14ac:dyDescent="0.25">
      <c r="A337" s="117" t="str">
        <f t="shared" si="10"/>
        <v/>
      </c>
      <c r="B337" s="117" t="str">
        <f t="shared" si="11"/>
        <v/>
      </c>
      <c r="D337" s="2" t="str">
        <f>IF(ISNUMBER(SEARCH('DropDown Lists'!E343,C337)),C337,"")</f>
        <v/>
      </c>
    </row>
    <row r="338" spans="1:4" x14ac:dyDescent="0.25">
      <c r="A338" s="117" t="str">
        <f t="shared" si="10"/>
        <v/>
      </c>
      <c r="B338" s="117" t="str">
        <f t="shared" si="11"/>
        <v/>
      </c>
      <c r="D338" s="2" t="str">
        <f>IF(ISNUMBER(SEARCH('DropDown Lists'!E344,C338)),C338,"")</f>
        <v/>
      </c>
    </row>
    <row r="339" spans="1:4" x14ac:dyDescent="0.25">
      <c r="A339" s="117" t="str">
        <f t="shared" si="10"/>
        <v/>
      </c>
      <c r="B339" s="117" t="str">
        <f t="shared" si="11"/>
        <v/>
      </c>
      <c r="D339" s="2" t="str">
        <f>IF(ISNUMBER(SEARCH('DropDown Lists'!E345,C339)),C339,"")</f>
        <v/>
      </c>
    </row>
    <row r="340" spans="1:4" x14ac:dyDescent="0.25">
      <c r="A340" s="117" t="str">
        <f t="shared" si="10"/>
        <v/>
      </c>
      <c r="B340" s="117" t="str">
        <f t="shared" si="11"/>
        <v/>
      </c>
      <c r="D340" s="2" t="str">
        <f>IF(ISNUMBER(SEARCH('DropDown Lists'!E346,C340)),C340,"")</f>
        <v/>
      </c>
    </row>
    <row r="341" spans="1:4" x14ac:dyDescent="0.25">
      <c r="A341" s="117" t="str">
        <f t="shared" si="10"/>
        <v/>
      </c>
      <c r="B341" s="117" t="str">
        <f t="shared" si="11"/>
        <v/>
      </c>
      <c r="D341" s="2" t="str">
        <f>IF(ISNUMBER(SEARCH('DropDown Lists'!E347,C341)),C341,"")</f>
        <v/>
      </c>
    </row>
    <row r="342" spans="1:4" x14ac:dyDescent="0.25">
      <c r="A342" s="117" t="str">
        <f t="shared" si="10"/>
        <v/>
      </c>
      <c r="B342" s="117" t="str">
        <f t="shared" si="11"/>
        <v/>
      </c>
      <c r="D342" s="2" t="str">
        <f>IF(ISNUMBER(SEARCH('DropDown Lists'!E348,C342)),C342,"")</f>
        <v/>
      </c>
    </row>
    <row r="343" spans="1:4" x14ac:dyDescent="0.25">
      <c r="A343" s="117" t="str">
        <f t="shared" si="10"/>
        <v/>
      </c>
      <c r="B343" s="117" t="str">
        <f t="shared" si="11"/>
        <v/>
      </c>
      <c r="D343" s="2" t="str">
        <f>IF(ISNUMBER(SEARCH('DropDown Lists'!E349,C343)),C343,"")</f>
        <v/>
      </c>
    </row>
    <row r="344" spans="1:4" x14ac:dyDescent="0.25">
      <c r="A344" s="117" t="str">
        <f t="shared" si="10"/>
        <v/>
      </c>
      <c r="B344" s="117" t="str">
        <f t="shared" si="11"/>
        <v/>
      </c>
      <c r="D344" s="2" t="str">
        <f>IF(ISNUMBER(SEARCH('DropDown Lists'!E350,C344)),C344,"")</f>
        <v/>
      </c>
    </row>
    <row r="345" spans="1:4" x14ac:dyDescent="0.25">
      <c r="A345" s="117" t="str">
        <f t="shared" si="10"/>
        <v/>
      </c>
      <c r="B345" s="117" t="str">
        <f t="shared" si="11"/>
        <v/>
      </c>
      <c r="D345" s="2" t="str">
        <f>IF(ISNUMBER(SEARCH('DropDown Lists'!E351,C345)),C345,"")</f>
        <v/>
      </c>
    </row>
    <row r="346" spans="1:4" x14ac:dyDescent="0.25">
      <c r="A346" s="117" t="str">
        <f t="shared" si="10"/>
        <v/>
      </c>
      <c r="B346" s="117" t="str">
        <f t="shared" si="11"/>
        <v/>
      </c>
      <c r="D346" s="2" t="str">
        <f>IF(ISNUMBER(SEARCH('DropDown Lists'!E352,C346)),C346,"")</f>
        <v/>
      </c>
    </row>
    <row r="347" spans="1:4" x14ac:dyDescent="0.25">
      <c r="A347" s="117" t="str">
        <f t="shared" si="10"/>
        <v/>
      </c>
      <c r="B347" s="117" t="str">
        <f t="shared" si="11"/>
        <v/>
      </c>
      <c r="D347" s="2" t="str">
        <f>IF(ISNUMBER(SEARCH('DropDown Lists'!E353,C347)),C347,"")</f>
        <v/>
      </c>
    </row>
    <row r="348" spans="1:4" x14ac:dyDescent="0.25">
      <c r="A348" s="117" t="str">
        <f t="shared" si="10"/>
        <v/>
      </c>
      <c r="B348" s="117" t="str">
        <f t="shared" si="11"/>
        <v/>
      </c>
      <c r="D348" s="2" t="str">
        <f>IF(ISNUMBER(SEARCH('DropDown Lists'!E354,C348)),C348,"")</f>
        <v/>
      </c>
    </row>
    <row r="349" spans="1:4" x14ac:dyDescent="0.25">
      <c r="A349" s="117" t="str">
        <f t="shared" si="10"/>
        <v/>
      </c>
      <c r="B349" s="117" t="str">
        <f t="shared" si="11"/>
        <v/>
      </c>
      <c r="D349" s="2" t="str">
        <f>IF(ISNUMBER(SEARCH('DropDown Lists'!E355,C349)),C349,"")</f>
        <v/>
      </c>
    </row>
    <row r="350" spans="1:4" x14ac:dyDescent="0.25">
      <c r="A350" s="117" t="str">
        <f t="shared" si="10"/>
        <v/>
      </c>
      <c r="B350" s="117" t="str">
        <f t="shared" si="11"/>
        <v/>
      </c>
      <c r="D350" s="2" t="str">
        <f>IF(ISNUMBER(SEARCH('DropDown Lists'!E356,C350)),C350,"")</f>
        <v/>
      </c>
    </row>
    <row r="351" spans="1:4" x14ac:dyDescent="0.25">
      <c r="A351" s="117" t="str">
        <f t="shared" si="10"/>
        <v/>
      </c>
      <c r="B351" s="117" t="str">
        <f t="shared" si="11"/>
        <v/>
      </c>
      <c r="D351" s="2" t="str">
        <f>IF(ISNUMBER(SEARCH('DropDown Lists'!E357,C351)),C351,"")</f>
        <v/>
      </c>
    </row>
    <row r="352" spans="1:4" x14ac:dyDescent="0.25">
      <c r="A352" s="117" t="str">
        <f t="shared" si="10"/>
        <v/>
      </c>
      <c r="B352" s="117" t="str">
        <f t="shared" si="11"/>
        <v/>
      </c>
      <c r="D352" s="2" t="str">
        <f>IF(ISNUMBER(SEARCH('DropDown Lists'!E358,C352)),C352,"")</f>
        <v/>
      </c>
    </row>
    <row r="353" spans="1:4" x14ac:dyDescent="0.25">
      <c r="A353" s="117" t="str">
        <f t="shared" si="10"/>
        <v/>
      </c>
      <c r="B353" s="117" t="str">
        <f t="shared" si="11"/>
        <v/>
      </c>
      <c r="D353" s="2" t="str">
        <f>IF(ISNUMBER(SEARCH('DropDown Lists'!E359,C353)),C353,"")</f>
        <v/>
      </c>
    </row>
    <row r="354" spans="1:4" x14ac:dyDescent="0.25">
      <c r="A354" s="117" t="str">
        <f t="shared" si="10"/>
        <v/>
      </c>
      <c r="B354" s="117" t="str">
        <f t="shared" si="11"/>
        <v/>
      </c>
      <c r="D354" s="2" t="str">
        <f>IF(ISNUMBER(SEARCH('DropDown Lists'!E360,C354)),C354,"")</f>
        <v/>
      </c>
    </row>
    <row r="355" spans="1:4" x14ac:dyDescent="0.25">
      <c r="A355" s="117" t="str">
        <f t="shared" si="10"/>
        <v/>
      </c>
      <c r="B355" s="117" t="str">
        <f t="shared" si="11"/>
        <v/>
      </c>
      <c r="D355" s="2" t="str">
        <f>IF(ISNUMBER(SEARCH('DropDown Lists'!E361,C355)),C355,"")</f>
        <v/>
      </c>
    </row>
    <row r="356" spans="1:4" x14ac:dyDescent="0.25">
      <c r="A356" s="117" t="str">
        <f t="shared" si="10"/>
        <v/>
      </c>
      <c r="B356" s="117" t="str">
        <f t="shared" si="11"/>
        <v/>
      </c>
      <c r="D356" s="2" t="str">
        <f>IF(ISNUMBER(SEARCH('DropDown Lists'!E362,C356)),C356,"")</f>
        <v/>
      </c>
    </row>
    <row r="357" spans="1:4" x14ac:dyDescent="0.25">
      <c r="A357" s="117" t="str">
        <f t="shared" si="10"/>
        <v/>
      </c>
      <c r="B357" s="117" t="str">
        <f t="shared" si="11"/>
        <v/>
      </c>
      <c r="D357" s="2" t="str">
        <f>IF(ISNUMBER(SEARCH('DropDown Lists'!E363,C357)),C357,"")</f>
        <v/>
      </c>
    </row>
    <row r="358" spans="1:4" x14ac:dyDescent="0.25">
      <c r="A358" s="117" t="str">
        <f t="shared" si="10"/>
        <v/>
      </c>
      <c r="B358" s="117" t="str">
        <f t="shared" si="11"/>
        <v/>
      </c>
      <c r="D358" s="2" t="str">
        <f>IF(ISNUMBER(SEARCH('DropDown Lists'!E364,C358)),C358,"")</f>
        <v/>
      </c>
    </row>
    <row r="359" spans="1:4" x14ac:dyDescent="0.25">
      <c r="A359" s="117" t="str">
        <f t="shared" si="10"/>
        <v/>
      </c>
      <c r="B359" s="117" t="str">
        <f t="shared" si="11"/>
        <v/>
      </c>
      <c r="D359" s="2" t="str">
        <f>IF(ISNUMBER(SEARCH('DropDown Lists'!E365,C359)),C359,"")</f>
        <v/>
      </c>
    </row>
    <row r="360" spans="1:4" x14ac:dyDescent="0.25">
      <c r="A360" s="117" t="str">
        <f t="shared" si="10"/>
        <v/>
      </c>
      <c r="B360" s="117" t="str">
        <f t="shared" si="11"/>
        <v/>
      </c>
      <c r="D360" s="2" t="str">
        <f>IF(ISNUMBER(SEARCH('DropDown Lists'!E366,C360)),C360,"")</f>
        <v/>
      </c>
    </row>
    <row r="361" spans="1:4" x14ac:dyDescent="0.25">
      <c r="A361" s="117" t="str">
        <f t="shared" si="10"/>
        <v/>
      </c>
      <c r="B361" s="117" t="str">
        <f t="shared" si="11"/>
        <v/>
      </c>
      <c r="D361" s="2" t="str">
        <f>IF(ISNUMBER(SEARCH('DropDown Lists'!E367,C361)),C361,"")</f>
        <v/>
      </c>
    </row>
    <row r="362" spans="1:4" x14ac:dyDescent="0.25">
      <c r="A362" s="117" t="str">
        <f t="shared" si="10"/>
        <v/>
      </c>
      <c r="B362" s="117" t="str">
        <f t="shared" si="11"/>
        <v/>
      </c>
      <c r="D362" s="2" t="str">
        <f>IF(ISNUMBER(SEARCH('DropDown Lists'!E368,C362)),C362,"")</f>
        <v/>
      </c>
    </row>
    <row r="363" spans="1:4" x14ac:dyDescent="0.25">
      <c r="A363" s="117" t="str">
        <f t="shared" si="10"/>
        <v/>
      </c>
      <c r="B363" s="117" t="str">
        <f t="shared" si="11"/>
        <v/>
      </c>
      <c r="D363" s="2" t="str">
        <f>IF(ISNUMBER(SEARCH('DropDown Lists'!E369,C363)),C363,"")</f>
        <v/>
      </c>
    </row>
    <row r="364" spans="1:4" x14ac:dyDescent="0.25">
      <c r="A364" s="117" t="str">
        <f t="shared" si="10"/>
        <v/>
      </c>
      <c r="B364" s="117" t="str">
        <f t="shared" si="11"/>
        <v/>
      </c>
      <c r="D364" s="2" t="str">
        <f>IF(ISNUMBER(SEARCH('DropDown Lists'!E370,C364)),C364,"")</f>
        <v/>
      </c>
    </row>
    <row r="365" spans="1:4" x14ac:dyDescent="0.25">
      <c r="A365" s="117" t="str">
        <f t="shared" si="10"/>
        <v/>
      </c>
      <c r="B365" s="117" t="str">
        <f t="shared" si="11"/>
        <v/>
      </c>
      <c r="D365" s="2" t="str">
        <f>IF(ISNUMBER(SEARCH('DropDown Lists'!E371,C365)),C365,"")</f>
        <v/>
      </c>
    </row>
    <row r="366" spans="1:4" x14ac:dyDescent="0.25">
      <c r="A366" s="117" t="str">
        <f t="shared" si="10"/>
        <v/>
      </c>
      <c r="B366" s="117" t="str">
        <f t="shared" si="11"/>
        <v/>
      </c>
      <c r="D366" s="2" t="str">
        <f>IF(ISNUMBER(SEARCH('DropDown Lists'!E372,C366)),C366,"")</f>
        <v/>
      </c>
    </row>
    <row r="367" spans="1:4" x14ac:dyDescent="0.25">
      <c r="A367" s="117" t="str">
        <f t="shared" si="10"/>
        <v/>
      </c>
      <c r="B367" s="117" t="str">
        <f t="shared" si="11"/>
        <v/>
      </c>
      <c r="D367" s="2" t="str">
        <f>IF(ISNUMBER(SEARCH('DropDown Lists'!E373,C367)),C367,"")</f>
        <v/>
      </c>
    </row>
    <row r="368" spans="1:4" x14ac:dyDescent="0.25">
      <c r="A368" s="117" t="str">
        <f t="shared" si="10"/>
        <v/>
      </c>
      <c r="B368" s="117" t="str">
        <f t="shared" si="11"/>
        <v/>
      </c>
      <c r="D368" s="2" t="str">
        <f>IF(ISNUMBER(SEARCH('DropDown Lists'!E374,C368)),C368,"")</f>
        <v/>
      </c>
    </row>
    <row r="369" spans="1:4" x14ac:dyDescent="0.25">
      <c r="A369" s="117" t="str">
        <f t="shared" si="10"/>
        <v/>
      </c>
      <c r="B369" s="117" t="str">
        <f t="shared" si="11"/>
        <v/>
      </c>
      <c r="D369" s="2" t="str">
        <f>IF(ISNUMBER(SEARCH('DropDown Lists'!E375,C369)),C369,"")</f>
        <v/>
      </c>
    </row>
    <row r="370" spans="1:4" x14ac:dyDescent="0.25">
      <c r="A370" s="117" t="str">
        <f t="shared" si="10"/>
        <v/>
      </c>
      <c r="B370" s="117" t="str">
        <f t="shared" si="11"/>
        <v/>
      </c>
      <c r="D370" s="2" t="str">
        <f>IF(ISNUMBER(SEARCH('DropDown Lists'!E376,C370)),C370,"")</f>
        <v/>
      </c>
    </row>
    <row r="371" spans="1:4" x14ac:dyDescent="0.25">
      <c r="A371" s="117" t="str">
        <f t="shared" si="10"/>
        <v/>
      </c>
      <c r="B371" s="117" t="str">
        <f t="shared" si="11"/>
        <v/>
      </c>
      <c r="D371" s="2" t="str">
        <f>IF(ISNUMBER(SEARCH('DropDown Lists'!E377,C371)),C371,"")</f>
        <v/>
      </c>
    </row>
    <row r="372" spans="1:4" x14ac:dyDescent="0.25">
      <c r="A372" s="117" t="str">
        <f t="shared" si="10"/>
        <v/>
      </c>
      <c r="B372" s="117" t="str">
        <f t="shared" si="11"/>
        <v/>
      </c>
      <c r="D372" s="2" t="str">
        <f>IF(ISNUMBER(SEARCH('DropDown Lists'!E378,C372)),C372,"")</f>
        <v/>
      </c>
    </row>
    <row r="373" spans="1:4" x14ac:dyDescent="0.25">
      <c r="A373" s="117" t="str">
        <f t="shared" si="10"/>
        <v/>
      </c>
      <c r="B373" s="117" t="str">
        <f t="shared" si="11"/>
        <v/>
      </c>
      <c r="D373" s="2" t="str">
        <f>IF(ISNUMBER(SEARCH('DropDown Lists'!E379,C373)),C373,"")</f>
        <v/>
      </c>
    </row>
    <row r="374" spans="1:4" x14ac:dyDescent="0.25">
      <c r="A374" s="117" t="str">
        <f t="shared" si="10"/>
        <v/>
      </c>
      <c r="B374" s="117" t="str">
        <f t="shared" si="11"/>
        <v/>
      </c>
      <c r="D374" s="2" t="str">
        <f>IF(ISNUMBER(SEARCH('DropDown Lists'!E380,C374)),C374,"")</f>
        <v/>
      </c>
    </row>
    <row r="375" spans="1:4" x14ac:dyDescent="0.25">
      <c r="A375" s="117" t="str">
        <f t="shared" si="10"/>
        <v/>
      </c>
      <c r="B375" s="117" t="str">
        <f t="shared" si="11"/>
        <v/>
      </c>
      <c r="D375" s="2" t="str">
        <f>IF(ISNUMBER(SEARCH('DropDown Lists'!E381,C375)),C375,"")</f>
        <v/>
      </c>
    </row>
    <row r="376" spans="1:4" x14ac:dyDescent="0.25">
      <c r="A376" s="117" t="str">
        <f t="shared" si="10"/>
        <v/>
      </c>
      <c r="B376" s="117" t="str">
        <f t="shared" si="11"/>
        <v/>
      </c>
      <c r="D376" s="2" t="str">
        <f>IF(ISNUMBER(SEARCH('DropDown Lists'!E382,C376)),C376,"")</f>
        <v/>
      </c>
    </row>
    <row r="377" spans="1:4" x14ac:dyDescent="0.25">
      <c r="A377" s="117" t="str">
        <f t="shared" si="10"/>
        <v/>
      </c>
      <c r="B377" s="117" t="str">
        <f t="shared" si="11"/>
        <v/>
      </c>
      <c r="D377" s="2" t="str">
        <f>IF(ISNUMBER(SEARCH('DropDown Lists'!E383,C377)),C377,"")</f>
        <v/>
      </c>
    </row>
    <row r="378" spans="1:4" x14ac:dyDescent="0.25">
      <c r="A378" s="117" t="str">
        <f t="shared" si="10"/>
        <v/>
      </c>
      <c r="B378" s="117" t="str">
        <f t="shared" si="11"/>
        <v/>
      </c>
      <c r="D378" s="2" t="str">
        <f>IF(ISNUMBER(SEARCH('DropDown Lists'!E384,C378)),C378,"")</f>
        <v/>
      </c>
    </row>
    <row r="379" spans="1:4" x14ac:dyDescent="0.25">
      <c r="A379" s="117" t="str">
        <f t="shared" si="10"/>
        <v/>
      </c>
      <c r="B379" s="117" t="str">
        <f t="shared" si="11"/>
        <v/>
      </c>
      <c r="D379" s="2" t="str">
        <f>IF(ISNUMBER(SEARCH('DropDown Lists'!E385,C379)),C379,"")</f>
        <v/>
      </c>
    </row>
    <row r="380" spans="1:4" x14ac:dyDescent="0.25">
      <c r="A380" s="117" t="str">
        <f t="shared" si="10"/>
        <v/>
      </c>
      <c r="B380" s="117" t="str">
        <f t="shared" si="11"/>
        <v/>
      </c>
      <c r="D380" s="2" t="str">
        <f>IF(ISNUMBER(SEARCH('DropDown Lists'!E386,C380)),C380,"")</f>
        <v/>
      </c>
    </row>
    <row r="381" spans="1:4" x14ac:dyDescent="0.25">
      <c r="A381" s="117" t="str">
        <f t="shared" si="10"/>
        <v/>
      </c>
      <c r="B381" s="117" t="str">
        <f t="shared" si="11"/>
        <v/>
      </c>
      <c r="D381" s="2" t="str">
        <f>IF(ISNUMBER(SEARCH('DropDown Lists'!E387,C381)),C381,"")</f>
        <v/>
      </c>
    </row>
    <row r="382" spans="1:4" x14ac:dyDescent="0.25">
      <c r="A382" s="117" t="str">
        <f t="shared" si="10"/>
        <v/>
      </c>
      <c r="B382" s="117" t="str">
        <f t="shared" si="11"/>
        <v/>
      </c>
      <c r="D382" s="2" t="str">
        <f>IF(ISNUMBER(SEARCH('DropDown Lists'!E388,C382)),C382,"")</f>
        <v/>
      </c>
    </row>
    <row r="383" spans="1:4" x14ac:dyDescent="0.25">
      <c r="A383" s="117" t="str">
        <f t="shared" si="10"/>
        <v/>
      </c>
      <c r="B383" s="117" t="str">
        <f t="shared" si="11"/>
        <v/>
      </c>
      <c r="D383" s="2" t="str">
        <f>IF(ISNUMBER(SEARCH('DropDown Lists'!E389,C383)),C383,"")</f>
        <v/>
      </c>
    </row>
    <row r="384" spans="1:4" x14ac:dyDescent="0.25">
      <c r="A384" s="117" t="str">
        <f t="shared" si="10"/>
        <v/>
      </c>
      <c r="B384" s="117" t="str">
        <f t="shared" si="11"/>
        <v/>
      </c>
      <c r="D384" s="2" t="str">
        <f>IF(ISNUMBER(SEARCH('DropDown Lists'!E390,C384)),C384,"")</f>
        <v/>
      </c>
    </row>
    <row r="385" spans="1:4" x14ac:dyDescent="0.25">
      <c r="A385" s="117" t="str">
        <f t="shared" si="10"/>
        <v/>
      </c>
      <c r="B385" s="117" t="str">
        <f t="shared" si="11"/>
        <v/>
      </c>
      <c r="D385" s="2" t="str">
        <f>IF(ISNUMBER(SEARCH('DropDown Lists'!E391,C385)),C385,"")</f>
        <v/>
      </c>
    </row>
    <row r="386" spans="1:4" x14ac:dyDescent="0.25">
      <c r="A386" s="117" t="str">
        <f t="shared" ref="A386:A449" si="12">B386</f>
        <v/>
      </c>
      <c r="B386" s="117" t="str">
        <f t="shared" ref="B386:B449" si="13">IF(D386&lt;&gt;"",$N$2,"")</f>
        <v/>
      </c>
      <c r="D386" s="2" t="str">
        <f>IF(ISNUMBER(SEARCH('DropDown Lists'!E392,C386)),C386,"")</f>
        <v/>
      </c>
    </row>
    <row r="387" spans="1:4" x14ac:dyDescent="0.25">
      <c r="A387" s="117" t="str">
        <f t="shared" si="12"/>
        <v/>
      </c>
      <c r="B387" s="117" t="str">
        <f t="shared" si="13"/>
        <v/>
      </c>
      <c r="D387" s="2" t="str">
        <f>IF(ISNUMBER(SEARCH('DropDown Lists'!E393,C387)),C387,"")</f>
        <v/>
      </c>
    </row>
    <row r="388" spans="1:4" x14ac:dyDescent="0.25">
      <c r="A388" s="117" t="str">
        <f t="shared" si="12"/>
        <v/>
      </c>
      <c r="B388" s="117" t="str">
        <f t="shared" si="13"/>
        <v/>
      </c>
      <c r="D388" s="2" t="str">
        <f>IF(ISNUMBER(SEARCH('DropDown Lists'!E394,C388)),C388,"")</f>
        <v/>
      </c>
    </row>
    <row r="389" spans="1:4" x14ac:dyDescent="0.25">
      <c r="A389" s="117" t="str">
        <f t="shared" si="12"/>
        <v/>
      </c>
      <c r="B389" s="117" t="str">
        <f t="shared" si="13"/>
        <v/>
      </c>
      <c r="D389" s="2" t="str">
        <f>IF(ISNUMBER(SEARCH('DropDown Lists'!E395,C389)),C389,"")</f>
        <v/>
      </c>
    </row>
    <row r="390" spans="1:4" x14ac:dyDescent="0.25">
      <c r="A390" s="117" t="str">
        <f t="shared" si="12"/>
        <v/>
      </c>
      <c r="B390" s="117" t="str">
        <f t="shared" si="13"/>
        <v/>
      </c>
      <c r="D390" s="2" t="str">
        <f>IF(ISNUMBER(SEARCH('DropDown Lists'!E396,C390)),C390,"")</f>
        <v/>
      </c>
    </row>
    <row r="391" spans="1:4" x14ac:dyDescent="0.25">
      <c r="A391" s="117" t="str">
        <f t="shared" si="12"/>
        <v/>
      </c>
      <c r="B391" s="117" t="str">
        <f t="shared" si="13"/>
        <v/>
      </c>
      <c r="D391" s="2" t="str">
        <f>IF(ISNUMBER(SEARCH('DropDown Lists'!E397,C391)),C391,"")</f>
        <v/>
      </c>
    </row>
    <row r="392" spans="1:4" x14ac:dyDescent="0.25">
      <c r="A392" s="117" t="str">
        <f t="shared" si="12"/>
        <v/>
      </c>
      <c r="B392" s="117" t="str">
        <f t="shared" si="13"/>
        <v/>
      </c>
      <c r="D392" s="2" t="str">
        <f>IF(ISNUMBER(SEARCH('DropDown Lists'!E398,C392)),C392,"")</f>
        <v/>
      </c>
    </row>
    <row r="393" spans="1:4" x14ac:dyDescent="0.25">
      <c r="A393" s="117" t="str">
        <f t="shared" si="12"/>
        <v/>
      </c>
      <c r="B393" s="117" t="str">
        <f t="shared" si="13"/>
        <v/>
      </c>
      <c r="D393" s="2" t="str">
        <f>IF(ISNUMBER(SEARCH('DropDown Lists'!E399,C393)),C393,"")</f>
        <v/>
      </c>
    </row>
    <row r="394" spans="1:4" x14ac:dyDescent="0.25">
      <c r="A394" s="117" t="str">
        <f t="shared" si="12"/>
        <v/>
      </c>
      <c r="B394" s="117" t="str">
        <f t="shared" si="13"/>
        <v/>
      </c>
      <c r="D394" s="2" t="str">
        <f>IF(ISNUMBER(SEARCH('DropDown Lists'!E400,C394)),C394,"")</f>
        <v/>
      </c>
    </row>
    <row r="395" spans="1:4" x14ac:dyDescent="0.25">
      <c r="A395" s="117" t="str">
        <f t="shared" si="12"/>
        <v/>
      </c>
      <c r="B395" s="117" t="str">
        <f t="shared" si="13"/>
        <v/>
      </c>
      <c r="D395" s="2" t="str">
        <f>IF(ISNUMBER(SEARCH('DropDown Lists'!E401,C395)),C395,"")</f>
        <v/>
      </c>
    </row>
    <row r="396" spans="1:4" x14ac:dyDescent="0.25">
      <c r="A396" s="117" t="str">
        <f t="shared" si="12"/>
        <v/>
      </c>
      <c r="B396" s="117" t="str">
        <f t="shared" si="13"/>
        <v/>
      </c>
      <c r="D396" s="2" t="str">
        <f>IF(ISNUMBER(SEARCH('DropDown Lists'!E402,C396)),C396,"")</f>
        <v/>
      </c>
    </row>
    <row r="397" spans="1:4" x14ac:dyDescent="0.25">
      <c r="A397" s="117" t="str">
        <f t="shared" si="12"/>
        <v/>
      </c>
      <c r="B397" s="117" t="str">
        <f t="shared" si="13"/>
        <v/>
      </c>
      <c r="D397" s="2" t="str">
        <f>IF(ISNUMBER(SEARCH('DropDown Lists'!E403,C397)),C397,"")</f>
        <v/>
      </c>
    </row>
    <row r="398" spans="1:4" x14ac:dyDescent="0.25">
      <c r="A398" s="117" t="str">
        <f t="shared" si="12"/>
        <v/>
      </c>
      <c r="B398" s="117" t="str">
        <f t="shared" si="13"/>
        <v/>
      </c>
      <c r="D398" s="2" t="str">
        <f>IF(ISNUMBER(SEARCH('DropDown Lists'!E404,C398)),C398,"")</f>
        <v/>
      </c>
    </row>
    <row r="399" spans="1:4" x14ac:dyDescent="0.25">
      <c r="A399" s="117" t="str">
        <f t="shared" si="12"/>
        <v/>
      </c>
      <c r="B399" s="117" t="str">
        <f t="shared" si="13"/>
        <v/>
      </c>
      <c r="D399" s="2" t="str">
        <f>IF(ISNUMBER(SEARCH('DropDown Lists'!E405,C399)),C399,"")</f>
        <v/>
      </c>
    </row>
    <row r="400" spans="1:4" x14ac:dyDescent="0.25">
      <c r="A400" s="117" t="str">
        <f t="shared" si="12"/>
        <v/>
      </c>
      <c r="B400" s="117" t="str">
        <f t="shared" si="13"/>
        <v/>
      </c>
      <c r="D400" s="2" t="str">
        <f>IF(ISNUMBER(SEARCH('DropDown Lists'!E406,C400)),C400,"")</f>
        <v/>
      </c>
    </row>
    <row r="401" spans="1:4" x14ac:dyDescent="0.25">
      <c r="A401" s="117" t="str">
        <f t="shared" si="12"/>
        <v/>
      </c>
      <c r="B401" s="117" t="str">
        <f t="shared" si="13"/>
        <v/>
      </c>
      <c r="D401" s="2" t="str">
        <f>IF(ISNUMBER(SEARCH('DropDown Lists'!E407,C401)),C401,"")</f>
        <v/>
      </c>
    </row>
    <row r="402" spans="1:4" x14ac:dyDescent="0.25">
      <c r="A402" s="117" t="str">
        <f t="shared" si="12"/>
        <v/>
      </c>
      <c r="B402" s="117" t="str">
        <f t="shared" si="13"/>
        <v/>
      </c>
      <c r="D402" s="2" t="str">
        <f>IF(ISNUMBER(SEARCH('DropDown Lists'!E408,C402)),C402,"")</f>
        <v/>
      </c>
    </row>
    <row r="403" spans="1:4" x14ac:dyDescent="0.25">
      <c r="A403" s="117" t="str">
        <f t="shared" si="12"/>
        <v/>
      </c>
      <c r="B403" s="117" t="str">
        <f t="shared" si="13"/>
        <v/>
      </c>
      <c r="D403" s="2" t="str">
        <f>IF(ISNUMBER(SEARCH('DropDown Lists'!E409,C403)),C403,"")</f>
        <v/>
      </c>
    </row>
    <row r="404" spans="1:4" x14ac:dyDescent="0.25">
      <c r="A404" s="117" t="str">
        <f t="shared" si="12"/>
        <v/>
      </c>
      <c r="B404" s="117" t="str">
        <f t="shared" si="13"/>
        <v/>
      </c>
      <c r="D404" s="2" t="str">
        <f>IF(ISNUMBER(SEARCH('DropDown Lists'!E410,C404)),C404,"")</f>
        <v/>
      </c>
    </row>
    <row r="405" spans="1:4" x14ac:dyDescent="0.25">
      <c r="A405" s="117" t="str">
        <f t="shared" si="12"/>
        <v/>
      </c>
      <c r="B405" s="117" t="str">
        <f t="shared" si="13"/>
        <v/>
      </c>
      <c r="D405" s="2" t="str">
        <f>IF(ISNUMBER(SEARCH('DropDown Lists'!E411,C405)),C405,"")</f>
        <v/>
      </c>
    </row>
    <row r="406" spans="1:4" x14ac:dyDescent="0.25">
      <c r="A406" s="117" t="str">
        <f t="shared" si="12"/>
        <v/>
      </c>
      <c r="B406" s="117" t="str">
        <f t="shared" si="13"/>
        <v/>
      </c>
      <c r="D406" s="2" t="str">
        <f>IF(ISNUMBER(SEARCH('DropDown Lists'!E412,C406)),C406,"")</f>
        <v/>
      </c>
    </row>
    <row r="407" spans="1:4" x14ac:dyDescent="0.25">
      <c r="A407" s="117" t="str">
        <f t="shared" si="12"/>
        <v/>
      </c>
      <c r="B407" s="117" t="str">
        <f t="shared" si="13"/>
        <v/>
      </c>
      <c r="D407" s="2" t="str">
        <f>IF(ISNUMBER(SEARCH('DropDown Lists'!E413,C407)),C407,"")</f>
        <v/>
      </c>
    </row>
    <row r="408" spans="1:4" x14ac:dyDescent="0.25">
      <c r="A408" s="117" t="str">
        <f t="shared" si="12"/>
        <v/>
      </c>
      <c r="B408" s="117" t="str">
        <f t="shared" si="13"/>
        <v/>
      </c>
      <c r="D408" s="2" t="str">
        <f>IF(ISNUMBER(SEARCH('DropDown Lists'!E414,C408)),C408,"")</f>
        <v/>
      </c>
    </row>
    <row r="409" spans="1:4" x14ac:dyDescent="0.25">
      <c r="A409" s="117" t="str">
        <f t="shared" si="12"/>
        <v/>
      </c>
      <c r="B409" s="117" t="str">
        <f t="shared" si="13"/>
        <v/>
      </c>
      <c r="D409" s="2" t="str">
        <f>IF(ISNUMBER(SEARCH('DropDown Lists'!E415,C409)),C409,"")</f>
        <v/>
      </c>
    </row>
    <row r="410" spans="1:4" x14ac:dyDescent="0.25">
      <c r="A410" s="117" t="str">
        <f t="shared" si="12"/>
        <v/>
      </c>
      <c r="B410" s="117" t="str">
        <f t="shared" si="13"/>
        <v/>
      </c>
      <c r="D410" s="2" t="str">
        <f>IF(ISNUMBER(SEARCH('DropDown Lists'!E416,C410)),C410,"")</f>
        <v/>
      </c>
    </row>
    <row r="411" spans="1:4" x14ac:dyDescent="0.25">
      <c r="A411" s="117" t="str">
        <f t="shared" si="12"/>
        <v/>
      </c>
      <c r="B411" s="117" t="str">
        <f t="shared" si="13"/>
        <v/>
      </c>
      <c r="D411" s="2" t="str">
        <f>IF(ISNUMBER(SEARCH('DropDown Lists'!E417,C411)),C411,"")</f>
        <v/>
      </c>
    </row>
    <row r="412" spans="1:4" x14ac:dyDescent="0.25">
      <c r="A412" s="117" t="str">
        <f t="shared" si="12"/>
        <v/>
      </c>
      <c r="B412" s="117" t="str">
        <f t="shared" si="13"/>
        <v/>
      </c>
      <c r="D412" s="2" t="str">
        <f>IF(ISNUMBER(SEARCH('DropDown Lists'!E418,C412)),C412,"")</f>
        <v/>
      </c>
    </row>
    <row r="413" spans="1:4" x14ac:dyDescent="0.25">
      <c r="A413" s="117" t="str">
        <f t="shared" si="12"/>
        <v/>
      </c>
      <c r="B413" s="117" t="str">
        <f t="shared" si="13"/>
        <v/>
      </c>
      <c r="D413" s="2" t="str">
        <f>IF(ISNUMBER(SEARCH('DropDown Lists'!E419,C413)),C413,"")</f>
        <v/>
      </c>
    </row>
    <row r="414" spans="1:4" x14ac:dyDescent="0.25">
      <c r="A414" s="117" t="str">
        <f t="shared" si="12"/>
        <v/>
      </c>
      <c r="B414" s="117" t="str">
        <f t="shared" si="13"/>
        <v/>
      </c>
      <c r="D414" s="2" t="str">
        <f>IF(ISNUMBER(SEARCH('DropDown Lists'!E420,C414)),C414,"")</f>
        <v/>
      </c>
    </row>
    <row r="415" spans="1:4" x14ac:dyDescent="0.25">
      <c r="A415" s="117" t="str">
        <f t="shared" si="12"/>
        <v/>
      </c>
      <c r="B415" s="117" t="str">
        <f t="shared" si="13"/>
        <v/>
      </c>
      <c r="D415" s="2" t="str">
        <f>IF(ISNUMBER(SEARCH('DropDown Lists'!E421,C415)),C415,"")</f>
        <v/>
      </c>
    </row>
    <row r="416" spans="1:4" x14ac:dyDescent="0.25">
      <c r="A416" s="117" t="str">
        <f t="shared" si="12"/>
        <v/>
      </c>
      <c r="B416" s="117" t="str">
        <f t="shared" si="13"/>
        <v/>
      </c>
      <c r="D416" s="2" t="str">
        <f>IF(ISNUMBER(SEARCH('DropDown Lists'!E422,C416)),C416,"")</f>
        <v/>
      </c>
    </row>
    <row r="417" spans="1:4" x14ac:dyDescent="0.25">
      <c r="A417" s="117" t="str">
        <f t="shared" si="12"/>
        <v/>
      </c>
      <c r="B417" s="117" t="str">
        <f t="shared" si="13"/>
        <v/>
      </c>
      <c r="D417" s="2" t="str">
        <f>IF(ISNUMBER(SEARCH('DropDown Lists'!E423,C417)),C417,"")</f>
        <v/>
      </c>
    </row>
    <row r="418" spans="1:4" x14ac:dyDescent="0.25">
      <c r="A418" s="117" t="str">
        <f t="shared" si="12"/>
        <v/>
      </c>
      <c r="B418" s="117" t="str">
        <f t="shared" si="13"/>
        <v/>
      </c>
      <c r="D418" s="2" t="str">
        <f>IF(ISNUMBER(SEARCH('DropDown Lists'!E424,C418)),C418,"")</f>
        <v/>
      </c>
    </row>
    <row r="419" spans="1:4" x14ac:dyDescent="0.25">
      <c r="A419" s="117" t="str">
        <f t="shared" si="12"/>
        <v/>
      </c>
      <c r="B419" s="117" t="str">
        <f t="shared" si="13"/>
        <v/>
      </c>
      <c r="D419" s="2" t="str">
        <f>IF(ISNUMBER(SEARCH('DropDown Lists'!E425,C419)),C419,"")</f>
        <v/>
      </c>
    </row>
    <row r="420" spans="1:4" x14ac:dyDescent="0.25">
      <c r="A420" s="117" t="str">
        <f t="shared" si="12"/>
        <v/>
      </c>
      <c r="B420" s="117" t="str">
        <f t="shared" si="13"/>
        <v/>
      </c>
      <c r="D420" s="2" t="str">
        <f>IF(ISNUMBER(SEARCH('DropDown Lists'!E426,C420)),C420,"")</f>
        <v/>
      </c>
    </row>
    <row r="421" spans="1:4" x14ac:dyDescent="0.25">
      <c r="A421" s="117" t="str">
        <f t="shared" si="12"/>
        <v/>
      </c>
      <c r="B421" s="117" t="str">
        <f t="shared" si="13"/>
        <v/>
      </c>
      <c r="D421" s="2" t="str">
        <f>IF(ISNUMBER(SEARCH('DropDown Lists'!E427,C421)),C421,"")</f>
        <v/>
      </c>
    </row>
    <row r="422" spans="1:4" x14ac:dyDescent="0.25">
      <c r="A422" s="117" t="str">
        <f t="shared" si="12"/>
        <v/>
      </c>
      <c r="B422" s="117" t="str">
        <f t="shared" si="13"/>
        <v/>
      </c>
      <c r="D422" s="2" t="str">
        <f>IF(ISNUMBER(SEARCH('DropDown Lists'!E428,C422)),C422,"")</f>
        <v/>
      </c>
    </row>
    <row r="423" spans="1:4" x14ac:dyDescent="0.25">
      <c r="A423" s="117" t="str">
        <f t="shared" si="12"/>
        <v/>
      </c>
      <c r="B423" s="117" t="str">
        <f t="shared" si="13"/>
        <v/>
      </c>
      <c r="D423" s="2" t="str">
        <f>IF(ISNUMBER(SEARCH('DropDown Lists'!E429,C423)),C423,"")</f>
        <v/>
      </c>
    </row>
    <row r="424" spans="1:4" x14ac:dyDescent="0.25">
      <c r="A424" s="117" t="str">
        <f t="shared" si="12"/>
        <v/>
      </c>
      <c r="B424" s="117" t="str">
        <f t="shared" si="13"/>
        <v/>
      </c>
      <c r="D424" s="2" t="str">
        <f>IF(ISNUMBER(SEARCH('DropDown Lists'!E430,C424)),C424,"")</f>
        <v/>
      </c>
    </row>
    <row r="425" spans="1:4" x14ac:dyDescent="0.25">
      <c r="A425" s="117" t="str">
        <f t="shared" si="12"/>
        <v/>
      </c>
      <c r="B425" s="117" t="str">
        <f t="shared" si="13"/>
        <v/>
      </c>
      <c r="D425" s="2" t="str">
        <f>IF(ISNUMBER(SEARCH('DropDown Lists'!E431,C425)),C425,"")</f>
        <v/>
      </c>
    </row>
    <row r="426" spans="1:4" x14ac:dyDescent="0.25">
      <c r="A426" s="117" t="str">
        <f t="shared" si="12"/>
        <v/>
      </c>
      <c r="B426" s="117" t="str">
        <f t="shared" si="13"/>
        <v/>
      </c>
      <c r="D426" s="2" t="str">
        <f>IF(ISNUMBER(SEARCH('DropDown Lists'!E432,C426)),C426,"")</f>
        <v/>
      </c>
    </row>
    <row r="427" spans="1:4" x14ac:dyDescent="0.25">
      <c r="A427" s="117" t="str">
        <f t="shared" si="12"/>
        <v/>
      </c>
      <c r="B427" s="117" t="str">
        <f t="shared" si="13"/>
        <v/>
      </c>
      <c r="D427" s="2" t="str">
        <f>IF(ISNUMBER(SEARCH('DropDown Lists'!E433,C427)),C427,"")</f>
        <v/>
      </c>
    </row>
    <row r="428" spans="1:4" x14ac:dyDescent="0.25">
      <c r="A428" s="117" t="str">
        <f t="shared" si="12"/>
        <v/>
      </c>
      <c r="B428" s="117" t="str">
        <f t="shared" si="13"/>
        <v/>
      </c>
      <c r="D428" s="2" t="str">
        <f>IF(ISNUMBER(SEARCH('DropDown Lists'!E434,C428)),C428,"")</f>
        <v/>
      </c>
    </row>
    <row r="429" spans="1:4" x14ac:dyDescent="0.25">
      <c r="A429" s="117" t="str">
        <f t="shared" si="12"/>
        <v/>
      </c>
      <c r="B429" s="117" t="str">
        <f t="shared" si="13"/>
        <v/>
      </c>
      <c r="D429" s="2" t="str">
        <f>IF(ISNUMBER(SEARCH('DropDown Lists'!E435,C429)),C429,"")</f>
        <v/>
      </c>
    </row>
    <row r="430" spans="1:4" x14ac:dyDescent="0.25">
      <c r="A430" s="117" t="str">
        <f t="shared" si="12"/>
        <v/>
      </c>
      <c r="B430" s="117" t="str">
        <f t="shared" si="13"/>
        <v/>
      </c>
      <c r="D430" s="2" t="str">
        <f>IF(ISNUMBER(SEARCH('DropDown Lists'!E436,C430)),C430,"")</f>
        <v/>
      </c>
    </row>
    <row r="431" spans="1:4" x14ac:dyDescent="0.25">
      <c r="A431" s="117" t="str">
        <f t="shared" si="12"/>
        <v/>
      </c>
      <c r="B431" s="117" t="str">
        <f t="shared" si="13"/>
        <v/>
      </c>
      <c r="D431" s="2" t="str">
        <f>IF(ISNUMBER(SEARCH('DropDown Lists'!E437,C431)),C431,"")</f>
        <v/>
      </c>
    </row>
    <row r="432" spans="1:4" x14ac:dyDescent="0.25">
      <c r="A432" s="117" t="str">
        <f t="shared" si="12"/>
        <v/>
      </c>
      <c r="B432" s="117" t="str">
        <f t="shared" si="13"/>
        <v/>
      </c>
      <c r="D432" s="2" t="str">
        <f>IF(ISNUMBER(SEARCH('DropDown Lists'!E438,C432)),C432,"")</f>
        <v/>
      </c>
    </row>
    <row r="433" spans="1:4" x14ac:dyDescent="0.25">
      <c r="A433" s="117" t="str">
        <f t="shared" si="12"/>
        <v/>
      </c>
      <c r="B433" s="117" t="str">
        <f t="shared" si="13"/>
        <v/>
      </c>
      <c r="D433" s="2" t="str">
        <f>IF(ISNUMBER(SEARCH('DropDown Lists'!E439,C433)),C433,"")</f>
        <v/>
      </c>
    </row>
    <row r="434" spans="1:4" x14ac:dyDescent="0.25">
      <c r="A434" s="117" t="str">
        <f t="shared" si="12"/>
        <v/>
      </c>
      <c r="B434" s="117" t="str">
        <f t="shared" si="13"/>
        <v/>
      </c>
      <c r="D434" s="2" t="str">
        <f>IF(ISNUMBER(SEARCH('DropDown Lists'!E440,C434)),C434,"")</f>
        <v/>
      </c>
    </row>
    <row r="435" spans="1:4" x14ac:dyDescent="0.25">
      <c r="A435" s="117" t="str">
        <f t="shared" si="12"/>
        <v/>
      </c>
      <c r="B435" s="117" t="str">
        <f t="shared" si="13"/>
        <v/>
      </c>
      <c r="D435" s="2" t="str">
        <f>IF(ISNUMBER(SEARCH('DropDown Lists'!E441,C435)),C435,"")</f>
        <v/>
      </c>
    </row>
    <row r="436" spans="1:4" x14ac:dyDescent="0.25">
      <c r="A436" s="117" t="str">
        <f t="shared" si="12"/>
        <v/>
      </c>
      <c r="B436" s="117" t="str">
        <f t="shared" si="13"/>
        <v/>
      </c>
      <c r="D436" s="2" t="str">
        <f>IF(ISNUMBER(SEARCH('DropDown Lists'!E442,C436)),C436,"")</f>
        <v/>
      </c>
    </row>
    <row r="437" spans="1:4" x14ac:dyDescent="0.25">
      <c r="A437" s="117" t="str">
        <f t="shared" si="12"/>
        <v/>
      </c>
      <c r="B437" s="117" t="str">
        <f t="shared" si="13"/>
        <v/>
      </c>
      <c r="D437" s="2" t="str">
        <f>IF(ISNUMBER(SEARCH('DropDown Lists'!E443,C437)),C437,"")</f>
        <v/>
      </c>
    </row>
    <row r="438" spans="1:4" x14ac:dyDescent="0.25">
      <c r="A438" s="117" t="str">
        <f t="shared" si="12"/>
        <v/>
      </c>
      <c r="B438" s="117" t="str">
        <f t="shared" si="13"/>
        <v/>
      </c>
      <c r="D438" s="2" t="str">
        <f>IF(ISNUMBER(SEARCH('DropDown Lists'!E444,C438)),C438,"")</f>
        <v/>
      </c>
    </row>
    <row r="439" spans="1:4" x14ac:dyDescent="0.25">
      <c r="A439" s="117" t="str">
        <f t="shared" si="12"/>
        <v/>
      </c>
      <c r="B439" s="117" t="str">
        <f t="shared" si="13"/>
        <v/>
      </c>
      <c r="D439" s="2" t="str">
        <f>IF(ISNUMBER(SEARCH('DropDown Lists'!E445,C439)),C439,"")</f>
        <v/>
      </c>
    </row>
    <row r="440" spans="1:4" x14ac:dyDescent="0.25">
      <c r="A440" s="117" t="str">
        <f t="shared" si="12"/>
        <v/>
      </c>
      <c r="B440" s="117" t="str">
        <f t="shared" si="13"/>
        <v/>
      </c>
      <c r="D440" s="2" t="str">
        <f>IF(ISNUMBER(SEARCH('DropDown Lists'!E446,C440)),C440,"")</f>
        <v/>
      </c>
    </row>
    <row r="441" spans="1:4" x14ac:dyDescent="0.25">
      <c r="A441" s="117" t="str">
        <f t="shared" si="12"/>
        <v/>
      </c>
      <c r="B441" s="117" t="str">
        <f t="shared" si="13"/>
        <v/>
      </c>
      <c r="D441" s="2" t="str">
        <f>IF(ISNUMBER(SEARCH('DropDown Lists'!E447,C441)),C441,"")</f>
        <v/>
      </c>
    </row>
    <row r="442" spans="1:4" x14ac:dyDescent="0.25">
      <c r="A442" s="117" t="str">
        <f t="shared" si="12"/>
        <v/>
      </c>
      <c r="B442" s="117" t="str">
        <f t="shared" si="13"/>
        <v/>
      </c>
      <c r="D442" s="2" t="str">
        <f>IF(ISNUMBER(SEARCH('DropDown Lists'!E448,C442)),C442,"")</f>
        <v/>
      </c>
    </row>
    <row r="443" spans="1:4" x14ac:dyDescent="0.25">
      <c r="A443" s="117" t="str">
        <f t="shared" si="12"/>
        <v/>
      </c>
      <c r="B443" s="117" t="str">
        <f t="shared" si="13"/>
        <v/>
      </c>
      <c r="D443" s="2" t="str">
        <f>IF(ISNUMBER(SEARCH('DropDown Lists'!E449,C443)),C443,"")</f>
        <v/>
      </c>
    </row>
    <row r="444" spans="1:4" x14ac:dyDescent="0.25">
      <c r="A444" s="117" t="str">
        <f t="shared" si="12"/>
        <v/>
      </c>
      <c r="B444" s="117" t="str">
        <f t="shared" si="13"/>
        <v/>
      </c>
      <c r="D444" s="2" t="str">
        <f>IF(ISNUMBER(SEARCH('DropDown Lists'!E450,C444)),C444,"")</f>
        <v/>
      </c>
    </row>
    <row r="445" spans="1:4" x14ac:dyDescent="0.25">
      <c r="A445" s="117" t="str">
        <f t="shared" si="12"/>
        <v/>
      </c>
      <c r="B445" s="117" t="str">
        <f t="shared" si="13"/>
        <v/>
      </c>
      <c r="D445" s="2" t="str">
        <f>IF(ISNUMBER(SEARCH('DropDown Lists'!E451,C445)),C445,"")</f>
        <v/>
      </c>
    </row>
    <row r="446" spans="1:4" x14ac:dyDescent="0.25">
      <c r="A446" s="117" t="str">
        <f t="shared" si="12"/>
        <v/>
      </c>
      <c r="B446" s="117" t="str">
        <f t="shared" si="13"/>
        <v/>
      </c>
      <c r="D446" s="2" t="str">
        <f>IF(ISNUMBER(SEARCH('DropDown Lists'!E452,C446)),C446,"")</f>
        <v/>
      </c>
    </row>
    <row r="447" spans="1:4" x14ac:dyDescent="0.25">
      <c r="A447" s="117" t="str">
        <f t="shared" si="12"/>
        <v/>
      </c>
      <c r="B447" s="117" t="str">
        <f t="shared" si="13"/>
        <v/>
      </c>
      <c r="D447" s="2" t="str">
        <f>IF(ISNUMBER(SEARCH('DropDown Lists'!E453,C447)),C447,"")</f>
        <v/>
      </c>
    </row>
    <row r="448" spans="1:4" x14ac:dyDescent="0.25">
      <c r="A448" s="117" t="str">
        <f t="shared" si="12"/>
        <v/>
      </c>
      <c r="B448" s="117" t="str">
        <f t="shared" si="13"/>
        <v/>
      </c>
      <c r="D448" s="2" t="str">
        <f>IF(ISNUMBER(SEARCH('DropDown Lists'!E454,C448)),C448,"")</f>
        <v/>
      </c>
    </row>
    <row r="449" spans="1:4" x14ac:dyDescent="0.25">
      <c r="A449" s="117" t="str">
        <f t="shared" si="12"/>
        <v/>
      </c>
      <c r="B449" s="117" t="str">
        <f t="shared" si="13"/>
        <v/>
      </c>
      <c r="D449" s="2" t="str">
        <f>IF(ISNUMBER(SEARCH('DropDown Lists'!E455,C449)),C449,"")</f>
        <v/>
      </c>
    </row>
    <row r="450" spans="1:4" x14ac:dyDescent="0.25">
      <c r="A450" s="117" t="str">
        <f t="shared" ref="A450:A513" si="14">B450</f>
        <v/>
      </c>
      <c r="B450" s="117" t="str">
        <f t="shared" ref="B450:B513" si="15">IF(D450&lt;&gt;"",$N$2,"")</f>
        <v/>
      </c>
      <c r="D450" s="2" t="str">
        <f>IF(ISNUMBER(SEARCH('DropDown Lists'!E456,C450)),C450,"")</f>
        <v/>
      </c>
    </row>
    <row r="451" spans="1:4" x14ac:dyDescent="0.25">
      <c r="A451" s="117" t="str">
        <f t="shared" si="14"/>
        <v/>
      </c>
      <c r="B451" s="117" t="str">
        <f t="shared" si="15"/>
        <v/>
      </c>
      <c r="D451" s="2" t="str">
        <f>IF(ISNUMBER(SEARCH('DropDown Lists'!E457,C451)),C451,"")</f>
        <v/>
      </c>
    </row>
    <row r="452" spans="1:4" x14ac:dyDescent="0.25">
      <c r="A452" s="117" t="str">
        <f t="shared" si="14"/>
        <v/>
      </c>
      <c r="B452" s="117" t="str">
        <f t="shared" si="15"/>
        <v/>
      </c>
      <c r="D452" s="2" t="str">
        <f>IF(ISNUMBER(SEARCH('DropDown Lists'!E458,C452)),C452,"")</f>
        <v/>
      </c>
    </row>
    <row r="453" spans="1:4" x14ac:dyDescent="0.25">
      <c r="A453" s="117" t="str">
        <f t="shared" si="14"/>
        <v/>
      </c>
      <c r="B453" s="117" t="str">
        <f t="shared" si="15"/>
        <v/>
      </c>
      <c r="D453" s="2" t="str">
        <f>IF(ISNUMBER(SEARCH('DropDown Lists'!E459,C453)),C453,"")</f>
        <v/>
      </c>
    </row>
    <row r="454" spans="1:4" x14ac:dyDescent="0.25">
      <c r="A454" s="117" t="str">
        <f t="shared" si="14"/>
        <v/>
      </c>
      <c r="B454" s="117" t="str">
        <f t="shared" si="15"/>
        <v/>
      </c>
      <c r="D454" s="2" t="str">
        <f>IF(ISNUMBER(SEARCH('DropDown Lists'!E460,C454)),C454,"")</f>
        <v/>
      </c>
    </row>
    <row r="455" spans="1:4" x14ac:dyDescent="0.25">
      <c r="A455" s="117" t="str">
        <f t="shared" si="14"/>
        <v/>
      </c>
      <c r="B455" s="117" t="str">
        <f t="shared" si="15"/>
        <v/>
      </c>
      <c r="D455" s="2" t="str">
        <f>IF(ISNUMBER(SEARCH('DropDown Lists'!E461,C455)),C455,"")</f>
        <v/>
      </c>
    </row>
    <row r="456" spans="1:4" x14ac:dyDescent="0.25">
      <c r="A456" s="117" t="str">
        <f t="shared" si="14"/>
        <v/>
      </c>
      <c r="B456" s="117" t="str">
        <f t="shared" si="15"/>
        <v/>
      </c>
      <c r="D456" s="2" t="str">
        <f>IF(ISNUMBER(SEARCH('DropDown Lists'!E462,C456)),C456,"")</f>
        <v/>
      </c>
    </row>
    <row r="457" spans="1:4" x14ac:dyDescent="0.25">
      <c r="A457" s="117" t="str">
        <f t="shared" si="14"/>
        <v/>
      </c>
      <c r="B457" s="117" t="str">
        <f t="shared" si="15"/>
        <v/>
      </c>
      <c r="D457" s="2" t="str">
        <f>IF(ISNUMBER(SEARCH('DropDown Lists'!E463,C457)),C457,"")</f>
        <v/>
      </c>
    </row>
    <row r="458" spans="1:4" x14ac:dyDescent="0.25">
      <c r="A458" s="117" t="str">
        <f t="shared" si="14"/>
        <v/>
      </c>
      <c r="B458" s="117" t="str">
        <f t="shared" si="15"/>
        <v/>
      </c>
      <c r="D458" s="2" t="str">
        <f>IF(ISNUMBER(SEARCH('DropDown Lists'!E464,C458)),C458,"")</f>
        <v/>
      </c>
    </row>
    <row r="459" spans="1:4" x14ac:dyDescent="0.25">
      <c r="A459" s="117" t="str">
        <f t="shared" si="14"/>
        <v/>
      </c>
      <c r="B459" s="117" t="str">
        <f t="shared" si="15"/>
        <v/>
      </c>
      <c r="D459" s="2" t="str">
        <f>IF(ISNUMBER(SEARCH('DropDown Lists'!E465,C459)),C459,"")</f>
        <v/>
      </c>
    </row>
    <row r="460" spans="1:4" x14ac:dyDescent="0.25">
      <c r="A460" s="117" t="str">
        <f t="shared" si="14"/>
        <v/>
      </c>
      <c r="B460" s="117" t="str">
        <f t="shared" si="15"/>
        <v/>
      </c>
      <c r="D460" s="2" t="str">
        <f>IF(ISNUMBER(SEARCH('DropDown Lists'!E466,C460)),C460,"")</f>
        <v/>
      </c>
    </row>
    <row r="461" spans="1:4" x14ac:dyDescent="0.25">
      <c r="A461" s="117" t="str">
        <f t="shared" si="14"/>
        <v/>
      </c>
      <c r="B461" s="117" t="str">
        <f t="shared" si="15"/>
        <v/>
      </c>
      <c r="D461" s="2" t="str">
        <f>IF(ISNUMBER(SEARCH('DropDown Lists'!E467,C461)),C461,"")</f>
        <v/>
      </c>
    </row>
    <row r="462" spans="1:4" x14ac:dyDescent="0.25">
      <c r="A462" s="117" t="str">
        <f t="shared" si="14"/>
        <v/>
      </c>
      <c r="B462" s="117" t="str">
        <f t="shared" si="15"/>
        <v/>
      </c>
      <c r="D462" s="2" t="str">
        <f>IF(ISNUMBER(SEARCH('DropDown Lists'!E468,C462)),C462,"")</f>
        <v/>
      </c>
    </row>
    <row r="463" spans="1:4" x14ac:dyDescent="0.25">
      <c r="A463" s="117" t="str">
        <f t="shared" si="14"/>
        <v/>
      </c>
      <c r="B463" s="117" t="str">
        <f t="shared" si="15"/>
        <v/>
      </c>
      <c r="D463" s="2" t="str">
        <f>IF(ISNUMBER(SEARCH('DropDown Lists'!E469,C463)),C463,"")</f>
        <v/>
      </c>
    </row>
    <row r="464" spans="1:4" x14ac:dyDescent="0.25">
      <c r="A464" s="117" t="str">
        <f t="shared" si="14"/>
        <v/>
      </c>
      <c r="B464" s="117" t="str">
        <f t="shared" si="15"/>
        <v/>
      </c>
      <c r="D464" s="2" t="str">
        <f>IF(ISNUMBER(SEARCH('DropDown Lists'!E470,C464)),C464,"")</f>
        <v/>
      </c>
    </row>
    <row r="465" spans="1:4" x14ac:dyDescent="0.25">
      <c r="A465" s="117" t="str">
        <f t="shared" si="14"/>
        <v/>
      </c>
      <c r="B465" s="117" t="str">
        <f t="shared" si="15"/>
        <v/>
      </c>
      <c r="D465" s="2" t="str">
        <f>IF(ISNUMBER(SEARCH('DropDown Lists'!E471,C465)),C465,"")</f>
        <v/>
      </c>
    </row>
    <row r="466" spans="1:4" x14ac:dyDescent="0.25">
      <c r="A466" s="117" t="str">
        <f t="shared" si="14"/>
        <v/>
      </c>
      <c r="B466" s="117" t="str">
        <f t="shared" si="15"/>
        <v/>
      </c>
      <c r="D466" s="2" t="str">
        <f>IF(ISNUMBER(SEARCH('DropDown Lists'!E472,C466)),C466,"")</f>
        <v/>
      </c>
    </row>
    <row r="467" spans="1:4" x14ac:dyDescent="0.25">
      <c r="A467" s="117" t="str">
        <f t="shared" si="14"/>
        <v/>
      </c>
      <c r="B467" s="117" t="str">
        <f t="shared" si="15"/>
        <v/>
      </c>
      <c r="D467" s="2" t="str">
        <f>IF(ISNUMBER(SEARCH('DropDown Lists'!E473,C467)),C467,"")</f>
        <v/>
      </c>
    </row>
    <row r="468" spans="1:4" x14ac:dyDescent="0.25">
      <c r="A468" s="117" t="str">
        <f t="shared" si="14"/>
        <v/>
      </c>
      <c r="B468" s="117" t="str">
        <f t="shared" si="15"/>
        <v/>
      </c>
      <c r="D468" s="2" t="str">
        <f>IF(ISNUMBER(SEARCH('DropDown Lists'!E474,C468)),C468,"")</f>
        <v/>
      </c>
    </row>
    <row r="469" spans="1:4" x14ac:dyDescent="0.25">
      <c r="A469" s="117" t="str">
        <f t="shared" si="14"/>
        <v/>
      </c>
      <c r="B469" s="117" t="str">
        <f t="shared" si="15"/>
        <v/>
      </c>
      <c r="D469" s="2" t="str">
        <f>IF(ISNUMBER(SEARCH('DropDown Lists'!E475,C469)),C469,"")</f>
        <v/>
      </c>
    </row>
    <row r="470" spans="1:4" x14ac:dyDescent="0.25">
      <c r="A470" s="117" t="str">
        <f t="shared" si="14"/>
        <v/>
      </c>
      <c r="B470" s="117" t="str">
        <f t="shared" si="15"/>
        <v/>
      </c>
      <c r="D470" s="2" t="str">
        <f>IF(ISNUMBER(SEARCH('DropDown Lists'!E476,C470)),C470,"")</f>
        <v/>
      </c>
    </row>
    <row r="471" spans="1:4" x14ac:dyDescent="0.25">
      <c r="A471" s="117" t="str">
        <f t="shared" si="14"/>
        <v/>
      </c>
      <c r="B471" s="117" t="str">
        <f t="shared" si="15"/>
        <v/>
      </c>
      <c r="D471" s="2" t="str">
        <f>IF(ISNUMBER(SEARCH('DropDown Lists'!E477,C471)),C471,"")</f>
        <v/>
      </c>
    </row>
    <row r="472" spans="1:4" x14ac:dyDescent="0.25">
      <c r="A472" s="117" t="str">
        <f t="shared" si="14"/>
        <v/>
      </c>
      <c r="B472" s="117" t="str">
        <f t="shared" si="15"/>
        <v/>
      </c>
      <c r="D472" s="2" t="str">
        <f>IF(ISNUMBER(SEARCH('DropDown Lists'!E478,C472)),C472,"")</f>
        <v/>
      </c>
    </row>
    <row r="473" spans="1:4" x14ac:dyDescent="0.25">
      <c r="A473" s="117" t="str">
        <f t="shared" si="14"/>
        <v/>
      </c>
      <c r="B473" s="117" t="str">
        <f t="shared" si="15"/>
        <v/>
      </c>
      <c r="D473" s="2" t="str">
        <f>IF(ISNUMBER(SEARCH('DropDown Lists'!E479,C473)),C473,"")</f>
        <v/>
      </c>
    </row>
    <row r="474" spans="1:4" x14ac:dyDescent="0.25">
      <c r="A474" s="117" t="str">
        <f t="shared" si="14"/>
        <v/>
      </c>
      <c r="B474" s="117" t="str">
        <f t="shared" si="15"/>
        <v/>
      </c>
      <c r="D474" s="2" t="str">
        <f>IF(ISNUMBER(SEARCH('DropDown Lists'!E480,C474)),C474,"")</f>
        <v/>
      </c>
    </row>
    <row r="475" spans="1:4" x14ac:dyDescent="0.25">
      <c r="A475" s="117" t="str">
        <f t="shared" si="14"/>
        <v/>
      </c>
      <c r="B475" s="117" t="str">
        <f t="shared" si="15"/>
        <v/>
      </c>
      <c r="D475" s="2" t="str">
        <f>IF(ISNUMBER(SEARCH('DropDown Lists'!E481,C475)),C475,"")</f>
        <v/>
      </c>
    </row>
    <row r="476" spans="1:4" x14ac:dyDescent="0.25">
      <c r="A476" s="117" t="str">
        <f t="shared" si="14"/>
        <v/>
      </c>
      <c r="B476" s="117" t="str">
        <f t="shared" si="15"/>
        <v/>
      </c>
      <c r="D476" s="2" t="str">
        <f>IF(ISNUMBER(SEARCH('DropDown Lists'!E482,C476)),C476,"")</f>
        <v/>
      </c>
    </row>
    <row r="477" spans="1:4" x14ac:dyDescent="0.25">
      <c r="A477" s="117" t="str">
        <f t="shared" si="14"/>
        <v/>
      </c>
      <c r="B477" s="117" t="str">
        <f t="shared" si="15"/>
        <v/>
      </c>
      <c r="D477" s="2" t="str">
        <f>IF(ISNUMBER(SEARCH('DropDown Lists'!E483,C477)),C477,"")</f>
        <v/>
      </c>
    </row>
    <row r="478" spans="1:4" x14ac:dyDescent="0.25">
      <c r="A478" s="117" t="str">
        <f t="shared" si="14"/>
        <v/>
      </c>
      <c r="B478" s="117" t="str">
        <f t="shared" si="15"/>
        <v/>
      </c>
      <c r="D478" s="2" t="str">
        <f>IF(ISNUMBER(SEARCH('DropDown Lists'!E484,C478)),C478,"")</f>
        <v/>
      </c>
    </row>
    <row r="479" spans="1:4" x14ac:dyDescent="0.25">
      <c r="A479" s="117" t="str">
        <f t="shared" si="14"/>
        <v/>
      </c>
      <c r="B479" s="117" t="str">
        <f t="shared" si="15"/>
        <v/>
      </c>
      <c r="D479" s="2" t="str">
        <f>IF(ISNUMBER(SEARCH('DropDown Lists'!E485,C479)),C479,"")</f>
        <v/>
      </c>
    </row>
    <row r="480" spans="1:4" x14ac:dyDescent="0.25">
      <c r="A480" s="117" t="str">
        <f t="shared" si="14"/>
        <v/>
      </c>
      <c r="B480" s="117" t="str">
        <f t="shared" si="15"/>
        <v/>
      </c>
      <c r="D480" s="2" t="str">
        <f>IF(ISNUMBER(SEARCH('DropDown Lists'!E486,C480)),C480,"")</f>
        <v/>
      </c>
    </row>
    <row r="481" spans="1:4" x14ac:dyDescent="0.25">
      <c r="A481" s="117" t="str">
        <f t="shared" si="14"/>
        <v/>
      </c>
      <c r="B481" s="117" t="str">
        <f t="shared" si="15"/>
        <v/>
      </c>
      <c r="D481" s="2" t="str">
        <f>IF(ISNUMBER(SEARCH('DropDown Lists'!E487,C481)),C481,"")</f>
        <v/>
      </c>
    </row>
    <row r="482" spans="1:4" x14ac:dyDescent="0.25">
      <c r="A482" s="117" t="str">
        <f t="shared" si="14"/>
        <v/>
      </c>
      <c r="B482" s="117" t="str">
        <f t="shared" si="15"/>
        <v/>
      </c>
      <c r="D482" s="2" t="str">
        <f>IF(ISNUMBER(SEARCH('DropDown Lists'!E488,C482)),C482,"")</f>
        <v/>
      </c>
    </row>
    <row r="483" spans="1:4" x14ac:dyDescent="0.25">
      <c r="A483" s="117" t="str">
        <f t="shared" si="14"/>
        <v/>
      </c>
      <c r="B483" s="117" t="str">
        <f t="shared" si="15"/>
        <v/>
      </c>
      <c r="D483" s="2" t="str">
        <f>IF(ISNUMBER(SEARCH('DropDown Lists'!E489,C483)),C483,"")</f>
        <v/>
      </c>
    </row>
    <row r="484" spans="1:4" x14ac:dyDescent="0.25">
      <c r="A484" s="117" t="str">
        <f t="shared" si="14"/>
        <v/>
      </c>
      <c r="B484" s="117" t="str">
        <f t="shared" si="15"/>
        <v/>
      </c>
      <c r="D484" s="2" t="str">
        <f>IF(ISNUMBER(SEARCH('DropDown Lists'!E490,C484)),C484,"")</f>
        <v/>
      </c>
    </row>
    <row r="485" spans="1:4" x14ac:dyDescent="0.25">
      <c r="A485" s="117" t="str">
        <f t="shared" si="14"/>
        <v/>
      </c>
      <c r="B485" s="117" t="str">
        <f t="shared" si="15"/>
        <v/>
      </c>
      <c r="D485" s="2" t="str">
        <f>IF(ISNUMBER(SEARCH('DropDown Lists'!E491,C485)),C485,"")</f>
        <v/>
      </c>
    </row>
    <row r="486" spans="1:4" x14ac:dyDescent="0.25">
      <c r="A486" s="117" t="str">
        <f t="shared" si="14"/>
        <v/>
      </c>
      <c r="B486" s="117" t="str">
        <f t="shared" si="15"/>
        <v/>
      </c>
      <c r="D486" s="2" t="str">
        <f>IF(ISNUMBER(SEARCH('DropDown Lists'!E492,C486)),C486,"")</f>
        <v/>
      </c>
    </row>
    <row r="487" spans="1:4" x14ac:dyDescent="0.25">
      <c r="A487" s="117" t="str">
        <f t="shared" si="14"/>
        <v/>
      </c>
      <c r="B487" s="117" t="str">
        <f t="shared" si="15"/>
        <v/>
      </c>
      <c r="D487" s="2" t="str">
        <f>IF(ISNUMBER(SEARCH('DropDown Lists'!E493,C487)),C487,"")</f>
        <v/>
      </c>
    </row>
    <row r="488" spans="1:4" x14ac:dyDescent="0.25">
      <c r="A488" s="117" t="str">
        <f t="shared" si="14"/>
        <v/>
      </c>
      <c r="B488" s="117" t="str">
        <f t="shared" si="15"/>
        <v/>
      </c>
      <c r="D488" s="2" t="str">
        <f>IF(ISNUMBER(SEARCH('DropDown Lists'!E494,C488)),C488,"")</f>
        <v/>
      </c>
    </row>
    <row r="489" spans="1:4" x14ac:dyDescent="0.25">
      <c r="A489" s="117" t="str">
        <f t="shared" si="14"/>
        <v/>
      </c>
      <c r="B489" s="117" t="str">
        <f t="shared" si="15"/>
        <v/>
      </c>
      <c r="D489" s="2" t="str">
        <f>IF(ISNUMBER(SEARCH('DropDown Lists'!E495,C489)),C489,"")</f>
        <v/>
      </c>
    </row>
    <row r="490" spans="1:4" x14ac:dyDescent="0.25">
      <c r="A490" s="117" t="str">
        <f t="shared" si="14"/>
        <v/>
      </c>
      <c r="B490" s="117" t="str">
        <f t="shared" si="15"/>
        <v/>
      </c>
      <c r="D490" s="2" t="str">
        <f>IF(ISNUMBER(SEARCH('DropDown Lists'!E496,C490)),C490,"")</f>
        <v/>
      </c>
    </row>
    <row r="491" spans="1:4" x14ac:dyDescent="0.25">
      <c r="A491" s="117" t="str">
        <f t="shared" si="14"/>
        <v/>
      </c>
      <c r="B491" s="117" t="str">
        <f t="shared" si="15"/>
        <v/>
      </c>
      <c r="D491" s="2" t="str">
        <f>IF(ISNUMBER(SEARCH('DropDown Lists'!E497,C491)),C491,"")</f>
        <v/>
      </c>
    </row>
    <row r="492" spans="1:4" x14ac:dyDescent="0.25">
      <c r="A492" s="117" t="str">
        <f t="shared" si="14"/>
        <v/>
      </c>
      <c r="B492" s="117" t="str">
        <f t="shared" si="15"/>
        <v/>
      </c>
      <c r="D492" s="2" t="str">
        <f>IF(ISNUMBER(SEARCH('DropDown Lists'!E498,C492)),C492,"")</f>
        <v/>
      </c>
    </row>
    <row r="493" spans="1:4" x14ac:dyDescent="0.25">
      <c r="A493" s="117" t="str">
        <f t="shared" si="14"/>
        <v/>
      </c>
      <c r="B493" s="117" t="str">
        <f t="shared" si="15"/>
        <v/>
      </c>
      <c r="D493" s="2" t="str">
        <f>IF(ISNUMBER(SEARCH('DropDown Lists'!E499,C493)),C493,"")</f>
        <v/>
      </c>
    </row>
    <row r="494" spans="1:4" x14ac:dyDescent="0.25">
      <c r="A494" s="117" t="str">
        <f t="shared" si="14"/>
        <v/>
      </c>
      <c r="B494" s="117" t="str">
        <f t="shared" si="15"/>
        <v/>
      </c>
      <c r="D494" s="2" t="str">
        <f>IF(ISNUMBER(SEARCH('DropDown Lists'!E500,C494)),C494,"")</f>
        <v/>
      </c>
    </row>
    <row r="495" spans="1:4" x14ac:dyDescent="0.25">
      <c r="A495" s="117" t="str">
        <f t="shared" si="14"/>
        <v/>
      </c>
      <c r="B495" s="117" t="str">
        <f t="shared" si="15"/>
        <v/>
      </c>
      <c r="D495" s="2" t="str">
        <f>IF(ISNUMBER(SEARCH('DropDown Lists'!E501,C495)),C495,"")</f>
        <v/>
      </c>
    </row>
    <row r="496" spans="1:4" x14ac:dyDescent="0.25">
      <c r="A496" s="117" t="str">
        <f t="shared" si="14"/>
        <v/>
      </c>
      <c r="B496" s="117" t="str">
        <f t="shared" si="15"/>
        <v/>
      </c>
      <c r="D496" s="2" t="str">
        <f>IF(ISNUMBER(SEARCH('DropDown Lists'!E502,C496)),C496,"")</f>
        <v/>
      </c>
    </row>
    <row r="497" spans="1:4" x14ac:dyDescent="0.25">
      <c r="A497" s="117" t="str">
        <f t="shared" si="14"/>
        <v/>
      </c>
      <c r="B497" s="117" t="str">
        <f t="shared" si="15"/>
        <v/>
      </c>
      <c r="D497" s="2" t="str">
        <f>IF(ISNUMBER(SEARCH('DropDown Lists'!E503,C497)),C497,"")</f>
        <v/>
      </c>
    </row>
    <row r="498" spans="1:4" x14ac:dyDescent="0.25">
      <c r="A498" s="117" t="str">
        <f t="shared" si="14"/>
        <v/>
      </c>
      <c r="B498" s="117" t="str">
        <f t="shared" si="15"/>
        <v/>
      </c>
      <c r="D498" s="2" t="str">
        <f>IF(ISNUMBER(SEARCH('DropDown Lists'!E504,C498)),C498,"")</f>
        <v/>
      </c>
    </row>
    <row r="499" spans="1:4" x14ac:dyDescent="0.25">
      <c r="A499" s="117" t="str">
        <f t="shared" si="14"/>
        <v/>
      </c>
      <c r="B499" s="117" t="str">
        <f t="shared" si="15"/>
        <v/>
      </c>
      <c r="D499" s="2" t="str">
        <f>IF(ISNUMBER(SEARCH('DropDown Lists'!E505,C499)),C499,"")</f>
        <v/>
      </c>
    </row>
    <row r="500" spans="1:4" x14ac:dyDescent="0.25">
      <c r="A500" s="117" t="str">
        <f t="shared" si="14"/>
        <v/>
      </c>
      <c r="B500" s="117" t="str">
        <f t="shared" si="15"/>
        <v/>
      </c>
      <c r="D500" s="2" t="str">
        <f>IF(ISNUMBER(SEARCH('DropDown Lists'!E506,C500)),C500,"")</f>
        <v/>
      </c>
    </row>
    <row r="501" spans="1:4" x14ac:dyDescent="0.25">
      <c r="A501" s="117" t="str">
        <f t="shared" si="14"/>
        <v/>
      </c>
      <c r="B501" s="117" t="str">
        <f t="shared" si="15"/>
        <v/>
      </c>
      <c r="D501" s="2" t="str">
        <f>IF(ISNUMBER(SEARCH('DropDown Lists'!E507,C501)),C501,"")</f>
        <v/>
      </c>
    </row>
    <row r="502" spans="1:4" x14ac:dyDescent="0.25">
      <c r="A502" s="117" t="str">
        <f t="shared" si="14"/>
        <v/>
      </c>
      <c r="B502" s="117" t="str">
        <f t="shared" si="15"/>
        <v/>
      </c>
      <c r="D502" s="2" t="str">
        <f>IF(ISNUMBER(SEARCH('DropDown Lists'!E508,C502)),C502,"")</f>
        <v/>
      </c>
    </row>
    <row r="503" spans="1:4" x14ac:dyDescent="0.25">
      <c r="A503" s="117" t="str">
        <f t="shared" si="14"/>
        <v/>
      </c>
      <c r="B503" s="117" t="str">
        <f t="shared" si="15"/>
        <v/>
      </c>
      <c r="D503" s="2" t="str">
        <f>IF(ISNUMBER(SEARCH('DropDown Lists'!E509,C503)),C503,"")</f>
        <v/>
      </c>
    </row>
    <row r="504" spans="1:4" x14ac:dyDescent="0.25">
      <c r="A504" s="117" t="str">
        <f t="shared" si="14"/>
        <v/>
      </c>
      <c r="B504" s="117" t="str">
        <f t="shared" si="15"/>
        <v/>
      </c>
      <c r="D504" s="2" t="str">
        <f>IF(ISNUMBER(SEARCH('DropDown Lists'!E510,C504)),C504,"")</f>
        <v/>
      </c>
    </row>
    <row r="505" spans="1:4" x14ac:dyDescent="0.25">
      <c r="A505" s="117" t="str">
        <f t="shared" si="14"/>
        <v/>
      </c>
      <c r="B505" s="117" t="str">
        <f t="shared" si="15"/>
        <v/>
      </c>
      <c r="D505" s="2" t="str">
        <f>IF(ISNUMBER(SEARCH('DropDown Lists'!E511,C505)),C505,"")</f>
        <v/>
      </c>
    </row>
    <row r="506" spans="1:4" x14ac:dyDescent="0.25">
      <c r="A506" s="117" t="str">
        <f t="shared" si="14"/>
        <v/>
      </c>
      <c r="B506" s="117" t="str">
        <f t="shared" si="15"/>
        <v/>
      </c>
      <c r="D506" s="2" t="str">
        <f>IF(ISNUMBER(SEARCH('DropDown Lists'!E512,C506)),C506,"")</f>
        <v/>
      </c>
    </row>
    <row r="507" spans="1:4" x14ac:dyDescent="0.25">
      <c r="A507" s="117" t="str">
        <f t="shared" si="14"/>
        <v/>
      </c>
      <c r="B507" s="117" t="str">
        <f t="shared" si="15"/>
        <v/>
      </c>
      <c r="D507" s="2" t="str">
        <f>IF(ISNUMBER(SEARCH('DropDown Lists'!E513,C507)),C507,"")</f>
        <v/>
      </c>
    </row>
    <row r="508" spans="1:4" x14ac:dyDescent="0.25">
      <c r="A508" s="117" t="str">
        <f t="shared" si="14"/>
        <v/>
      </c>
      <c r="B508" s="117" t="str">
        <f t="shared" si="15"/>
        <v/>
      </c>
      <c r="D508" s="2" t="str">
        <f>IF(ISNUMBER(SEARCH('DropDown Lists'!E514,C508)),C508,"")</f>
        <v/>
      </c>
    </row>
    <row r="509" spans="1:4" x14ac:dyDescent="0.25">
      <c r="A509" s="117" t="str">
        <f t="shared" si="14"/>
        <v/>
      </c>
      <c r="B509" s="117" t="str">
        <f t="shared" si="15"/>
        <v/>
      </c>
      <c r="D509" s="2" t="str">
        <f>IF(ISNUMBER(SEARCH('DropDown Lists'!E515,C509)),C509,"")</f>
        <v/>
      </c>
    </row>
    <row r="510" spans="1:4" x14ac:dyDescent="0.25">
      <c r="A510" s="117" t="str">
        <f t="shared" si="14"/>
        <v/>
      </c>
      <c r="B510" s="117" t="str">
        <f t="shared" si="15"/>
        <v/>
      </c>
      <c r="D510" s="2" t="str">
        <f>IF(ISNUMBER(SEARCH('DropDown Lists'!E516,C510)),C510,"")</f>
        <v/>
      </c>
    </row>
    <row r="511" spans="1:4" x14ac:dyDescent="0.25">
      <c r="A511" s="117" t="str">
        <f t="shared" si="14"/>
        <v/>
      </c>
      <c r="B511" s="117" t="str">
        <f t="shared" si="15"/>
        <v/>
      </c>
      <c r="D511" s="2" t="str">
        <f>IF(ISNUMBER(SEARCH('DropDown Lists'!E517,C511)),C511,"")</f>
        <v/>
      </c>
    </row>
    <row r="512" spans="1:4" x14ac:dyDescent="0.25">
      <c r="A512" s="117" t="str">
        <f t="shared" si="14"/>
        <v/>
      </c>
      <c r="B512" s="117" t="str">
        <f t="shared" si="15"/>
        <v/>
      </c>
      <c r="D512" s="2" t="str">
        <f>IF(ISNUMBER(SEARCH('DropDown Lists'!E518,C512)),C512,"")</f>
        <v/>
      </c>
    </row>
    <row r="513" spans="1:4" x14ac:dyDescent="0.25">
      <c r="A513" s="117" t="str">
        <f t="shared" si="14"/>
        <v/>
      </c>
      <c r="B513" s="117" t="str">
        <f t="shared" si="15"/>
        <v/>
      </c>
      <c r="D513" s="2" t="str">
        <f>IF(ISNUMBER(SEARCH('DropDown Lists'!E519,C513)),C513,"")</f>
        <v/>
      </c>
    </row>
    <row r="514" spans="1:4" x14ac:dyDescent="0.25">
      <c r="A514" s="117" t="str">
        <f t="shared" ref="A514:A577" si="16">B514</f>
        <v/>
      </c>
      <c r="B514" s="117" t="str">
        <f t="shared" ref="B514:B577" si="17">IF(D514&lt;&gt;"",$N$2,"")</f>
        <v/>
      </c>
      <c r="D514" s="2" t="str">
        <f>IF(ISNUMBER(SEARCH('DropDown Lists'!E520,C514)),C514,"")</f>
        <v/>
      </c>
    </row>
    <row r="515" spans="1:4" x14ac:dyDescent="0.25">
      <c r="A515" s="117" t="str">
        <f t="shared" si="16"/>
        <v/>
      </c>
      <c r="B515" s="117" t="str">
        <f t="shared" si="17"/>
        <v/>
      </c>
      <c r="D515" s="2" t="str">
        <f>IF(ISNUMBER(SEARCH('DropDown Lists'!E521,C515)),C515,"")</f>
        <v/>
      </c>
    </row>
    <row r="516" spans="1:4" x14ac:dyDescent="0.25">
      <c r="A516" s="117" t="str">
        <f t="shared" si="16"/>
        <v/>
      </c>
      <c r="B516" s="117" t="str">
        <f t="shared" si="17"/>
        <v/>
      </c>
      <c r="D516" s="2" t="str">
        <f>IF(ISNUMBER(SEARCH('DropDown Lists'!E522,C516)),C516,"")</f>
        <v/>
      </c>
    </row>
    <row r="517" spans="1:4" x14ac:dyDescent="0.25">
      <c r="A517" s="117" t="str">
        <f t="shared" si="16"/>
        <v/>
      </c>
      <c r="B517" s="117" t="str">
        <f t="shared" si="17"/>
        <v/>
      </c>
      <c r="D517" s="2" t="str">
        <f>IF(ISNUMBER(SEARCH('DropDown Lists'!E523,C517)),C517,"")</f>
        <v/>
      </c>
    </row>
    <row r="518" spans="1:4" x14ac:dyDescent="0.25">
      <c r="A518" s="117" t="str">
        <f t="shared" si="16"/>
        <v/>
      </c>
      <c r="B518" s="117" t="str">
        <f t="shared" si="17"/>
        <v/>
      </c>
      <c r="D518" s="2" t="str">
        <f>IF(ISNUMBER(SEARCH('DropDown Lists'!E524,C518)),C518,"")</f>
        <v/>
      </c>
    </row>
    <row r="519" spans="1:4" x14ac:dyDescent="0.25">
      <c r="A519" s="117" t="str">
        <f t="shared" si="16"/>
        <v/>
      </c>
      <c r="B519" s="117" t="str">
        <f t="shared" si="17"/>
        <v/>
      </c>
      <c r="D519" s="2" t="str">
        <f>IF(ISNUMBER(SEARCH('DropDown Lists'!E525,C519)),C519,"")</f>
        <v/>
      </c>
    </row>
    <row r="520" spans="1:4" x14ac:dyDescent="0.25">
      <c r="A520" s="117" t="str">
        <f t="shared" si="16"/>
        <v/>
      </c>
      <c r="B520" s="117" t="str">
        <f t="shared" si="17"/>
        <v/>
      </c>
      <c r="D520" s="2" t="str">
        <f>IF(ISNUMBER(SEARCH('DropDown Lists'!E526,C520)),C520,"")</f>
        <v/>
      </c>
    </row>
    <row r="521" spans="1:4" x14ac:dyDescent="0.25">
      <c r="A521" s="117" t="str">
        <f t="shared" si="16"/>
        <v/>
      </c>
      <c r="B521" s="117" t="str">
        <f t="shared" si="17"/>
        <v/>
      </c>
      <c r="D521" s="2" t="str">
        <f>IF(ISNUMBER(SEARCH('DropDown Lists'!E527,C521)),C521,"")</f>
        <v/>
      </c>
    </row>
    <row r="522" spans="1:4" x14ac:dyDescent="0.25">
      <c r="A522" s="117" t="str">
        <f t="shared" si="16"/>
        <v/>
      </c>
      <c r="B522" s="117" t="str">
        <f t="shared" si="17"/>
        <v/>
      </c>
      <c r="D522" s="2" t="str">
        <f>IF(ISNUMBER(SEARCH('DropDown Lists'!E528,C522)),C522,"")</f>
        <v/>
      </c>
    </row>
    <row r="523" spans="1:4" x14ac:dyDescent="0.25">
      <c r="A523" s="117" t="str">
        <f t="shared" si="16"/>
        <v/>
      </c>
      <c r="B523" s="117" t="str">
        <f t="shared" si="17"/>
        <v/>
      </c>
      <c r="D523" s="2" t="str">
        <f>IF(ISNUMBER(SEARCH('DropDown Lists'!E529,C523)),C523,"")</f>
        <v/>
      </c>
    </row>
    <row r="524" spans="1:4" x14ac:dyDescent="0.25">
      <c r="A524" s="117" t="str">
        <f t="shared" si="16"/>
        <v/>
      </c>
      <c r="B524" s="117" t="str">
        <f t="shared" si="17"/>
        <v/>
      </c>
      <c r="D524" s="2" t="str">
        <f>IF(ISNUMBER(SEARCH('DropDown Lists'!E530,C524)),C524,"")</f>
        <v/>
      </c>
    </row>
    <row r="525" spans="1:4" x14ac:dyDescent="0.25">
      <c r="A525" s="117" t="str">
        <f t="shared" si="16"/>
        <v/>
      </c>
      <c r="B525" s="117" t="str">
        <f t="shared" si="17"/>
        <v/>
      </c>
      <c r="D525" s="2" t="str">
        <f>IF(ISNUMBER(SEARCH('DropDown Lists'!E531,C525)),C525,"")</f>
        <v/>
      </c>
    </row>
    <row r="526" spans="1:4" x14ac:dyDescent="0.25">
      <c r="A526" s="117" t="str">
        <f t="shared" si="16"/>
        <v/>
      </c>
      <c r="B526" s="117" t="str">
        <f t="shared" si="17"/>
        <v/>
      </c>
      <c r="D526" s="2" t="str">
        <f>IF(ISNUMBER(SEARCH('DropDown Lists'!E532,C526)),C526,"")</f>
        <v/>
      </c>
    </row>
    <row r="527" spans="1:4" x14ac:dyDescent="0.25">
      <c r="A527" s="117" t="str">
        <f t="shared" si="16"/>
        <v/>
      </c>
      <c r="B527" s="117" t="str">
        <f t="shared" si="17"/>
        <v/>
      </c>
      <c r="D527" s="2" t="str">
        <f>IF(ISNUMBER(SEARCH('DropDown Lists'!E533,C527)),C527,"")</f>
        <v/>
      </c>
    </row>
    <row r="528" spans="1:4" x14ac:dyDescent="0.25">
      <c r="A528" s="117" t="str">
        <f t="shared" si="16"/>
        <v/>
      </c>
      <c r="B528" s="117" t="str">
        <f t="shared" si="17"/>
        <v/>
      </c>
      <c r="D528" s="2" t="str">
        <f>IF(ISNUMBER(SEARCH('DropDown Lists'!E534,C528)),C528,"")</f>
        <v/>
      </c>
    </row>
    <row r="529" spans="1:4" x14ac:dyDescent="0.25">
      <c r="A529" s="117" t="str">
        <f t="shared" si="16"/>
        <v/>
      </c>
      <c r="B529" s="117" t="str">
        <f t="shared" si="17"/>
        <v/>
      </c>
      <c r="D529" s="2" t="str">
        <f>IF(ISNUMBER(SEARCH('DropDown Lists'!E535,C529)),C529,"")</f>
        <v/>
      </c>
    </row>
    <row r="530" spans="1:4" x14ac:dyDescent="0.25">
      <c r="A530" s="117" t="str">
        <f t="shared" si="16"/>
        <v/>
      </c>
      <c r="B530" s="117" t="str">
        <f t="shared" si="17"/>
        <v/>
      </c>
      <c r="D530" s="2" t="str">
        <f>IF(ISNUMBER(SEARCH('DropDown Lists'!E536,C530)),C530,"")</f>
        <v/>
      </c>
    </row>
    <row r="531" spans="1:4" x14ac:dyDescent="0.25">
      <c r="A531" s="117" t="str">
        <f t="shared" si="16"/>
        <v/>
      </c>
      <c r="B531" s="117" t="str">
        <f t="shared" si="17"/>
        <v/>
      </c>
      <c r="D531" s="2" t="str">
        <f>IF(ISNUMBER(SEARCH('DropDown Lists'!E537,C531)),C531,"")</f>
        <v/>
      </c>
    </row>
    <row r="532" spans="1:4" x14ac:dyDescent="0.25">
      <c r="A532" s="117" t="str">
        <f t="shared" si="16"/>
        <v/>
      </c>
      <c r="B532" s="117" t="str">
        <f t="shared" si="17"/>
        <v/>
      </c>
      <c r="D532" s="2" t="str">
        <f>IF(ISNUMBER(SEARCH('DropDown Lists'!E538,C532)),C532,"")</f>
        <v/>
      </c>
    </row>
    <row r="533" spans="1:4" x14ac:dyDescent="0.25">
      <c r="A533" s="117" t="str">
        <f t="shared" si="16"/>
        <v/>
      </c>
      <c r="B533" s="117" t="str">
        <f t="shared" si="17"/>
        <v/>
      </c>
      <c r="D533" s="2" t="str">
        <f>IF(ISNUMBER(SEARCH('DropDown Lists'!E539,C533)),C533,"")</f>
        <v/>
      </c>
    </row>
    <row r="534" spans="1:4" x14ac:dyDescent="0.25">
      <c r="A534" s="117" t="str">
        <f t="shared" si="16"/>
        <v/>
      </c>
      <c r="B534" s="117" t="str">
        <f t="shared" si="17"/>
        <v/>
      </c>
      <c r="D534" s="2" t="str">
        <f>IF(ISNUMBER(SEARCH('DropDown Lists'!E540,C534)),C534,"")</f>
        <v/>
      </c>
    </row>
    <row r="535" spans="1:4" x14ac:dyDescent="0.25">
      <c r="A535" s="117" t="str">
        <f t="shared" si="16"/>
        <v/>
      </c>
      <c r="B535" s="117" t="str">
        <f t="shared" si="17"/>
        <v/>
      </c>
      <c r="D535" s="2" t="str">
        <f>IF(ISNUMBER(SEARCH('DropDown Lists'!E541,C535)),C535,"")</f>
        <v/>
      </c>
    </row>
    <row r="536" spans="1:4" x14ac:dyDescent="0.25">
      <c r="A536" s="117" t="str">
        <f t="shared" si="16"/>
        <v/>
      </c>
      <c r="B536" s="117" t="str">
        <f t="shared" si="17"/>
        <v/>
      </c>
      <c r="D536" s="2" t="str">
        <f>IF(ISNUMBER(SEARCH('DropDown Lists'!E542,C536)),C536,"")</f>
        <v/>
      </c>
    </row>
    <row r="537" spans="1:4" x14ac:dyDescent="0.25">
      <c r="A537" s="117" t="str">
        <f t="shared" si="16"/>
        <v/>
      </c>
      <c r="B537" s="117" t="str">
        <f t="shared" si="17"/>
        <v/>
      </c>
      <c r="D537" s="2" t="str">
        <f>IF(ISNUMBER(SEARCH('DropDown Lists'!E543,C537)),C537,"")</f>
        <v/>
      </c>
    </row>
    <row r="538" spans="1:4" x14ac:dyDescent="0.25">
      <c r="A538" s="117" t="str">
        <f t="shared" si="16"/>
        <v/>
      </c>
      <c r="B538" s="117" t="str">
        <f t="shared" si="17"/>
        <v/>
      </c>
      <c r="D538" s="2" t="str">
        <f>IF(ISNUMBER(SEARCH('DropDown Lists'!E544,C538)),C538,"")</f>
        <v/>
      </c>
    </row>
    <row r="539" spans="1:4" x14ac:dyDescent="0.25">
      <c r="A539" s="117" t="str">
        <f t="shared" si="16"/>
        <v/>
      </c>
      <c r="B539" s="117" t="str">
        <f t="shared" si="17"/>
        <v/>
      </c>
      <c r="D539" s="2" t="str">
        <f>IF(ISNUMBER(SEARCH('DropDown Lists'!E545,C539)),C539,"")</f>
        <v/>
      </c>
    </row>
    <row r="540" spans="1:4" x14ac:dyDescent="0.25">
      <c r="A540" s="117" t="str">
        <f t="shared" si="16"/>
        <v/>
      </c>
      <c r="B540" s="117" t="str">
        <f t="shared" si="17"/>
        <v/>
      </c>
      <c r="D540" s="2" t="str">
        <f>IF(ISNUMBER(SEARCH('DropDown Lists'!E546,C540)),C540,"")</f>
        <v/>
      </c>
    </row>
    <row r="541" spans="1:4" x14ac:dyDescent="0.25">
      <c r="A541" s="117" t="str">
        <f t="shared" si="16"/>
        <v/>
      </c>
      <c r="B541" s="117" t="str">
        <f t="shared" si="17"/>
        <v/>
      </c>
      <c r="D541" s="2" t="str">
        <f>IF(ISNUMBER(SEARCH('DropDown Lists'!E547,C541)),C541,"")</f>
        <v/>
      </c>
    </row>
    <row r="542" spans="1:4" x14ac:dyDescent="0.25">
      <c r="A542" s="117" t="str">
        <f t="shared" si="16"/>
        <v/>
      </c>
      <c r="B542" s="117" t="str">
        <f t="shared" si="17"/>
        <v/>
      </c>
      <c r="D542" s="2" t="str">
        <f>IF(ISNUMBER(SEARCH('DropDown Lists'!E548,C542)),C542,"")</f>
        <v/>
      </c>
    </row>
    <row r="543" spans="1:4" x14ac:dyDescent="0.25">
      <c r="A543" s="117" t="str">
        <f t="shared" si="16"/>
        <v/>
      </c>
      <c r="B543" s="117" t="str">
        <f t="shared" si="17"/>
        <v/>
      </c>
      <c r="D543" s="2" t="str">
        <f>IF(ISNUMBER(SEARCH('DropDown Lists'!E549,C543)),C543,"")</f>
        <v/>
      </c>
    </row>
    <row r="544" spans="1:4" x14ac:dyDescent="0.25">
      <c r="A544" s="117" t="str">
        <f t="shared" si="16"/>
        <v/>
      </c>
      <c r="B544" s="117" t="str">
        <f t="shared" si="17"/>
        <v/>
      </c>
      <c r="D544" s="2" t="str">
        <f>IF(ISNUMBER(SEARCH('DropDown Lists'!E550,C544)),C544,"")</f>
        <v/>
      </c>
    </row>
    <row r="545" spans="1:4" x14ac:dyDescent="0.25">
      <c r="A545" s="117" t="str">
        <f t="shared" si="16"/>
        <v/>
      </c>
      <c r="B545" s="117" t="str">
        <f t="shared" si="17"/>
        <v/>
      </c>
      <c r="D545" s="2" t="str">
        <f>IF(ISNUMBER(SEARCH('DropDown Lists'!E551,C545)),C545,"")</f>
        <v/>
      </c>
    </row>
    <row r="546" spans="1:4" x14ac:dyDescent="0.25">
      <c r="A546" s="117" t="str">
        <f t="shared" si="16"/>
        <v/>
      </c>
      <c r="B546" s="117" t="str">
        <f t="shared" si="17"/>
        <v/>
      </c>
      <c r="D546" s="2" t="str">
        <f>IF(ISNUMBER(SEARCH('DropDown Lists'!E552,C546)),C546,"")</f>
        <v/>
      </c>
    </row>
    <row r="547" spans="1:4" x14ac:dyDescent="0.25">
      <c r="A547" s="117" t="str">
        <f t="shared" si="16"/>
        <v/>
      </c>
      <c r="B547" s="117" t="str">
        <f t="shared" si="17"/>
        <v/>
      </c>
      <c r="D547" s="2" t="str">
        <f>IF(ISNUMBER(SEARCH('DropDown Lists'!E553,C547)),C547,"")</f>
        <v/>
      </c>
    </row>
    <row r="548" spans="1:4" x14ac:dyDescent="0.25">
      <c r="A548" s="117" t="str">
        <f t="shared" si="16"/>
        <v/>
      </c>
      <c r="B548" s="117" t="str">
        <f t="shared" si="17"/>
        <v/>
      </c>
      <c r="D548" s="2" t="str">
        <f>IF(ISNUMBER(SEARCH('DropDown Lists'!E554,C548)),C548,"")</f>
        <v/>
      </c>
    </row>
    <row r="549" spans="1:4" x14ac:dyDescent="0.25">
      <c r="A549" s="117" t="str">
        <f t="shared" si="16"/>
        <v/>
      </c>
      <c r="B549" s="117" t="str">
        <f t="shared" si="17"/>
        <v/>
      </c>
      <c r="D549" s="2" t="str">
        <f>IF(ISNUMBER(SEARCH('DropDown Lists'!E555,C549)),C549,"")</f>
        <v/>
      </c>
    </row>
    <row r="550" spans="1:4" x14ac:dyDescent="0.25">
      <c r="A550" s="117" t="str">
        <f t="shared" si="16"/>
        <v/>
      </c>
      <c r="B550" s="117" t="str">
        <f t="shared" si="17"/>
        <v/>
      </c>
      <c r="D550" s="2" t="str">
        <f>IF(ISNUMBER(SEARCH('DropDown Lists'!E556,C550)),C550,"")</f>
        <v/>
      </c>
    </row>
    <row r="551" spans="1:4" x14ac:dyDescent="0.25">
      <c r="A551" s="117" t="str">
        <f t="shared" si="16"/>
        <v/>
      </c>
      <c r="B551" s="117" t="str">
        <f t="shared" si="17"/>
        <v/>
      </c>
      <c r="D551" s="2" t="str">
        <f>IF(ISNUMBER(SEARCH('DropDown Lists'!E557,C551)),C551,"")</f>
        <v/>
      </c>
    </row>
    <row r="552" spans="1:4" x14ac:dyDescent="0.25">
      <c r="A552" s="117" t="str">
        <f t="shared" si="16"/>
        <v/>
      </c>
      <c r="B552" s="117" t="str">
        <f t="shared" si="17"/>
        <v/>
      </c>
      <c r="D552" s="2" t="str">
        <f>IF(ISNUMBER(SEARCH('DropDown Lists'!E558,C552)),C552,"")</f>
        <v/>
      </c>
    </row>
    <row r="553" spans="1:4" x14ac:dyDescent="0.25">
      <c r="A553" s="117" t="str">
        <f t="shared" si="16"/>
        <v/>
      </c>
      <c r="B553" s="117" t="str">
        <f t="shared" si="17"/>
        <v/>
      </c>
      <c r="D553" s="2" t="str">
        <f>IF(ISNUMBER(SEARCH('DropDown Lists'!E559,C553)),C553,"")</f>
        <v/>
      </c>
    </row>
    <row r="554" spans="1:4" x14ac:dyDescent="0.25">
      <c r="A554" s="117" t="str">
        <f t="shared" si="16"/>
        <v/>
      </c>
      <c r="B554" s="117" t="str">
        <f t="shared" si="17"/>
        <v/>
      </c>
      <c r="D554" s="2" t="str">
        <f>IF(ISNUMBER(SEARCH('DropDown Lists'!E560,C554)),C554,"")</f>
        <v/>
      </c>
    </row>
    <row r="555" spans="1:4" x14ac:dyDescent="0.25">
      <c r="A555" s="117" t="str">
        <f t="shared" si="16"/>
        <v/>
      </c>
      <c r="B555" s="117" t="str">
        <f t="shared" si="17"/>
        <v/>
      </c>
      <c r="D555" s="2" t="str">
        <f>IF(ISNUMBER(SEARCH('DropDown Lists'!E561,C555)),C555,"")</f>
        <v/>
      </c>
    </row>
    <row r="556" spans="1:4" x14ac:dyDescent="0.25">
      <c r="A556" s="117" t="str">
        <f t="shared" si="16"/>
        <v/>
      </c>
      <c r="B556" s="117" t="str">
        <f t="shared" si="17"/>
        <v/>
      </c>
      <c r="D556" s="2" t="str">
        <f>IF(ISNUMBER(SEARCH('DropDown Lists'!E562,C556)),C556,"")</f>
        <v/>
      </c>
    </row>
    <row r="557" spans="1:4" x14ac:dyDescent="0.25">
      <c r="A557" s="117" t="str">
        <f t="shared" si="16"/>
        <v/>
      </c>
      <c r="B557" s="117" t="str">
        <f t="shared" si="17"/>
        <v/>
      </c>
      <c r="D557" s="2" t="str">
        <f>IF(ISNUMBER(SEARCH('DropDown Lists'!E563,C557)),C557,"")</f>
        <v/>
      </c>
    </row>
    <row r="558" spans="1:4" x14ac:dyDescent="0.25">
      <c r="A558" s="117" t="str">
        <f t="shared" si="16"/>
        <v/>
      </c>
      <c r="B558" s="117" t="str">
        <f t="shared" si="17"/>
        <v/>
      </c>
      <c r="D558" s="2" t="str">
        <f>IF(ISNUMBER(SEARCH('DropDown Lists'!E564,C558)),C558,"")</f>
        <v/>
      </c>
    </row>
    <row r="559" spans="1:4" x14ac:dyDescent="0.25">
      <c r="A559" s="117" t="str">
        <f t="shared" si="16"/>
        <v/>
      </c>
      <c r="B559" s="117" t="str">
        <f t="shared" si="17"/>
        <v/>
      </c>
      <c r="D559" s="2" t="str">
        <f>IF(ISNUMBER(SEARCH('DropDown Lists'!E565,C559)),C559,"")</f>
        <v/>
      </c>
    </row>
    <row r="560" spans="1:4" x14ac:dyDescent="0.25">
      <c r="A560" s="117" t="str">
        <f t="shared" si="16"/>
        <v/>
      </c>
      <c r="B560" s="117" t="str">
        <f t="shared" si="17"/>
        <v/>
      </c>
      <c r="D560" s="2" t="str">
        <f>IF(ISNUMBER(SEARCH('DropDown Lists'!E566,C560)),C560,"")</f>
        <v/>
      </c>
    </row>
    <row r="561" spans="1:4" x14ac:dyDescent="0.25">
      <c r="A561" s="117" t="str">
        <f t="shared" si="16"/>
        <v/>
      </c>
      <c r="B561" s="117" t="str">
        <f t="shared" si="17"/>
        <v/>
      </c>
      <c r="D561" s="2" t="str">
        <f>IF(ISNUMBER(SEARCH('DropDown Lists'!E567,C561)),C561,"")</f>
        <v/>
      </c>
    </row>
    <row r="562" spans="1:4" x14ac:dyDescent="0.25">
      <c r="A562" s="117" t="str">
        <f t="shared" si="16"/>
        <v/>
      </c>
      <c r="B562" s="117" t="str">
        <f t="shared" si="17"/>
        <v/>
      </c>
      <c r="D562" s="2" t="str">
        <f>IF(ISNUMBER(SEARCH('DropDown Lists'!E568,C562)),C562,"")</f>
        <v/>
      </c>
    </row>
    <row r="563" spans="1:4" x14ac:dyDescent="0.25">
      <c r="A563" s="117" t="str">
        <f t="shared" si="16"/>
        <v/>
      </c>
      <c r="B563" s="117" t="str">
        <f t="shared" si="17"/>
        <v/>
      </c>
      <c r="D563" s="2" t="str">
        <f>IF(ISNUMBER(SEARCH('DropDown Lists'!E569,C563)),C563,"")</f>
        <v/>
      </c>
    </row>
    <row r="564" spans="1:4" x14ac:dyDescent="0.25">
      <c r="A564" s="117" t="str">
        <f t="shared" si="16"/>
        <v/>
      </c>
      <c r="B564" s="117" t="str">
        <f t="shared" si="17"/>
        <v/>
      </c>
      <c r="D564" s="2" t="str">
        <f>IF(ISNUMBER(SEARCH('DropDown Lists'!E570,C564)),C564,"")</f>
        <v/>
      </c>
    </row>
    <row r="565" spans="1:4" x14ac:dyDescent="0.25">
      <c r="A565" s="117" t="str">
        <f t="shared" si="16"/>
        <v/>
      </c>
      <c r="B565" s="117" t="str">
        <f t="shared" si="17"/>
        <v/>
      </c>
      <c r="D565" s="2" t="str">
        <f>IF(ISNUMBER(SEARCH('DropDown Lists'!E571,C565)),C565,"")</f>
        <v/>
      </c>
    </row>
    <row r="566" spans="1:4" x14ac:dyDescent="0.25">
      <c r="A566" s="117" t="str">
        <f t="shared" si="16"/>
        <v/>
      </c>
      <c r="B566" s="117" t="str">
        <f t="shared" si="17"/>
        <v/>
      </c>
      <c r="D566" s="2" t="str">
        <f>IF(ISNUMBER(SEARCH('DropDown Lists'!E572,C566)),C566,"")</f>
        <v/>
      </c>
    </row>
    <row r="567" spans="1:4" x14ac:dyDescent="0.25">
      <c r="A567" s="117" t="str">
        <f t="shared" si="16"/>
        <v/>
      </c>
      <c r="B567" s="117" t="str">
        <f t="shared" si="17"/>
        <v/>
      </c>
      <c r="D567" s="2" t="str">
        <f>IF(ISNUMBER(SEARCH('DropDown Lists'!E573,C567)),C567,"")</f>
        <v/>
      </c>
    </row>
    <row r="568" spans="1:4" x14ac:dyDescent="0.25">
      <c r="A568" s="117" t="str">
        <f t="shared" si="16"/>
        <v/>
      </c>
      <c r="B568" s="117" t="str">
        <f t="shared" si="17"/>
        <v/>
      </c>
      <c r="D568" s="2" t="str">
        <f>IF(ISNUMBER(SEARCH('DropDown Lists'!E574,C568)),C568,"")</f>
        <v/>
      </c>
    </row>
    <row r="569" spans="1:4" x14ac:dyDescent="0.25">
      <c r="A569" s="117" t="str">
        <f t="shared" si="16"/>
        <v/>
      </c>
      <c r="B569" s="117" t="str">
        <f t="shared" si="17"/>
        <v/>
      </c>
      <c r="D569" s="2" t="str">
        <f>IF(ISNUMBER(SEARCH('DropDown Lists'!E575,C569)),C569,"")</f>
        <v/>
      </c>
    </row>
    <row r="570" spans="1:4" x14ac:dyDescent="0.25">
      <c r="A570" s="117" t="str">
        <f t="shared" si="16"/>
        <v/>
      </c>
      <c r="B570" s="117" t="str">
        <f t="shared" si="17"/>
        <v/>
      </c>
      <c r="D570" s="2" t="str">
        <f>IF(ISNUMBER(SEARCH('DropDown Lists'!E576,C570)),C570,"")</f>
        <v/>
      </c>
    </row>
    <row r="571" spans="1:4" x14ac:dyDescent="0.25">
      <c r="A571" s="117" t="str">
        <f t="shared" si="16"/>
        <v/>
      </c>
      <c r="B571" s="117" t="str">
        <f t="shared" si="17"/>
        <v/>
      </c>
      <c r="D571" s="2" t="str">
        <f>IF(ISNUMBER(SEARCH('DropDown Lists'!E577,C571)),C571,"")</f>
        <v/>
      </c>
    </row>
    <row r="572" spans="1:4" x14ac:dyDescent="0.25">
      <c r="A572" s="117" t="str">
        <f t="shared" si="16"/>
        <v/>
      </c>
      <c r="B572" s="117" t="str">
        <f t="shared" si="17"/>
        <v/>
      </c>
      <c r="D572" s="2" t="str">
        <f>IF(ISNUMBER(SEARCH('DropDown Lists'!E578,C572)),C572,"")</f>
        <v/>
      </c>
    </row>
    <row r="573" spans="1:4" x14ac:dyDescent="0.25">
      <c r="A573" s="117" t="str">
        <f t="shared" si="16"/>
        <v/>
      </c>
      <c r="B573" s="117" t="str">
        <f t="shared" si="17"/>
        <v/>
      </c>
      <c r="D573" s="2" t="str">
        <f>IF(ISNUMBER(SEARCH('DropDown Lists'!E579,C573)),C573,"")</f>
        <v/>
      </c>
    </row>
    <row r="574" spans="1:4" x14ac:dyDescent="0.25">
      <c r="A574" s="117" t="str">
        <f t="shared" si="16"/>
        <v/>
      </c>
      <c r="B574" s="117" t="str">
        <f t="shared" si="17"/>
        <v/>
      </c>
      <c r="D574" s="2" t="str">
        <f>IF(ISNUMBER(SEARCH('DropDown Lists'!E580,C574)),C574,"")</f>
        <v/>
      </c>
    </row>
    <row r="575" spans="1:4" x14ac:dyDescent="0.25">
      <c r="A575" s="117" t="str">
        <f t="shared" si="16"/>
        <v/>
      </c>
      <c r="B575" s="117" t="str">
        <f t="shared" si="17"/>
        <v/>
      </c>
      <c r="D575" s="2" t="str">
        <f>IF(ISNUMBER(SEARCH('DropDown Lists'!E581,C575)),C575,"")</f>
        <v/>
      </c>
    </row>
    <row r="576" spans="1:4" x14ac:dyDescent="0.25">
      <c r="A576" s="117" t="str">
        <f t="shared" si="16"/>
        <v/>
      </c>
      <c r="B576" s="117" t="str">
        <f t="shared" si="17"/>
        <v/>
      </c>
      <c r="D576" s="2" t="str">
        <f>IF(ISNUMBER(SEARCH('DropDown Lists'!E582,C576)),C576,"")</f>
        <v/>
      </c>
    </row>
    <row r="577" spans="1:4" x14ac:dyDescent="0.25">
      <c r="A577" s="117" t="str">
        <f t="shared" si="16"/>
        <v/>
      </c>
      <c r="B577" s="117" t="str">
        <f t="shared" si="17"/>
        <v/>
      </c>
      <c r="D577" s="2" t="str">
        <f>IF(ISNUMBER(SEARCH('DropDown Lists'!E583,C577)),C577,"")</f>
        <v/>
      </c>
    </row>
    <row r="578" spans="1:4" x14ac:dyDescent="0.25">
      <c r="A578" s="117" t="str">
        <f t="shared" ref="A578:A641" si="18">B578</f>
        <v/>
      </c>
      <c r="B578" s="117" t="str">
        <f t="shared" ref="B578:B641" si="19">IF(D578&lt;&gt;"",$N$2,"")</f>
        <v/>
      </c>
      <c r="D578" s="2" t="str">
        <f>IF(ISNUMBER(SEARCH('DropDown Lists'!E584,C578)),C578,"")</f>
        <v/>
      </c>
    </row>
    <row r="579" spans="1:4" x14ac:dyDescent="0.25">
      <c r="A579" s="117" t="str">
        <f t="shared" si="18"/>
        <v/>
      </c>
      <c r="B579" s="117" t="str">
        <f t="shared" si="19"/>
        <v/>
      </c>
      <c r="D579" s="2" t="str">
        <f>IF(ISNUMBER(SEARCH('DropDown Lists'!E585,C579)),C579,"")</f>
        <v/>
      </c>
    </row>
    <row r="580" spans="1:4" x14ac:dyDescent="0.25">
      <c r="A580" s="117" t="str">
        <f t="shared" si="18"/>
        <v/>
      </c>
      <c r="B580" s="117" t="str">
        <f t="shared" si="19"/>
        <v/>
      </c>
      <c r="D580" s="2" t="str">
        <f>IF(ISNUMBER(SEARCH('DropDown Lists'!E586,C580)),C580,"")</f>
        <v/>
      </c>
    </row>
    <row r="581" spans="1:4" x14ac:dyDescent="0.25">
      <c r="A581" s="117" t="str">
        <f t="shared" si="18"/>
        <v/>
      </c>
      <c r="B581" s="117" t="str">
        <f t="shared" si="19"/>
        <v/>
      </c>
      <c r="D581" s="2" t="str">
        <f>IF(ISNUMBER(SEARCH('DropDown Lists'!E587,C581)),C581,"")</f>
        <v/>
      </c>
    </row>
    <row r="582" spans="1:4" x14ac:dyDescent="0.25">
      <c r="A582" s="117" t="str">
        <f t="shared" si="18"/>
        <v/>
      </c>
      <c r="B582" s="117" t="str">
        <f t="shared" si="19"/>
        <v/>
      </c>
      <c r="D582" s="2" t="str">
        <f>IF(ISNUMBER(SEARCH('DropDown Lists'!E588,C582)),C582,"")</f>
        <v/>
      </c>
    </row>
    <row r="583" spans="1:4" x14ac:dyDescent="0.25">
      <c r="A583" s="117" t="str">
        <f t="shared" si="18"/>
        <v/>
      </c>
      <c r="B583" s="117" t="str">
        <f t="shared" si="19"/>
        <v/>
      </c>
      <c r="D583" s="2" t="str">
        <f>IF(ISNUMBER(SEARCH('DropDown Lists'!E589,C583)),C583,"")</f>
        <v/>
      </c>
    </row>
    <row r="584" spans="1:4" x14ac:dyDescent="0.25">
      <c r="A584" s="117" t="str">
        <f t="shared" si="18"/>
        <v/>
      </c>
      <c r="B584" s="117" t="str">
        <f t="shared" si="19"/>
        <v/>
      </c>
      <c r="D584" s="2" t="str">
        <f>IF(ISNUMBER(SEARCH('DropDown Lists'!E590,C584)),C584,"")</f>
        <v/>
      </c>
    </row>
    <row r="585" spans="1:4" x14ac:dyDescent="0.25">
      <c r="A585" s="117" t="str">
        <f t="shared" si="18"/>
        <v/>
      </c>
      <c r="B585" s="117" t="str">
        <f t="shared" si="19"/>
        <v/>
      </c>
      <c r="D585" s="2" t="str">
        <f>IF(ISNUMBER(SEARCH('DropDown Lists'!E591,C585)),C585,"")</f>
        <v/>
      </c>
    </row>
    <row r="586" spans="1:4" x14ac:dyDescent="0.25">
      <c r="A586" s="117" t="str">
        <f t="shared" si="18"/>
        <v/>
      </c>
      <c r="B586" s="117" t="str">
        <f t="shared" si="19"/>
        <v/>
      </c>
      <c r="D586" s="2" t="str">
        <f>IF(ISNUMBER(SEARCH('DropDown Lists'!E592,C586)),C586,"")</f>
        <v/>
      </c>
    </row>
    <row r="587" spans="1:4" x14ac:dyDescent="0.25">
      <c r="A587" s="117" t="str">
        <f t="shared" si="18"/>
        <v/>
      </c>
      <c r="B587" s="117" t="str">
        <f t="shared" si="19"/>
        <v/>
      </c>
      <c r="D587" s="2" t="str">
        <f>IF(ISNUMBER(SEARCH('DropDown Lists'!E593,C587)),C587,"")</f>
        <v/>
      </c>
    </row>
    <row r="588" spans="1:4" x14ac:dyDescent="0.25">
      <c r="A588" s="117" t="str">
        <f t="shared" si="18"/>
        <v/>
      </c>
      <c r="B588" s="117" t="str">
        <f t="shared" si="19"/>
        <v/>
      </c>
      <c r="D588" s="2" t="str">
        <f>IF(ISNUMBER(SEARCH('DropDown Lists'!E594,C588)),C588,"")</f>
        <v/>
      </c>
    </row>
    <row r="589" spans="1:4" x14ac:dyDescent="0.25">
      <c r="A589" s="117" t="str">
        <f t="shared" si="18"/>
        <v/>
      </c>
      <c r="B589" s="117" t="str">
        <f t="shared" si="19"/>
        <v/>
      </c>
      <c r="D589" s="2" t="str">
        <f>IF(ISNUMBER(SEARCH('DropDown Lists'!E595,C589)),C589,"")</f>
        <v/>
      </c>
    </row>
    <row r="590" spans="1:4" x14ac:dyDescent="0.25">
      <c r="A590" s="117" t="str">
        <f t="shared" si="18"/>
        <v/>
      </c>
      <c r="B590" s="117" t="str">
        <f t="shared" si="19"/>
        <v/>
      </c>
      <c r="D590" s="2" t="str">
        <f>IF(ISNUMBER(SEARCH('DropDown Lists'!E596,C590)),C590,"")</f>
        <v/>
      </c>
    </row>
    <row r="591" spans="1:4" x14ac:dyDescent="0.25">
      <c r="A591" s="117" t="str">
        <f t="shared" si="18"/>
        <v/>
      </c>
      <c r="B591" s="117" t="str">
        <f t="shared" si="19"/>
        <v/>
      </c>
      <c r="D591" s="2" t="str">
        <f>IF(ISNUMBER(SEARCH('DropDown Lists'!E597,C591)),C591,"")</f>
        <v/>
      </c>
    </row>
    <row r="592" spans="1:4" x14ac:dyDescent="0.25">
      <c r="A592" s="117" t="str">
        <f t="shared" si="18"/>
        <v/>
      </c>
      <c r="B592" s="117" t="str">
        <f t="shared" si="19"/>
        <v/>
      </c>
      <c r="D592" s="2" t="str">
        <f>IF(ISNUMBER(SEARCH('DropDown Lists'!E598,C592)),C592,"")</f>
        <v/>
      </c>
    </row>
    <row r="593" spans="1:4" x14ac:dyDescent="0.25">
      <c r="A593" s="117" t="str">
        <f t="shared" si="18"/>
        <v/>
      </c>
      <c r="B593" s="117" t="str">
        <f t="shared" si="19"/>
        <v/>
      </c>
      <c r="D593" s="2" t="str">
        <f>IF(ISNUMBER(SEARCH('DropDown Lists'!E599,C593)),C593,"")</f>
        <v/>
      </c>
    </row>
    <row r="594" spans="1:4" x14ac:dyDescent="0.25">
      <c r="A594" s="117" t="str">
        <f t="shared" si="18"/>
        <v/>
      </c>
      <c r="B594" s="117" t="str">
        <f t="shared" si="19"/>
        <v/>
      </c>
      <c r="D594" s="2" t="str">
        <f>IF(ISNUMBER(SEARCH('DropDown Lists'!E600,C594)),C594,"")</f>
        <v/>
      </c>
    </row>
    <row r="595" spans="1:4" x14ac:dyDescent="0.25">
      <c r="A595" s="117" t="str">
        <f t="shared" si="18"/>
        <v/>
      </c>
      <c r="B595" s="117" t="str">
        <f t="shared" si="19"/>
        <v/>
      </c>
      <c r="D595" s="2" t="str">
        <f>IF(ISNUMBER(SEARCH('DropDown Lists'!E601,C595)),C595,"")</f>
        <v/>
      </c>
    </row>
    <row r="596" spans="1:4" x14ac:dyDescent="0.25">
      <c r="A596" s="117" t="str">
        <f t="shared" si="18"/>
        <v/>
      </c>
      <c r="B596" s="117" t="str">
        <f t="shared" si="19"/>
        <v/>
      </c>
      <c r="D596" s="2" t="str">
        <f>IF(ISNUMBER(SEARCH('DropDown Lists'!E602,C596)),C596,"")</f>
        <v/>
      </c>
    </row>
    <row r="597" spans="1:4" x14ac:dyDescent="0.25">
      <c r="A597" s="117" t="str">
        <f t="shared" si="18"/>
        <v/>
      </c>
      <c r="B597" s="117" t="str">
        <f t="shared" si="19"/>
        <v/>
      </c>
      <c r="D597" s="2" t="str">
        <f>IF(ISNUMBER(SEARCH('DropDown Lists'!E603,C597)),C597,"")</f>
        <v/>
      </c>
    </row>
    <row r="598" spans="1:4" x14ac:dyDescent="0.25">
      <c r="A598" s="117" t="str">
        <f t="shared" si="18"/>
        <v/>
      </c>
      <c r="B598" s="117" t="str">
        <f t="shared" si="19"/>
        <v/>
      </c>
      <c r="D598" s="2" t="str">
        <f>IF(ISNUMBER(SEARCH('DropDown Lists'!E604,C598)),C598,"")</f>
        <v/>
      </c>
    </row>
    <row r="599" spans="1:4" x14ac:dyDescent="0.25">
      <c r="A599" s="117" t="str">
        <f t="shared" si="18"/>
        <v/>
      </c>
      <c r="B599" s="117" t="str">
        <f t="shared" si="19"/>
        <v/>
      </c>
      <c r="D599" s="2" t="str">
        <f>IF(ISNUMBER(SEARCH('DropDown Lists'!E605,C599)),C599,"")</f>
        <v/>
      </c>
    </row>
    <row r="600" spans="1:4" x14ac:dyDescent="0.25">
      <c r="A600" s="117" t="str">
        <f t="shared" si="18"/>
        <v/>
      </c>
      <c r="B600" s="117" t="str">
        <f t="shared" si="19"/>
        <v/>
      </c>
      <c r="D600" s="2" t="str">
        <f>IF(ISNUMBER(SEARCH('DropDown Lists'!E606,C600)),C600,"")</f>
        <v/>
      </c>
    </row>
    <row r="601" spans="1:4" x14ac:dyDescent="0.25">
      <c r="A601" s="117" t="str">
        <f t="shared" si="18"/>
        <v/>
      </c>
      <c r="B601" s="117" t="str">
        <f t="shared" si="19"/>
        <v/>
      </c>
      <c r="D601" s="2" t="str">
        <f>IF(ISNUMBER(SEARCH('DropDown Lists'!E607,C601)),C601,"")</f>
        <v/>
      </c>
    </row>
    <row r="602" spans="1:4" x14ac:dyDescent="0.25">
      <c r="A602" s="117" t="str">
        <f t="shared" si="18"/>
        <v/>
      </c>
      <c r="B602" s="117" t="str">
        <f t="shared" si="19"/>
        <v/>
      </c>
      <c r="D602" s="2" t="str">
        <f>IF(ISNUMBER(SEARCH('DropDown Lists'!E608,C602)),C602,"")</f>
        <v/>
      </c>
    </row>
    <row r="603" spans="1:4" x14ac:dyDescent="0.25">
      <c r="A603" s="117" t="str">
        <f t="shared" si="18"/>
        <v/>
      </c>
      <c r="B603" s="117" t="str">
        <f t="shared" si="19"/>
        <v/>
      </c>
      <c r="D603" s="2" t="str">
        <f>IF(ISNUMBER(SEARCH('DropDown Lists'!E609,C603)),C603,"")</f>
        <v/>
      </c>
    </row>
    <row r="604" spans="1:4" x14ac:dyDescent="0.25">
      <c r="A604" s="117" t="str">
        <f t="shared" si="18"/>
        <v/>
      </c>
      <c r="B604" s="117" t="str">
        <f t="shared" si="19"/>
        <v/>
      </c>
      <c r="D604" s="2" t="str">
        <f>IF(ISNUMBER(SEARCH('DropDown Lists'!E610,C604)),C604,"")</f>
        <v/>
      </c>
    </row>
    <row r="605" spans="1:4" x14ac:dyDescent="0.25">
      <c r="A605" s="117" t="str">
        <f t="shared" si="18"/>
        <v/>
      </c>
      <c r="B605" s="117" t="str">
        <f t="shared" si="19"/>
        <v/>
      </c>
      <c r="D605" s="2" t="str">
        <f>IF(ISNUMBER(SEARCH('DropDown Lists'!E611,C605)),C605,"")</f>
        <v/>
      </c>
    </row>
    <row r="606" spans="1:4" x14ac:dyDescent="0.25">
      <c r="A606" s="117" t="str">
        <f t="shared" si="18"/>
        <v/>
      </c>
      <c r="B606" s="117" t="str">
        <f t="shared" si="19"/>
        <v/>
      </c>
      <c r="D606" s="2" t="str">
        <f>IF(ISNUMBER(SEARCH('DropDown Lists'!E612,C606)),C606,"")</f>
        <v/>
      </c>
    </row>
    <row r="607" spans="1:4" x14ac:dyDescent="0.25">
      <c r="A607" s="117" t="str">
        <f t="shared" si="18"/>
        <v/>
      </c>
      <c r="B607" s="117" t="str">
        <f t="shared" si="19"/>
        <v/>
      </c>
      <c r="D607" s="2" t="str">
        <f>IF(ISNUMBER(SEARCH('DropDown Lists'!E613,C607)),C607,"")</f>
        <v/>
      </c>
    </row>
    <row r="608" spans="1:4" x14ac:dyDescent="0.25">
      <c r="A608" s="117" t="str">
        <f t="shared" si="18"/>
        <v/>
      </c>
      <c r="B608" s="117" t="str">
        <f t="shared" si="19"/>
        <v/>
      </c>
      <c r="D608" s="2" t="str">
        <f>IF(ISNUMBER(SEARCH('DropDown Lists'!E614,C608)),C608,"")</f>
        <v/>
      </c>
    </row>
    <row r="609" spans="1:4" x14ac:dyDescent="0.25">
      <c r="A609" s="117" t="str">
        <f t="shared" si="18"/>
        <v/>
      </c>
      <c r="B609" s="117" t="str">
        <f t="shared" si="19"/>
        <v/>
      </c>
      <c r="D609" s="2" t="str">
        <f>IF(ISNUMBER(SEARCH('DropDown Lists'!E615,C609)),C609,"")</f>
        <v/>
      </c>
    </row>
    <row r="610" spans="1:4" x14ac:dyDescent="0.25">
      <c r="A610" s="117" t="str">
        <f t="shared" si="18"/>
        <v/>
      </c>
      <c r="B610" s="117" t="str">
        <f t="shared" si="19"/>
        <v/>
      </c>
      <c r="D610" s="2" t="str">
        <f>IF(ISNUMBER(SEARCH('DropDown Lists'!E616,C610)),C610,"")</f>
        <v/>
      </c>
    </row>
    <row r="611" spans="1:4" x14ac:dyDescent="0.25">
      <c r="A611" s="117" t="str">
        <f t="shared" si="18"/>
        <v/>
      </c>
      <c r="B611" s="117" t="str">
        <f t="shared" si="19"/>
        <v/>
      </c>
      <c r="D611" s="2" t="str">
        <f>IF(ISNUMBER(SEARCH('DropDown Lists'!E617,C611)),C611,"")</f>
        <v/>
      </c>
    </row>
    <row r="612" spans="1:4" x14ac:dyDescent="0.25">
      <c r="A612" s="117" t="str">
        <f t="shared" si="18"/>
        <v/>
      </c>
      <c r="B612" s="117" t="str">
        <f t="shared" si="19"/>
        <v/>
      </c>
      <c r="D612" s="2" t="str">
        <f>IF(ISNUMBER(SEARCH('DropDown Lists'!E618,C612)),C612,"")</f>
        <v/>
      </c>
    </row>
    <row r="613" spans="1:4" x14ac:dyDescent="0.25">
      <c r="A613" s="117" t="str">
        <f t="shared" si="18"/>
        <v/>
      </c>
      <c r="B613" s="117" t="str">
        <f t="shared" si="19"/>
        <v/>
      </c>
      <c r="D613" s="2" t="str">
        <f>IF(ISNUMBER(SEARCH('DropDown Lists'!E619,C613)),C613,"")</f>
        <v/>
      </c>
    </row>
    <row r="614" spans="1:4" x14ac:dyDescent="0.25">
      <c r="A614" s="117" t="str">
        <f t="shared" si="18"/>
        <v/>
      </c>
      <c r="B614" s="117" t="str">
        <f t="shared" si="19"/>
        <v/>
      </c>
      <c r="D614" s="2" t="str">
        <f>IF(ISNUMBER(SEARCH('DropDown Lists'!E620,C614)),C614,"")</f>
        <v/>
      </c>
    </row>
    <row r="615" spans="1:4" x14ac:dyDescent="0.25">
      <c r="A615" s="117" t="str">
        <f t="shared" si="18"/>
        <v/>
      </c>
      <c r="B615" s="117" t="str">
        <f t="shared" si="19"/>
        <v/>
      </c>
      <c r="D615" s="2" t="str">
        <f>IF(ISNUMBER(SEARCH('DropDown Lists'!E621,C615)),C615,"")</f>
        <v/>
      </c>
    </row>
    <row r="616" spans="1:4" x14ac:dyDescent="0.25">
      <c r="A616" s="117" t="str">
        <f t="shared" si="18"/>
        <v/>
      </c>
      <c r="B616" s="117" t="str">
        <f t="shared" si="19"/>
        <v/>
      </c>
      <c r="D616" s="2" t="str">
        <f>IF(ISNUMBER(SEARCH('DropDown Lists'!E622,C616)),C616,"")</f>
        <v/>
      </c>
    </row>
    <row r="617" spans="1:4" x14ac:dyDescent="0.25">
      <c r="A617" s="117" t="str">
        <f t="shared" si="18"/>
        <v/>
      </c>
      <c r="B617" s="117" t="str">
        <f t="shared" si="19"/>
        <v/>
      </c>
      <c r="D617" s="2" t="str">
        <f>IF(ISNUMBER(SEARCH('DropDown Lists'!E623,C617)),C617,"")</f>
        <v/>
      </c>
    </row>
    <row r="618" spans="1:4" x14ac:dyDescent="0.25">
      <c r="A618" s="117" t="str">
        <f t="shared" si="18"/>
        <v/>
      </c>
      <c r="B618" s="117" t="str">
        <f t="shared" si="19"/>
        <v/>
      </c>
      <c r="D618" s="2" t="str">
        <f>IF(ISNUMBER(SEARCH('DropDown Lists'!E624,C618)),C618,"")</f>
        <v/>
      </c>
    </row>
    <row r="619" spans="1:4" x14ac:dyDescent="0.25">
      <c r="A619" s="117" t="str">
        <f t="shared" si="18"/>
        <v/>
      </c>
      <c r="B619" s="117" t="str">
        <f t="shared" si="19"/>
        <v/>
      </c>
      <c r="D619" s="2" t="str">
        <f>IF(ISNUMBER(SEARCH('DropDown Lists'!E625,C619)),C619,"")</f>
        <v/>
      </c>
    </row>
    <row r="620" spans="1:4" x14ac:dyDescent="0.25">
      <c r="A620" s="117" t="str">
        <f t="shared" si="18"/>
        <v/>
      </c>
      <c r="B620" s="117" t="str">
        <f t="shared" si="19"/>
        <v/>
      </c>
      <c r="D620" s="2" t="str">
        <f>IF(ISNUMBER(SEARCH('DropDown Lists'!E626,C620)),C620,"")</f>
        <v/>
      </c>
    </row>
    <row r="621" spans="1:4" x14ac:dyDescent="0.25">
      <c r="A621" s="117" t="str">
        <f t="shared" si="18"/>
        <v/>
      </c>
      <c r="B621" s="117" t="str">
        <f t="shared" si="19"/>
        <v/>
      </c>
      <c r="D621" s="2" t="str">
        <f>IF(ISNUMBER(SEARCH('DropDown Lists'!E627,C621)),C621,"")</f>
        <v/>
      </c>
    </row>
    <row r="622" spans="1:4" x14ac:dyDescent="0.25">
      <c r="A622" s="117" t="str">
        <f t="shared" si="18"/>
        <v/>
      </c>
      <c r="B622" s="117" t="str">
        <f t="shared" si="19"/>
        <v/>
      </c>
      <c r="D622" s="2" t="str">
        <f>IF(ISNUMBER(SEARCH('DropDown Lists'!E628,C622)),C622,"")</f>
        <v/>
      </c>
    </row>
    <row r="623" spans="1:4" x14ac:dyDescent="0.25">
      <c r="A623" s="117" t="str">
        <f t="shared" si="18"/>
        <v/>
      </c>
      <c r="B623" s="117" t="str">
        <f t="shared" si="19"/>
        <v/>
      </c>
      <c r="D623" s="2" t="str">
        <f>IF(ISNUMBER(SEARCH('DropDown Lists'!E629,C623)),C623,"")</f>
        <v/>
      </c>
    </row>
    <row r="624" spans="1:4" x14ac:dyDescent="0.25">
      <c r="A624" s="117" t="str">
        <f t="shared" si="18"/>
        <v/>
      </c>
      <c r="B624" s="117" t="str">
        <f t="shared" si="19"/>
        <v/>
      </c>
      <c r="D624" s="2" t="str">
        <f>IF(ISNUMBER(SEARCH('DropDown Lists'!E630,C624)),C624,"")</f>
        <v/>
      </c>
    </row>
    <row r="625" spans="1:4" x14ac:dyDescent="0.25">
      <c r="A625" s="117" t="str">
        <f t="shared" si="18"/>
        <v/>
      </c>
      <c r="B625" s="117" t="str">
        <f t="shared" si="19"/>
        <v/>
      </c>
      <c r="D625" s="2" t="str">
        <f>IF(ISNUMBER(SEARCH('DropDown Lists'!E631,C625)),C625,"")</f>
        <v/>
      </c>
    </row>
    <row r="626" spans="1:4" x14ac:dyDescent="0.25">
      <c r="A626" s="117" t="str">
        <f t="shared" si="18"/>
        <v/>
      </c>
      <c r="B626" s="117" t="str">
        <f t="shared" si="19"/>
        <v/>
      </c>
      <c r="D626" s="2" t="str">
        <f>IF(ISNUMBER(SEARCH('DropDown Lists'!E632,C626)),C626,"")</f>
        <v/>
      </c>
    </row>
    <row r="627" spans="1:4" x14ac:dyDescent="0.25">
      <c r="A627" s="117" t="str">
        <f t="shared" si="18"/>
        <v/>
      </c>
      <c r="B627" s="117" t="str">
        <f t="shared" si="19"/>
        <v/>
      </c>
      <c r="D627" s="2" t="str">
        <f>IF(ISNUMBER(SEARCH('DropDown Lists'!E633,C627)),C627,"")</f>
        <v/>
      </c>
    </row>
    <row r="628" spans="1:4" x14ac:dyDescent="0.25">
      <c r="A628" s="117" t="str">
        <f t="shared" si="18"/>
        <v/>
      </c>
      <c r="B628" s="117" t="str">
        <f t="shared" si="19"/>
        <v/>
      </c>
      <c r="D628" s="2" t="str">
        <f>IF(ISNUMBER(SEARCH('DropDown Lists'!E634,C628)),C628,"")</f>
        <v/>
      </c>
    </row>
    <row r="629" spans="1:4" x14ac:dyDescent="0.25">
      <c r="A629" s="117" t="str">
        <f t="shared" si="18"/>
        <v/>
      </c>
      <c r="B629" s="117" t="str">
        <f t="shared" si="19"/>
        <v/>
      </c>
      <c r="D629" s="2" t="str">
        <f>IF(ISNUMBER(SEARCH('DropDown Lists'!E635,C629)),C629,"")</f>
        <v/>
      </c>
    </row>
    <row r="630" spans="1:4" x14ac:dyDescent="0.25">
      <c r="A630" s="117" t="str">
        <f t="shared" si="18"/>
        <v/>
      </c>
      <c r="B630" s="117" t="str">
        <f t="shared" si="19"/>
        <v/>
      </c>
      <c r="D630" s="2" t="str">
        <f>IF(ISNUMBER(SEARCH('DropDown Lists'!E636,C630)),C630,"")</f>
        <v/>
      </c>
    </row>
    <row r="631" spans="1:4" x14ac:dyDescent="0.25">
      <c r="A631" s="117" t="str">
        <f t="shared" si="18"/>
        <v/>
      </c>
      <c r="B631" s="117" t="str">
        <f t="shared" si="19"/>
        <v/>
      </c>
      <c r="D631" s="2" t="str">
        <f>IF(ISNUMBER(SEARCH('DropDown Lists'!E637,C631)),C631,"")</f>
        <v/>
      </c>
    </row>
    <row r="632" spans="1:4" x14ac:dyDescent="0.25">
      <c r="A632" s="117" t="str">
        <f t="shared" si="18"/>
        <v/>
      </c>
      <c r="B632" s="117" t="str">
        <f t="shared" si="19"/>
        <v/>
      </c>
      <c r="D632" s="2" t="str">
        <f>IF(ISNUMBER(SEARCH('DropDown Lists'!E638,C632)),C632,"")</f>
        <v/>
      </c>
    </row>
    <row r="633" spans="1:4" x14ac:dyDescent="0.25">
      <c r="A633" s="117" t="str">
        <f t="shared" si="18"/>
        <v/>
      </c>
      <c r="B633" s="117" t="str">
        <f t="shared" si="19"/>
        <v/>
      </c>
      <c r="D633" s="2" t="str">
        <f>IF(ISNUMBER(SEARCH('DropDown Lists'!E639,C633)),C633,"")</f>
        <v/>
      </c>
    </row>
    <row r="634" spans="1:4" x14ac:dyDescent="0.25">
      <c r="A634" s="117" t="str">
        <f t="shared" si="18"/>
        <v/>
      </c>
      <c r="B634" s="117" t="str">
        <f t="shared" si="19"/>
        <v/>
      </c>
      <c r="D634" s="2" t="str">
        <f>IF(ISNUMBER(SEARCH('DropDown Lists'!E640,C634)),C634,"")</f>
        <v/>
      </c>
    </row>
    <row r="635" spans="1:4" x14ac:dyDescent="0.25">
      <c r="A635" s="117" t="str">
        <f t="shared" si="18"/>
        <v/>
      </c>
      <c r="B635" s="117" t="str">
        <f t="shared" si="19"/>
        <v/>
      </c>
      <c r="D635" s="2" t="str">
        <f>IF(ISNUMBER(SEARCH('DropDown Lists'!E641,C635)),C635,"")</f>
        <v/>
      </c>
    </row>
    <row r="636" spans="1:4" x14ac:dyDescent="0.25">
      <c r="A636" s="117" t="str">
        <f t="shared" si="18"/>
        <v/>
      </c>
      <c r="B636" s="117" t="str">
        <f t="shared" si="19"/>
        <v/>
      </c>
      <c r="D636" s="2" t="str">
        <f>IF(ISNUMBER(SEARCH('DropDown Lists'!E642,C636)),C636,"")</f>
        <v/>
      </c>
    </row>
    <row r="637" spans="1:4" x14ac:dyDescent="0.25">
      <c r="A637" s="117" t="str">
        <f t="shared" si="18"/>
        <v/>
      </c>
      <c r="B637" s="117" t="str">
        <f t="shared" si="19"/>
        <v/>
      </c>
      <c r="D637" s="2" t="str">
        <f>IF(ISNUMBER(SEARCH('DropDown Lists'!E643,C637)),C637,"")</f>
        <v/>
      </c>
    </row>
    <row r="638" spans="1:4" x14ac:dyDescent="0.25">
      <c r="A638" s="117" t="str">
        <f t="shared" si="18"/>
        <v/>
      </c>
      <c r="B638" s="117" t="str">
        <f t="shared" si="19"/>
        <v/>
      </c>
      <c r="D638" s="2" t="str">
        <f>IF(ISNUMBER(SEARCH('DropDown Lists'!E644,C638)),C638,"")</f>
        <v/>
      </c>
    </row>
    <row r="639" spans="1:4" x14ac:dyDescent="0.25">
      <c r="A639" s="117" t="str">
        <f t="shared" si="18"/>
        <v/>
      </c>
      <c r="B639" s="117" t="str">
        <f t="shared" si="19"/>
        <v/>
      </c>
      <c r="D639" s="2" t="str">
        <f>IF(ISNUMBER(SEARCH('DropDown Lists'!E645,C639)),C639,"")</f>
        <v/>
      </c>
    </row>
    <row r="640" spans="1:4" x14ac:dyDescent="0.25">
      <c r="A640" s="117" t="str">
        <f t="shared" si="18"/>
        <v/>
      </c>
      <c r="B640" s="117" t="str">
        <f t="shared" si="19"/>
        <v/>
      </c>
      <c r="D640" s="2" t="str">
        <f>IF(ISNUMBER(SEARCH('DropDown Lists'!E646,C640)),C640,"")</f>
        <v/>
      </c>
    </row>
    <row r="641" spans="1:4" x14ac:dyDescent="0.25">
      <c r="A641" s="117" t="str">
        <f t="shared" si="18"/>
        <v/>
      </c>
      <c r="B641" s="117" t="str">
        <f t="shared" si="19"/>
        <v/>
      </c>
      <c r="D641" s="2" t="str">
        <f>IF(ISNUMBER(SEARCH('DropDown Lists'!E647,C641)),C641,"")</f>
        <v/>
      </c>
    </row>
    <row r="642" spans="1:4" x14ac:dyDescent="0.25">
      <c r="A642" s="117" t="str">
        <f t="shared" ref="A642:A705" si="20">B642</f>
        <v/>
      </c>
      <c r="B642" s="117" t="str">
        <f t="shared" ref="B642:B705" si="21">IF(D642&lt;&gt;"",$N$2,"")</f>
        <v/>
      </c>
      <c r="D642" s="2" t="str">
        <f>IF(ISNUMBER(SEARCH('DropDown Lists'!E648,C642)),C642,"")</f>
        <v/>
      </c>
    </row>
    <row r="643" spans="1:4" x14ac:dyDescent="0.25">
      <c r="A643" s="117" t="str">
        <f t="shared" si="20"/>
        <v/>
      </c>
      <c r="B643" s="117" t="str">
        <f t="shared" si="21"/>
        <v/>
      </c>
      <c r="D643" s="2" t="str">
        <f>IF(ISNUMBER(SEARCH('DropDown Lists'!E649,C643)),C643,"")</f>
        <v/>
      </c>
    </row>
    <row r="644" spans="1:4" x14ac:dyDescent="0.25">
      <c r="A644" s="117" t="str">
        <f t="shared" si="20"/>
        <v/>
      </c>
      <c r="B644" s="117" t="str">
        <f t="shared" si="21"/>
        <v/>
      </c>
      <c r="D644" s="2" t="str">
        <f>IF(ISNUMBER(SEARCH('DropDown Lists'!E650,C644)),C644,"")</f>
        <v/>
      </c>
    </row>
    <row r="645" spans="1:4" x14ac:dyDescent="0.25">
      <c r="A645" s="117" t="str">
        <f t="shared" si="20"/>
        <v/>
      </c>
      <c r="B645" s="117" t="str">
        <f t="shared" si="21"/>
        <v/>
      </c>
      <c r="D645" s="2" t="str">
        <f>IF(ISNUMBER(SEARCH('DropDown Lists'!E651,C645)),C645,"")</f>
        <v/>
      </c>
    </row>
    <row r="646" spans="1:4" x14ac:dyDescent="0.25">
      <c r="A646" s="117" t="str">
        <f t="shared" si="20"/>
        <v/>
      </c>
      <c r="B646" s="117" t="str">
        <f t="shared" si="21"/>
        <v/>
      </c>
      <c r="D646" s="2" t="str">
        <f>IF(ISNUMBER(SEARCH('DropDown Lists'!E652,C646)),C646,"")</f>
        <v/>
      </c>
    </row>
    <row r="647" spans="1:4" x14ac:dyDescent="0.25">
      <c r="A647" s="117" t="str">
        <f t="shared" si="20"/>
        <v/>
      </c>
      <c r="B647" s="117" t="str">
        <f t="shared" si="21"/>
        <v/>
      </c>
      <c r="D647" s="2" t="str">
        <f>IF(ISNUMBER(SEARCH('DropDown Lists'!E653,C647)),C647,"")</f>
        <v/>
      </c>
    </row>
    <row r="648" spans="1:4" x14ac:dyDescent="0.25">
      <c r="A648" s="117" t="str">
        <f t="shared" si="20"/>
        <v/>
      </c>
      <c r="B648" s="117" t="str">
        <f t="shared" si="21"/>
        <v/>
      </c>
      <c r="D648" s="2" t="str">
        <f>IF(ISNUMBER(SEARCH('DropDown Lists'!E654,C648)),C648,"")</f>
        <v/>
      </c>
    </row>
    <row r="649" spans="1:4" x14ac:dyDescent="0.25">
      <c r="A649" s="117" t="str">
        <f t="shared" si="20"/>
        <v/>
      </c>
      <c r="B649" s="117" t="str">
        <f t="shared" si="21"/>
        <v/>
      </c>
      <c r="D649" s="2" t="str">
        <f>IF(ISNUMBER(SEARCH('DropDown Lists'!E655,C649)),C649,"")</f>
        <v/>
      </c>
    </row>
    <row r="650" spans="1:4" x14ac:dyDescent="0.25">
      <c r="A650" s="117" t="str">
        <f t="shared" si="20"/>
        <v/>
      </c>
      <c r="B650" s="117" t="str">
        <f t="shared" si="21"/>
        <v/>
      </c>
      <c r="D650" s="2" t="str">
        <f>IF(ISNUMBER(SEARCH('DropDown Lists'!E656,C650)),C650,"")</f>
        <v/>
      </c>
    </row>
    <row r="651" spans="1:4" x14ac:dyDescent="0.25">
      <c r="A651" s="117" t="str">
        <f t="shared" si="20"/>
        <v/>
      </c>
      <c r="B651" s="117" t="str">
        <f t="shared" si="21"/>
        <v/>
      </c>
      <c r="D651" s="2" t="str">
        <f>IF(ISNUMBER(SEARCH('DropDown Lists'!E657,C651)),C651,"")</f>
        <v/>
      </c>
    </row>
    <row r="652" spans="1:4" x14ac:dyDescent="0.25">
      <c r="A652" s="117" t="str">
        <f t="shared" si="20"/>
        <v/>
      </c>
      <c r="B652" s="117" t="str">
        <f t="shared" si="21"/>
        <v/>
      </c>
      <c r="D652" s="2" t="str">
        <f>IF(ISNUMBER(SEARCH('DropDown Lists'!E658,C652)),C652,"")</f>
        <v/>
      </c>
    </row>
    <row r="653" spans="1:4" x14ac:dyDescent="0.25">
      <c r="A653" s="117" t="str">
        <f t="shared" si="20"/>
        <v/>
      </c>
      <c r="B653" s="117" t="str">
        <f t="shared" si="21"/>
        <v/>
      </c>
      <c r="D653" s="2" t="str">
        <f>IF(ISNUMBER(SEARCH('DropDown Lists'!E659,C653)),C653,"")</f>
        <v/>
      </c>
    </row>
    <row r="654" spans="1:4" x14ac:dyDescent="0.25">
      <c r="A654" s="117" t="str">
        <f t="shared" si="20"/>
        <v/>
      </c>
      <c r="B654" s="117" t="str">
        <f t="shared" si="21"/>
        <v/>
      </c>
      <c r="D654" s="2" t="str">
        <f>IF(ISNUMBER(SEARCH('DropDown Lists'!E660,C654)),C654,"")</f>
        <v/>
      </c>
    </row>
    <row r="655" spans="1:4" x14ac:dyDescent="0.25">
      <c r="A655" s="117" t="str">
        <f t="shared" si="20"/>
        <v/>
      </c>
      <c r="B655" s="117" t="str">
        <f t="shared" si="21"/>
        <v/>
      </c>
      <c r="D655" s="2" t="str">
        <f>IF(ISNUMBER(SEARCH('DropDown Lists'!E661,C655)),C655,"")</f>
        <v/>
      </c>
    </row>
    <row r="656" spans="1:4" x14ac:dyDescent="0.25">
      <c r="A656" s="117" t="str">
        <f t="shared" si="20"/>
        <v/>
      </c>
      <c r="B656" s="117" t="str">
        <f t="shared" si="21"/>
        <v/>
      </c>
      <c r="D656" s="2" t="str">
        <f>IF(ISNUMBER(SEARCH('DropDown Lists'!E662,C656)),C656,"")</f>
        <v/>
      </c>
    </row>
    <row r="657" spans="1:4" x14ac:dyDescent="0.25">
      <c r="A657" s="117" t="str">
        <f t="shared" si="20"/>
        <v/>
      </c>
      <c r="B657" s="117" t="str">
        <f t="shared" si="21"/>
        <v/>
      </c>
      <c r="D657" s="2" t="str">
        <f>IF(ISNUMBER(SEARCH('DropDown Lists'!E663,C657)),C657,"")</f>
        <v/>
      </c>
    </row>
    <row r="658" spans="1:4" x14ac:dyDescent="0.25">
      <c r="A658" s="117" t="str">
        <f t="shared" si="20"/>
        <v/>
      </c>
      <c r="B658" s="117" t="str">
        <f t="shared" si="21"/>
        <v/>
      </c>
      <c r="D658" s="2" t="str">
        <f>IF(ISNUMBER(SEARCH('DropDown Lists'!E664,C658)),C658,"")</f>
        <v/>
      </c>
    </row>
    <row r="659" spans="1:4" x14ac:dyDescent="0.25">
      <c r="A659" s="117" t="str">
        <f t="shared" si="20"/>
        <v/>
      </c>
      <c r="B659" s="117" t="str">
        <f t="shared" si="21"/>
        <v/>
      </c>
      <c r="D659" s="2" t="str">
        <f>IF(ISNUMBER(SEARCH('DropDown Lists'!E665,C659)),C659,"")</f>
        <v/>
      </c>
    </row>
    <row r="660" spans="1:4" x14ac:dyDescent="0.25">
      <c r="A660" s="117" t="str">
        <f t="shared" si="20"/>
        <v/>
      </c>
      <c r="B660" s="117" t="str">
        <f t="shared" si="21"/>
        <v/>
      </c>
      <c r="D660" s="2" t="str">
        <f>IF(ISNUMBER(SEARCH('DropDown Lists'!E666,C660)),C660,"")</f>
        <v/>
      </c>
    </row>
    <row r="661" spans="1:4" x14ac:dyDescent="0.25">
      <c r="A661" s="117" t="str">
        <f t="shared" si="20"/>
        <v/>
      </c>
      <c r="B661" s="117" t="str">
        <f t="shared" si="21"/>
        <v/>
      </c>
      <c r="D661" s="2" t="str">
        <f>IF(ISNUMBER(SEARCH('DropDown Lists'!E667,C661)),C661,"")</f>
        <v/>
      </c>
    </row>
    <row r="662" spans="1:4" x14ac:dyDescent="0.25">
      <c r="A662" s="117" t="str">
        <f t="shared" si="20"/>
        <v/>
      </c>
      <c r="B662" s="117" t="str">
        <f t="shared" si="21"/>
        <v/>
      </c>
      <c r="D662" s="2" t="str">
        <f>IF(ISNUMBER(SEARCH('DropDown Lists'!E668,C662)),C662,"")</f>
        <v/>
      </c>
    </row>
    <row r="663" spans="1:4" x14ac:dyDescent="0.25">
      <c r="A663" s="117" t="str">
        <f t="shared" si="20"/>
        <v/>
      </c>
      <c r="B663" s="117" t="str">
        <f t="shared" si="21"/>
        <v/>
      </c>
      <c r="D663" s="2" t="str">
        <f>IF(ISNUMBER(SEARCH('DropDown Lists'!E669,C663)),C663,"")</f>
        <v/>
      </c>
    </row>
    <row r="664" spans="1:4" x14ac:dyDescent="0.25">
      <c r="A664" s="117" t="str">
        <f t="shared" si="20"/>
        <v/>
      </c>
      <c r="B664" s="117" t="str">
        <f t="shared" si="21"/>
        <v/>
      </c>
      <c r="D664" s="2" t="str">
        <f>IF(ISNUMBER(SEARCH('DropDown Lists'!E670,C664)),C664,"")</f>
        <v/>
      </c>
    </row>
    <row r="665" spans="1:4" x14ac:dyDescent="0.25">
      <c r="A665" s="117" t="str">
        <f t="shared" si="20"/>
        <v/>
      </c>
      <c r="B665" s="117" t="str">
        <f t="shared" si="21"/>
        <v/>
      </c>
      <c r="D665" s="2" t="str">
        <f>IF(ISNUMBER(SEARCH('DropDown Lists'!E671,C665)),C665,"")</f>
        <v/>
      </c>
    </row>
    <row r="666" spans="1:4" x14ac:dyDescent="0.25">
      <c r="A666" s="117" t="str">
        <f t="shared" si="20"/>
        <v/>
      </c>
      <c r="B666" s="117" t="str">
        <f t="shared" si="21"/>
        <v/>
      </c>
      <c r="D666" s="2" t="str">
        <f>IF(ISNUMBER(SEARCH('DropDown Lists'!E672,C666)),C666,"")</f>
        <v/>
      </c>
    </row>
    <row r="667" spans="1:4" x14ac:dyDescent="0.25">
      <c r="A667" s="117" t="str">
        <f t="shared" si="20"/>
        <v/>
      </c>
      <c r="B667" s="117" t="str">
        <f t="shared" si="21"/>
        <v/>
      </c>
      <c r="D667" s="2" t="str">
        <f>IF(ISNUMBER(SEARCH('DropDown Lists'!E673,C667)),C667,"")</f>
        <v/>
      </c>
    </row>
    <row r="668" spans="1:4" x14ac:dyDescent="0.25">
      <c r="A668" s="117" t="str">
        <f t="shared" si="20"/>
        <v/>
      </c>
      <c r="B668" s="117" t="str">
        <f t="shared" si="21"/>
        <v/>
      </c>
      <c r="D668" s="2" t="str">
        <f>IF(ISNUMBER(SEARCH('DropDown Lists'!E674,C668)),C668,"")</f>
        <v/>
      </c>
    </row>
    <row r="669" spans="1:4" x14ac:dyDescent="0.25">
      <c r="A669" s="117" t="str">
        <f t="shared" si="20"/>
        <v/>
      </c>
      <c r="B669" s="117" t="str">
        <f t="shared" si="21"/>
        <v/>
      </c>
      <c r="D669" s="2" t="str">
        <f>IF(ISNUMBER(SEARCH('DropDown Lists'!E675,C669)),C669,"")</f>
        <v/>
      </c>
    </row>
    <row r="670" spans="1:4" x14ac:dyDescent="0.25">
      <c r="A670" s="117" t="str">
        <f t="shared" si="20"/>
        <v/>
      </c>
      <c r="B670" s="117" t="str">
        <f t="shared" si="21"/>
        <v/>
      </c>
      <c r="D670" s="2" t="str">
        <f>IF(ISNUMBER(SEARCH('DropDown Lists'!E676,C670)),C670,"")</f>
        <v/>
      </c>
    </row>
    <row r="671" spans="1:4" x14ac:dyDescent="0.25">
      <c r="A671" s="117" t="str">
        <f t="shared" si="20"/>
        <v/>
      </c>
      <c r="B671" s="117" t="str">
        <f t="shared" si="21"/>
        <v/>
      </c>
      <c r="D671" s="2" t="str">
        <f>IF(ISNUMBER(SEARCH('DropDown Lists'!E677,C671)),C671,"")</f>
        <v/>
      </c>
    </row>
    <row r="672" spans="1:4" x14ac:dyDescent="0.25">
      <c r="A672" s="117" t="str">
        <f t="shared" si="20"/>
        <v/>
      </c>
      <c r="B672" s="117" t="str">
        <f t="shared" si="21"/>
        <v/>
      </c>
      <c r="D672" s="2" t="str">
        <f>IF(ISNUMBER(SEARCH('DropDown Lists'!E678,C672)),C672,"")</f>
        <v/>
      </c>
    </row>
    <row r="673" spans="1:4" x14ac:dyDescent="0.25">
      <c r="A673" s="117" t="str">
        <f t="shared" si="20"/>
        <v/>
      </c>
      <c r="B673" s="117" t="str">
        <f t="shared" si="21"/>
        <v/>
      </c>
      <c r="D673" s="2" t="str">
        <f>IF(ISNUMBER(SEARCH('DropDown Lists'!E679,C673)),C673,"")</f>
        <v/>
      </c>
    </row>
    <row r="674" spans="1:4" x14ac:dyDescent="0.25">
      <c r="A674" s="117" t="str">
        <f t="shared" si="20"/>
        <v/>
      </c>
      <c r="B674" s="117" t="str">
        <f t="shared" si="21"/>
        <v/>
      </c>
      <c r="D674" s="2" t="str">
        <f>IF(ISNUMBER(SEARCH('DropDown Lists'!E680,C674)),C674,"")</f>
        <v/>
      </c>
    </row>
    <row r="675" spans="1:4" x14ac:dyDescent="0.25">
      <c r="A675" s="117" t="str">
        <f t="shared" si="20"/>
        <v/>
      </c>
      <c r="B675" s="117" t="str">
        <f t="shared" si="21"/>
        <v/>
      </c>
      <c r="D675" s="2" t="str">
        <f>IF(ISNUMBER(SEARCH('DropDown Lists'!E681,C675)),C675,"")</f>
        <v/>
      </c>
    </row>
    <row r="676" spans="1:4" x14ac:dyDescent="0.25">
      <c r="A676" s="117" t="str">
        <f t="shared" si="20"/>
        <v/>
      </c>
      <c r="B676" s="117" t="str">
        <f t="shared" si="21"/>
        <v/>
      </c>
      <c r="D676" s="2" t="str">
        <f>IF(ISNUMBER(SEARCH('DropDown Lists'!E682,C676)),C676,"")</f>
        <v/>
      </c>
    </row>
    <row r="677" spans="1:4" x14ac:dyDescent="0.25">
      <c r="A677" s="117" t="str">
        <f t="shared" si="20"/>
        <v/>
      </c>
      <c r="B677" s="117" t="str">
        <f t="shared" si="21"/>
        <v/>
      </c>
      <c r="D677" s="2" t="str">
        <f>IF(ISNUMBER(SEARCH('DropDown Lists'!E683,C677)),C677,"")</f>
        <v/>
      </c>
    </row>
    <row r="678" spans="1:4" x14ac:dyDescent="0.25">
      <c r="A678" s="117" t="str">
        <f t="shared" si="20"/>
        <v/>
      </c>
      <c r="B678" s="117" t="str">
        <f t="shared" si="21"/>
        <v/>
      </c>
      <c r="D678" s="2" t="str">
        <f>IF(ISNUMBER(SEARCH('DropDown Lists'!E684,C678)),C678,"")</f>
        <v/>
      </c>
    </row>
    <row r="679" spans="1:4" x14ac:dyDescent="0.25">
      <c r="A679" s="117" t="str">
        <f t="shared" si="20"/>
        <v/>
      </c>
      <c r="B679" s="117" t="str">
        <f t="shared" si="21"/>
        <v/>
      </c>
      <c r="D679" s="2" t="str">
        <f>IF(ISNUMBER(SEARCH('DropDown Lists'!E685,C679)),C679,"")</f>
        <v/>
      </c>
    </row>
    <row r="680" spans="1:4" x14ac:dyDescent="0.25">
      <c r="A680" s="117" t="str">
        <f t="shared" si="20"/>
        <v/>
      </c>
      <c r="B680" s="117" t="str">
        <f t="shared" si="21"/>
        <v/>
      </c>
      <c r="D680" s="2" t="str">
        <f>IF(ISNUMBER(SEARCH('DropDown Lists'!E686,C680)),C680,"")</f>
        <v/>
      </c>
    </row>
    <row r="681" spans="1:4" x14ac:dyDescent="0.25">
      <c r="A681" s="117" t="str">
        <f t="shared" si="20"/>
        <v/>
      </c>
      <c r="B681" s="117" t="str">
        <f t="shared" si="21"/>
        <v/>
      </c>
      <c r="D681" s="2" t="str">
        <f>IF(ISNUMBER(SEARCH('DropDown Lists'!E687,C681)),C681,"")</f>
        <v/>
      </c>
    </row>
    <row r="682" spans="1:4" x14ac:dyDescent="0.25">
      <c r="A682" s="117" t="str">
        <f t="shared" si="20"/>
        <v/>
      </c>
      <c r="B682" s="117" t="str">
        <f t="shared" si="21"/>
        <v/>
      </c>
      <c r="D682" s="2" t="str">
        <f>IF(ISNUMBER(SEARCH('DropDown Lists'!E688,C682)),C682,"")</f>
        <v/>
      </c>
    </row>
    <row r="683" spans="1:4" x14ac:dyDescent="0.25">
      <c r="A683" s="117" t="str">
        <f t="shared" si="20"/>
        <v/>
      </c>
      <c r="B683" s="117" t="str">
        <f t="shared" si="21"/>
        <v/>
      </c>
      <c r="D683" s="2" t="str">
        <f>IF(ISNUMBER(SEARCH('DropDown Lists'!E689,C683)),C683,"")</f>
        <v/>
      </c>
    </row>
    <row r="684" spans="1:4" x14ac:dyDescent="0.25">
      <c r="A684" s="117" t="str">
        <f t="shared" si="20"/>
        <v/>
      </c>
      <c r="B684" s="117" t="str">
        <f t="shared" si="21"/>
        <v/>
      </c>
      <c r="D684" s="2" t="str">
        <f>IF(ISNUMBER(SEARCH('DropDown Lists'!E690,C684)),C684,"")</f>
        <v/>
      </c>
    </row>
    <row r="685" spans="1:4" x14ac:dyDescent="0.25">
      <c r="A685" s="117" t="str">
        <f t="shared" si="20"/>
        <v/>
      </c>
      <c r="B685" s="117" t="str">
        <f t="shared" si="21"/>
        <v/>
      </c>
      <c r="D685" s="2" t="str">
        <f>IF(ISNUMBER(SEARCH('DropDown Lists'!E691,C685)),C685,"")</f>
        <v/>
      </c>
    </row>
    <row r="686" spans="1:4" x14ac:dyDescent="0.25">
      <c r="A686" s="117" t="str">
        <f t="shared" si="20"/>
        <v/>
      </c>
      <c r="B686" s="117" t="str">
        <f t="shared" si="21"/>
        <v/>
      </c>
      <c r="D686" s="2" t="str">
        <f>IF(ISNUMBER(SEARCH('DropDown Lists'!E692,C686)),C686,"")</f>
        <v/>
      </c>
    </row>
    <row r="687" spans="1:4" x14ac:dyDescent="0.25">
      <c r="A687" s="117" t="str">
        <f t="shared" si="20"/>
        <v/>
      </c>
      <c r="B687" s="117" t="str">
        <f t="shared" si="21"/>
        <v/>
      </c>
      <c r="D687" s="2" t="str">
        <f>IF(ISNUMBER(SEARCH('DropDown Lists'!E693,C687)),C687,"")</f>
        <v/>
      </c>
    </row>
    <row r="688" spans="1:4" x14ac:dyDescent="0.25">
      <c r="A688" s="117" t="str">
        <f t="shared" si="20"/>
        <v/>
      </c>
      <c r="B688" s="117" t="str">
        <f t="shared" si="21"/>
        <v/>
      </c>
      <c r="D688" s="2" t="str">
        <f>IF(ISNUMBER(SEARCH('DropDown Lists'!E694,C688)),C688,"")</f>
        <v/>
      </c>
    </row>
    <row r="689" spans="1:4" x14ac:dyDescent="0.25">
      <c r="A689" s="117" t="str">
        <f t="shared" si="20"/>
        <v/>
      </c>
      <c r="B689" s="117" t="str">
        <f t="shared" si="21"/>
        <v/>
      </c>
      <c r="D689" s="2" t="str">
        <f>IF(ISNUMBER(SEARCH('DropDown Lists'!E695,C689)),C689,"")</f>
        <v/>
      </c>
    </row>
    <row r="690" spans="1:4" x14ac:dyDescent="0.25">
      <c r="A690" s="117" t="str">
        <f t="shared" si="20"/>
        <v/>
      </c>
      <c r="B690" s="117" t="str">
        <f t="shared" si="21"/>
        <v/>
      </c>
      <c r="D690" s="2" t="str">
        <f>IF(ISNUMBER(SEARCH('DropDown Lists'!E696,C690)),C690,"")</f>
        <v/>
      </c>
    </row>
    <row r="691" spans="1:4" x14ac:dyDescent="0.25">
      <c r="A691" s="117" t="str">
        <f t="shared" si="20"/>
        <v/>
      </c>
      <c r="B691" s="117" t="str">
        <f t="shared" si="21"/>
        <v/>
      </c>
      <c r="D691" s="2" t="str">
        <f>IF(ISNUMBER(SEARCH('DropDown Lists'!E697,C691)),C691,"")</f>
        <v/>
      </c>
    </row>
    <row r="692" spans="1:4" x14ac:dyDescent="0.25">
      <c r="A692" s="117" t="str">
        <f t="shared" si="20"/>
        <v/>
      </c>
      <c r="B692" s="117" t="str">
        <f t="shared" si="21"/>
        <v/>
      </c>
      <c r="D692" s="2" t="str">
        <f>IF(ISNUMBER(SEARCH('DropDown Lists'!E698,C692)),C692,"")</f>
        <v/>
      </c>
    </row>
    <row r="693" spans="1:4" x14ac:dyDescent="0.25">
      <c r="A693" s="117" t="str">
        <f t="shared" si="20"/>
        <v/>
      </c>
      <c r="B693" s="117" t="str">
        <f t="shared" si="21"/>
        <v/>
      </c>
      <c r="D693" s="2" t="str">
        <f>IF(ISNUMBER(SEARCH('DropDown Lists'!E699,C693)),C693,"")</f>
        <v/>
      </c>
    </row>
    <row r="694" spans="1:4" x14ac:dyDescent="0.25">
      <c r="A694" s="117" t="str">
        <f t="shared" si="20"/>
        <v/>
      </c>
      <c r="B694" s="117" t="str">
        <f t="shared" si="21"/>
        <v/>
      </c>
      <c r="D694" s="2" t="str">
        <f>IF(ISNUMBER(SEARCH('DropDown Lists'!E700,C694)),C694,"")</f>
        <v/>
      </c>
    </row>
    <row r="695" spans="1:4" x14ac:dyDescent="0.25">
      <c r="A695" s="117" t="str">
        <f t="shared" si="20"/>
        <v/>
      </c>
      <c r="B695" s="117" t="str">
        <f t="shared" si="21"/>
        <v/>
      </c>
      <c r="D695" s="2" t="str">
        <f>IF(ISNUMBER(SEARCH('DropDown Lists'!E701,C695)),C695,"")</f>
        <v/>
      </c>
    </row>
    <row r="696" spans="1:4" x14ac:dyDescent="0.25">
      <c r="A696" s="117" t="str">
        <f t="shared" si="20"/>
        <v/>
      </c>
      <c r="B696" s="117" t="str">
        <f t="shared" si="21"/>
        <v/>
      </c>
      <c r="D696" s="2" t="str">
        <f>IF(ISNUMBER(SEARCH('DropDown Lists'!E702,C696)),C696,"")</f>
        <v/>
      </c>
    </row>
    <row r="697" spans="1:4" x14ac:dyDescent="0.25">
      <c r="A697" s="117" t="str">
        <f t="shared" si="20"/>
        <v/>
      </c>
      <c r="B697" s="117" t="str">
        <f t="shared" si="21"/>
        <v/>
      </c>
      <c r="D697" s="2" t="str">
        <f>IF(ISNUMBER(SEARCH('DropDown Lists'!E703,C697)),C697,"")</f>
        <v/>
      </c>
    </row>
    <row r="698" spans="1:4" x14ac:dyDescent="0.25">
      <c r="A698" s="117" t="str">
        <f t="shared" si="20"/>
        <v/>
      </c>
      <c r="B698" s="117" t="str">
        <f t="shared" si="21"/>
        <v/>
      </c>
      <c r="D698" s="2" t="str">
        <f>IF(ISNUMBER(SEARCH('DropDown Lists'!E704,C698)),C698,"")</f>
        <v/>
      </c>
    </row>
    <row r="699" spans="1:4" x14ac:dyDescent="0.25">
      <c r="A699" s="117" t="str">
        <f t="shared" si="20"/>
        <v/>
      </c>
      <c r="B699" s="117" t="str">
        <f t="shared" si="21"/>
        <v/>
      </c>
      <c r="D699" s="2" t="str">
        <f>IF(ISNUMBER(SEARCH('DropDown Lists'!E705,C699)),C699,"")</f>
        <v/>
      </c>
    </row>
    <row r="700" spans="1:4" x14ac:dyDescent="0.25">
      <c r="A700" s="117" t="str">
        <f t="shared" si="20"/>
        <v/>
      </c>
      <c r="B700" s="117" t="str">
        <f t="shared" si="21"/>
        <v/>
      </c>
      <c r="D700" s="2" t="str">
        <f>IF(ISNUMBER(SEARCH('DropDown Lists'!E706,C700)),C700,"")</f>
        <v/>
      </c>
    </row>
    <row r="701" spans="1:4" x14ac:dyDescent="0.25">
      <c r="A701" s="117" t="str">
        <f t="shared" si="20"/>
        <v/>
      </c>
      <c r="B701" s="117" t="str">
        <f t="shared" si="21"/>
        <v/>
      </c>
      <c r="D701" s="2" t="str">
        <f>IF(ISNUMBER(SEARCH('DropDown Lists'!E707,C701)),C701,"")</f>
        <v/>
      </c>
    </row>
    <row r="702" spans="1:4" x14ac:dyDescent="0.25">
      <c r="A702" s="117" t="str">
        <f t="shared" si="20"/>
        <v/>
      </c>
      <c r="B702" s="117" t="str">
        <f t="shared" si="21"/>
        <v/>
      </c>
      <c r="D702" s="2" t="str">
        <f>IF(ISNUMBER(SEARCH('DropDown Lists'!E708,C702)),C702,"")</f>
        <v/>
      </c>
    </row>
    <row r="703" spans="1:4" x14ac:dyDescent="0.25">
      <c r="A703" s="117" t="str">
        <f t="shared" si="20"/>
        <v/>
      </c>
      <c r="B703" s="117" t="str">
        <f t="shared" si="21"/>
        <v/>
      </c>
      <c r="D703" s="2" t="str">
        <f>IF(ISNUMBER(SEARCH('DropDown Lists'!E709,C703)),C703,"")</f>
        <v/>
      </c>
    </row>
    <row r="704" spans="1:4" x14ac:dyDescent="0.25">
      <c r="A704" s="117" t="str">
        <f t="shared" si="20"/>
        <v/>
      </c>
      <c r="B704" s="117" t="str">
        <f t="shared" si="21"/>
        <v/>
      </c>
      <c r="D704" s="2" t="str">
        <f>IF(ISNUMBER(SEARCH('DropDown Lists'!E710,C704)),C704,"")</f>
        <v/>
      </c>
    </row>
    <row r="705" spans="1:4" x14ac:dyDescent="0.25">
      <c r="A705" s="117" t="str">
        <f t="shared" si="20"/>
        <v/>
      </c>
      <c r="B705" s="117" t="str">
        <f t="shared" si="21"/>
        <v/>
      </c>
      <c r="D705" s="2" t="str">
        <f>IF(ISNUMBER(SEARCH('DropDown Lists'!E711,C705)),C705,"")</f>
        <v/>
      </c>
    </row>
    <row r="706" spans="1:4" x14ac:dyDescent="0.25">
      <c r="A706" s="117" t="str">
        <f t="shared" ref="A706:A769" si="22">B706</f>
        <v/>
      </c>
      <c r="B706" s="117" t="str">
        <f t="shared" ref="B706:B769" si="23">IF(D706&lt;&gt;"",$N$2,"")</f>
        <v/>
      </c>
      <c r="D706" s="2" t="str">
        <f>IF(ISNUMBER(SEARCH('DropDown Lists'!E712,C706)),C706,"")</f>
        <v/>
      </c>
    </row>
    <row r="707" spans="1:4" x14ac:dyDescent="0.25">
      <c r="A707" s="117" t="str">
        <f t="shared" si="22"/>
        <v/>
      </c>
      <c r="B707" s="117" t="str">
        <f t="shared" si="23"/>
        <v/>
      </c>
      <c r="D707" s="2" t="str">
        <f>IF(ISNUMBER(SEARCH('DropDown Lists'!E713,C707)),C707,"")</f>
        <v/>
      </c>
    </row>
    <row r="708" spans="1:4" x14ac:dyDescent="0.25">
      <c r="A708" s="117" t="str">
        <f t="shared" si="22"/>
        <v/>
      </c>
      <c r="B708" s="117" t="str">
        <f t="shared" si="23"/>
        <v/>
      </c>
      <c r="D708" s="2" t="str">
        <f>IF(ISNUMBER(SEARCH('DropDown Lists'!E714,C708)),C708,"")</f>
        <v/>
      </c>
    </row>
    <row r="709" spans="1:4" x14ac:dyDescent="0.25">
      <c r="A709" s="117" t="str">
        <f t="shared" si="22"/>
        <v/>
      </c>
      <c r="B709" s="117" t="str">
        <f t="shared" si="23"/>
        <v/>
      </c>
      <c r="D709" s="2" t="str">
        <f>IF(ISNUMBER(SEARCH('DropDown Lists'!E715,C709)),C709,"")</f>
        <v/>
      </c>
    </row>
    <row r="710" spans="1:4" x14ac:dyDescent="0.25">
      <c r="A710" s="117" t="str">
        <f t="shared" si="22"/>
        <v/>
      </c>
      <c r="B710" s="117" t="str">
        <f t="shared" si="23"/>
        <v/>
      </c>
      <c r="D710" s="2" t="str">
        <f>IF(ISNUMBER(SEARCH('DropDown Lists'!E716,C710)),C710,"")</f>
        <v/>
      </c>
    </row>
    <row r="711" spans="1:4" x14ac:dyDescent="0.25">
      <c r="A711" s="117" t="str">
        <f t="shared" si="22"/>
        <v/>
      </c>
      <c r="B711" s="117" t="str">
        <f t="shared" si="23"/>
        <v/>
      </c>
      <c r="D711" s="2" t="str">
        <f>IF(ISNUMBER(SEARCH('DropDown Lists'!E717,C711)),C711,"")</f>
        <v/>
      </c>
    </row>
    <row r="712" spans="1:4" x14ac:dyDescent="0.25">
      <c r="A712" s="117" t="str">
        <f t="shared" si="22"/>
        <v/>
      </c>
      <c r="B712" s="117" t="str">
        <f t="shared" si="23"/>
        <v/>
      </c>
      <c r="D712" s="2" t="str">
        <f>IF(ISNUMBER(SEARCH('DropDown Lists'!E718,C712)),C712,"")</f>
        <v/>
      </c>
    </row>
    <row r="713" spans="1:4" x14ac:dyDescent="0.25">
      <c r="A713" s="117" t="str">
        <f t="shared" si="22"/>
        <v/>
      </c>
      <c r="B713" s="117" t="str">
        <f t="shared" si="23"/>
        <v/>
      </c>
      <c r="D713" s="2" t="str">
        <f>IF(ISNUMBER(SEARCH('DropDown Lists'!E719,C713)),C713,"")</f>
        <v/>
      </c>
    </row>
    <row r="714" spans="1:4" x14ac:dyDescent="0.25">
      <c r="A714" s="117" t="str">
        <f t="shared" si="22"/>
        <v/>
      </c>
      <c r="B714" s="117" t="str">
        <f t="shared" si="23"/>
        <v/>
      </c>
      <c r="D714" s="2" t="str">
        <f>IF(ISNUMBER(SEARCH('DropDown Lists'!E720,C714)),C714,"")</f>
        <v/>
      </c>
    </row>
    <row r="715" spans="1:4" x14ac:dyDescent="0.25">
      <c r="A715" s="117" t="str">
        <f t="shared" si="22"/>
        <v/>
      </c>
      <c r="B715" s="117" t="str">
        <f t="shared" si="23"/>
        <v/>
      </c>
      <c r="D715" s="2" t="str">
        <f>IF(ISNUMBER(SEARCH('DropDown Lists'!E721,C715)),C715,"")</f>
        <v/>
      </c>
    </row>
    <row r="716" spans="1:4" x14ac:dyDescent="0.25">
      <c r="A716" s="117" t="str">
        <f t="shared" si="22"/>
        <v/>
      </c>
      <c r="B716" s="117" t="str">
        <f t="shared" si="23"/>
        <v/>
      </c>
      <c r="D716" s="2" t="str">
        <f>IF(ISNUMBER(SEARCH('DropDown Lists'!E722,C716)),C716,"")</f>
        <v/>
      </c>
    </row>
    <row r="717" spans="1:4" x14ac:dyDescent="0.25">
      <c r="A717" s="117" t="str">
        <f t="shared" si="22"/>
        <v/>
      </c>
      <c r="B717" s="117" t="str">
        <f t="shared" si="23"/>
        <v/>
      </c>
      <c r="D717" s="2" t="str">
        <f>IF(ISNUMBER(SEARCH('DropDown Lists'!E723,C717)),C717,"")</f>
        <v/>
      </c>
    </row>
    <row r="718" spans="1:4" x14ac:dyDescent="0.25">
      <c r="A718" s="117" t="str">
        <f t="shared" si="22"/>
        <v/>
      </c>
      <c r="B718" s="117" t="str">
        <f t="shared" si="23"/>
        <v/>
      </c>
      <c r="D718" s="2" t="str">
        <f>IF(ISNUMBER(SEARCH('DropDown Lists'!E724,C718)),C718,"")</f>
        <v/>
      </c>
    </row>
    <row r="719" spans="1:4" x14ac:dyDescent="0.25">
      <c r="A719" s="117" t="str">
        <f t="shared" si="22"/>
        <v/>
      </c>
      <c r="B719" s="117" t="str">
        <f t="shared" si="23"/>
        <v/>
      </c>
      <c r="D719" s="2" t="str">
        <f>IF(ISNUMBER(SEARCH('DropDown Lists'!E725,C719)),C719,"")</f>
        <v/>
      </c>
    </row>
    <row r="720" spans="1:4" x14ac:dyDescent="0.25">
      <c r="A720" s="117" t="str">
        <f t="shared" si="22"/>
        <v/>
      </c>
      <c r="B720" s="117" t="str">
        <f t="shared" si="23"/>
        <v/>
      </c>
      <c r="D720" s="2" t="str">
        <f>IF(ISNUMBER(SEARCH('DropDown Lists'!E726,C720)),C720,"")</f>
        <v/>
      </c>
    </row>
    <row r="721" spans="1:4" x14ac:dyDescent="0.25">
      <c r="A721" s="117" t="str">
        <f t="shared" si="22"/>
        <v/>
      </c>
      <c r="B721" s="117" t="str">
        <f t="shared" si="23"/>
        <v/>
      </c>
      <c r="D721" s="2" t="str">
        <f>IF(ISNUMBER(SEARCH('DropDown Lists'!E727,C721)),C721,"")</f>
        <v/>
      </c>
    </row>
    <row r="722" spans="1:4" x14ac:dyDescent="0.25">
      <c r="A722" s="117" t="str">
        <f t="shared" si="22"/>
        <v/>
      </c>
      <c r="B722" s="117" t="str">
        <f t="shared" si="23"/>
        <v/>
      </c>
      <c r="D722" s="2" t="str">
        <f>IF(ISNUMBER(SEARCH('DropDown Lists'!E728,C722)),C722,"")</f>
        <v/>
      </c>
    </row>
    <row r="723" spans="1:4" x14ac:dyDescent="0.25">
      <c r="A723" s="117" t="str">
        <f t="shared" si="22"/>
        <v/>
      </c>
      <c r="B723" s="117" t="str">
        <f t="shared" si="23"/>
        <v/>
      </c>
      <c r="D723" s="2" t="str">
        <f>IF(ISNUMBER(SEARCH('DropDown Lists'!E729,C723)),C723,"")</f>
        <v/>
      </c>
    </row>
    <row r="724" spans="1:4" x14ac:dyDescent="0.25">
      <c r="A724" s="117" t="str">
        <f t="shared" si="22"/>
        <v/>
      </c>
      <c r="B724" s="117" t="str">
        <f t="shared" si="23"/>
        <v/>
      </c>
      <c r="D724" s="2" t="str">
        <f>IF(ISNUMBER(SEARCH('DropDown Lists'!E730,C724)),C724,"")</f>
        <v/>
      </c>
    </row>
    <row r="725" spans="1:4" x14ac:dyDescent="0.25">
      <c r="A725" s="117" t="str">
        <f t="shared" si="22"/>
        <v/>
      </c>
      <c r="B725" s="117" t="str">
        <f t="shared" si="23"/>
        <v/>
      </c>
      <c r="D725" s="2" t="str">
        <f>IF(ISNUMBER(SEARCH('DropDown Lists'!E731,C725)),C725,"")</f>
        <v/>
      </c>
    </row>
    <row r="726" spans="1:4" x14ac:dyDescent="0.25">
      <c r="A726" s="117" t="str">
        <f t="shared" si="22"/>
        <v/>
      </c>
      <c r="B726" s="117" t="str">
        <f t="shared" si="23"/>
        <v/>
      </c>
      <c r="D726" s="2" t="str">
        <f>IF(ISNUMBER(SEARCH('DropDown Lists'!E732,C726)),C726,"")</f>
        <v/>
      </c>
    </row>
    <row r="727" spans="1:4" x14ac:dyDescent="0.25">
      <c r="A727" s="117" t="str">
        <f t="shared" si="22"/>
        <v/>
      </c>
      <c r="B727" s="117" t="str">
        <f t="shared" si="23"/>
        <v/>
      </c>
      <c r="D727" s="2" t="str">
        <f>IF(ISNUMBER(SEARCH('DropDown Lists'!E733,C727)),C727,"")</f>
        <v/>
      </c>
    </row>
    <row r="728" spans="1:4" x14ac:dyDescent="0.25">
      <c r="A728" s="117" t="str">
        <f t="shared" si="22"/>
        <v/>
      </c>
      <c r="B728" s="117" t="str">
        <f t="shared" si="23"/>
        <v/>
      </c>
      <c r="D728" s="2" t="str">
        <f>IF(ISNUMBER(SEARCH('DropDown Lists'!E734,C728)),C728,"")</f>
        <v/>
      </c>
    </row>
    <row r="729" spans="1:4" x14ac:dyDescent="0.25">
      <c r="A729" s="117" t="str">
        <f t="shared" si="22"/>
        <v/>
      </c>
      <c r="B729" s="117" t="str">
        <f t="shared" si="23"/>
        <v/>
      </c>
      <c r="D729" s="2" t="str">
        <f>IF(ISNUMBER(SEARCH('DropDown Lists'!E735,C729)),C729,"")</f>
        <v/>
      </c>
    </row>
    <row r="730" spans="1:4" x14ac:dyDescent="0.25">
      <c r="A730" s="117" t="str">
        <f t="shared" si="22"/>
        <v/>
      </c>
      <c r="B730" s="117" t="str">
        <f t="shared" si="23"/>
        <v/>
      </c>
      <c r="D730" s="2" t="str">
        <f>IF(ISNUMBER(SEARCH('DropDown Lists'!E736,C730)),C730,"")</f>
        <v/>
      </c>
    </row>
    <row r="731" spans="1:4" x14ac:dyDescent="0.25">
      <c r="A731" s="117" t="str">
        <f t="shared" si="22"/>
        <v/>
      </c>
      <c r="B731" s="117" t="str">
        <f t="shared" si="23"/>
        <v/>
      </c>
      <c r="D731" s="2" t="str">
        <f>IF(ISNUMBER(SEARCH('DropDown Lists'!E737,C731)),C731,"")</f>
        <v/>
      </c>
    </row>
    <row r="732" spans="1:4" x14ac:dyDescent="0.25">
      <c r="A732" s="117" t="str">
        <f t="shared" si="22"/>
        <v/>
      </c>
      <c r="B732" s="117" t="str">
        <f t="shared" si="23"/>
        <v/>
      </c>
      <c r="D732" s="2" t="str">
        <f>IF(ISNUMBER(SEARCH('DropDown Lists'!E738,C732)),C732,"")</f>
        <v/>
      </c>
    </row>
    <row r="733" spans="1:4" x14ac:dyDescent="0.25">
      <c r="A733" s="117" t="str">
        <f t="shared" si="22"/>
        <v/>
      </c>
      <c r="B733" s="117" t="str">
        <f t="shared" si="23"/>
        <v/>
      </c>
      <c r="D733" s="2" t="str">
        <f>IF(ISNUMBER(SEARCH('DropDown Lists'!E739,C733)),C733,"")</f>
        <v/>
      </c>
    </row>
    <row r="734" spans="1:4" x14ac:dyDescent="0.25">
      <c r="A734" s="117" t="str">
        <f t="shared" si="22"/>
        <v/>
      </c>
      <c r="B734" s="117" t="str">
        <f t="shared" si="23"/>
        <v/>
      </c>
      <c r="D734" s="2" t="str">
        <f>IF(ISNUMBER(SEARCH('DropDown Lists'!E740,C734)),C734,"")</f>
        <v/>
      </c>
    </row>
    <row r="735" spans="1:4" x14ac:dyDescent="0.25">
      <c r="A735" s="117" t="str">
        <f t="shared" si="22"/>
        <v/>
      </c>
      <c r="B735" s="117" t="str">
        <f t="shared" si="23"/>
        <v/>
      </c>
      <c r="D735" s="2" t="str">
        <f>IF(ISNUMBER(SEARCH('DropDown Lists'!E741,C735)),C735,"")</f>
        <v/>
      </c>
    </row>
    <row r="736" spans="1:4" x14ac:dyDescent="0.25">
      <c r="A736" s="117" t="str">
        <f t="shared" si="22"/>
        <v/>
      </c>
      <c r="B736" s="117" t="str">
        <f t="shared" si="23"/>
        <v/>
      </c>
      <c r="D736" s="2" t="str">
        <f>IF(ISNUMBER(SEARCH('DropDown Lists'!E742,C736)),C736,"")</f>
        <v/>
      </c>
    </row>
    <row r="737" spans="1:4" x14ac:dyDescent="0.25">
      <c r="A737" s="117" t="str">
        <f t="shared" si="22"/>
        <v/>
      </c>
      <c r="B737" s="117" t="str">
        <f t="shared" si="23"/>
        <v/>
      </c>
      <c r="D737" s="2" t="str">
        <f>IF(ISNUMBER(SEARCH('DropDown Lists'!E743,C737)),C737,"")</f>
        <v/>
      </c>
    </row>
    <row r="738" spans="1:4" x14ac:dyDescent="0.25">
      <c r="A738" s="117" t="str">
        <f t="shared" si="22"/>
        <v/>
      </c>
      <c r="B738" s="117" t="str">
        <f t="shared" si="23"/>
        <v/>
      </c>
      <c r="D738" s="2" t="str">
        <f>IF(ISNUMBER(SEARCH('DropDown Lists'!E744,C738)),C738,"")</f>
        <v/>
      </c>
    </row>
    <row r="739" spans="1:4" x14ac:dyDescent="0.25">
      <c r="A739" s="117" t="str">
        <f t="shared" si="22"/>
        <v/>
      </c>
      <c r="B739" s="117" t="str">
        <f t="shared" si="23"/>
        <v/>
      </c>
      <c r="D739" s="2" t="str">
        <f>IF(ISNUMBER(SEARCH('DropDown Lists'!E745,C739)),C739,"")</f>
        <v/>
      </c>
    </row>
    <row r="740" spans="1:4" x14ac:dyDescent="0.25">
      <c r="A740" s="117" t="str">
        <f t="shared" si="22"/>
        <v/>
      </c>
      <c r="B740" s="117" t="str">
        <f t="shared" si="23"/>
        <v/>
      </c>
      <c r="D740" s="2" t="str">
        <f>IF(ISNUMBER(SEARCH('DropDown Lists'!E746,C740)),C740,"")</f>
        <v/>
      </c>
    </row>
    <row r="741" spans="1:4" x14ac:dyDescent="0.25">
      <c r="A741" s="117" t="str">
        <f t="shared" si="22"/>
        <v/>
      </c>
      <c r="B741" s="117" t="str">
        <f t="shared" si="23"/>
        <v/>
      </c>
      <c r="D741" s="2" t="str">
        <f>IF(ISNUMBER(SEARCH('DropDown Lists'!E747,C741)),C741,"")</f>
        <v/>
      </c>
    </row>
    <row r="742" spans="1:4" x14ac:dyDescent="0.25">
      <c r="A742" s="117" t="str">
        <f t="shared" si="22"/>
        <v/>
      </c>
      <c r="B742" s="117" t="str">
        <f t="shared" si="23"/>
        <v/>
      </c>
      <c r="D742" s="2" t="str">
        <f>IF(ISNUMBER(SEARCH('DropDown Lists'!E748,C742)),C742,"")</f>
        <v/>
      </c>
    </row>
    <row r="743" spans="1:4" x14ac:dyDescent="0.25">
      <c r="A743" s="117" t="str">
        <f t="shared" si="22"/>
        <v/>
      </c>
      <c r="B743" s="117" t="str">
        <f t="shared" si="23"/>
        <v/>
      </c>
      <c r="D743" s="2" t="str">
        <f>IF(ISNUMBER(SEARCH('DropDown Lists'!E749,C743)),C743,"")</f>
        <v/>
      </c>
    </row>
    <row r="744" spans="1:4" x14ac:dyDescent="0.25">
      <c r="A744" s="117" t="str">
        <f t="shared" si="22"/>
        <v/>
      </c>
      <c r="B744" s="117" t="str">
        <f t="shared" si="23"/>
        <v/>
      </c>
      <c r="D744" s="2" t="str">
        <f>IF(ISNUMBER(SEARCH('DropDown Lists'!E750,C744)),C744,"")</f>
        <v/>
      </c>
    </row>
    <row r="745" spans="1:4" x14ac:dyDescent="0.25">
      <c r="A745" s="117" t="str">
        <f t="shared" si="22"/>
        <v/>
      </c>
      <c r="B745" s="117" t="str">
        <f t="shared" si="23"/>
        <v/>
      </c>
      <c r="D745" s="2" t="str">
        <f>IF(ISNUMBER(SEARCH('DropDown Lists'!E751,C745)),C745,"")</f>
        <v/>
      </c>
    </row>
    <row r="746" spans="1:4" x14ac:dyDescent="0.25">
      <c r="A746" s="117" t="str">
        <f t="shared" si="22"/>
        <v/>
      </c>
      <c r="B746" s="117" t="str">
        <f t="shared" si="23"/>
        <v/>
      </c>
      <c r="D746" s="2" t="str">
        <f>IF(ISNUMBER(SEARCH('DropDown Lists'!E752,C746)),C746,"")</f>
        <v/>
      </c>
    </row>
    <row r="747" spans="1:4" x14ac:dyDescent="0.25">
      <c r="A747" s="117" t="str">
        <f t="shared" si="22"/>
        <v/>
      </c>
      <c r="B747" s="117" t="str">
        <f t="shared" si="23"/>
        <v/>
      </c>
      <c r="D747" s="2" t="str">
        <f>IF(ISNUMBER(SEARCH('DropDown Lists'!E753,C747)),C747,"")</f>
        <v/>
      </c>
    </row>
    <row r="748" spans="1:4" x14ac:dyDescent="0.25">
      <c r="A748" s="117" t="str">
        <f t="shared" si="22"/>
        <v/>
      </c>
      <c r="B748" s="117" t="str">
        <f t="shared" si="23"/>
        <v/>
      </c>
      <c r="D748" s="2" t="str">
        <f>IF(ISNUMBER(SEARCH('DropDown Lists'!E754,C748)),C748,"")</f>
        <v/>
      </c>
    </row>
    <row r="749" spans="1:4" x14ac:dyDescent="0.25">
      <c r="A749" s="117" t="str">
        <f t="shared" si="22"/>
        <v/>
      </c>
      <c r="B749" s="117" t="str">
        <f t="shared" si="23"/>
        <v/>
      </c>
      <c r="D749" s="2" t="str">
        <f>IF(ISNUMBER(SEARCH('DropDown Lists'!E755,C749)),C749,"")</f>
        <v/>
      </c>
    </row>
    <row r="750" spans="1:4" x14ac:dyDescent="0.25">
      <c r="A750" s="117" t="str">
        <f t="shared" si="22"/>
        <v/>
      </c>
      <c r="B750" s="117" t="str">
        <f t="shared" si="23"/>
        <v/>
      </c>
      <c r="D750" s="2" t="str">
        <f>IF(ISNUMBER(SEARCH('DropDown Lists'!E756,C750)),C750,"")</f>
        <v/>
      </c>
    </row>
    <row r="751" spans="1:4" x14ac:dyDescent="0.25">
      <c r="A751" s="117" t="str">
        <f t="shared" si="22"/>
        <v/>
      </c>
      <c r="B751" s="117" t="str">
        <f t="shared" si="23"/>
        <v/>
      </c>
      <c r="D751" s="2" t="str">
        <f>IF(ISNUMBER(SEARCH('DropDown Lists'!E757,C751)),C751,"")</f>
        <v/>
      </c>
    </row>
    <row r="752" spans="1:4" x14ac:dyDescent="0.25">
      <c r="A752" s="117" t="str">
        <f t="shared" si="22"/>
        <v/>
      </c>
      <c r="B752" s="117" t="str">
        <f t="shared" si="23"/>
        <v/>
      </c>
      <c r="D752" s="2" t="str">
        <f>IF(ISNUMBER(SEARCH('DropDown Lists'!E758,C752)),C752,"")</f>
        <v/>
      </c>
    </row>
    <row r="753" spans="1:4" x14ac:dyDescent="0.25">
      <c r="A753" s="117" t="str">
        <f t="shared" si="22"/>
        <v/>
      </c>
      <c r="B753" s="117" t="str">
        <f t="shared" si="23"/>
        <v/>
      </c>
      <c r="D753" s="2" t="str">
        <f>IF(ISNUMBER(SEARCH('DropDown Lists'!E759,C753)),C753,"")</f>
        <v/>
      </c>
    </row>
    <row r="754" spans="1:4" x14ac:dyDescent="0.25">
      <c r="A754" s="117" t="str">
        <f t="shared" si="22"/>
        <v/>
      </c>
      <c r="B754" s="117" t="str">
        <f t="shared" si="23"/>
        <v/>
      </c>
      <c r="D754" s="2" t="str">
        <f>IF(ISNUMBER(SEARCH('DropDown Lists'!E760,C754)),C754,"")</f>
        <v/>
      </c>
    </row>
    <row r="755" spans="1:4" x14ac:dyDescent="0.25">
      <c r="A755" s="117" t="str">
        <f t="shared" si="22"/>
        <v/>
      </c>
      <c r="B755" s="117" t="str">
        <f t="shared" si="23"/>
        <v/>
      </c>
      <c r="D755" s="2" t="str">
        <f>IF(ISNUMBER(SEARCH('DropDown Lists'!E761,C755)),C755,"")</f>
        <v/>
      </c>
    </row>
    <row r="756" spans="1:4" x14ac:dyDescent="0.25">
      <c r="A756" s="117" t="str">
        <f t="shared" si="22"/>
        <v/>
      </c>
      <c r="B756" s="117" t="str">
        <f t="shared" si="23"/>
        <v/>
      </c>
      <c r="D756" s="2" t="str">
        <f>IF(ISNUMBER(SEARCH('DropDown Lists'!E762,C756)),C756,"")</f>
        <v/>
      </c>
    </row>
    <row r="757" spans="1:4" x14ac:dyDescent="0.25">
      <c r="A757" s="117" t="str">
        <f t="shared" si="22"/>
        <v/>
      </c>
      <c r="B757" s="117" t="str">
        <f t="shared" si="23"/>
        <v/>
      </c>
      <c r="D757" s="2" t="str">
        <f>IF(ISNUMBER(SEARCH('DropDown Lists'!E763,C757)),C757,"")</f>
        <v/>
      </c>
    </row>
    <row r="758" spans="1:4" x14ac:dyDescent="0.25">
      <c r="A758" s="117" t="str">
        <f t="shared" si="22"/>
        <v/>
      </c>
      <c r="B758" s="117" t="str">
        <f t="shared" si="23"/>
        <v/>
      </c>
      <c r="D758" s="2" t="str">
        <f>IF(ISNUMBER(SEARCH('DropDown Lists'!E764,C758)),C758,"")</f>
        <v/>
      </c>
    </row>
    <row r="759" spans="1:4" x14ac:dyDescent="0.25">
      <c r="A759" s="117" t="str">
        <f t="shared" si="22"/>
        <v/>
      </c>
      <c r="B759" s="117" t="str">
        <f t="shared" si="23"/>
        <v/>
      </c>
      <c r="D759" s="2" t="str">
        <f>IF(ISNUMBER(SEARCH('DropDown Lists'!E765,C759)),C759,"")</f>
        <v/>
      </c>
    </row>
    <row r="760" spans="1:4" x14ac:dyDescent="0.25">
      <c r="A760" s="117" t="str">
        <f t="shared" si="22"/>
        <v/>
      </c>
      <c r="B760" s="117" t="str">
        <f t="shared" si="23"/>
        <v/>
      </c>
      <c r="D760" s="2" t="str">
        <f>IF(ISNUMBER(SEARCH('DropDown Lists'!E766,C760)),C760,"")</f>
        <v/>
      </c>
    </row>
    <row r="761" spans="1:4" x14ac:dyDescent="0.25">
      <c r="A761" s="117" t="str">
        <f t="shared" si="22"/>
        <v/>
      </c>
      <c r="B761" s="117" t="str">
        <f t="shared" si="23"/>
        <v/>
      </c>
      <c r="D761" s="2" t="str">
        <f>IF(ISNUMBER(SEARCH('DropDown Lists'!E767,C761)),C761,"")</f>
        <v/>
      </c>
    </row>
    <row r="762" spans="1:4" x14ac:dyDescent="0.25">
      <c r="A762" s="117" t="str">
        <f t="shared" si="22"/>
        <v/>
      </c>
      <c r="B762" s="117" t="str">
        <f t="shared" si="23"/>
        <v/>
      </c>
      <c r="D762" s="2" t="str">
        <f>IF(ISNUMBER(SEARCH('DropDown Lists'!E768,C762)),C762,"")</f>
        <v/>
      </c>
    </row>
    <row r="763" spans="1:4" x14ac:dyDescent="0.25">
      <c r="A763" s="117" t="str">
        <f t="shared" si="22"/>
        <v/>
      </c>
      <c r="B763" s="117" t="str">
        <f t="shared" si="23"/>
        <v/>
      </c>
      <c r="D763" s="2" t="str">
        <f>IF(ISNUMBER(SEARCH('DropDown Lists'!E769,C763)),C763,"")</f>
        <v/>
      </c>
    </row>
    <row r="764" spans="1:4" x14ac:dyDescent="0.25">
      <c r="A764" s="117" t="str">
        <f t="shared" si="22"/>
        <v/>
      </c>
      <c r="B764" s="117" t="str">
        <f t="shared" si="23"/>
        <v/>
      </c>
      <c r="D764" s="2" t="str">
        <f>IF(ISNUMBER(SEARCH('DropDown Lists'!E770,C764)),C764,"")</f>
        <v/>
      </c>
    </row>
    <row r="765" spans="1:4" x14ac:dyDescent="0.25">
      <c r="A765" s="117" t="str">
        <f t="shared" si="22"/>
        <v/>
      </c>
      <c r="B765" s="117" t="str">
        <f t="shared" si="23"/>
        <v/>
      </c>
      <c r="D765" s="2" t="str">
        <f>IF(ISNUMBER(SEARCH('DropDown Lists'!E771,C765)),C765,"")</f>
        <v/>
      </c>
    </row>
    <row r="766" spans="1:4" x14ac:dyDescent="0.25">
      <c r="A766" s="117" t="str">
        <f t="shared" si="22"/>
        <v/>
      </c>
      <c r="B766" s="117" t="str">
        <f t="shared" si="23"/>
        <v/>
      </c>
      <c r="D766" s="2" t="str">
        <f>IF(ISNUMBER(SEARCH('DropDown Lists'!E772,C766)),C766,"")</f>
        <v/>
      </c>
    </row>
    <row r="767" spans="1:4" x14ac:dyDescent="0.25">
      <c r="A767" s="117" t="str">
        <f t="shared" si="22"/>
        <v/>
      </c>
      <c r="B767" s="117" t="str">
        <f t="shared" si="23"/>
        <v/>
      </c>
      <c r="D767" s="2" t="str">
        <f>IF(ISNUMBER(SEARCH('DropDown Lists'!E773,C767)),C767,"")</f>
        <v/>
      </c>
    </row>
    <row r="768" spans="1:4" x14ac:dyDescent="0.25">
      <c r="A768" s="117" t="str">
        <f t="shared" si="22"/>
        <v/>
      </c>
      <c r="B768" s="117" t="str">
        <f t="shared" si="23"/>
        <v/>
      </c>
      <c r="D768" s="2" t="str">
        <f>IF(ISNUMBER(SEARCH('DropDown Lists'!E774,C768)),C768,"")</f>
        <v/>
      </c>
    </row>
    <row r="769" spans="1:4" x14ac:dyDescent="0.25">
      <c r="A769" s="117" t="str">
        <f t="shared" si="22"/>
        <v/>
      </c>
      <c r="B769" s="117" t="str">
        <f t="shared" si="23"/>
        <v/>
      </c>
      <c r="D769" s="2" t="str">
        <f>IF(ISNUMBER(SEARCH('DropDown Lists'!E775,C769)),C769,"")</f>
        <v/>
      </c>
    </row>
    <row r="770" spans="1:4" x14ac:dyDescent="0.25">
      <c r="A770" s="117" t="str">
        <f t="shared" ref="A770:A833" si="24">B770</f>
        <v/>
      </c>
      <c r="B770" s="117" t="str">
        <f t="shared" ref="B770:B833" si="25">IF(D770&lt;&gt;"",$N$2,"")</f>
        <v/>
      </c>
      <c r="D770" s="2" t="str">
        <f>IF(ISNUMBER(SEARCH('DropDown Lists'!E776,C770)),C770,"")</f>
        <v/>
      </c>
    </row>
    <row r="771" spans="1:4" x14ac:dyDescent="0.25">
      <c r="A771" s="117" t="str">
        <f t="shared" si="24"/>
        <v/>
      </c>
      <c r="B771" s="117" t="str">
        <f t="shared" si="25"/>
        <v/>
      </c>
      <c r="D771" s="2" t="str">
        <f>IF(ISNUMBER(SEARCH('DropDown Lists'!E777,C771)),C771,"")</f>
        <v/>
      </c>
    </row>
    <row r="772" spans="1:4" x14ac:dyDescent="0.25">
      <c r="A772" s="117" t="str">
        <f t="shared" si="24"/>
        <v/>
      </c>
      <c r="B772" s="117" t="str">
        <f t="shared" si="25"/>
        <v/>
      </c>
      <c r="D772" s="2" t="str">
        <f>IF(ISNUMBER(SEARCH('DropDown Lists'!E778,C772)),C772,"")</f>
        <v/>
      </c>
    </row>
    <row r="773" spans="1:4" x14ac:dyDescent="0.25">
      <c r="A773" s="117" t="str">
        <f t="shared" si="24"/>
        <v/>
      </c>
      <c r="B773" s="117" t="str">
        <f t="shared" si="25"/>
        <v/>
      </c>
      <c r="D773" s="2" t="str">
        <f>IF(ISNUMBER(SEARCH('DropDown Lists'!E779,C773)),C773,"")</f>
        <v/>
      </c>
    </row>
    <row r="774" spans="1:4" x14ac:dyDescent="0.25">
      <c r="A774" s="117" t="str">
        <f t="shared" si="24"/>
        <v/>
      </c>
      <c r="B774" s="117" t="str">
        <f t="shared" si="25"/>
        <v/>
      </c>
      <c r="D774" s="2" t="str">
        <f>IF(ISNUMBER(SEARCH('DropDown Lists'!E780,C774)),C774,"")</f>
        <v/>
      </c>
    </row>
    <row r="775" spans="1:4" x14ac:dyDescent="0.25">
      <c r="A775" s="117" t="str">
        <f t="shared" si="24"/>
        <v/>
      </c>
      <c r="B775" s="117" t="str">
        <f t="shared" si="25"/>
        <v/>
      </c>
      <c r="D775" s="2" t="str">
        <f>IF(ISNUMBER(SEARCH('DropDown Lists'!E781,C775)),C775,"")</f>
        <v/>
      </c>
    </row>
    <row r="776" spans="1:4" x14ac:dyDescent="0.25">
      <c r="A776" s="117" t="str">
        <f t="shared" si="24"/>
        <v/>
      </c>
      <c r="B776" s="117" t="str">
        <f t="shared" si="25"/>
        <v/>
      </c>
      <c r="D776" s="2" t="str">
        <f>IF(ISNUMBER(SEARCH('DropDown Lists'!E782,C776)),C776,"")</f>
        <v/>
      </c>
    </row>
    <row r="777" spans="1:4" x14ac:dyDescent="0.25">
      <c r="A777" s="117" t="str">
        <f t="shared" si="24"/>
        <v/>
      </c>
      <c r="B777" s="117" t="str">
        <f t="shared" si="25"/>
        <v/>
      </c>
      <c r="D777" s="2" t="str">
        <f>IF(ISNUMBER(SEARCH('DropDown Lists'!E783,C777)),C777,"")</f>
        <v/>
      </c>
    </row>
    <row r="778" spans="1:4" x14ac:dyDescent="0.25">
      <c r="A778" s="117" t="str">
        <f t="shared" si="24"/>
        <v/>
      </c>
      <c r="B778" s="117" t="str">
        <f t="shared" si="25"/>
        <v/>
      </c>
      <c r="D778" s="2" t="str">
        <f>IF(ISNUMBER(SEARCH('DropDown Lists'!E784,C778)),C778,"")</f>
        <v/>
      </c>
    </row>
    <row r="779" spans="1:4" x14ac:dyDescent="0.25">
      <c r="A779" s="117" t="str">
        <f t="shared" si="24"/>
        <v/>
      </c>
      <c r="B779" s="117" t="str">
        <f t="shared" si="25"/>
        <v/>
      </c>
      <c r="D779" s="2" t="str">
        <f>IF(ISNUMBER(SEARCH('DropDown Lists'!E785,C779)),C779,"")</f>
        <v/>
      </c>
    </row>
    <row r="780" spans="1:4" x14ac:dyDescent="0.25">
      <c r="A780" s="117" t="str">
        <f t="shared" si="24"/>
        <v/>
      </c>
      <c r="B780" s="117" t="str">
        <f t="shared" si="25"/>
        <v/>
      </c>
      <c r="D780" s="2" t="str">
        <f>IF(ISNUMBER(SEARCH('DropDown Lists'!E786,C780)),C780,"")</f>
        <v/>
      </c>
    </row>
    <row r="781" spans="1:4" x14ac:dyDescent="0.25">
      <c r="A781" s="117" t="str">
        <f t="shared" si="24"/>
        <v/>
      </c>
      <c r="B781" s="117" t="str">
        <f t="shared" si="25"/>
        <v/>
      </c>
      <c r="D781" s="2" t="str">
        <f>IF(ISNUMBER(SEARCH('DropDown Lists'!E787,C781)),C781,"")</f>
        <v/>
      </c>
    </row>
    <row r="782" spans="1:4" x14ac:dyDescent="0.25">
      <c r="A782" s="117" t="str">
        <f t="shared" si="24"/>
        <v/>
      </c>
      <c r="B782" s="117" t="str">
        <f t="shared" si="25"/>
        <v/>
      </c>
      <c r="D782" s="2" t="str">
        <f>IF(ISNUMBER(SEARCH('DropDown Lists'!E788,C782)),C782,"")</f>
        <v/>
      </c>
    </row>
    <row r="783" spans="1:4" x14ac:dyDescent="0.25">
      <c r="A783" s="117" t="str">
        <f t="shared" si="24"/>
        <v/>
      </c>
      <c r="B783" s="117" t="str">
        <f t="shared" si="25"/>
        <v/>
      </c>
      <c r="D783" s="2" t="str">
        <f>IF(ISNUMBER(SEARCH('DropDown Lists'!E789,C783)),C783,"")</f>
        <v/>
      </c>
    </row>
    <row r="784" spans="1:4" x14ac:dyDescent="0.25">
      <c r="A784" s="117" t="str">
        <f t="shared" si="24"/>
        <v/>
      </c>
      <c r="B784" s="117" t="str">
        <f t="shared" si="25"/>
        <v/>
      </c>
      <c r="D784" s="2" t="str">
        <f>IF(ISNUMBER(SEARCH('DropDown Lists'!E790,C784)),C784,"")</f>
        <v/>
      </c>
    </row>
    <row r="785" spans="1:4" x14ac:dyDescent="0.25">
      <c r="A785" s="117" t="str">
        <f t="shared" si="24"/>
        <v/>
      </c>
      <c r="B785" s="117" t="str">
        <f t="shared" si="25"/>
        <v/>
      </c>
      <c r="D785" s="2" t="str">
        <f>IF(ISNUMBER(SEARCH('DropDown Lists'!E791,C785)),C785,"")</f>
        <v/>
      </c>
    </row>
    <row r="786" spans="1:4" x14ac:dyDescent="0.25">
      <c r="A786" s="117" t="str">
        <f t="shared" si="24"/>
        <v/>
      </c>
      <c r="B786" s="117" t="str">
        <f t="shared" si="25"/>
        <v/>
      </c>
      <c r="D786" s="2" t="str">
        <f>IF(ISNUMBER(SEARCH('DropDown Lists'!E792,C786)),C786,"")</f>
        <v/>
      </c>
    </row>
    <row r="787" spans="1:4" x14ac:dyDescent="0.25">
      <c r="A787" s="117" t="str">
        <f t="shared" si="24"/>
        <v/>
      </c>
      <c r="B787" s="117" t="str">
        <f t="shared" si="25"/>
        <v/>
      </c>
      <c r="D787" s="2" t="str">
        <f>IF(ISNUMBER(SEARCH('DropDown Lists'!E793,C787)),C787,"")</f>
        <v/>
      </c>
    </row>
    <row r="788" spans="1:4" x14ac:dyDescent="0.25">
      <c r="A788" s="117" t="str">
        <f t="shared" si="24"/>
        <v/>
      </c>
      <c r="B788" s="117" t="str">
        <f t="shared" si="25"/>
        <v/>
      </c>
      <c r="D788" s="2" t="str">
        <f>IF(ISNUMBER(SEARCH('DropDown Lists'!E794,C788)),C788,"")</f>
        <v/>
      </c>
    </row>
    <row r="789" spans="1:4" x14ac:dyDescent="0.25">
      <c r="A789" s="117" t="str">
        <f t="shared" si="24"/>
        <v/>
      </c>
      <c r="B789" s="117" t="str">
        <f t="shared" si="25"/>
        <v/>
      </c>
      <c r="D789" s="2" t="str">
        <f>IF(ISNUMBER(SEARCH('DropDown Lists'!E795,C789)),C789,"")</f>
        <v/>
      </c>
    </row>
    <row r="790" spans="1:4" x14ac:dyDescent="0.25">
      <c r="A790" s="117" t="str">
        <f t="shared" si="24"/>
        <v/>
      </c>
      <c r="B790" s="117" t="str">
        <f t="shared" si="25"/>
        <v/>
      </c>
      <c r="D790" s="2" t="str">
        <f>IF(ISNUMBER(SEARCH('DropDown Lists'!E796,C790)),C790,"")</f>
        <v/>
      </c>
    </row>
    <row r="791" spans="1:4" x14ac:dyDescent="0.25">
      <c r="A791" s="117" t="str">
        <f t="shared" si="24"/>
        <v/>
      </c>
      <c r="B791" s="117" t="str">
        <f t="shared" si="25"/>
        <v/>
      </c>
      <c r="D791" s="2" t="str">
        <f>IF(ISNUMBER(SEARCH('DropDown Lists'!E797,C791)),C791,"")</f>
        <v/>
      </c>
    </row>
    <row r="792" spans="1:4" x14ac:dyDescent="0.25">
      <c r="A792" s="117" t="str">
        <f t="shared" si="24"/>
        <v/>
      </c>
      <c r="B792" s="117" t="str">
        <f t="shared" si="25"/>
        <v/>
      </c>
      <c r="D792" s="2" t="str">
        <f>IF(ISNUMBER(SEARCH('DropDown Lists'!E798,C792)),C792,"")</f>
        <v/>
      </c>
    </row>
    <row r="793" spans="1:4" x14ac:dyDescent="0.25">
      <c r="A793" s="117" t="str">
        <f t="shared" si="24"/>
        <v/>
      </c>
      <c r="B793" s="117" t="str">
        <f t="shared" si="25"/>
        <v/>
      </c>
      <c r="D793" s="2" t="str">
        <f>IF(ISNUMBER(SEARCH('DropDown Lists'!E799,C793)),C793,"")</f>
        <v/>
      </c>
    </row>
    <row r="794" spans="1:4" x14ac:dyDescent="0.25">
      <c r="A794" s="117" t="str">
        <f t="shared" si="24"/>
        <v/>
      </c>
      <c r="B794" s="117" t="str">
        <f t="shared" si="25"/>
        <v/>
      </c>
      <c r="D794" s="2" t="str">
        <f>IF(ISNUMBER(SEARCH('DropDown Lists'!E800,C794)),C794,"")</f>
        <v/>
      </c>
    </row>
    <row r="795" spans="1:4" x14ac:dyDescent="0.25">
      <c r="A795" s="117" t="str">
        <f t="shared" si="24"/>
        <v/>
      </c>
      <c r="B795" s="117" t="str">
        <f t="shared" si="25"/>
        <v/>
      </c>
      <c r="D795" s="2" t="str">
        <f>IF(ISNUMBER(SEARCH('DropDown Lists'!E801,C795)),C795,"")</f>
        <v/>
      </c>
    </row>
    <row r="796" spans="1:4" x14ac:dyDescent="0.25">
      <c r="A796" s="117" t="str">
        <f t="shared" si="24"/>
        <v/>
      </c>
      <c r="B796" s="117" t="str">
        <f t="shared" si="25"/>
        <v/>
      </c>
      <c r="D796" s="2" t="str">
        <f>IF(ISNUMBER(SEARCH('DropDown Lists'!E802,C796)),C796,"")</f>
        <v/>
      </c>
    </row>
    <row r="797" spans="1:4" x14ac:dyDescent="0.25">
      <c r="A797" s="117" t="str">
        <f t="shared" si="24"/>
        <v/>
      </c>
      <c r="B797" s="117" t="str">
        <f t="shared" si="25"/>
        <v/>
      </c>
      <c r="D797" s="2" t="str">
        <f>IF(ISNUMBER(SEARCH('DropDown Lists'!E803,C797)),C797,"")</f>
        <v/>
      </c>
    </row>
    <row r="798" spans="1:4" x14ac:dyDescent="0.25">
      <c r="A798" s="117" t="str">
        <f t="shared" si="24"/>
        <v/>
      </c>
      <c r="B798" s="117" t="str">
        <f t="shared" si="25"/>
        <v/>
      </c>
      <c r="D798" s="2" t="str">
        <f>IF(ISNUMBER(SEARCH('DropDown Lists'!E804,C798)),C798,"")</f>
        <v/>
      </c>
    </row>
    <row r="799" spans="1:4" x14ac:dyDescent="0.25">
      <c r="A799" s="117" t="str">
        <f t="shared" si="24"/>
        <v/>
      </c>
      <c r="B799" s="117" t="str">
        <f t="shared" si="25"/>
        <v/>
      </c>
      <c r="D799" s="2" t="str">
        <f>IF(ISNUMBER(SEARCH('DropDown Lists'!E805,C799)),C799,"")</f>
        <v/>
      </c>
    </row>
    <row r="800" spans="1:4" x14ac:dyDescent="0.25">
      <c r="A800" s="117" t="str">
        <f t="shared" si="24"/>
        <v/>
      </c>
      <c r="B800" s="117" t="str">
        <f t="shared" si="25"/>
        <v/>
      </c>
      <c r="D800" s="2" t="str">
        <f>IF(ISNUMBER(SEARCH('DropDown Lists'!E806,C800)),C800,"")</f>
        <v/>
      </c>
    </row>
    <row r="801" spans="1:4" x14ac:dyDescent="0.25">
      <c r="A801" s="117" t="str">
        <f t="shared" si="24"/>
        <v/>
      </c>
      <c r="B801" s="117" t="str">
        <f t="shared" si="25"/>
        <v/>
      </c>
      <c r="D801" s="2" t="str">
        <f>IF(ISNUMBER(SEARCH('DropDown Lists'!E807,C801)),C801,"")</f>
        <v/>
      </c>
    </row>
    <row r="802" spans="1:4" x14ac:dyDescent="0.25">
      <c r="A802" s="117" t="str">
        <f t="shared" si="24"/>
        <v/>
      </c>
      <c r="B802" s="117" t="str">
        <f t="shared" si="25"/>
        <v/>
      </c>
      <c r="D802" s="2" t="str">
        <f>IF(ISNUMBER(SEARCH('DropDown Lists'!E808,C802)),C802,"")</f>
        <v/>
      </c>
    </row>
    <row r="803" spans="1:4" x14ac:dyDescent="0.25">
      <c r="A803" s="117" t="str">
        <f t="shared" si="24"/>
        <v/>
      </c>
      <c r="B803" s="117" t="str">
        <f t="shared" si="25"/>
        <v/>
      </c>
      <c r="D803" s="2" t="str">
        <f>IF(ISNUMBER(SEARCH('DropDown Lists'!E809,C803)),C803,"")</f>
        <v/>
      </c>
    </row>
    <row r="804" spans="1:4" x14ac:dyDescent="0.25">
      <c r="A804" s="117" t="str">
        <f t="shared" si="24"/>
        <v/>
      </c>
      <c r="B804" s="117" t="str">
        <f t="shared" si="25"/>
        <v/>
      </c>
      <c r="D804" s="2" t="str">
        <f>IF(ISNUMBER(SEARCH('DropDown Lists'!E810,C804)),C804,"")</f>
        <v/>
      </c>
    </row>
    <row r="805" spans="1:4" x14ac:dyDescent="0.25">
      <c r="A805" s="117" t="str">
        <f t="shared" si="24"/>
        <v/>
      </c>
      <c r="B805" s="117" t="str">
        <f t="shared" si="25"/>
        <v/>
      </c>
      <c r="D805" s="2" t="str">
        <f>IF(ISNUMBER(SEARCH('DropDown Lists'!E811,C805)),C805,"")</f>
        <v/>
      </c>
    </row>
    <row r="806" spans="1:4" x14ac:dyDescent="0.25">
      <c r="A806" s="117" t="str">
        <f t="shared" si="24"/>
        <v/>
      </c>
      <c r="B806" s="117" t="str">
        <f t="shared" si="25"/>
        <v/>
      </c>
      <c r="D806" s="2" t="str">
        <f>IF(ISNUMBER(SEARCH('DropDown Lists'!E812,C806)),C806,"")</f>
        <v/>
      </c>
    </row>
    <row r="807" spans="1:4" x14ac:dyDescent="0.25">
      <c r="A807" s="117" t="str">
        <f t="shared" si="24"/>
        <v/>
      </c>
      <c r="B807" s="117" t="str">
        <f t="shared" si="25"/>
        <v/>
      </c>
      <c r="D807" s="2" t="str">
        <f>IF(ISNUMBER(SEARCH('DropDown Lists'!E813,C807)),C807,"")</f>
        <v/>
      </c>
    </row>
    <row r="808" spans="1:4" x14ac:dyDescent="0.25">
      <c r="A808" s="117" t="str">
        <f t="shared" si="24"/>
        <v/>
      </c>
      <c r="B808" s="117" t="str">
        <f t="shared" si="25"/>
        <v/>
      </c>
      <c r="D808" s="2" t="str">
        <f>IF(ISNUMBER(SEARCH('DropDown Lists'!E814,C808)),C808,"")</f>
        <v/>
      </c>
    </row>
    <row r="809" spans="1:4" x14ac:dyDescent="0.25">
      <c r="A809" s="117" t="str">
        <f t="shared" si="24"/>
        <v/>
      </c>
      <c r="B809" s="117" t="str">
        <f t="shared" si="25"/>
        <v/>
      </c>
      <c r="D809" s="2" t="str">
        <f>IF(ISNUMBER(SEARCH('DropDown Lists'!E815,C809)),C809,"")</f>
        <v/>
      </c>
    </row>
    <row r="810" spans="1:4" x14ac:dyDescent="0.25">
      <c r="A810" s="117" t="str">
        <f t="shared" si="24"/>
        <v/>
      </c>
      <c r="B810" s="117" t="str">
        <f t="shared" si="25"/>
        <v/>
      </c>
      <c r="D810" s="2" t="str">
        <f>IF(ISNUMBER(SEARCH('DropDown Lists'!E816,C810)),C810,"")</f>
        <v/>
      </c>
    </row>
    <row r="811" spans="1:4" x14ac:dyDescent="0.25">
      <c r="A811" s="117" t="str">
        <f t="shared" si="24"/>
        <v/>
      </c>
      <c r="B811" s="117" t="str">
        <f t="shared" si="25"/>
        <v/>
      </c>
      <c r="D811" s="2" t="str">
        <f>IF(ISNUMBER(SEARCH('DropDown Lists'!E817,C811)),C811,"")</f>
        <v/>
      </c>
    </row>
    <row r="812" spans="1:4" x14ac:dyDescent="0.25">
      <c r="A812" s="117" t="str">
        <f t="shared" si="24"/>
        <v/>
      </c>
      <c r="B812" s="117" t="str">
        <f t="shared" si="25"/>
        <v/>
      </c>
      <c r="D812" s="2" t="str">
        <f>IF(ISNUMBER(SEARCH('DropDown Lists'!E818,C812)),C812,"")</f>
        <v/>
      </c>
    </row>
    <row r="813" spans="1:4" x14ac:dyDescent="0.25">
      <c r="A813" s="117" t="str">
        <f t="shared" si="24"/>
        <v/>
      </c>
      <c r="B813" s="117" t="str">
        <f t="shared" si="25"/>
        <v/>
      </c>
      <c r="D813" s="2" t="str">
        <f>IF(ISNUMBER(SEARCH('DropDown Lists'!E819,C813)),C813,"")</f>
        <v/>
      </c>
    </row>
    <row r="814" spans="1:4" x14ac:dyDescent="0.25">
      <c r="A814" s="117" t="str">
        <f t="shared" si="24"/>
        <v/>
      </c>
      <c r="B814" s="117" t="str">
        <f t="shared" si="25"/>
        <v/>
      </c>
      <c r="D814" s="2" t="str">
        <f>IF(ISNUMBER(SEARCH('DropDown Lists'!E820,C814)),C814,"")</f>
        <v/>
      </c>
    </row>
    <row r="815" spans="1:4" x14ac:dyDescent="0.25">
      <c r="A815" s="117" t="str">
        <f t="shared" si="24"/>
        <v/>
      </c>
      <c r="B815" s="117" t="str">
        <f t="shared" si="25"/>
        <v/>
      </c>
      <c r="D815" s="2" t="str">
        <f>IF(ISNUMBER(SEARCH('DropDown Lists'!E821,C815)),C815,"")</f>
        <v/>
      </c>
    </row>
    <row r="816" spans="1:4" x14ac:dyDescent="0.25">
      <c r="A816" s="117" t="str">
        <f t="shared" si="24"/>
        <v/>
      </c>
      <c r="B816" s="117" t="str">
        <f t="shared" si="25"/>
        <v/>
      </c>
      <c r="D816" s="2" t="str">
        <f>IF(ISNUMBER(SEARCH('DropDown Lists'!E822,C816)),C816,"")</f>
        <v/>
      </c>
    </row>
    <row r="817" spans="1:4" x14ac:dyDescent="0.25">
      <c r="A817" s="117" t="str">
        <f t="shared" si="24"/>
        <v/>
      </c>
      <c r="B817" s="117" t="str">
        <f t="shared" si="25"/>
        <v/>
      </c>
      <c r="D817" s="2" t="str">
        <f>IF(ISNUMBER(SEARCH('DropDown Lists'!E823,C817)),C817,"")</f>
        <v/>
      </c>
    </row>
    <row r="818" spans="1:4" x14ac:dyDescent="0.25">
      <c r="A818" s="117" t="str">
        <f t="shared" si="24"/>
        <v/>
      </c>
      <c r="B818" s="117" t="str">
        <f t="shared" si="25"/>
        <v/>
      </c>
      <c r="D818" s="2" t="str">
        <f>IF(ISNUMBER(SEARCH('DropDown Lists'!E824,C818)),C818,"")</f>
        <v/>
      </c>
    </row>
    <row r="819" spans="1:4" x14ac:dyDescent="0.25">
      <c r="A819" s="117" t="str">
        <f t="shared" si="24"/>
        <v/>
      </c>
      <c r="B819" s="117" t="str">
        <f t="shared" si="25"/>
        <v/>
      </c>
      <c r="D819" s="2" t="str">
        <f>IF(ISNUMBER(SEARCH('DropDown Lists'!E825,C819)),C819,"")</f>
        <v/>
      </c>
    </row>
    <row r="820" spans="1:4" x14ac:dyDescent="0.25">
      <c r="A820" s="117" t="str">
        <f t="shared" si="24"/>
        <v/>
      </c>
      <c r="B820" s="117" t="str">
        <f t="shared" si="25"/>
        <v/>
      </c>
      <c r="D820" s="2" t="str">
        <f>IF(ISNUMBER(SEARCH('DropDown Lists'!E826,C820)),C820,"")</f>
        <v/>
      </c>
    </row>
    <row r="821" spans="1:4" x14ac:dyDescent="0.25">
      <c r="A821" s="117" t="str">
        <f t="shared" si="24"/>
        <v/>
      </c>
      <c r="B821" s="117" t="str">
        <f t="shared" si="25"/>
        <v/>
      </c>
      <c r="D821" s="2" t="str">
        <f>IF(ISNUMBER(SEARCH('DropDown Lists'!E827,C821)),C821,"")</f>
        <v/>
      </c>
    </row>
    <row r="822" spans="1:4" x14ac:dyDescent="0.25">
      <c r="A822" s="117" t="str">
        <f t="shared" si="24"/>
        <v/>
      </c>
      <c r="B822" s="117" t="str">
        <f t="shared" si="25"/>
        <v/>
      </c>
      <c r="D822" s="2" t="str">
        <f>IF(ISNUMBER(SEARCH('DropDown Lists'!E828,C822)),C822,"")</f>
        <v/>
      </c>
    </row>
    <row r="823" spans="1:4" x14ac:dyDescent="0.25">
      <c r="A823" s="117" t="str">
        <f t="shared" si="24"/>
        <v/>
      </c>
      <c r="B823" s="117" t="str">
        <f t="shared" si="25"/>
        <v/>
      </c>
      <c r="D823" s="2" t="str">
        <f>IF(ISNUMBER(SEARCH('DropDown Lists'!E829,C823)),C823,"")</f>
        <v/>
      </c>
    </row>
    <row r="824" spans="1:4" x14ac:dyDescent="0.25">
      <c r="A824" s="117" t="str">
        <f t="shared" si="24"/>
        <v/>
      </c>
      <c r="B824" s="117" t="str">
        <f t="shared" si="25"/>
        <v/>
      </c>
      <c r="D824" s="2" t="str">
        <f>IF(ISNUMBER(SEARCH('DropDown Lists'!E830,C824)),C824,"")</f>
        <v/>
      </c>
    </row>
    <row r="825" spans="1:4" x14ac:dyDescent="0.25">
      <c r="A825" s="117" t="str">
        <f t="shared" si="24"/>
        <v/>
      </c>
      <c r="B825" s="117" t="str">
        <f t="shared" si="25"/>
        <v/>
      </c>
      <c r="D825" s="2" t="str">
        <f>IF(ISNUMBER(SEARCH('DropDown Lists'!E831,C825)),C825,"")</f>
        <v/>
      </c>
    </row>
    <row r="826" spans="1:4" x14ac:dyDescent="0.25">
      <c r="A826" s="117" t="str">
        <f t="shared" si="24"/>
        <v/>
      </c>
      <c r="B826" s="117" t="str">
        <f t="shared" si="25"/>
        <v/>
      </c>
      <c r="D826" s="2" t="str">
        <f>IF(ISNUMBER(SEARCH('DropDown Lists'!E832,C826)),C826,"")</f>
        <v/>
      </c>
    </row>
    <row r="827" spans="1:4" x14ac:dyDescent="0.25">
      <c r="A827" s="117" t="str">
        <f t="shared" si="24"/>
        <v/>
      </c>
      <c r="B827" s="117" t="str">
        <f t="shared" si="25"/>
        <v/>
      </c>
      <c r="D827" s="2" t="str">
        <f>IF(ISNUMBER(SEARCH('DropDown Lists'!E833,C827)),C827,"")</f>
        <v/>
      </c>
    </row>
    <row r="828" spans="1:4" x14ac:dyDescent="0.25">
      <c r="A828" s="117" t="str">
        <f t="shared" si="24"/>
        <v/>
      </c>
      <c r="B828" s="117" t="str">
        <f t="shared" si="25"/>
        <v/>
      </c>
      <c r="D828" s="2" t="str">
        <f>IF(ISNUMBER(SEARCH('DropDown Lists'!E834,C828)),C828,"")</f>
        <v/>
      </c>
    </row>
    <row r="829" spans="1:4" x14ac:dyDescent="0.25">
      <c r="A829" s="117" t="str">
        <f t="shared" si="24"/>
        <v/>
      </c>
      <c r="B829" s="117" t="str">
        <f t="shared" si="25"/>
        <v/>
      </c>
      <c r="D829" s="2" t="str">
        <f>IF(ISNUMBER(SEARCH('DropDown Lists'!E835,C829)),C829,"")</f>
        <v/>
      </c>
    </row>
    <row r="830" spans="1:4" x14ac:dyDescent="0.25">
      <c r="A830" s="117" t="str">
        <f t="shared" si="24"/>
        <v/>
      </c>
      <c r="B830" s="117" t="str">
        <f t="shared" si="25"/>
        <v/>
      </c>
      <c r="D830" s="2" t="str">
        <f>IF(ISNUMBER(SEARCH('DropDown Lists'!E836,C830)),C830,"")</f>
        <v/>
      </c>
    </row>
    <row r="831" spans="1:4" x14ac:dyDescent="0.25">
      <c r="A831" s="117" t="str">
        <f t="shared" si="24"/>
        <v/>
      </c>
      <c r="B831" s="117" t="str">
        <f t="shared" si="25"/>
        <v/>
      </c>
      <c r="D831" s="2" t="str">
        <f>IF(ISNUMBER(SEARCH('DropDown Lists'!E837,C831)),C831,"")</f>
        <v/>
      </c>
    </row>
    <row r="832" spans="1:4" x14ac:dyDescent="0.25">
      <c r="A832" s="117" t="str">
        <f t="shared" si="24"/>
        <v/>
      </c>
      <c r="B832" s="117" t="str">
        <f t="shared" si="25"/>
        <v/>
      </c>
      <c r="D832" s="2" t="str">
        <f>IF(ISNUMBER(SEARCH('DropDown Lists'!E838,C832)),C832,"")</f>
        <v/>
      </c>
    </row>
    <row r="833" spans="1:4" x14ac:dyDescent="0.25">
      <c r="A833" s="117" t="str">
        <f t="shared" si="24"/>
        <v/>
      </c>
      <c r="B833" s="117" t="str">
        <f t="shared" si="25"/>
        <v/>
      </c>
      <c r="D833" s="2" t="str">
        <f>IF(ISNUMBER(SEARCH('DropDown Lists'!E839,C833)),C833,"")</f>
        <v/>
      </c>
    </row>
    <row r="834" spans="1:4" x14ac:dyDescent="0.25">
      <c r="A834" s="117" t="str">
        <f t="shared" ref="A834:A897" si="26">B834</f>
        <v/>
      </c>
      <c r="B834" s="117" t="str">
        <f t="shared" ref="B834:B897" si="27">IF(D834&lt;&gt;"",$N$2,"")</f>
        <v/>
      </c>
      <c r="D834" s="2" t="str">
        <f>IF(ISNUMBER(SEARCH('DropDown Lists'!E840,C834)),C834,"")</f>
        <v/>
      </c>
    </row>
    <row r="835" spans="1:4" x14ac:dyDescent="0.25">
      <c r="A835" s="117" t="str">
        <f t="shared" si="26"/>
        <v/>
      </c>
      <c r="B835" s="117" t="str">
        <f t="shared" si="27"/>
        <v/>
      </c>
      <c r="D835" s="2" t="str">
        <f>IF(ISNUMBER(SEARCH('DropDown Lists'!E841,C835)),C835,"")</f>
        <v/>
      </c>
    </row>
    <row r="836" spans="1:4" x14ac:dyDescent="0.25">
      <c r="A836" s="117" t="str">
        <f t="shared" si="26"/>
        <v/>
      </c>
      <c r="B836" s="117" t="str">
        <f t="shared" si="27"/>
        <v/>
      </c>
      <c r="D836" s="2" t="str">
        <f>IF(ISNUMBER(SEARCH('DropDown Lists'!E842,C836)),C836,"")</f>
        <v/>
      </c>
    </row>
    <row r="837" spans="1:4" x14ac:dyDescent="0.25">
      <c r="A837" s="117" t="str">
        <f t="shared" si="26"/>
        <v/>
      </c>
      <c r="B837" s="117" t="str">
        <f t="shared" si="27"/>
        <v/>
      </c>
      <c r="D837" s="2" t="str">
        <f>IF(ISNUMBER(SEARCH('DropDown Lists'!E843,C837)),C837,"")</f>
        <v/>
      </c>
    </row>
    <row r="838" spans="1:4" x14ac:dyDescent="0.25">
      <c r="A838" s="117" t="str">
        <f t="shared" si="26"/>
        <v/>
      </c>
      <c r="B838" s="117" t="str">
        <f t="shared" si="27"/>
        <v/>
      </c>
      <c r="D838" s="2" t="str">
        <f>IF(ISNUMBER(SEARCH('DropDown Lists'!E844,C838)),C838,"")</f>
        <v/>
      </c>
    </row>
    <row r="839" spans="1:4" x14ac:dyDescent="0.25">
      <c r="A839" s="117" t="str">
        <f t="shared" si="26"/>
        <v/>
      </c>
      <c r="B839" s="117" t="str">
        <f t="shared" si="27"/>
        <v/>
      </c>
      <c r="D839" s="2" t="str">
        <f>IF(ISNUMBER(SEARCH('DropDown Lists'!E845,C839)),C839,"")</f>
        <v/>
      </c>
    </row>
    <row r="840" spans="1:4" x14ac:dyDescent="0.25">
      <c r="A840" s="117" t="str">
        <f t="shared" si="26"/>
        <v/>
      </c>
      <c r="B840" s="117" t="str">
        <f t="shared" si="27"/>
        <v/>
      </c>
      <c r="D840" s="2" t="str">
        <f>IF(ISNUMBER(SEARCH('DropDown Lists'!E846,C840)),C840,"")</f>
        <v/>
      </c>
    </row>
    <row r="841" spans="1:4" x14ac:dyDescent="0.25">
      <c r="A841" s="117" t="str">
        <f t="shared" si="26"/>
        <v/>
      </c>
      <c r="B841" s="117" t="str">
        <f t="shared" si="27"/>
        <v/>
      </c>
      <c r="D841" s="2" t="str">
        <f>IF(ISNUMBER(SEARCH('DropDown Lists'!E847,C841)),C841,"")</f>
        <v/>
      </c>
    </row>
    <row r="842" spans="1:4" x14ac:dyDescent="0.25">
      <c r="A842" s="117" t="str">
        <f t="shared" si="26"/>
        <v/>
      </c>
      <c r="B842" s="117" t="str">
        <f t="shared" si="27"/>
        <v/>
      </c>
      <c r="D842" s="2" t="str">
        <f>IF(ISNUMBER(SEARCH('DropDown Lists'!E848,C842)),C842,"")</f>
        <v/>
      </c>
    </row>
    <row r="843" spans="1:4" x14ac:dyDescent="0.25">
      <c r="A843" s="117" t="str">
        <f t="shared" si="26"/>
        <v/>
      </c>
      <c r="B843" s="117" t="str">
        <f t="shared" si="27"/>
        <v/>
      </c>
      <c r="D843" s="2" t="str">
        <f>IF(ISNUMBER(SEARCH('DropDown Lists'!E849,C843)),C843,"")</f>
        <v/>
      </c>
    </row>
    <row r="844" spans="1:4" x14ac:dyDescent="0.25">
      <c r="A844" s="117" t="str">
        <f t="shared" si="26"/>
        <v/>
      </c>
      <c r="B844" s="117" t="str">
        <f t="shared" si="27"/>
        <v/>
      </c>
      <c r="D844" s="2" t="str">
        <f>IF(ISNUMBER(SEARCH('DropDown Lists'!E850,C844)),C844,"")</f>
        <v/>
      </c>
    </row>
    <row r="845" spans="1:4" x14ac:dyDescent="0.25">
      <c r="A845" s="117" t="str">
        <f t="shared" si="26"/>
        <v/>
      </c>
      <c r="B845" s="117" t="str">
        <f t="shared" si="27"/>
        <v/>
      </c>
      <c r="D845" s="2" t="str">
        <f>IF(ISNUMBER(SEARCH('DropDown Lists'!E851,C845)),C845,"")</f>
        <v/>
      </c>
    </row>
    <row r="846" spans="1:4" x14ac:dyDescent="0.25">
      <c r="A846" s="117" t="str">
        <f t="shared" si="26"/>
        <v/>
      </c>
      <c r="B846" s="117" t="str">
        <f t="shared" si="27"/>
        <v/>
      </c>
      <c r="D846" s="2" t="str">
        <f>IF(ISNUMBER(SEARCH('DropDown Lists'!E852,C846)),C846,"")</f>
        <v/>
      </c>
    </row>
    <row r="847" spans="1:4" x14ac:dyDescent="0.25">
      <c r="A847" s="117" t="str">
        <f t="shared" si="26"/>
        <v/>
      </c>
      <c r="B847" s="117" t="str">
        <f t="shared" si="27"/>
        <v/>
      </c>
      <c r="D847" s="2" t="str">
        <f>IF(ISNUMBER(SEARCH('DropDown Lists'!E853,C847)),C847,"")</f>
        <v/>
      </c>
    </row>
    <row r="848" spans="1:4" x14ac:dyDescent="0.25">
      <c r="A848" s="117" t="str">
        <f t="shared" si="26"/>
        <v/>
      </c>
      <c r="B848" s="117" t="str">
        <f t="shared" si="27"/>
        <v/>
      </c>
      <c r="D848" s="2" t="str">
        <f>IF(ISNUMBER(SEARCH('DropDown Lists'!E854,C848)),C848,"")</f>
        <v/>
      </c>
    </row>
    <row r="849" spans="1:4" x14ac:dyDescent="0.25">
      <c r="A849" s="117" t="str">
        <f t="shared" si="26"/>
        <v/>
      </c>
      <c r="B849" s="117" t="str">
        <f t="shared" si="27"/>
        <v/>
      </c>
      <c r="D849" s="2" t="str">
        <f>IF(ISNUMBER(SEARCH('DropDown Lists'!E855,C849)),C849,"")</f>
        <v/>
      </c>
    </row>
    <row r="850" spans="1:4" x14ac:dyDescent="0.25">
      <c r="A850" s="117" t="str">
        <f t="shared" si="26"/>
        <v/>
      </c>
      <c r="B850" s="117" t="str">
        <f t="shared" si="27"/>
        <v/>
      </c>
      <c r="D850" s="2" t="str">
        <f>IF(ISNUMBER(SEARCH('DropDown Lists'!E856,C850)),C850,"")</f>
        <v/>
      </c>
    </row>
    <row r="851" spans="1:4" x14ac:dyDescent="0.25">
      <c r="A851" s="117" t="str">
        <f t="shared" si="26"/>
        <v/>
      </c>
      <c r="B851" s="117" t="str">
        <f t="shared" si="27"/>
        <v/>
      </c>
      <c r="D851" s="2" t="str">
        <f>IF(ISNUMBER(SEARCH('DropDown Lists'!E857,C851)),C851,"")</f>
        <v/>
      </c>
    </row>
    <row r="852" spans="1:4" x14ac:dyDescent="0.25">
      <c r="A852" s="117" t="str">
        <f t="shared" si="26"/>
        <v/>
      </c>
      <c r="B852" s="117" t="str">
        <f t="shared" si="27"/>
        <v/>
      </c>
      <c r="D852" s="2" t="str">
        <f>IF(ISNUMBER(SEARCH('DropDown Lists'!E858,C852)),C852,"")</f>
        <v/>
      </c>
    </row>
    <row r="853" spans="1:4" x14ac:dyDescent="0.25">
      <c r="A853" s="117" t="str">
        <f t="shared" si="26"/>
        <v/>
      </c>
      <c r="B853" s="117" t="str">
        <f t="shared" si="27"/>
        <v/>
      </c>
      <c r="D853" s="2" t="str">
        <f>IF(ISNUMBER(SEARCH('DropDown Lists'!E859,C853)),C853,"")</f>
        <v/>
      </c>
    </row>
    <row r="854" spans="1:4" x14ac:dyDescent="0.25">
      <c r="A854" s="117" t="str">
        <f t="shared" si="26"/>
        <v/>
      </c>
      <c r="B854" s="117" t="str">
        <f t="shared" si="27"/>
        <v/>
      </c>
      <c r="D854" s="2" t="str">
        <f>IF(ISNUMBER(SEARCH('DropDown Lists'!E860,C854)),C854,"")</f>
        <v/>
      </c>
    </row>
    <row r="855" spans="1:4" x14ac:dyDescent="0.25">
      <c r="A855" s="117" t="str">
        <f t="shared" si="26"/>
        <v/>
      </c>
      <c r="B855" s="117" t="str">
        <f t="shared" si="27"/>
        <v/>
      </c>
      <c r="D855" s="2" t="str">
        <f>IF(ISNUMBER(SEARCH('DropDown Lists'!E861,C855)),C855,"")</f>
        <v/>
      </c>
    </row>
    <row r="856" spans="1:4" x14ac:dyDescent="0.25">
      <c r="A856" s="117" t="str">
        <f t="shared" si="26"/>
        <v/>
      </c>
      <c r="B856" s="117" t="str">
        <f t="shared" si="27"/>
        <v/>
      </c>
      <c r="D856" s="2" t="str">
        <f>IF(ISNUMBER(SEARCH('DropDown Lists'!E862,C856)),C856,"")</f>
        <v/>
      </c>
    </row>
    <row r="857" spans="1:4" x14ac:dyDescent="0.25">
      <c r="A857" s="117" t="str">
        <f t="shared" si="26"/>
        <v/>
      </c>
      <c r="B857" s="117" t="str">
        <f t="shared" si="27"/>
        <v/>
      </c>
      <c r="D857" s="2" t="str">
        <f>IF(ISNUMBER(SEARCH('DropDown Lists'!E863,C857)),C857,"")</f>
        <v/>
      </c>
    </row>
    <row r="858" spans="1:4" x14ac:dyDescent="0.25">
      <c r="A858" s="117" t="str">
        <f t="shared" si="26"/>
        <v/>
      </c>
      <c r="B858" s="117" t="str">
        <f t="shared" si="27"/>
        <v/>
      </c>
      <c r="D858" s="2" t="str">
        <f>IF(ISNUMBER(SEARCH('DropDown Lists'!E864,C858)),C858,"")</f>
        <v/>
      </c>
    </row>
    <row r="859" spans="1:4" x14ac:dyDescent="0.25">
      <c r="A859" s="117" t="str">
        <f t="shared" si="26"/>
        <v/>
      </c>
      <c r="B859" s="117" t="str">
        <f t="shared" si="27"/>
        <v/>
      </c>
      <c r="D859" s="2" t="str">
        <f>IF(ISNUMBER(SEARCH('DropDown Lists'!E865,C859)),C859,"")</f>
        <v/>
      </c>
    </row>
    <row r="860" spans="1:4" x14ac:dyDescent="0.25">
      <c r="A860" s="117" t="str">
        <f t="shared" si="26"/>
        <v/>
      </c>
      <c r="B860" s="117" t="str">
        <f t="shared" si="27"/>
        <v/>
      </c>
      <c r="D860" s="2" t="str">
        <f>IF(ISNUMBER(SEARCH('DropDown Lists'!E866,C860)),C860,"")</f>
        <v/>
      </c>
    </row>
    <row r="861" spans="1:4" x14ac:dyDescent="0.25">
      <c r="A861" s="117" t="str">
        <f t="shared" si="26"/>
        <v/>
      </c>
      <c r="B861" s="117" t="str">
        <f t="shared" si="27"/>
        <v/>
      </c>
      <c r="D861" s="2" t="str">
        <f>IF(ISNUMBER(SEARCH('DropDown Lists'!E867,C861)),C861,"")</f>
        <v/>
      </c>
    </row>
    <row r="862" spans="1:4" x14ac:dyDescent="0.25">
      <c r="A862" s="117" t="str">
        <f t="shared" si="26"/>
        <v/>
      </c>
      <c r="B862" s="117" t="str">
        <f t="shared" si="27"/>
        <v/>
      </c>
      <c r="D862" s="2" t="str">
        <f>IF(ISNUMBER(SEARCH('DropDown Lists'!E868,C862)),C862,"")</f>
        <v/>
      </c>
    </row>
    <row r="863" spans="1:4" x14ac:dyDescent="0.25">
      <c r="A863" s="117" t="str">
        <f t="shared" si="26"/>
        <v/>
      </c>
      <c r="B863" s="117" t="str">
        <f t="shared" si="27"/>
        <v/>
      </c>
      <c r="D863" s="2" t="str">
        <f>IF(ISNUMBER(SEARCH('DropDown Lists'!E869,C863)),C863,"")</f>
        <v/>
      </c>
    </row>
    <row r="864" spans="1:4" x14ac:dyDescent="0.25">
      <c r="A864" s="117" t="str">
        <f t="shared" si="26"/>
        <v/>
      </c>
      <c r="B864" s="117" t="str">
        <f t="shared" si="27"/>
        <v/>
      </c>
      <c r="D864" s="2" t="str">
        <f>IF(ISNUMBER(SEARCH('DropDown Lists'!E870,C864)),C864,"")</f>
        <v/>
      </c>
    </row>
    <row r="865" spans="1:4" x14ac:dyDescent="0.25">
      <c r="A865" s="117" t="str">
        <f t="shared" si="26"/>
        <v/>
      </c>
      <c r="B865" s="117" t="str">
        <f t="shared" si="27"/>
        <v/>
      </c>
      <c r="D865" s="2" t="str">
        <f>IF(ISNUMBER(SEARCH('DropDown Lists'!E871,C865)),C865,"")</f>
        <v/>
      </c>
    </row>
    <row r="866" spans="1:4" x14ac:dyDescent="0.25">
      <c r="A866" s="117" t="str">
        <f t="shared" si="26"/>
        <v/>
      </c>
      <c r="B866" s="117" t="str">
        <f t="shared" si="27"/>
        <v/>
      </c>
      <c r="D866" s="2" t="str">
        <f>IF(ISNUMBER(SEARCH('DropDown Lists'!E872,C866)),C866,"")</f>
        <v/>
      </c>
    </row>
    <row r="867" spans="1:4" x14ac:dyDescent="0.25">
      <c r="A867" s="117" t="str">
        <f t="shared" si="26"/>
        <v/>
      </c>
      <c r="B867" s="117" t="str">
        <f t="shared" si="27"/>
        <v/>
      </c>
      <c r="D867" s="2" t="str">
        <f>IF(ISNUMBER(SEARCH('DropDown Lists'!E873,C867)),C867,"")</f>
        <v/>
      </c>
    </row>
    <row r="868" spans="1:4" x14ac:dyDescent="0.25">
      <c r="A868" s="117" t="str">
        <f t="shared" si="26"/>
        <v/>
      </c>
      <c r="B868" s="117" t="str">
        <f t="shared" si="27"/>
        <v/>
      </c>
      <c r="D868" s="2" t="str">
        <f>IF(ISNUMBER(SEARCH('DropDown Lists'!E874,C868)),C868,"")</f>
        <v/>
      </c>
    </row>
    <row r="869" spans="1:4" x14ac:dyDescent="0.25">
      <c r="A869" s="117" t="str">
        <f t="shared" si="26"/>
        <v/>
      </c>
      <c r="B869" s="117" t="str">
        <f t="shared" si="27"/>
        <v/>
      </c>
      <c r="D869" s="2" t="str">
        <f>IF(ISNUMBER(SEARCH('DropDown Lists'!E875,C869)),C869,"")</f>
        <v/>
      </c>
    </row>
    <row r="870" spans="1:4" x14ac:dyDescent="0.25">
      <c r="A870" s="117" t="str">
        <f t="shared" si="26"/>
        <v/>
      </c>
      <c r="B870" s="117" t="str">
        <f t="shared" si="27"/>
        <v/>
      </c>
      <c r="D870" s="2" t="str">
        <f>IF(ISNUMBER(SEARCH('DropDown Lists'!E876,C870)),C870,"")</f>
        <v/>
      </c>
    </row>
    <row r="871" spans="1:4" x14ac:dyDescent="0.25">
      <c r="A871" s="117" t="str">
        <f t="shared" si="26"/>
        <v/>
      </c>
      <c r="B871" s="117" t="str">
        <f t="shared" si="27"/>
        <v/>
      </c>
      <c r="D871" s="2" t="str">
        <f>IF(ISNUMBER(SEARCH('DropDown Lists'!E877,C871)),C871,"")</f>
        <v/>
      </c>
    </row>
    <row r="872" spans="1:4" x14ac:dyDescent="0.25">
      <c r="A872" s="117" t="str">
        <f t="shared" si="26"/>
        <v/>
      </c>
      <c r="B872" s="117" t="str">
        <f t="shared" si="27"/>
        <v/>
      </c>
      <c r="D872" s="2" t="str">
        <f>IF(ISNUMBER(SEARCH('DropDown Lists'!E878,C872)),C872,"")</f>
        <v/>
      </c>
    </row>
    <row r="873" spans="1:4" x14ac:dyDescent="0.25">
      <c r="A873" s="117" t="str">
        <f t="shared" si="26"/>
        <v/>
      </c>
      <c r="B873" s="117" t="str">
        <f t="shared" si="27"/>
        <v/>
      </c>
      <c r="D873" s="2" t="str">
        <f>IF(ISNUMBER(SEARCH('DropDown Lists'!E879,C873)),C873,"")</f>
        <v/>
      </c>
    </row>
    <row r="874" spans="1:4" x14ac:dyDescent="0.25">
      <c r="A874" s="117" t="str">
        <f t="shared" si="26"/>
        <v/>
      </c>
      <c r="B874" s="117" t="str">
        <f t="shared" si="27"/>
        <v/>
      </c>
      <c r="D874" s="2" t="str">
        <f>IF(ISNUMBER(SEARCH('DropDown Lists'!E880,C874)),C874,"")</f>
        <v/>
      </c>
    </row>
    <row r="875" spans="1:4" x14ac:dyDescent="0.25">
      <c r="A875" s="117" t="str">
        <f t="shared" si="26"/>
        <v/>
      </c>
      <c r="B875" s="117" t="str">
        <f t="shared" si="27"/>
        <v/>
      </c>
      <c r="D875" s="2" t="str">
        <f>IF(ISNUMBER(SEARCH('DropDown Lists'!E881,C875)),C875,"")</f>
        <v/>
      </c>
    </row>
    <row r="876" spans="1:4" x14ac:dyDescent="0.25">
      <c r="A876" s="117" t="str">
        <f t="shared" si="26"/>
        <v/>
      </c>
      <c r="B876" s="117" t="str">
        <f t="shared" si="27"/>
        <v/>
      </c>
      <c r="D876" s="2" t="str">
        <f>IF(ISNUMBER(SEARCH('DropDown Lists'!E882,C876)),C876,"")</f>
        <v/>
      </c>
    </row>
    <row r="877" spans="1:4" x14ac:dyDescent="0.25">
      <c r="A877" s="117" t="str">
        <f t="shared" si="26"/>
        <v/>
      </c>
      <c r="B877" s="117" t="str">
        <f t="shared" si="27"/>
        <v/>
      </c>
      <c r="D877" s="2" t="str">
        <f>IF(ISNUMBER(SEARCH('DropDown Lists'!E883,C877)),C877,"")</f>
        <v/>
      </c>
    </row>
    <row r="878" spans="1:4" x14ac:dyDescent="0.25">
      <c r="A878" s="117" t="str">
        <f t="shared" si="26"/>
        <v/>
      </c>
      <c r="B878" s="117" t="str">
        <f t="shared" si="27"/>
        <v/>
      </c>
      <c r="D878" s="2" t="str">
        <f>IF(ISNUMBER(SEARCH('DropDown Lists'!E884,C878)),C878,"")</f>
        <v/>
      </c>
    </row>
    <row r="879" spans="1:4" x14ac:dyDescent="0.25">
      <c r="A879" s="117" t="str">
        <f t="shared" si="26"/>
        <v/>
      </c>
      <c r="B879" s="117" t="str">
        <f t="shared" si="27"/>
        <v/>
      </c>
      <c r="D879" s="2" t="str">
        <f>IF(ISNUMBER(SEARCH('DropDown Lists'!E885,C879)),C879,"")</f>
        <v/>
      </c>
    </row>
    <row r="880" spans="1:4" x14ac:dyDescent="0.25">
      <c r="A880" s="117" t="str">
        <f t="shared" si="26"/>
        <v/>
      </c>
      <c r="B880" s="117" t="str">
        <f t="shared" si="27"/>
        <v/>
      </c>
      <c r="D880" s="2" t="str">
        <f>IF(ISNUMBER(SEARCH('DropDown Lists'!E886,C880)),C880,"")</f>
        <v/>
      </c>
    </row>
    <row r="881" spans="1:4" x14ac:dyDescent="0.25">
      <c r="A881" s="117" t="str">
        <f t="shared" si="26"/>
        <v/>
      </c>
      <c r="B881" s="117" t="str">
        <f t="shared" si="27"/>
        <v/>
      </c>
      <c r="D881" s="2" t="str">
        <f>IF(ISNUMBER(SEARCH('DropDown Lists'!E887,C881)),C881,"")</f>
        <v/>
      </c>
    </row>
    <row r="882" spans="1:4" x14ac:dyDescent="0.25">
      <c r="A882" s="117" t="str">
        <f t="shared" si="26"/>
        <v/>
      </c>
      <c r="B882" s="117" t="str">
        <f t="shared" si="27"/>
        <v/>
      </c>
      <c r="D882" s="2" t="str">
        <f>IF(ISNUMBER(SEARCH('DropDown Lists'!E888,C882)),C882,"")</f>
        <v/>
      </c>
    </row>
    <row r="883" spans="1:4" x14ac:dyDescent="0.25">
      <c r="A883" s="117" t="str">
        <f t="shared" si="26"/>
        <v/>
      </c>
      <c r="B883" s="117" t="str">
        <f t="shared" si="27"/>
        <v/>
      </c>
      <c r="D883" s="2" t="str">
        <f>IF(ISNUMBER(SEARCH('DropDown Lists'!E889,C883)),C883,"")</f>
        <v/>
      </c>
    </row>
    <row r="884" spans="1:4" x14ac:dyDescent="0.25">
      <c r="A884" s="117" t="str">
        <f t="shared" si="26"/>
        <v/>
      </c>
      <c r="B884" s="117" t="str">
        <f t="shared" si="27"/>
        <v/>
      </c>
      <c r="D884" s="2" t="str">
        <f>IF(ISNUMBER(SEARCH('DropDown Lists'!E890,C884)),C884,"")</f>
        <v/>
      </c>
    </row>
    <row r="885" spans="1:4" x14ac:dyDescent="0.25">
      <c r="A885" s="117" t="str">
        <f t="shared" si="26"/>
        <v/>
      </c>
      <c r="B885" s="117" t="str">
        <f t="shared" si="27"/>
        <v/>
      </c>
      <c r="D885" s="2" t="str">
        <f>IF(ISNUMBER(SEARCH('DropDown Lists'!E891,C885)),C885,"")</f>
        <v/>
      </c>
    </row>
    <row r="886" spans="1:4" x14ac:dyDescent="0.25">
      <c r="A886" s="117" t="str">
        <f t="shared" si="26"/>
        <v/>
      </c>
      <c r="B886" s="117" t="str">
        <f t="shared" si="27"/>
        <v/>
      </c>
      <c r="D886" s="2" t="str">
        <f>IF(ISNUMBER(SEARCH('DropDown Lists'!E892,C886)),C886,"")</f>
        <v/>
      </c>
    </row>
    <row r="887" spans="1:4" x14ac:dyDescent="0.25">
      <c r="A887" s="117" t="str">
        <f t="shared" si="26"/>
        <v/>
      </c>
      <c r="B887" s="117" t="str">
        <f t="shared" si="27"/>
        <v/>
      </c>
      <c r="D887" s="2" t="str">
        <f>IF(ISNUMBER(SEARCH('DropDown Lists'!E893,C887)),C887,"")</f>
        <v/>
      </c>
    </row>
    <row r="888" spans="1:4" x14ac:dyDescent="0.25">
      <c r="A888" s="117" t="str">
        <f t="shared" si="26"/>
        <v/>
      </c>
      <c r="B888" s="117" t="str">
        <f t="shared" si="27"/>
        <v/>
      </c>
      <c r="D888" s="2" t="str">
        <f>IF(ISNUMBER(SEARCH('DropDown Lists'!E894,C888)),C888,"")</f>
        <v/>
      </c>
    </row>
    <row r="889" spans="1:4" x14ac:dyDescent="0.25">
      <c r="A889" s="117" t="str">
        <f t="shared" si="26"/>
        <v/>
      </c>
      <c r="B889" s="117" t="str">
        <f t="shared" si="27"/>
        <v/>
      </c>
      <c r="D889" s="2" t="str">
        <f>IF(ISNUMBER(SEARCH('DropDown Lists'!E895,C889)),C889,"")</f>
        <v/>
      </c>
    </row>
    <row r="890" spans="1:4" x14ac:dyDescent="0.25">
      <c r="A890" s="117" t="str">
        <f t="shared" si="26"/>
        <v/>
      </c>
      <c r="B890" s="117" t="str">
        <f t="shared" si="27"/>
        <v/>
      </c>
      <c r="D890" s="2" t="str">
        <f>IF(ISNUMBER(SEARCH('DropDown Lists'!E896,C890)),C890,"")</f>
        <v/>
      </c>
    </row>
    <row r="891" spans="1:4" x14ac:dyDescent="0.25">
      <c r="A891" s="117" t="str">
        <f t="shared" si="26"/>
        <v/>
      </c>
      <c r="B891" s="117" t="str">
        <f t="shared" si="27"/>
        <v/>
      </c>
      <c r="D891" s="2" t="str">
        <f>IF(ISNUMBER(SEARCH('DropDown Lists'!E897,C891)),C891,"")</f>
        <v/>
      </c>
    </row>
    <row r="892" spans="1:4" x14ac:dyDescent="0.25">
      <c r="A892" s="117" t="str">
        <f t="shared" si="26"/>
        <v/>
      </c>
      <c r="B892" s="117" t="str">
        <f t="shared" si="27"/>
        <v/>
      </c>
      <c r="D892" s="2" t="str">
        <f>IF(ISNUMBER(SEARCH('DropDown Lists'!E898,C892)),C892,"")</f>
        <v/>
      </c>
    </row>
    <row r="893" spans="1:4" x14ac:dyDescent="0.25">
      <c r="A893" s="117" t="str">
        <f t="shared" si="26"/>
        <v/>
      </c>
      <c r="B893" s="117" t="str">
        <f t="shared" si="27"/>
        <v/>
      </c>
      <c r="D893" s="2" t="str">
        <f>IF(ISNUMBER(SEARCH('DropDown Lists'!E899,C893)),C893,"")</f>
        <v/>
      </c>
    </row>
    <row r="894" spans="1:4" x14ac:dyDescent="0.25">
      <c r="A894" s="117" t="str">
        <f t="shared" si="26"/>
        <v/>
      </c>
      <c r="B894" s="117" t="str">
        <f t="shared" si="27"/>
        <v/>
      </c>
      <c r="D894" s="2" t="str">
        <f>IF(ISNUMBER(SEARCH('DropDown Lists'!E900,C894)),C894,"")</f>
        <v/>
      </c>
    </row>
    <row r="895" spans="1:4" x14ac:dyDescent="0.25">
      <c r="A895" s="117" t="str">
        <f t="shared" si="26"/>
        <v/>
      </c>
      <c r="B895" s="117" t="str">
        <f t="shared" si="27"/>
        <v/>
      </c>
      <c r="D895" s="2" t="str">
        <f>IF(ISNUMBER(SEARCH('DropDown Lists'!E901,C895)),C895,"")</f>
        <v/>
      </c>
    </row>
    <row r="896" spans="1:4" x14ac:dyDescent="0.25">
      <c r="A896" s="117" t="str">
        <f t="shared" si="26"/>
        <v/>
      </c>
      <c r="B896" s="117" t="str">
        <f t="shared" si="27"/>
        <v/>
      </c>
      <c r="D896" s="2" t="str">
        <f>IF(ISNUMBER(SEARCH('DropDown Lists'!E902,C896)),C896,"")</f>
        <v/>
      </c>
    </row>
    <row r="897" spans="1:4" x14ac:dyDescent="0.25">
      <c r="A897" s="117" t="str">
        <f t="shared" si="26"/>
        <v/>
      </c>
      <c r="B897" s="117" t="str">
        <f t="shared" si="27"/>
        <v/>
      </c>
      <c r="D897" s="2" t="str">
        <f>IF(ISNUMBER(SEARCH('DropDown Lists'!E903,C897)),C897,"")</f>
        <v/>
      </c>
    </row>
    <row r="898" spans="1:4" x14ac:dyDescent="0.25">
      <c r="A898" s="117" t="str">
        <f t="shared" ref="A898:A961" si="28">B898</f>
        <v/>
      </c>
      <c r="B898" s="117" t="str">
        <f t="shared" ref="B898:B961" si="29">IF(D898&lt;&gt;"",$N$2,"")</f>
        <v/>
      </c>
      <c r="D898" s="2" t="str">
        <f>IF(ISNUMBER(SEARCH('DropDown Lists'!E904,C898)),C898,"")</f>
        <v/>
      </c>
    </row>
    <row r="899" spans="1:4" x14ac:dyDescent="0.25">
      <c r="A899" s="117" t="str">
        <f t="shared" si="28"/>
        <v/>
      </c>
      <c r="B899" s="117" t="str">
        <f t="shared" si="29"/>
        <v/>
      </c>
      <c r="D899" s="2" t="str">
        <f>IF(ISNUMBER(SEARCH('DropDown Lists'!E905,C899)),C899,"")</f>
        <v/>
      </c>
    </row>
    <row r="900" spans="1:4" x14ac:dyDescent="0.25">
      <c r="A900" s="117" t="str">
        <f t="shared" si="28"/>
        <v/>
      </c>
      <c r="B900" s="117" t="str">
        <f t="shared" si="29"/>
        <v/>
      </c>
      <c r="D900" s="2" t="str">
        <f>IF(ISNUMBER(SEARCH('DropDown Lists'!E906,C900)),C900,"")</f>
        <v/>
      </c>
    </row>
    <row r="901" spans="1:4" x14ac:dyDescent="0.25">
      <c r="A901" s="117" t="str">
        <f t="shared" si="28"/>
        <v/>
      </c>
      <c r="B901" s="117" t="str">
        <f t="shared" si="29"/>
        <v/>
      </c>
      <c r="D901" s="2" t="str">
        <f>IF(ISNUMBER(SEARCH('DropDown Lists'!E907,C901)),C901,"")</f>
        <v/>
      </c>
    </row>
    <row r="902" spans="1:4" x14ac:dyDescent="0.25">
      <c r="A902" s="117" t="str">
        <f t="shared" si="28"/>
        <v/>
      </c>
      <c r="B902" s="117" t="str">
        <f t="shared" si="29"/>
        <v/>
      </c>
      <c r="D902" s="2" t="str">
        <f>IF(ISNUMBER(SEARCH('DropDown Lists'!E908,C902)),C902,"")</f>
        <v/>
      </c>
    </row>
    <row r="903" spans="1:4" x14ac:dyDescent="0.25">
      <c r="A903" s="117" t="str">
        <f t="shared" si="28"/>
        <v/>
      </c>
      <c r="B903" s="117" t="str">
        <f t="shared" si="29"/>
        <v/>
      </c>
      <c r="D903" s="2" t="str">
        <f>IF(ISNUMBER(SEARCH('DropDown Lists'!E909,C903)),C903,"")</f>
        <v/>
      </c>
    </row>
    <row r="904" spans="1:4" x14ac:dyDescent="0.25">
      <c r="A904" s="117" t="str">
        <f t="shared" si="28"/>
        <v/>
      </c>
      <c r="B904" s="117" t="str">
        <f t="shared" si="29"/>
        <v/>
      </c>
      <c r="D904" s="2" t="str">
        <f>IF(ISNUMBER(SEARCH('DropDown Lists'!E910,C904)),C904,"")</f>
        <v/>
      </c>
    </row>
    <row r="905" spans="1:4" x14ac:dyDescent="0.25">
      <c r="A905" s="117" t="str">
        <f t="shared" si="28"/>
        <v/>
      </c>
      <c r="B905" s="117" t="str">
        <f t="shared" si="29"/>
        <v/>
      </c>
      <c r="D905" s="2" t="str">
        <f>IF(ISNUMBER(SEARCH('DropDown Lists'!E911,C905)),C905,"")</f>
        <v/>
      </c>
    </row>
    <row r="906" spans="1:4" x14ac:dyDescent="0.25">
      <c r="A906" s="117" t="str">
        <f t="shared" si="28"/>
        <v/>
      </c>
      <c r="B906" s="117" t="str">
        <f t="shared" si="29"/>
        <v/>
      </c>
      <c r="D906" s="2" t="str">
        <f>IF(ISNUMBER(SEARCH('DropDown Lists'!E912,C906)),C906,"")</f>
        <v/>
      </c>
    </row>
    <row r="907" spans="1:4" x14ac:dyDescent="0.25">
      <c r="A907" s="117" t="str">
        <f t="shared" si="28"/>
        <v/>
      </c>
      <c r="B907" s="117" t="str">
        <f t="shared" si="29"/>
        <v/>
      </c>
      <c r="D907" s="2" t="str">
        <f>IF(ISNUMBER(SEARCH('DropDown Lists'!E913,C907)),C907,"")</f>
        <v/>
      </c>
    </row>
    <row r="908" spans="1:4" x14ac:dyDescent="0.25">
      <c r="A908" s="117" t="str">
        <f t="shared" si="28"/>
        <v/>
      </c>
      <c r="B908" s="117" t="str">
        <f t="shared" si="29"/>
        <v/>
      </c>
      <c r="D908" s="2" t="str">
        <f>IF(ISNUMBER(SEARCH('DropDown Lists'!E914,C908)),C908,"")</f>
        <v/>
      </c>
    </row>
    <row r="909" spans="1:4" x14ac:dyDescent="0.25">
      <c r="A909" s="117" t="str">
        <f t="shared" si="28"/>
        <v/>
      </c>
      <c r="B909" s="117" t="str">
        <f t="shared" si="29"/>
        <v/>
      </c>
      <c r="D909" s="2" t="str">
        <f>IF(ISNUMBER(SEARCH('DropDown Lists'!E915,C909)),C909,"")</f>
        <v/>
      </c>
    </row>
    <row r="910" spans="1:4" x14ac:dyDescent="0.25">
      <c r="A910" s="117" t="str">
        <f t="shared" si="28"/>
        <v/>
      </c>
      <c r="B910" s="117" t="str">
        <f t="shared" si="29"/>
        <v/>
      </c>
      <c r="D910" s="2" t="str">
        <f>IF(ISNUMBER(SEARCH('DropDown Lists'!E916,C910)),C910,"")</f>
        <v/>
      </c>
    </row>
    <row r="911" spans="1:4" x14ac:dyDescent="0.25">
      <c r="A911" s="117" t="str">
        <f t="shared" si="28"/>
        <v/>
      </c>
      <c r="B911" s="117" t="str">
        <f t="shared" si="29"/>
        <v/>
      </c>
      <c r="D911" s="2" t="str">
        <f>IF(ISNUMBER(SEARCH('DropDown Lists'!E917,C911)),C911,"")</f>
        <v/>
      </c>
    </row>
    <row r="912" spans="1:4" x14ac:dyDescent="0.25">
      <c r="A912" s="117" t="str">
        <f t="shared" si="28"/>
        <v/>
      </c>
      <c r="B912" s="117" t="str">
        <f t="shared" si="29"/>
        <v/>
      </c>
      <c r="D912" s="2" t="str">
        <f>IF(ISNUMBER(SEARCH('DropDown Lists'!E918,C912)),C912,"")</f>
        <v/>
      </c>
    </row>
    <row r="913" spans="1:4" x14ac:dyDescent="0.25">
      <c r="A913" s="117" t="str">
        <f t="shared" si="28"/>
        <v/>
      </c>
      <c r="B913" s="117" t="str">
        <f t="shared" si="29"/>
        <v/>
      </c>
      <c r="D913" s="2" t="str">
        <f>IF(ISNUMBER(SEARCH('DropDown Lists'!E919,C913)),C913,"")</f>
        <v/>
      </c>
    </row>
    <row r="914" spans="1:4" x14ac:dyDescent="0.25">
      <c r="A914" s="117" t="str">
        <f t="shared" si="28"/>
        <v/>
      </c>
      <c r="B914" s="117" t="str">
        <f t="shared" si="29"/>
        <v/>
      </c>
      <c r="D914" s="2" t="str">
        <f>IF(ISNUMBER(SEARCH('DropDown Lists'!E920,C914)),C914,"")</f>
        <v/>
      </c>
    </row>
    <row r="915" spans="1:4" x14ac:dyDescent="0.25">
      <c r="A915" s="117" t="str">
        <f t="shared" si="28"/>
        <v/>
      </c>
      <c r="B915" s="117" t="str">
        <f t="shared" si="29"/>
        <v/>
      </c>
      <c r="D915" s="2" t="str">
        <f>IF(ISNUMBER(SEARCH('DropDown Lists'!E921,C915)),C915,"")</f>
        <v/>
      </c>
    </row>
    <row r="916" spans="1:4" x14ac:dyDescent="0.25">
      <c r="A916" s="117" t="str">
        <f t="shared" si="28"/>
        <v/>
      </c>
      <c r="B916" s="117" t="str">
        <f t="shared" si="29"/>
        <v/>
      </c>
      <c r="D916" s="2" t="str">
        <f>IF(ISNUMBER(SEARCH('DropDown Lists'!E922,C916)),C916,"")</f>
        <v/>
      </c>
    </row>
    <row r="917" spans="1:4" x14ac:dyDescent="0.25">
      <c r="A917" s="117" t="str">
        <f t="shared" si="28"/>
        <v/>
      </c>
      <c r="B917" s="117" t="str">
        <f t="shared" si="29"/>
        <v/>
      </c>
      <c r="D917" s="2" t="str">
        <f>IF(ISNUMBER(SEARCH('DropDown Lists'!E923,C917)),C917,"")</f>
        <v/>
      </c>
    </row>
    <row r="918" spans="1:4" x14ac:dyDescent="0.25">
      <c r="A918" s="117" t="str">
        <f t="shared" si="28"/>
        <v/>
      </c>
      <c r="B918" s="117" t="str">
        <f t="shared" si="29"/>
        <v/>
      </c>
      <c r="D918" s="2" t="str">
        <f>IF(ISNUMBER(SEARCH('DropDown Lists'!E924,C918)),C918,"")</f>
        <v/>
      </c>
    </row>
    <row r="919" spans="1:4" x14ac:dyDescent="0.25">
      <c r="A919" s="117" t="str">
        <f t="shared" si="28"/>
        <v/>
      </c>
      <c r="B919" s="117" t="str">
        <f t="shared" si="29"/>
        <v/>
      </c>
      <c r="D919" s="2" t="str">
        <f>IF(ISNUMBER(SEARCH('DropDown Lists'!E925,C919)),C919,"")</f>
        <v/>
      </c>
    </row>
    <row r="920" spans="1:4" x14ac:dyDescent="0.25">
      <c r="A920" s="117" t="str">
        <f t="shared" si="28"/>
        <v/>
      </c>
      <c r="B920" s="117" t="str">
        <f t="shared" si="29"/>
        <v/>
      </c>
      <c r="D920" s="2" t="str">
        <f>IF(ISNUMBER(SEARCH('DropDown Lists'!E926,C920)),C920,"")</f>
        <v/>
      </c>
    </row>
    <row r="921" spans="1:4" x14ac:dyDescent="0.25">
      <c r="A921" s="117" t="str">
        <f t="shared" si="28"/>
        <v/>
      </c>
      <c r="B921" s="117" t="str">
        <f t="shared" si="29"/>
        <v/>
      </c>
      <c r="D921" s="2" t="str">
        <f>IF(ISNUMBER(SEARCH('DropDown Lists'!E927,C921)),C921,"")</f>
        <v/>
      </c>
    </row>
    <row r="922" spans="1:4" x14ac:dyDescent="0.25">
      <c r="A922" s="117" t="str">
        <f t="shared" si="28"/>
        <v/>
      </c>
      <c r="B922" s="117" t="str">
        <f t="shared" si="29"/>
        <v/>
      </c>
      <c r="D922" s="2" t="str">
        <f>IF(ISNUMBER(SEARCH('DropDown Lists'!E928,C922)),C922,"")</f>
        <v/>
      </c>
    </row>
    <row r="923" spans="1:4" x14ac:dyDescent="0.25">
      <c r="A923" s="117" t="str">
        <f t="shared" si="28"/>
        <v/>
      </c>
      <c r="B923" s="117" t="str">
        <f t="shared" si="29"/>
        <v/>
      </c>
      <c r="D923" s="2" t="str">
        <f>IF(ISNUMBER(SEARCH('DropDown Lists'!E929,C923)),C923,"")</f>
        <v/>
      </c>
    </row>
    <row r="924" spans="1:4" x14ac:dyDescent="0.25">
      <c r="A924" s="117" t="str">
        <f t="shared" si="28"/>
        <v/>
      </c>
      <c r="B924" s="117" t="str">
        <f t="shared" si="29"/>
        <v/>
      </c>
      <c r="D924" s="2" t="str">
        <f>IF(ISNUMBER(SEARCH('DropDown Lists'!E930,C924)),C924,"")</f>
        <v/>
      </c>
    </row>
    <row r="925" spans="1:4" x14ac:dyDescent="0.25">
      <c r="A925" s="117" t="str">
        <f t="shared" si="28"/>
        <v/>
      </c>
      <c r="B925" s="117" t="str">
        <f t="shared" si="29"/>
        <v/>
      </c>
      <c r="D925" s="2" t="str">
        <f>IF(ISNUMBER(SEARCH('DropDown Lists'!E931,C925)),C925,"")</f>
        <v/>
      </c>
    </row>
    <row r="926" spans="1:4" x14ac:dyDescent="0.25">
      <c r="A926" s="117" t="str">
        <f t="shared" si="28"/>
        <v/>
      </c>
      <c r="B926" s="117" t="str">
        <f t="shared" si="29"/>
        <v/>
      </c>
      <c r="D926" s="2" t="str">
        <f>IF(ISNUMBER(SEARCH('DropDown Lists'!E932,C926)),C926,"")</f>
        <v/>
      </c>
    </row>
    <row r="927" spans="1:4" x14ac:dyDescent="0.25">
      <c r="A927" s="117" t="str">
        <f t="shared" si="28"/>
        <v/>
      </c>
      <c r="B927" s="117" t="str">
        <f t="shared" si="29"/>
        <v/>
      </c>
      <c r="D927" s="2" t="str">
        <f>IF(ISNUMBER(SEARCH('DropDown Lists'!E933,C927)),C927,"")</f>
        <v/>
      </c>
    </row>
    <row r="928" spans="1:4" x14ac:dyDescent="0.25">
      <c r="A928" s="117" t="str">
        <f t="shared" si="28"/>
        <v/>
      </c>
      <c r="B928" s="117" t="str">
        <f t="shared" si="29"/>
        <v/>
      </c>
      <c r="D928" s="2" t="str">
        <f>IF(ISNUMBER(SEARCH('DropDown Lists'!E934,C928)),C928,"")</f>
        <v/>
      </c>
    </row>
    <row r="929" spans="1:4" x14ac:dyDescent="0.25">
      <c r="A929" s="117" t="str">
        <f t="shared" si="28"/>
        <v/>
      </c>
      <c r="B929" s="117" t="str">
        <f t="shared" si="29"/>
        <v/>
      </c>
      <c r="D929" s="2" t="str">
        <f>IF(ISNUMBER(SEARCH('DropDown Lists'!E935,C929)),C929,"")</f>
        <v/>
      </c>
    </row>
    <row r="930" spans="1:4" x14ac:dyDescent="0.25">
      <c r="A930" s="117" t="str">
        <f t="shared" si="28"/>
        <v/>
      </c>
      <c r="B930" s="117" t="str">
        <f t="shared" si="29"/>
        <v/>
      </c>
      <c r="D930" s="2" t="str">
        <f>IF(ISNUMBER(SEARCH('DropDown Lists'!E936,C930)),C930,"")</f>
        <v/>
      </c>
    </row>
    <row r="931" spans="1:4" x14ac:dyDescent="0.25">
      <c r="A931" s="117" t="str">
        <f t="shared" si="28"/>
        <v/>
      </c>
      <c r="B931" s="117" t="str">
        <f t="shared" si="29"/>
        <v/>
      </c>
      <c r="D931" s="2" t="str">
        <f>IF(ISNUMBER(SEARCH('DropDown Lists'!E937,C931)),C931,"")</f>
        <v/>
      </c>
    </row>
    <row r="932" spans="1:4" x14ac:dyDescent="0.25">
      <c r="A932" s="117" t="str">
        <f t="shared" si="28"/>
        <v/>
      </c>
      <c r="B932" s="117" t="str">
        <f t="shared" si="29"/>
        <v/>
      </c>
      <c r="D932" s="2" t="str">
        <f>IF(ISNUMBER(SEARCH('DropDown Lists'!E938,C932)),C932,"")</f>
        <v/>
      </c>
    </row>
    <row r="933" spans="1:4" x14ac:dyDescent="0.25">
      <c r="A933" s="117" t="str">
        <f t="shared" si="28"/>
        <v/>
      </c>
      <c r="B933" s="117" t="str">
        <f t="shared" si="29"/>
        <v/>
      </c>
      <c r="D933" s="2" t="str">
        <f>IF(ISNUMBER(SEARCH('DropDown Lists'!E939,C933)),C933,"")</f>
        <v/>
      </c>
    </row>
    <row r="934" spans="1:4" x14ac:dyDescent="0.25">
      <c r="A934" s="117" t="str">
        <f t="shared" si="28"/>
        <v/>
      </c>
      <c r="B934" s="117" t="str">
        <f t="shared" si="29"/>
        <v/>
      </c>
      <c r="D934" s="2" t="str">
        <f>IF(ISNUMBER(SEARCH('DropDown Lists'!E940,C934)),C934,"")</f>
        <v/>
      </c>
    </row>
    <row r="935" spans="1:4" x14ac:dyDescent="0.25">
      <c r="A935" s="117" t="str">
        <f t="shared" si="28"/>
        <v/>
      </c>
      <c r="B935" s="117" t="str">
        <f t="shared" si="29"/>
        <v/>
      </c>
      <c r="D935" s="2" t="str">
        <f>IF(ISNUMBER(SEARCH('DropDown Lists'!E941,C935)),C935,"")</f>
        <v/>
      </c>
    </row>
    <row r="936" spans="1:4" x14ac:dyDescent="0.25">
      <c r="A936" s="117" t="str">
        <f t="shared" si="28"/>
        <v/>
      </c>
      <c r="B936" s="117" t="str">
        <f t="shared" si="29"/>
        <v/>
      </c>
      <c r="D936" s="2" t="str">
        <f>IF(ISNUMBER(SEARCH('DropDown Lists'!E942,C936)),C936,"")</f>
        <v/>
      </c>
    </row>
    <row r="937" spans="1:4" x14ac:dyDescent="0.25">
      <c r="A937" s="117" t="str">
        <f t="shared" si="28"/>
        <v/>
      </c>
      <c r="B937" s="117" t="str">
        <f t="shared" si="29"/>
        <v/>
      </c>
      <c r="D937" s="2" t="str">
        <f>IF(ISNUMBER(SEARCH('DropDown Lists'!E943,C937)),C937,"")</f>
        <v/>
      </c>
    </row>
    <row r="938" spans="1:4" x14ac:dyDescent="0.25">
      <c r="A938" s="117" t="str">
        <f t="shared" si="28"/>
        <v/>
      </c>
      <c r="B938" s="117" t="str">
        <f t="shared" si="29"/>
        <v/>
      </c>
      <c r="D938" s="2" t="str">
        <f>IF(ISNUMBER(SEARCH('DropDown Lists'!E944,C938)),C938,"")</f>
        <v/>
      </c>
    </row>
    <row r="939" spans="1:4" x14ac:dyDescent="0.25">
      <c r="A939" s="117" t="str">
        <f t="shared" si="28"/>
        <v/>
      </c>
      <c r="B939" s="117" t="str">
        <f t="shared" si="29"/>
        <v/>
      </c>
      <c r="D939" s="2" t="str">
        <f>IF(ISNUMBER(SEARCH('DropDown Lists'!E945,C939)),C939,"")</f>
        <v/>
      </c>
    </row>
    <row r="940" spans="1:4" x14ac:dyDescent="0.25">
      <c r="A940" s="117" t="str">
        <f t="shared" si="28"/>
        <v/>
      </c>
      <c r="B940" s="117" t="str">
        <f t="shared" si="29"/>
        <v/>
      </c>
      <c r="D940" s="2" t="str">
        <f>IF(ISNUMBER(SEARCH('DropDown Lists'!E946,C940)),C940,"")</f>
        <v/>
      </c>
    </row>
    <row r="941" spans="1:4" x14ac:dyDescent="0.25">
      <c r="A941" s="117" t="str">
        <f t="shared" si="28"/>
        <v/>
      </c>
      <c r="B941" s="117" t="str">
        <f t="shared" si="29"/>
        <v/>
      </c>
      <c r="D941" s="2" t="str">
        <f>IF(ISNUMBER(SEARCH('DropDown Lists'!E947,C941)),C941,"")</f>
        <v/>
      </c>
    </row>
    <row r="942" spans="1:4" x14ac:dyDescent="0.25">
      <c r="A942" s="117" t="str">
        <f t="shared" si="28"/>
        <v/>
      </c>
      <c r="B942" s="117" t="str">
        <f t="shared" si="29"/>
        <v/>
      </c>
      <c r="D942" s="2" t="str">
        <f>IF(ISNUMBER(SEARCH('DropDown Lists'!E948,C942)),C942,"")</f>
        <v/>
      </c>
    </row>
    <row r="943" spans="1:4" x14ac:dyDescent="0.25">
      <c r="A943" s="117" t="str">
        <f t="shared" si="28"/>
        <v/>
      </c>
      <c r="B943" s="117" t="str">
        <f t="shared" si="29"/>
        <v/>
      </c>
      <c r="D943" s="2" t="str">
        <f>IF(ISNUMBER(SEARCH('DropDown Lists'!E949,C943)),C943,"")</f>
        <v/>
      </c>
    </row>
    <row r="944" spans="1:4" x14ac:dyDescent="0.25">
      <c r="A944" s="117" t="str">
        <f t="shared" si="28"/>
        <v/>
      </c>
      <c r="B944" s="117" t="str">
        <f t="shared" si="29"/>
        <v/>
      </c>
      <c r="D944" s="2" t="str">
        <f>IF(ISNUMBER(SEARCH('DropDown Lists'!E950,C944)),C944,"")</f>
        <v/>
      </c>
    </row>
    <row r="945" spans="1:4" x14ac:dyDescent="0.25">
      <c r="A945" s="117" t="str">
        <f t="shared" si="28"/>
        <v/>
      </c>
      <c r="B945" s="117" t="str">
        <f t="shared" si="29"/>
        <v/>
      </c>
      <c r="D945" s="2" t="str">
        <f>IF(ISNUMBER(SEARCH('DropDown Lists'!E951,C945)),C945,"")</f>
        <v/>
      </c>
    </row>
    <row r="946" spans="1:4" x14ac:dyDescent="0.25">
      <c r="A946" s="117" t="str">
        <f t="shared" si="28"/>
        <v/>
      </c>
      <c r="B946" s="117" t="str">
        <f t="shared" si="29"/>
        <v/>
      </c>
      <c r="D946" s="2" t="str">
        <f>IF(ISNUMBER(SEARCH('DropDown Lists'!E952,C946)),C946,"")</f>
        <v/>
      </c>
    </row>
    <row r="947" spans="1:4" x14ac:dyDescent="0.25">
      <c r="A947" s="117" t="str">
        <f t="shared" si="28"/>
        <v/>
      </c>
      <c r="B947" s="117" t="str">
        <f t="shared" si="29"/>
        <v/>
      </c>
      <c r="D947" s="2" t="str">
        <f>IF(ISNUMBER(SEARCH('DropDown Lists'!E953,C947)),C947,"")</f>
        <v/>
      </c>
    </row>
    <row r="948" spans="1:4" x14ac:dyDescent="0.25">
      <c r="A948" s="117" t="str">
        <f t="shared" si="28"/>
        <v/>
      </c>
      <c r="B948" s="117" t="str">
        <f t="shared" si="29"/>
        <v/>
      </c>
      <c r="D948" s="2" t="str">
        <f>IF(ISNUMBER(SEARCH('DropDown Lists'!E954,C948)),C948,"")</f>
        <v/>
      </c>
    </row>
    <row r="949" spans="1:4" x14ac:dyDescent="0.25">
      <c r="A949" s="117" t="str">
        <f t="shared" si="28"/>
        <v/>
      </c>
      <c r="B949" s="117" t="str">
        <f t="shared" si="29"/>
        <v/>
      </c>
      <c r="D949" s="2" t="str">
        <f>IF(ISNUMBER(SEARCH('DropDown Lists'!E955,C949)),C949,"")</f>
        <v/>
      </c>
    </row>
    <row r="950" spans="1:4" x14ac:dyDescent="0.25">
      <c r="A950" s="117" t="str">
        <f t="shared" si="28"/>
        <v/>
      </c>
      <c r="B950" s="117" t="str">
        <f t="shared" si="29"/>
        <v/>
      </c>
      <c r="D950" s="2" t="str">
        <f>IF(ISNUMBER(SEARCH('DropDown Lists'!E956,C950)),C950,"")</f>
        <v/>
      </c>
    </row>
    <row r="951" spans="1:4" x14ac:dyDescent="0.25">
      <c r="A951" s="117" t="str">
        <f t="shared" si="28"/>
        <v/>
      </c>
      <c r="B951" s="117" t="str">
        <f t="shared" si="29"/>
        <v/>
      </c>
      <c r="D951" s="2" t="str">
        <f>IF(ISNUMBER(SEARCH('DropDown Lists'!E957,C951)),C951,"")</f>
        <v/>
      </c>
    </row>
    <row r="952" spans="1:4" x14ac:dyDescent="0.25">
      <c r="A952" s="117" t="str">
        <f t="shared" si="28"/>
        <v/>
      </c>
      <c r="B952" s="117" t="str">
        <f t="shared" si="29"/>
        <v/>
      </c>
      <c r="D952" s="2" t="str">
        <f>IF(ISNUMBER(SEARCH('DropDown Lists'!E958,C952)),C952,"")</f>
        <v/>
      </c>
    </row>
    <row r="953" spans="1:4" x14ac:dyDescent="0.25">
      <c r="A953" s="117" t="str">
        <f t="shared" si="28"/>
        <v/>
      </c>
      <c r="B953" s="117" t="str">
        <f t="shared" si="29"/>
        <v/>
      </c>
      <c r="D953" s="2" t="str">
        <f>IF(ISNUMBER(SEARCH('DropDown Lists'!E959,C953)),C953,"")</f>
        <v/>
      </c>
    </row>
    <row r="954" spans="1:4" x14ac:dyDescent="0.25">
      <c r="A954" s="117" t="str">
        <f t="shared" si="28"/>
        <v/>
      </c>
      <c r="B954" s="117" t="str">
        <f t="shared" si="29"/>
        <v/>
      </c>
      <c r="D954" s="2" t="str">
        <f>IF(ISNUMBER(SEARCH('DropDown Lists'!E960,C954)),C954,"")</f>
        <v/>
      </c>
    </row>
    <row r="955" spans="1:4" x14ac:dyDescent="0.25">
      <c r="A955" s="117" t="str">
        <f t="shared" si="28"/>
        <v/>
      </c>
      <c r="B955" s="117" t="str">
        <f t="shared" si="29"/>
        <v/>
      </c>
      <c r="D955" s="2" t="str">
        <f>IF(ISNUMBER(SEARCH('DropDown Lists'!E961,C955)),C955,"")</f>
        <v/>
      </c>
    </row>
    <row r="956" spans="1:4" x14ac:dyDescent="0.25">
      <c r="A956" s="117" t="str">
        <f t="shared" si="28"/>
        <v/>
      </c>
      <c r="B956" s="117" t="str">
        <f t="shared" si="29"/>
        <v/>
      </c>
      <c r="D956" s="2" t="str">
        <f>IF(ISNUMBER(SEARCH('DropDown Lists'!E962,C956)),C956,"")</f>
        <v/>
      </c>
    </row>
    <row r="957" spans="1:4" x14ac:dyDescent="0.25">
      <c r="A957" s="117" t="str">
        <f t="shared" si="28"/>
        <v/>
      </c>
      <c r="B957" s="117" t="str">
        <f t="shared" si="29"/>
        <v/>
      </c>
      <c r="D957" s="2" t="str">
        <f>IF(ISNUMBER(SEARCH('DropDown Lists'!E963,C957)),C957,"")</f>
        <v/>
      </c>
    </row>
    <row r="958" spans="1:4" x14ac:dyDescent="0.25">
      <c r="A958" s="117" t="str">
        <f t="shared" si="28"/>
        <v/>
      </c>
      <c r="B958" s="117" t="str">
        <f t="shared" si="29"/>
        <v/>
      </c>
      <c r="D958" s="2" t="str">
        <f>IF(ISNUMBER(SEARCH('DropDown Lists'!E964,C958)),C958,"")</f>
        <v/>
      </c>
    </row>
    <row r="959" spans="1:4" x14ac:dyDescent="0.25">
      <c r="A959" s="117" t="str">
        <f t="shared" si="28"/>
        <v/>
      </c>
      <c r="B959" s="117" t="str">
        <f t="shared" si="29"/>
        <v/>
      </c>
      <c r="D959" s="2" t="str">
        <f>IF(ISNUMBER(SEARCH('DropDown Lists'!E965,C959)),C959,"")</f>
        <v/>
      </c>
    </row>
    <row r="960" spans="1:4" x14ac:dyDescent="0.25">
      <c r="A960" s="117" t="str">
        <f t="shared" si="28"/>
        <v/>
      </c>
      <c r="B960" s="117" t="str">
        <f t="shared" si="29"/>
        <v/>
      </c>
      <c r="D960" s="2" t="str">
        <f>IF(ISNUMBER(SEARCH('DropDown Lists'!E966,C960)),C960,"")</f>
        <v/>
      </c>
    </row>
    <row r="961" spans="1:4" x14ac:dyDescent="0.25">
      <c r="A961" s="117" t="str">
        <f t="shared" si="28"/>
        <v/>
      </c>
      <c r="B961" s="117" t="str">
        <f t="shared" si="29"/>
        <v/>
      </c>
      <c r="D961" s="2" t="str">
        <f>IF(ISNUMBER(SEARCH('DropDown Lists'!E967,C961)),C961,"")</f>
        <v/>
      </c>
    </row>
    <row r="962" spans="1:4" x14ac:dyDescent="0.25">
      <c r="A962" s="117" t="str">
        <f t="shared" ref="A962:A1000" si="30">B962</f>
        <v/>
      </c>
      <c r="B962" s="117" t="str">
        <f t="shared" ref="B962:B1000" si="31">IF(D962&lt;&gt;"",$N$2,"")</f>
        <v/>
      </c>
      <c r="D962" s="2" t="str">
        <f>IF(ISNUMBER(SEARCH('DropDown Lists'!E968,C962)),C962,"")</f>
        <v/>
      </c>
    </row>
    <row r="963" spans="1:4" x14ac:dyDescent="0.25">
      <c r="A963" s="117" t="str">
        <f t="shared" si="30"/>
        <v/>
      </c>
      <c r="B963" s="117" t="str">
        <f t="shared" si="31"/>
        <v/>
      </c>
      <c r="D963" s="2" t="str">
        <f>IF(ISNUMBER(SEARCH('DropDown Lists'!E969,C963)),C963,"")</f>
        <v/>
      </c>
    </row>
    <row r="964" spans="1:4" x14ac:dyDescent="0.25">
      <c r="A964" s="117" t="str">
        <f t="shared" si="30"/>
        <v/>
      </c>
      <c r="B964" s="117" t="str">
        <f t="shared" si="31"/>
        <v/>
      </c>
      <c r="D964" s="2" t="str">
        <f>IF(ISNUMBER(SEARCH('DropDown Lists'!E970,C964)),C964,"")</f>
        <v/>
      </c>
    </row>
    <row r="965" spans="1:4" x14ac:dyDescent="0.25">
      <c r="A965" s="117" t="str">
        <f t="shared" si="30"/>
        <v/>
      </c>
      <c r="B965" s="117" t="str">
        <f t="shared" si="31"/>
        <v/>
      </c>
      <c r="D965" s="2" t="str">
        <f>IF(ISNUMBER(SEARCH('DropDown Lists'!E971,C965)),C965,"")</f>
        <v/>
      </c>
    </row>
    <row r="966" spans="1:4" x14ac:dyDescent="0.25">
      <c r="A966" s="117" t="str">
        <f t="shared" si="30"/>
        <v/>
      </c>
      <c r="B966" s="117" t="str">
        <f t="shared" si="31"/>
        <v/>
      </c>
      <c r="D966" s="2" t="str">
        <f>IF(ISNUMBER(SEARCH('DropDown Lists'!E972,C966)),C966,"")</f>
        <v/>
      </c>
    </row>
    <row r="967" spans="1:4" x14ac:dyDescent="0.25">
      <c r="A967" s="117" t="str">
        <f t="shared" si="30"/>
        <v/>
      </c>
      <c r="B967" s="117" t="str">
        <f t="shared" si="31"/>
        <v/>
      </c>
      <c r="D967" s="2" t="str">
        <f>IF(ISNUMBER(SEARCH('DropDown Lists'!E973,C967)),C967,"")</f>
        <v/>
      </c>
    </row>
    <row r="968" spans="1:4" x14ac:dyDescent="0.25">
      <c r="A968" s="117" t="str">
        <f t="shared" si="30"/>
        <v/>
      </c>
      <c r="B968" s="117" t="str">
        <f t="shared" si="31"/>
        <v/>
      </c>
      <c r="D968" s="2" t="str">
        <f>IF(ISNUMBER(SEARCH('DropDown Lists'!E974,C968)),C968,"")</f>
        <v/>
      </c>
    </row>
    <row r="969" spans="1:4" x14ac:dyDescent="0.25">
      <c r="A969" s="117" t="str">
        <f t="shared" si="30"/>
        <v/>
      </c>
      <c r="B969" s="117" t="str">
        <f t="shared" si="31"/>
        <v/>
      </c>
      <c r="D969" s="2" t="str">
        <f>IF(ISNUMBER(SEARCH('DropDown Lists'!E975,C969)),C969,"")</f>
        <v/>
      </c>
    </row>
    <row r="970" spans="1:4" x14ac:dyDescent="0.25">
      <c r="A970" s="117" t="str">
        <f t="shared" si="30"/>
        <v/>
      </c>
      <c r="B970" s="117" t="str">
        <f t="shared" si="31"/>
        <v/>
      </c>
      <c r="D970" s="2" t="str">
        <f>IF(ISNUMBER(SEARCH('DropDown Lists'!E976,C970)),C970,"")</f>
        <v/>
      </c>
    </row>
    <row r="971" spans="1:4" x14ac:dyDescent="0.25">
      <c r="A971" s="117" t="str">
        <f t="shared" si="30"/>
        <v/>
      </c>
      <c r="B971" s="117" t="str">
        <f t="shared" si="31"/>
        <v/>
      </c>
      <c r="D971" s="2" t="str">
        <f>IF(ISNUMBER(SEARCH('DropDown Lists'!E977,C971)),C971,"")</f>
        <v/>
      </c>
    </row>
    <row r="972" spans="1:4" x14ac:dyDescent="0.25">
      <c r="A972" s="117" t="str">
        <f t="shared" si="30"/>
        <v/>
      </c>
      <c r="B972" s="117" t="str">
        <f t="shared" si="31"/>
        <v/>
      </c>
      <c r="D972" s="2" t="str">
        <f>IF(ISNUMBER(SEARCH('DropDown Lists'!E978,C972)),C972,"")</f>
        <v/>
      </c>
    </row>
    <row r="973" spans="1:4" x14ac:dyDescent="0.25">
      <c r="A973" s="117" t="str">
        <f t="shared" si="30"/>
        <v/>
      </c>
      <c r="B973" s="117" t="str">
        <f t="shared" si="31"/>
        <v/>
      </c>
      <c r="D973" s="2" t="str">
        <f>IF(ISNUMBER(SEARCH('DropDown Lists'!E979,C973)),C973,"")</f>
        <v/>
      </c>
    </row>
    <row r="974" spans="1:4" x14ac:dyDescent="0.25">
      <c r="A974" s="117" t="str">
        <f t="shared" si="30"/>
        <v/>
      </c>
      <c r="B974" s="117" t="str">
        <f t="shared" si="31"/>
        <v/>
      </c>
      <c r="D974" s="2" t="str">
        <f>IF(ISNUMBER(SEARCH('DropDown Lists'!E980,C974)),C974,"")</f>
        <v/>
      </c>
    </row>
    <row r="975" spans="1:4" x14ac:dyDescent="0.25">
      <c r="A975" s="117" t="str">
        <f t="shared" si="30"/>
        <v/>
      </c>
      <c r="B975" s="117" t="str">
        <f t="shared" si="31"/>
        <v/>
      </c>
      <c r="D975" s="2" t="str">
        <f>IF(ISNUMBER(SEARCH('DropDown Lists'!E981,C975)),C975,"")</f>
        <v/>
      </c>
    </row>
    <row r="976" spans="1:4" x14ac:dyDescent="0.25">
      <c r="A976" s="117" t="str">
        <f t="shared" si="30"/>
        <v/>
      </c>
      <c r="B976" s="117" t="str">
        <f t="shared" si="31"/>
        <v/>
      </c>
      <c r="D976" s="2" t="str">
        <f>IF(ISNUMBER(SEARCH('DropDown Lists'!E982,C976)),C976,"")</f>
        <v/>
      </c>
    </row>
    <row r="977" spans="1:4" x14ac:dyDescent="0.25">
      <c r="A977" s="117" t="str">
        <f t="shared" si="30"/>
        <v/>
      </c>
      <c r="B977" s="117" t="str">
        <f t="shared" si="31"/>
        <v/>
      </c>
      <c r="D977" s="2" t="str">
        <f>IF(ISNUMBER(SEARCH('DropDown Lists'!E983,C977)),C977,"")</f>
        <v/>
      </c>
    </row>
    <row r="978" spans="1:4" x14ac:dyDescent="0.25">
      <c r="A978" s="117" t="str">
        <f t="shared" si="30"/>
        <v/>
      </c>
      <c r="B978" s="117" t="str">
        <f t="shared" si="31"/>
        <v/>
      </c>
      <c r="D978" s="2" t="str">
        <f>IF(ISNUMBER(SEARCH('DropDown Lists'!E984,C978)),C978,"")</f>
        <v/>
      </c>
    </row>
    <row r="979" spans="1:4" x14ac:dyDescent="0.25">
      <c r="A979" s="117" t="str">
        <f t="shared" si="30"/>
        <v/>
      </c>
      <c r="B979" s="117" t="str">
        <f t="shared" si="31"/>
        <v/>
      </c>
      <c r="D979" s="2" t="str">
        <f>IF(ISNUMBER(SEARCH('DropDown Lists'!E985,C979)),C979,"")</f>
        <v/>
      </c>
    </row>
    <row r="980" spans="1:4" x14ac:dyDescent="0.25">
      <c r="A980" s="117" t="str">
        <f t="shared" si="30"/>
        <v/>
      </c>
      <c r="B980" s="117" t="str">
        <f t="shared" si="31"/>
        <v/>
      </c>
      <c r="D980" s="2" t="str">
        <f>IF(ISNUMBER(SEARCH('DropDown Lists'!E986,C980)),C980,"")</f>
        <v/>
      </c>
    </row>
    <row r="981" spans="1:4" x14ac:dyDescent="0.25">
      <c r="A981" s="117" t="str">
        <f t="shared" si="30"/>
        <v/>
      </c>
      <c r="B981" s="117" t="str">
        <f t="shared" si="31"/>
        <v/>
      </c>
      <c r="D981" s="2" t="str">
        <f>IF(ISNUMBER(SEARCH('DropDown Lists'!E987,C981)),C981,"")</f>
        <v/>
      </c>
    </row>
    <row r="982" spans="1:4" x14ac:dyDescent="0.25">
      <c r="A982" s="117" t="str">
        <f t="shared" si="30"/>
        <v/>
      </c>
      <c r="B982" s="117" t="str">
        <f t="shared" si="31"/>
        <v/>
      </c>
      <c r="D982" s="2" t="str">
        <f>IF(ISNUMBER(SEARCH('DropDown Lists'!E988,C982)),C982,"")</f>
        <v/>
      </c>
    </row>
    <row r="983" spans="1:4" x14ac:dyDescent="0.25">
      <c r="A983" s="117" t="str">
        <f t="shared" si="30"/>
        <v/>
      </c>
      <c r="B983" s="117" t="str">
        <f t="shared" si="31"/>
        <v/>
      </c>
      <c r="D983" s="2" t="str">
        <f>IF(ISNUMBER(SEARCH('DropDown Lists'!E989,C983)),C983,"")</f>
        <v/>
      </c>
    </row>
    <row r="984" spans="1:4" x14ac:dyDescent="0.25">
      <c r="A984" s="117" t="str">
        <f t="shared" si="30"/>
        <v/>
      </c>
      <c r="B984" s="117" t="str">
        <f t="shared" si="31"/>
        <v/>
      </c>
      <c r="D984" s="2" t="str">
        <f>IF(ISNUMBER(SEARCH('DropDown Lists'!E990,C984)),C984,"")</f>
        <v/>
      </c>
    </row>
    <row r="985" spans="1:4" x14ac:dyDescent="0.25">
      <c r="A985" s="117" t="str">
        <f t="shared" si="30"/>
        <v/>
      </c>
      <c r="B985" s="117" t="str">
        <f t="shared" si="31"/>
        <v/>
      </c>
      <c r="D985" s="2" t="str">
        <f>IF(ISNUMBER(SEARCH('DropDown Lists'!E991,C985)),C985,"")</f>
        <v/>
      </c>
    </row>
    <row r="986" spans="1:4" x14ac:dyDescent="0.25">
      <c r="A986" s="117" t="str">
        <f t="shared" si="30"/>
        <v/>
      </c>
      <c r="B986" s="117" t="str">
        <f t="shared" si="31"/>
        <v/>
      </c>
      <c r="D986" s="2" t="str">
        <f>IF(ISNUMBER(SEARCH('DropDown Lists'!E992,C986)),C986,"")</f>
        <v/>
      </c>
    </row>
    <row r="987" spans="1:4" x14ac:dyDescent="0.25">
      <c r="A987" s="117" t="str">
        <f t="shared" si="30"/>
        <v/>
      </c>
      <c r="B987" s="117" t="str">
        <f t="shared" si="31"/>
        <v/>
      </c>
      <c r="D987" s="2" t="str">
        <f>IF(ISNUMBER(SEARCH('DropDown Lists'!E993,C987)),C987,"")</f>
        <v/>
      </c>
    </row>
    <row r="988" spans="1:4" x14ac:dyDescent="0.25">
      <c r="A988" s="117" t="str">
        <f t="shared" si="30"/>
        <v/>
      </c>
      <c r="B988" s="117" t="str">
        <f t="shared" si="31"/>
        <v/>
      </c>
      <c r="D988" s="2" t="str">
        <f>IF(ISNUMBER(SEARCH('DropDown Lists'!E994,C988)),C988,"")</f>
        <v/>
      </c>
    </row>
    <row r="989" spans="1:4" x14ac:dyDescent="0.25">
      <c r="A989" s="117" t="str">
        <f t="shared" si="30"/>
        <v/>
      </c>
      <c r="B989" s="117" t="str">
        <f t="shared" si="31"/>
        <v/>
      </c>
      <c r="D989" s="2" t="str">
        <f>IF(ISNUMBER(SEARCH('DropDown Lists'!E995,C989)),C989,"")</f>
        <v/>
      </c>
    </row>
    <row r="990" spans="1:4" x14ac:dyDescent="0.25">
      <c r="A990" s="117" t="str">
        <f t="shared" si="30"/>
        <v/>
      </c>
      <c r="B990" s="117" t="str">
        <f t="shared" si="31"/>
        <v/>
      </c>
      <c r="D990" s="2" t="str">
        <f>IF(ISNUMBER(SEARCH('DropDown Lists'!E996,C990)),C990,"")</f>
        <v/>
      </c>
    </row>
    <row r="991" spans="1:4" x14ac:dyDescent="0.25">
      <c r="A991" s="117" t="str">
        <f t="shared" si="30"/>
        <v/>
      </c>
      <c r="B991" s="117" t="str">
        <f t="shared" si="31"/>
        <v/>
      </c>
      <c r="D991" s="2" t="str">
        <f>IF(ISNUMBER(SEARCH('DropDown Lists'!E997,C991)),C991,"")</f>
        <v/>
      </c>
    </row>
    <row r="992" spans="1:4" x14ac:dyDescent="0.25">
      <c r="A992" s="117" t="str">
        <f t="shared" si="30"/>
        <v/>
      </c>
      <c r="B992" s="117" t="str">
        <f t="shared" si="31"/>
        <v/>
      </c>
      <c r="D992" s="2" t="str">
        <f>IF(ISNUMBER(SEARCH('DropDown Lists'!E998,C992)),C992,"")</f>
        <v/>
      </c>
    </row>
    <row r="993" spans="1:4" x14ac:dyDescent="0.25">
      <c r="A993" s="117" t="str">
        <f t="shared" si="30"/>
        <v/>
      </c>
      <c r="B993" s="117" t="str">
        <f t="shared" si="31"/>
        <v/>
      </c>
      <c r="D993" s="2" t="str">
        <f>IF(ISNUMBER(SEARCH('DropDown Lists'!E999,C993)),C993,"")</f>
        <v/>
      </c>
    </row>
    <row r="994" spans="1:4" x14ac:dyDescent="0.25">
      <c r="A994" s="117" t="str">
        <f t="shared" si="30"/>
        <v/>
      </c>
      <c r="B994" s="117" t="str">
        <f t="shared" si="31"/>
        <v/>
      </c>
      <c r="D994" s="2" t="str">
        <f>IF(ISNUMBER(SEARCH('DropDown Lists'!E1000,C994)),C994,"")</f>
        <v/>
      </c>
    </row>
    <row r="995" spans="1:4" x14ac:dyDescent="0.25">
      <c r="A995" s="117" t="str">
        <f t="shared" si="30"/>
        <v/>
      </c>
      <c r="B995" s="117" t="str">
        <f t="shared" si="31"/>
        <v/>
      </c>
      <c r="D995" s="2" t="str">
        <f>IF(ISNUMBER(SEARCH('DropDown Lists'!E1001,C995)),C995,"")</f>
        <v/>
      </c>
    </row>
    <row r="996" spans="1:4" x14ac:dyDescent="0.25">
      <c r="A996" s="117" t="str">
        <f t="shared" si="30"/>
        <v/>
      </c>
      <c r="B996" s="117" t="str">
        <f t="shared" si="31"/>
        <v/>
      </c>
      <c r="D996" s="2" t="str">
        <f>IF(ISNUMBER(SEARCH('DropDown Lists'!E1002,C996)),C996,"")</f>
        <v/>
      </c>
    </row>
    <row r="997" spans="1:4" x14ac:dyDescent="0.25">
      <c r="A997" s="117" t="str">
        <f t="shared" si="30"/>
        <v/>
      </c>
      <c r="B997" s="117" t="str">
        <f t="shared" si="31"/>
        <v/>
      </c>
      <c r="D997" s="2" t="str">
        <f>IF(ISNUMBER(SEARCH('DropDown Lists'!E1003,C997)),C997,"")</f>
        <v/>
      </c>
    </row>
    <row r="998" spans="1:4" x14ac:dyDescent="0.25">
      <c r="A998" s="117" t="str">
        <f t="shared" si="30"/>
        <v/>
      </c>
      <c r="B998" s="117" t="str">
        <f t="shared" si="31"/>
        <v/>
      </c>
      <c r="D998" s="2" t="str">
        <f>IF(ISNUMBER(SEARCH('DropDown Lists'!E1004,C998)),C998,"")</f>
        <v/>
      </c>
    </row>
    <row r="999" spans="1:4" x14ac:dyDescent="0.25">
      <c r="A999" s="117" t="str">
        <f t="shared" si="30"/>
        <v/>
      </c>
      <c r="B999" s="117" t="str">
        <f t="shared" si="31"/>
        <v/>
      </c>
      <c r="D999" s="2" t="str">
        <f>IF(ISNUMBER(SEARCH('DropDown Lists'!E1005,C999)),C999,"")</f>
        <v/>
      </c>
    </row>
    <row r="1000" spans="1:4" x14ac:dyDescent="0.25">
      <c r="A1000" s="117" t="str">
        <f t="shared" si="30"/>
        <v/>
      </c>
      <c r="B1000" s="117" t="str">
        <f t="shared" si="31"/>
        <v/>
      </c>
      <c r="D1000" s="2" t="str">
        <f>IF(ISNUMBER(SEARCH('DropDown Lists'!E1006,C1000)),C1000,"")</f>
        <v/>
      </c>
    </row>
    <row r="1001" spans="1:4" x14ac:dyDescent="0.25">
      <c r="A1001" s="117"/>
      <c r="B1001" s="117"/>
      <c r="D1001" s="2" t="str">
        <f t="shared" ref="D1001:D1027" si="32">IF(ISNUMBER(SEARCH("Full",C1001)),C1001,"")</f>
        <v/>
      </c>
    </row>
    <row r="1002" spans="1:4" x14ac:dyDescent="0.25">
      <c r="A1002" s="117"/>
      <c r="B1002" s="117"/>
      <c r="D1002" s="2" t="str">
        <f t="shared" si="32"/>
        <v/>
      </c>
    </row>
    <row r="1003" spans="1:4" x14ac:dyDescent="0.25">
      <c r="A1003" s="117"/>
      <c r="B1003" s="117"/>
      <c r="D1003" s="2" t="str">
        <f t="shared" si="32"/>
        <v/>
      </c>
    </row>
    <row r="1004" spans="1:4" x14ac:dyDescent="0.25">
      <c r="A1004" s="117"/>
      <c r="B1004" s="117"/>
      <c r="D1004" s="2" t="str">
        <f t="shared" si="32"/>
        <v/>
      </c>
    </row>
    <row r="1005" spans="1:4" x14ac:dyDescent="0.25">
      <c r="A1005" s="117"/>
      <c r="B1005" s="117"/>
      <c r="D1005" s="2" t="str">
        <f t="shared" si="32"/>
        <v/>
      </c>
    </row>
    <row r="1006" spans="1:4" x14ac:dyDescent="0.25">
      <c r="A1006" s="117"/>
      <c r="B1006" s="117"/>
      <c r="D1006" s="2" t="str">
        <f t="shared" si="32"/>
        <v/>
      </c>
    </row>
    <row r="1007" spans="1:4" x14ac:dyDescent="0.25">
      <c r="A1007" s="117"/>
      <c r="B1007" s="117"/>
      <c r="D1007" s="2" t="str">
        <f t="shared" si="32"/>
        <v/>
      </c>
    </row>
    <row r="1008" spans="1:4" x14ac:dyDescent="0.25">
      <c r="A1008" s="117"/>
      <c r="B1008" s="117"/>
      <c r="D1008" s="2" t="str">
        <f t="shared" si="32"/>
        <v/>
      </c>
    </row>
    <row r="1009" spans="1:4" x14ac:dyDescent="0.25">
      <c r="A1009" s="117"/>
      <c r="B1009" s="117"/>
      <c r="D1009" s="2" t="str">
        <f t="shared" si="32"/>
        <v/>
      </c>
    </row>
    <row r="1010" spans="1:4" x14ac:dyDescent="0.25">
      <c r="A1010" s="117"/>
      <c r="B1010" s="117"/>
      <c r="D1010" s="2" t="str">
        <f t="shared" si="32"/>
        <v/>
      </c>
    </row>
    <row r="1011" spans="1:4" x14ac:dyDescent="0.25">
      <c r="A1011" s="117"/>
      <c r="B1011" s="117"/>
      <c r="D1011" s="2" t="str">
        <f t="shared" si="32"/>
        <v/>
      </c>
    </row>
    <row r="1012" spans="1:4" x14ac:dyDescent="0.25">
      <c r="A1012" s="117"/>
      <c r="B1012" s="117"/>
      <c r="D1012" s="2" t="str">
        <f t="shared" si="32"/>
        <v/>
      </c>
    </row>
    <row r="1013" spans="1:4" x14ac:dyDescent="0.25">
      <c r="A1013" s="117"/>
      <c r="B1013" s="117"/>
      <c r="D1013" s="2" t="str">
        <f t="shared" si="32"/>
        <v/>
      </c>
    </row>
    <row r="1014" spans="1:4" x14ac:dyDescent="0.25">
      <c r="A1014" s="117"/>
      <c r="B1014" s="117"/>
      <c r="D1014" s="2" t="str">
        <f t="shared" si="32"/>
        <v/>
      </c>
    </row>
    <row r="1015" spans="1:4" x14ac:dyDescent="0.25">
      <c r="A1015" s="117"/>
      <c r="B1015" s="117"/>
      <c r="D1015" s="2" t="str">
        <f t="shared" si="32"/>
        <v/>
      </c>
    </row>
    <row r="1016" spans="1:4" x14ac:dyDescent="0.25">
      <c r="A1016" s="117"/>
      <c r="B1016" s="117"/>
      <c r="D1016" s="2" t="str">
        <f t="shared" si="32"/>
        <v/>
      </c>
    </row>
    <row r="1017" spans="1:4" x14ac:dyDescent="0.25">
      <c r="A1017" s="117"/>
      <c r="B1017" s="117"/>
      <c r="D1017" s="2" t="str">
        <f t="shared" si="32"/>
        <v/>
      </c>
    </row>
    <row r="1018" spans="1:4" x14ac:dyDescent="0.25">
      <c r="A1018" s="117"/>
      <c r="B1018" s="117"/>
      <c r="D1018" s="2" t="str">
        <f t="shared" si="32"/>
        <v/>
      </c>
    </row>
    <row r="1019" spans="1:4" x14ac:dyDescent="0.25">
      <c r="A1019" s="117"/>
      <c r="B1019" s="117"/>
      <c r="D1019" s="2" t="str">
        <f t="shared" si="32"/>
        <v/>
      </c>
    </row>
    <row r="1020" spans="1:4" x14ac:dyDescent="0.25">
      <c r="A1020" s="117"/>
      <c r="B1020" s="117"/>
      <c r="D1020" s="2" t="str">
        <f t="shared" si="32"/>
        <v/>
      </c>
    </row>
    <row r="1021" spans="1:4" x14ac:dyDescent="0.25">
      <c r="A1021" s="117"/>
      <c r="B1021" s="117"/>
      <c r="D1021" s="2" t="str">
        <f t="shared" si="32"/>
        <v/>
      </c>
    </row>
    <row r="1022" spans="1:4" x14ac:dyDescent="0.25">
      <c r="A1022" s="117"/>
      <c r="B1022" s="117"/>
      <c r="D1022" s="2" t="str">
        <f t="shared" si="32"/>
        <v/>
      </c>
    </row>
    <row r="1023" spans="1:4" x14ac:dyDescent="0.25">
      <c r="A1023" s="117"/>
      <c r="B1023" s="117"/>
      <c r="D1023" s="2" t="str">
        <f t="shared" si="32"/>
        <v/>
      </c>
    </row>
    <row r="1024" spans="1:4" x14ac:dyDescent="0.25">
      <c r="A1024" s="117"/>
      <c r="B1024" s="117"/>
      <c r="D1024" s="2" t="str">
        <f t="shared" si="32"/>
        <v/>
      </c>
    </row>
    <row r="1025" spans="1:4" x14ac:dyDescent="0.25">
      <c r="A1025" s="117"/>
      <c r="B1025" s="117"/>
      <c r="D1025" s="2" t="str">
        <f t="shared" si="32"/>
        <v/>
      </c>
    </row>
    <row r="1026" spans="1:4" x14ac:dyDescent="0.25">
      <c r="A1026" s="117"/>
      <c r="B1026" s="117"/>
      <c r="D1026" s="2" t="str">
        <f t="shared" si="32"/>
        <v/>
      </c>
    </row>
    <row r="1027" spans="1:4" x14ac:dyDescent="0.25">
      <c r="A1027" s="117"/>
      <c r="B1027" s="117"/>
      <c r="D1027" s="2" t="str">
        <f t="shared" si="32"/>
        <v/>
      </c>
    </row>
    <row r="1028" spans="1:4" x14ac:dyDescent="0.25">
      <c r="A1028" s="117"/>
      <c r="B1028" s="117"/>
      <c r="D1028" s="2" t="str">
        <f t="shared" ref="D1028:D1091" si="33">IF(ISNUMBER(SEARCH("Full",C1028)),C1028,"")</f>
        <v/>
      </c>
    </row>
    <row r="1029" spans="1:4" x14ac:dyDescent="0.25">
      <c r="A1029" s="117"/>
      <c r="B1029" s="117"/>
      <c r="D1029" s="2" t="str">
        <f t="shared" si="33"/>
        <v/>
      </c>
    </row>
    <row r="1030" spans="1:4" x14ac:dyDescent="0.25">
      <c r="A1030" s="117"/>
      <c r="B1030" s="117"/>
      <c r="D1030" s="2" t="str">
        <f t="shared" si="33"/>
        <v/>
      </c>
    </row>
    <row r="1031" spans="1:4" x14ac:dyDescent="0.25">
      <c r="A1031" s="117"/>
      <c r="B1031" s="117"/>
      <c r="D1031" s="2" t="str">
        <f t="shared" si="33"/>
        <v/>
      </c>
    </row>
    <row r="1032" spans="1:4" x14ac:dyDescent="0.25">
      <c r="A1032" s="117"/>
      <c r="B1032" s="117"/>
      <c r="D1032" s="2" t="str">
        <f t="shared" si="33"/>
        <v/>
      </c>
    </row>
    <row r="1033" spans="1:4" x14ac:dyDescent="0.25">
      <c r="A1033" s="117"/>
      <c r="B1033" s="117"/>
      <c r="D1033" s="2" t="str">
        <f t="shared" si="33"/>
        <v/>
      </c>
    </row>
    <row r="1034" spans="1:4" x14ac:dyDescent="0.25">
      <c r="A1034" s="117"/>
      <c r="B1034" s="117"/>
      <c r="D1034" s="2" t="str">
        <f t="shared" si="33"/>
        <v/>
      </c>
    </row>
    <row r="1035" spans="1:4" x14ac:dyDescent="0.25">
      <c r="A1035" s="117"/>
      <c r="B1035" s="117"/>
      <c r="D1035" s="2" t="str">
        <f t="shared" si="33"/>
        <v/>
      </c>
    </row>
    <row r="1036" spans="1:4" x14ac:dyDescent="0.25">
      <c r="A1036" s="117"/>
      <c r="B1036" s="117"/>
      <c r="D1036" s="2" t="str">
        <f t="shared" si="33"/>
        <v/>
      </c>
    </row>
    <row r="1037" spans="1:4" x14ac:dyDescent="0.25">
      <c r="A1037" s="117"/>
      <c r="B1037" s="117"/>
      <c r="D1037" s="2" t="str">
        <f t="shared" si="33"/>
        <v/>
      </c>
    </row>
    <row r="1038" spans="1:4" x14ac:dyDescent="0.25">
      <c r="A1038" s="117"/>
      <c r="B1038" s="117"/>
      <c r="D1038" s="2" t="str">
        <f t="shared" si="33"/>
        <v/>
      </c>
    </row>
    <row r="1039" spans="1:4" x14ac:dyDescent="0.25">
      <c r="A1039" s="117"/>
      <c r="B1039" s="117"/>
      <c r="D1039" s="2" t="str">
        <f t="shared" si="33"/>
        <v/>
      </c>
    </row>
    <row r="1040" spans="1:4" x14ac:dyDescent="0.25">
      <c r="A1040" s="117"/>
      <c r="B1040" s="117"/>
      <c r="D1040" s="2" t="str">
        <f t="shared" si="33"/>
        <v/>
      </c>
    </row>
    <row r="1041" spans="1:4" x14ac:dyDescent="0.25">
      <c r="A1041" s="117"/>
      <c r="B1041" s="117"/>
      <c r="D1041" s="2" t="str">
        <f t="shared" si="33"/>
        <v/>
      </c>
    </row>
    <row r="1042" spans="1:4" x14ac:dyDescent="0.25">
      <c r="A1042" s="117"/>
      <c r="B1042" s="117"/>
      <c r="D1042" s="2" t="str">
        <f t="shared" si="33"/>
        <v/>
      </c>
    </row>
    <row r="1043" spans="1:4" x14ac:dyDescent="0.25">
      <c r="A1043" s="117"/>
      <c r="B1043" s="117"/>
      <c r="D1043" s="2" t="str">
        <f t="shared" si="33"/>
        <v/>
      </c>
    </row>
    <row r="1044" spans="1:4" x14ac:dyDescent="0.25">
      <c r="A1044" s="117"/>
      <c r="B1044" s="117"/>
      <c r="D1044" s="2" t="str">
        <f t="shared" si="33"/>
        <v/>
      </c>
    </row>
    <row r="1045" spans="1:4" x14ac:dyDescent="0.25">
      <c r="A1045" s="117"/>
      <c r="B1045" s="117"/>
      <c r="D1045" s="2" t="str">
        <f t="shared" si="33"/>
        <v/>
      </c>
    </row>
    <row r="1046" spans="1:4" x14ac:dyDescent="0.25">
      <c r="A1046" s="117"/>
      <c r="B1046" s="117"/>
      <c r="D1046" s="2" t="str">
        <f t="shared" si="33"/>
        <v/>
      </c>
    </row>
    <row r="1047" spans="1:4" x14ac:dyDescent="0.25">
      <c r="A1047" s="117"/>
      <c r="B1047" s="117"/>
      <c r="D1047" s="2" t="str">
        <f t="shared" si="33"/>
        <v/>
      </c>
    </row>
    <row r="1048" spans="1:4" x14ac:dyDescent="0.25">
      <c r="A1048" s="117"/>
      <c r="B1048" s="117"/>
      <c r="D1048" s="2" t="str">
        <f t="shared" si="33"/>
        <v/>
      </c>
    </row>
    <row r="1049" spans="1:4" x14ac:dyDescent="0.25">
      <c r="A1049" s="117"/>
      <c r="B1049" s="117"/>
      <c r="D1049" s="2" t="str">
        <f t="shared" si="33"/>
        <v/>
      </c>
    </row>
    <row r="1050" spans="1:4" x14ac:dyDescent="0.25">
      <c r="A1050" s="117"/>
      <c r="B1050" s="117"/>
      <c r="D1050" s="2" t="str">
        <f t="shared" si="33"/>
        <v/>
      </c>
    </row>
    <row r="1051" spans="1:4" x14ac:dyDescent="0.25">
      <c r="A1051" s="117"/>
      <c r="B1051" s="117"/>
      <c r="D1051" s="2" t="str">
        <f t="shared" si="33"/>
        <v/>
      </c>
    </row>
    <row r="1052" spans="1:4" x14ac:dyDescent="0.25">
      <c r="A1052" s="117"/>
      <c r="B1052" s="117"/>
      <c r="D1052" s="2" t="str">
        <f t="shared" si="33"/>
        <v/>
      </c>
    </row>
    <row r="1053" spans="1:4" x14ac:dyDescent="0.25">
      <c r="A1053" s="117"/>
      <c r="B1053" s="117"/>
      <c r="D1053" s="2" t="str">
        <f t="shared" si="33"/>
        <v/>
      </c>
    </row>
    <row r="1054" spans="1:4" x14ac:dyDescent="0.25">
      <c r="A1054" s="117"/>
      <c r="B1054" s="117"/>
      <c r="D1054" s="2" t="str">
        <f t="shared" si="33"/>
        <v/>
      </c>
    </row>
    <row r="1055" spans="1:4" x14ac:dyDescent="0.25">
      <c r="A1055" s="117"/>
      <c r="B1055" s="117"/>
      <c r="D1055" s="2" t="str">
        <f t="shared" si="33"/>
        <v/>
      </c>
    </row>
    <row r="1056" spans="1:4" x14ac:dyDescent="0.25">
      <c r="A1056" s="117"/>
      <c r="B1056" s="117"/>
      <c r="D1056" s="2" t="str">
        <f t="shared" si="33"/>
        <v/>
      </c>
    </row>
    <row r="1057" spans="1:4" x14ac:dyDescent="0.25">
      <c r="A1057" s="117"/>
      <c r="B1057" s="117"/>
      <c r="D1057" s="2" t="str">
        <f t="shared" si="33"/>
        <v/>
      </c>
    </row>
    <row r="1058" spans="1:4" x14ac:dyDescent="0.25">
      <c r="A1058" s="117"/>
      <c r="B1058" s="117"/>
      <c r="D1058" s="2" t="str">
        <f t="shared" si="33"/>
        <v/>
      </c>
    </row>
    <row r="1059" spans="1:4" x14ac:dyDescent="0.25">
      <c r="A1059" s="117"/>
      <c r="B1059" s="117"/>
      <c r="D1059" s="2" t="str">
        <f t="shared" si="33"/>
        <v/>
      </c>
    </row>
    <row r="1060" spans="1:4" x14ac:dyDescent="0.25">
      <c r="A1060" s="117"/>
      <c r="B1060" s="117"/>
      <c r="D1060" s="2" t="str">
        <f t="shared" si="33"/>
        <v/>
      </c>
    </row>
    <row r="1061" spans="1:4" x14ac:dyDescent="0.25">
      <c r="A1061" s="117"/>
      <c r="B1061" s="117"/>
      <c r="D1061" s="2" t="str">
        <f t="shared" si="33"/>
        <v/>
      </c>
    </row>
    <row r="1062" spans="1:4" x14ac:dyDescent="0.25">
      <c r="A1062" s="117"/>
      <c r="B1062" s="117"/>
      <c r="D1062" s="2" t="str">
        <f t="shared" si="33"/>
        <v/>
      </c>
    </row>
    <row r="1063" spans="1:4" x14ac:dyDescent="0.25">
      <c r="A1063" s="117"/>
      <c r="B1063" s="117"/>
      <c r="D1063" s="2" t="str">
        <f t="shared" si="33"/>
        <v/>
      </c>
    </row>
    <row r="1064" spans="1:4" x14ac:dyDescent="0.25">
      <c r="A1064" s="117"/>
      <c r="B1064" s="117"/>
      <c r="D1064" s="2" t="str">
        <f t="shared" si="33"/>
        <v/>
      </c>
    </row>
    <row r="1065" spans="1:4" x14ac:dyDescent="0.25">
      <c r="A1065" s="117"/>
      <c r="B1065" s="117"/>
      <c r="D1065" s="2" t="str">
        <f t="shared" si="33"/>
        <v/>
      </c>
    </row>
    <row r="1066" spans="1:4" x14ac:dyDescent="0.25">
      <c r="A1066" s="117"/>
      <c r="B1066" s="117"/>
      <c r="D1066" s="2" t="str">
        <f t="shared" si="33"/>
        <v/>
      </c>
    </row>
    <row r="1067" spans="1:4" x14ac:dyDescent="0.25">
      <c r="A1067" s="117"/>
      <c r="B1067" s="117"/>
      <c r="D1067" s="2" t="str">
        <f t="shared" si="33"/>
        <v/>
      </c>
    </row>
    <row r="1068" spans="1:4" x14ac:dyDescent="0.25">
      <c r="A1068" s="117"/>
      <c r="B1068" s="117"/>
      <c r="D1068" s="2" t="str">
        <f t="shared" si="33"/>
        <v/>
      </c>
    </row>
    <row r="1069" spans="1:4" x14ac:dyDescent="0.25">
      <c r="A1069" s="117"/>
      <c r="B1069" s="117"/>
      <c r="D1069" s="2" t="str">
        <f t="shared" si="33"/>
        <v/>
      </c>
    </row>
    <row r="1070" spans="1:4" x14ac:dyDescent="0.25">
      <c r="A1070" s="117"/>
      <c r="B1070" s="117"/>
      <c r="D1070" s="2" t="str">
        <f t="shared" si="33"/>
        <v/>
      </c>
    </row>
    <row r="1071" spans="1:4" x14ac:dyDescent="0.25">
      <c r="A1071" s="117"/>
      <c r="B1071" s="117"/>
      <c r="D1071" s="2" t="str">
        <f t="shared" si="33"/>
        <v/>
      </c>
    </row>
    <row r="1072" spans="1:4" x14ac:dyDescent="0.25">
      <c r="A1072" s="117"/>
      <c r="B1072" s="117"/>
      <c r="D1072" s="2" t="str">
        <f t="shared" si="33"/>
        <v/>
      </c>
    </row>
    <row r="1073" spans="1:4" x14ac:dyDescent="0.25">
      <c r="A1073" s="117"/>
      <c r="B1073" s="117"/>
      <c r="D1073" s="2" t="str">
        <f t="shared" si="33"/>
        <v/>
      </c>
    </row>
    <row r="1074" spans="1:4" x14ac:dyDescent="0.25">
      <c r="A1074" s="117"/>
      <c r="B1074" s="117"/>
      <c r="D1074" s="2" t="str">
        <f t="shared" si="33"/>
        <v/>
      </c>
    </row>
    <row r="1075" spans="1:4" x14ac:dyDescent="0.25">
      <c r="A1075" s="117"/>
      <c r="B1075" s="117"/>
      <c r="D1075" s="2" t="str">
        <f t="shared" si="33"/>
        <v/>
      </c>
    </row>
    <row r="1076" spans="1:4" x14ac:dyDescent="0.25">
      <c r="A1076" s="117"/>
      <c r="B1076" s="117"/>
      <c r="D1076" s="2" t="str">
        <f t="shared" si="33"/>
        <v/>
      </c>
    </row>
    <row r="1077" spans="1:4" x14ac:dyDescent="0.25">
      <c r="A1077" s="117"/>
      <c r="B1077" s="117"/>
      <c r="D1077" s="2" t="str">
        <f t="shared" si="33"/>
        <v/>
      </c>
    </row>
    <row r="1078" spans="1:4" x14ac:dyDescent="0.25">
      <c r="A1078" s="117"/>
      <c r="B1078" s="117"/>
      <c r="D1078" s="2" t="str">
        <f t="shared" si="33"/>
        <v/>
      </c>
    </row>
    <row r="1079" spans="1:4" x14ac:dyDescent="0.25">
      <c r="A1079" s="117"/>
      <c r="B1079" s="117"/>
      <c r="D1079" s="2" t="str">
        <f t="shared" si="33"/>
        <v/>
      </c>
    </row>
    <row r="1080" spans="1:4" x14ac:dyDescent="0.25">
      <c r="A1080" s="117"/>
      <c r="B1080" s="117"/>
      <c r="D1080" s="2" t="str">
        <f t="shared" si="33"/>
        <v/>
      </c>
    </row>
    <row r="1081" spans="1:4" x14ac:dyDescent="0.25">
      <c r="A1081" s="117"/>
      <c r="B1081" s="117"/>
      <c r="D1081" s="2" t="str">
        <f t="shared" si="33"/>
        <v/>
      </c>
    </row>
    <row r="1082" spans="1:4" x14ac:dyDescent="0.25">
      <c r="A1082" s="117"/>
      <c r="B1082" s="117"/>
      <c r="D1082" s="2" t="str">
        <f t="shared" si="33"/>
        <v/>
      </c>
    </row>
    <row r="1083" spans="1:4" x14ac:dyDescent="0.25">
      <c r="A1083" s="117"/>
      <c r="B1083" s="117"/>
      <c r="D1083" s="2" t="str">
        <f t="shared" si="33"/>
        <v/>
      </c>
    </row>
    <row r="1084" spans="1:4" x14ac:dyDescent="0.25">
      <c r="A1084" s="117"/>
      <c r="B1084" s="117"/>
      <c r="D1084" s="2" t="str">
        <f t="shared" si="33"/>
        <v/>
      </c>
    </row>
    <row r="1085" spans="1:4" x14ac:dyDescent="0.25">
      <c r="A1085" s="117"/>
      <c r="B1085" s="117"/>
      <c r="D1085" s="2" t="str">
        <f t="shared" si="33"/>
        <v/>
      </c>
    </row>
    <row r="1086" spans="1:4" x14ac:dyDescent="0.25">
      <c r="A1086" s="117"/>
      <c r="B1086" s="117"/>
      <c r="D1086" s="2" t="str">
        <f t="shared" si="33"/>
        <v/>
      </c>
    </row>
    <row r="1087" spans="1:4" x14ac:dyDescent="0.25">
      <c r="A1087" s="117"/>
      <c r="B1087" s="117"/>
      <c r="D1087" s="2" t="str">
        <f t="shared" si="33"/>
        <v/>
      </c>
    </row>
    <row r="1088" spans="1:4" x14ac:dyDescent="0.25">
      <c r="A1088" s="117"/>
      <c r="B1088" s="117"/>
      <c r="D1088" s="2" t="str">
        <f t="shared" si="33"/>
        <v/>
      </c>
    </row>
    <row r="1089" spans="1:4" x14ac:dyDescent="0.25">
      <c r="A1089" s="117"/>
      <c r="B1089" s="117"/>
      <c r="D1089" s="2" t="str">
        <f t="shared" si="33"/>
        <v/>
      </c>
    </row>
    <row r="1090" spans="1:4" x14ac:dyDescent="0.25">
      <c r="A1090" s="117"/>
      <c r="B1090" s="117"/>
      <c r="D1090" s="2" t="str">
        <f t="shared" si="33"/>
        <v/>
      </c>
    </row>
    <row r="1091" spans="1:4" x14ac:dyDescent="0.25">
      <c r="A1091" s="117"/>
      <c r="B1091" s="117"/>
      <c r="D1091" s="2" t="str">
        <f t="shared" si="33"/>
        <v/>
      </c>
    </row>
    <row r="1092" spans="1:4" x14ac:dyDescent="0.25">
      <c r="A1092" s="117"/>
      <c r="B1092" s="117"/>
      <c r="D1092" s="2" t="str">
        <f t="shared" ref="D1092:D1155" si="34">IF(ISNUMBER(SEARCH("Full",C1092)),C1092,"")</f>
        <v/>
      </c>
    </row>
    <row r="1093" spans="1:4" x14ac:dyDescent="0.25">
      <c r="A1093" s="117"/>
      <c r="B1093" s="117"/>
      <c r="D1093" s="2" t="str">
        <f t="shared" si="34"/>
        <v/>
      </c>
    </row>
    <row r="1094" spans="1:4" x14ac:dyDescent="0.25">
      <c r="A1094" s="117"/>
      <c r="B1094" s="117"/>
      <c r="D1094" s="2" t="str">
        <f t="shared" si="34"/>
        <v/>
      </c>
    </row>
    <row r="1095" spans="1:4" x14ac:dyDescent="0.25">
      <c r="A1095" s="117"/>
      <c r="B1095" s="117"/>
      <c r="D1095" s="2" t="str">
        <f t="shared" si="34"/>
        <v/>
      </c>
    </row>
    <row r="1096" spans="1:4" x14ac:dyDescent="0.25">
      <c r="A1096" s="117"/>
      <c r="B1096" s="117"/>
      <c r="D1096" s="2" t="str">
        <f t="shared" si="34"/>
        <v/>
      </c>
    </row>
    <row r="1097" spans="1:4" x14ac:dyDescent="0.25">
      <c r="A1097" s="117"/>
      <c r="B1097" s="117"/>
      <c r="D1097" s="2" t="str">
        <f t="shared" si="34"/>
        <v/>
      </c>
    </row>
    <row r="1098" spans="1:4" x14ac:dyDescent="0.25">
      <c r="A1098" s="117"/>
      <c r="B1098" s="117"/>
      <c r="D1098" s="2" t="str">
        <f t="shared" si="34"/>
        <v/>
      </c>
    </row>
    <row r="1099" spans="1:4" x14ac:dyDescent="0.25">
      <c r="A1099" s="117"/>
      <c r="B1099" s="117"/>
      <c r="D1099" s="2" t="str">
        <f t="shared" si="34"/>
        <v/>
      </c>
    </row>
    <row r="1100" spans="1:4" x14ac:dyDescent="0.25">
      <c r="A1100" s="117"/>
      <c r="B1100" s="117"/>
      <c r="D1100" s="2" t="str">
        <f t="shared" si="34"/>
        <v/>
      </c>
    </row>
    <row r="1101" spans="1:4" x14ac:dyDescent="0.25">
      <c r="A1101" s="117"/>
      <c r="B1101" s="117"/>
      <c r="D1101" s="2" t="str">
        <f t="shared" si="34"/>
        <v/>
      </c>
    </row>
    <row r="1102" spans="1:4" x14ac:dyDescent="0.25">
      <c r="A1102" s="117"/>
      <c r="B1102" s="117"/>
      <c r="D1102" s="2" t="str">
        <f t="shared" si="34"/>
        <v/>
      </c>
    </row>
    <row r="1103" spans="1:4" x14ac:dyDescent="0.25">
      <c r="A1103" s="117"/>
      <c r="B1103" s="117"/>
      <c r="D1103" s="2" t="str">
        <f t="shared" si="34"/>
        <v/>
      </c>
    </row>
    <row r="1104" spans="1:4" x14ac:dyDescent="0.25">
      <c r="A1104" s="117"/>
      <c r="B1104" s="117"/>
      <c r="D1104" s="2" t="str">
        <f t="shared" si="34"/>
        <v/>
      </c>
    </row>
    <row r="1105" spans="1:4" x14ac:dyDescent="0.25">
      <c r="A1105" s="117"/>
      <c r="B1105" s="117"/>
      <c r="D1105" s="2" t="str">
        <f t="shared" si="34"/>
        <v/>
      </c>
    </row>
    <row r="1106" spans="1:4" x14ac:dyDescent="0.25">
      <c r="A1106" s="117"/>
      <c r="B1106" s="117"/>
      <c r="D1106" s="2" t="str">
        <f t="shared" si="34"/>
        <v/>
      </c>
    </row>
    <row r="1107" spans="1:4" x14ac:dyDescent="0.25">
      <c r="A1107" s="117"/>
      <c r="B1107" s="117"/>
      <c r="D1107" s="2" t="str">
        <f t="shared" si="34"/>
        <v/>
      </c>
    </row>
    <row r="1108" spans="1:4" x14ac:dyDescent="0.25">
      <c r="A1108" s="117"/>
      <c r="B1108" s="117"/>
      <c r="D1108" s="2" t="str">
        <f t="shared" si="34"/>
        <v/>
      </c>
    </row>
    <row r="1109" spans="1:4" x14ac:dyDescent="0.25">
      <c r="A1109" s="117"/>
      <c r="B1109" s="117"/>
      <c r="D1109" s="2" t="str">
        <f t="shared" si="34"/>
        <v/>
      </c>
    </row>
    <row r="1110" spans="1:4" x14ac:dyDescent="0.25">
      <c r="A1110" s="117"/>
      <c r="B1110" s="117"/>
      <c r="D1110" s="2" t="str">
        <f t="shared" si="34"/>
        <v/>
      </c>
    </row>
    <row r="1111" spans="1:4" x14ac:dyDescent="0.25">
      <c r="A1111" s="117"/>
      <c r="B1111" s="117"/>
      <c r="D1111" s="2" t="str">
        <f t="shared" si="34"/>
        <v/>
      </c>
    </row>
    <row r="1112" spans="1:4" x14ac:dyDescent="0.25">
      <c r="A1112" s="117"/>
      <c r="B1112" s="117"/>
      <c r="D1112" s="2" t="str">
        <f t="shared" si="34"/>
        <v/>
      </c>
    </row>
    <row r="1113" spans="1:4" x14ac:dyDescent="0.25">
      <c r="A1113" s="117"/>
      <c r="B1113" s="117"/>
      <c r="D1113" s="2" t="str">
        <f t="shared" si="34"/>
        <v/>
      </c>
    </row>
    <row r="1114" spans="1:4" x14ac:dyDescent="0.25">
      <c r="A1114" s="117"/>
      <c r="B1114" s="117"/>
      <c r="D1114" s="2" t="str">
        <f t="shared" si="34"/>
        <v/>
      </c>
    </row>
    <row r="1115" spans="1:4" x14ac:dyDescent="0.25">
      <c r="A1115" s="117"/>
      <c r="B1115" s="117"/>
      <c r="D1115" s="2" t="str">
        <f t="shared" si="34"/>
        <v/>
      </c>
    </row>
    <row r="1116" spans="1:4" x14ac:dyDescent="0.25">
      <c r="A1116" s="117"/>
      <c r="B1116" s="117"/>
      <c r="D1116" s="2" t="str">
        <f t="shared" si="34"/>
        <v/>
      </c>
    </row>
    <row r="1117" spans="1:4" x14ac:dyDescent="0.25">
      <c r="A1117" s="117"/>
      <c r="B1117" s="117"/>
      <c r="D1117" s="2" t="str">
        <f t="shared" si="34"/>
        <v/>
      </c>
    </row>
    <row r="1118" spans="1:4" x14ac:dyDescent="0.25">
      <c r="A1118" s="117"/>
      <c r="B1118" s="117"/>
      <c r="D1118" s="2" t="str">
        <f t="shared" si="34"/>
        <v/>
      </c>
    </row>
    <row r="1119" spans="1:4" x14ac:dyDescent="0.25">
      <c r="A1119" s="117"/>
      <c r="B1119" s="117"/>
      <c r="D1119" s="2" t="str">
        <f t="shared" si="34"/>
        <v/>
      </c>
    </row>
    <row r="1120" spans="1:4" x14ac:dyDescent="0.25">
      <c r="A1120" s="117"/>
      <c r="B1120" s="117"/>
      <c r="D1120" s="2" t="str">
        <f t="shared" si="34"/>
        <v/>
      </c>
    </row>
    <row r="1121" spans="1:4" x14ac:dyDescent="0.25">
      <c r="A1121" s="117"/>
      <c r="B1121" s="117"/>
      <c r="D1121" s="2" t="str">
        <f t="shared" si="34"/>
        <v/>
      </c>
    </row>
    <row r="1122" spans="1:4" x14ac:dyDescent="0.25">
      <c r="A1122" s="117"/>
      <c r="B1122" s="117"/>
      <c r="D1122" s="2" t="str">
        <f t="shared" si="34"/>
        <v/>
      </c>
    </row>
    <row r="1123" spans="1:4" x14ac:dyDescent="0.25">
      <c r="A1123" s="117"/>
      <c r="B1123" s="117"/>
      <c r="D1123" s="2" t="str">
        <f t="shared" si="34"/>
        <v/>
      </c>
    </row>
    <row r="1124" spans="1:4" x14ac:dyDescent="0.25">
      <c r="A1124" s="117"/>
      <c r="B1124" s="117"/>
      <c r="D1124" s="2" t="str">
        <f t="shared" si="34"/>
        <v/>
      </c>
    </row>
    <row r="1125" spans="1:4" x14ac:dyDescent="0.25">
      <c r="A1125" s="117"/>
      <c r="B1125" s="117"/>
      <c r="D1125" s="2" t="str">
        <f t="shared" si="34"/>
        <v/>
      </c>
    </row>
    <row r="1126" spans="1:4" x14ac:dyDescent="0.25">
      <c r="A1126" s="117"/>
      <c r="B1126" s="117"/>
      <c r="D1126" s="2" t="str">
        <f t="shared" si="34"/>
        <v/>
      </c>
    </row>
    <row r="1127" spans="1:4" x14ac:dyDescent="0.25">
      <c r="A1127" s="117"/>
      <c r="B1127" s="117"/>
      <c r="D1127" s="2" t="str">
        <f t="shared" si="34"/>
        <v/>
      </c>
    </row>
    <row r="1128" spans="1:4" x14ac:dyDescent="0.25">
      <c r="A1128" s="117"/>
      <c r="B1128" s="117"/>
      <c r="D1128" s="2" t="str">
        <f t="shared" si="34"/>
        <v/>
      </c>
    </row>
    <row r="1129" spans="1:4" x14ac:dyDescent="0.25">
      <c r="A1129" s="117"/>
      <c r="B1129" s="117"/>
      <c r="D1129" s="2" t="str">
        <f t="shared" si="34"/>
        <v/>
      </c>
    </row>
    <row r="1130" spans="1:4" x14ac:dyDescent="0.25">
      <c r="A1130" s="117"/>
      <c r="B1130" s="117"/>
      <c r="D1130" s="2" t="str">
        <f t="shared" si="34"/>
        <v/>
      </c>
    </row>
    <row r="1131" spans="1:4" x14ac:dyDescent="0.25">
      <c r="A1131" s="117"/>
      <c r="B1131" s="117"/>
      <c r="D1131" s="2" t="str">
        <f t="shared" si="34"/>
        <v/>
      </c>
    </row>
    <row r="1132" spans="1:4" x14ac:dyDescent="0.25">
      <c r="A1132" s="117"/>
      <c r="B1132" s="117"/>
      <c r="D1132" s="2" t="str">
        <f t="shared" si="34"/>
        <v/>
      </c>
    </row>
    <row r="1133" spans="1:4" x14ac:dyDescent="0.25">
      <c r="A1133" s="117"/>
      <c r="B1133" s="117"/>
      <c r="D1133" s="2" t="str">
        <f t="shared" si="34"/>
        <v/>
      </c>
    </row>
    <row r="1134" spans="1:4" x14ac:dyDescent="0.25">
      <c r="A1134" s="117"/>
      <c r="B1134" s="117"/>
      <c r="D1134" s="2" t="str">
        <f t="shared" si="34"/>
        <v/>
      </c>
    </row>
    <row r="1135" spans="1:4" x14ac:dyDescent="0.25">
      <c r="A1135" s="117"/>
      <c r="B1135" s="117"/>
      <c r="D1135" s="2" t="str">
        <f t="shared" si="34"/>
        <v/>
      </c>
    </row>
    <row r="1136" spans="1:4" x14ac:dyDescent="0.25">
      <c r="A1136" s="117"/>
      <c r="B1136" s="117"/>
      <c r="D1136" s="2" t="str">
        <f t="shared" si="34"/>
        <v/>
      </c>
    </row>
    <row r="1137" spans="1:4" x14ac:dyDescent="0.25">
      <c r="A1137" s="117"/>
      <c r="B1137" s="117"/>
      <c r="D1137" s="2" t="str">
        <f t="shared" si="34"/>
        <v/>
      </c>
    </row>
    <row r="1138" spans="1:4" x14ac:dyDescent="0.25">
      <c r="A1138" s="117"/>
      <c r="B1138" s="117"/>
      <c r="D1138" s="2" t="str">
        <f t="shared" si="34"/>
        <v/>
      </c>
    </row>
    <row r="1139" spans="1:4" x14ac:dyDescent="0.25">
      <c r="A1139" s="117"/>
      <c r="B1139" s="117"/>
      <c r="D1139" s="2" t="str">
        <f t="shared" si="34"/>
        <v/>
      </c>
    </row>
    <row r="1140" spans="1:4" x14ac:dyDescent="0.25">
      <c r="A1140" s="117"/>
      <c r="B1140" s="117"/>
      <c r="D1140" s="2" t="str">
        <f t="shared" si="34"/>
        <v/>
      </c>
    </row>
    <row r="1141" spans="1:4" x14ac:dyDescent="0.25">
      <c r="A1141" s="117"/>
      <c r="B1141" s="117"/>
      <c r="D1141" s="2" t="str">
        <f t="shared" si="34"/>
        <v/>
      </c>
    </row>
    <row r="1142" spans="1:4" x14ac:dyDescent="0.25">
      <c r="A1142" s="117"/>
      <c r="B1142" s="117"/>
      <c r="D1142" s="2" t="str">
        <f t="shared" si="34"/>
        <v/>
      </c>
    </row>
    <row r="1143" spans="1:4" x14ac:dyDescent="0.25">
      <c r="A1143" s="117"/>
      <c r="B1143" s="117"/>
      <c r="D1143" s="2" t="str">
        <f t="shared" si="34"/>
        <v/>
      </c>
    </row>
    <row r="1144" spans="1:4" x14ac:dyDescent="0.25">
      <c r="A1144" s="117"/>
      <c r="B1144" s="117"/>
      <c r="D1144" s="2" t="str">
        <f t="shared" si="34"/>
        <v/>
      </c>
    </row>
    <row r="1145" spans="1:4" x14ac:dyDescent="0.25">
      <c r="A1145" s="117"/>
      <c r="B1145" s="117"/>
      <c r="D1145" s="2" t="str">
        <f t="shared" si="34"/>
        <v/>
      </c>
    </row>
    <row r="1146" spans="1:4" x14ac:dyDescent="0.25">
      <c r="A1146" s="117"/>
      <c r="B1146" s="117"/>
      <c r="D1146" s="2" t="str">
        <f t="shared" si="34"/>
        <v/>
      </c>
    </row>
    <row r="1147" spans="1:4" x14ac:dyDescent="0.25">
      <c r="A1147" s="117"/>
      <c r="B1147" s="117"/>
      <c r="D1147" s="2" t="str">
        <f t="shared" si="34"/>
        <v/>
      </c>
    </row>
    <row r="1148" spans="1:4" x14ac:dyDescent="0.25">
      <c r="A1148" s="117"/>
      <c r="B1148" s="117"/>
      <c r="D1148" s="2" t="str">
        <f t="shared" si="34"/>
        <v/>
      </c>
    </row>
    <row r="1149" spans="1:4" x14ac:dyDescent="0.25">
      <c r="A1149" s="117"/>
      <c r="B1149" s="117"/>
      <c r="D1149" s="2" t="str">
        <f t="shared" si="34"/>
        <v/>
      </c>
    </row>
    <row r="1150" spans="1:4" x14ac:dyDescent="0.25">
      <c r="A1150" s="117"/>
      <c r="B1150" s="117"/>
      <c r="D1150" s="2" t="str">
        <f t="shared" si="34"/>
        <v/>
      </c>
    </row>
    <row r="1151" spans="1:4" x14ac:dyDescent="0.25">
      <c r="A1151" s="117"/>
      <c r="B1151" s="117"/>
      <c r="D1151" s="2" t="str">
        <f t="shared" si="34"/>
        <v/>
      </c>
    </row>
    <row r="1152" spans="1:4" x14ac:dyDescent="0.25">
      <c r="A1152" s="117"/>
      <c r="B1152" s="117"/>
      <c r="D1152" s="2" t="str">
        <f t="shared" si="34"/>
        <v/>
      </c>
    </row>
    <row r="1153" spans="1:4" x14ac:dyDescent="0.25">
      <c r="A1153" s="117"/>
      <c r="B1153" s="117"/>
      <c r="D1153" s="2" t="str">
        <f t="shared" si="34"/>
        <v/>
      </c>
    </row>
    <row r="1154" spans="1:4" x14ac:dyDescent="0.25">
      <c r="A1154" s="117"/>
      <c r="B1154" s="117"/>
      <c r="D1154" s="2" t="str">
        <f t="shared" si="34"/>
        <v/>
      </c>
    </row>
    <row r="1155" spans="1:4" x14ac:dyDescent="0.25">
      <c r="A1155" s="117"/>
      <c r="B1155" s="117"/>
      <c r="D1155" s="2" t="str">
        <f t="shared" si="34"/>
        <v/>
      </c>
    </row>
    <row r="1156" spans="1:4" x14ac:dyDescent="0.25">
      <c r="A1156" s="117"/>
      <c r="B1156" s="117"/>
      <c r="D1156" s="2" t="str">
        <f t="shared" ref="D1156:D1160" si="35">IF(ISNUMBER(SEARCH("Full",C1156)),C1156,"")</f>
        <v/>
      </c>
    </row>
    <row r="1157" spans="1:4" x14ac:dyDescent="0.25">
      <c r="A1157" s="117"/>
      <c r="B1157" s="117"/>
      <c r="D1157" s="2" t="str">
        <f t="shared" si="35"/>
        <v/>
      </c>
    </row>
    <row r="1158" spans="1:4" x14ac:dyDescent="0.25">
      <c r="A1158" s="117"/>
      <c r="B1158" s="117"/>
      <c r="D1158" s="2" t="str">
        <f t="shared" si="35"/>
        <v/>
      </c>
    </row>
    <row r="1159" spans="1:4" x14ac:dyDescent="0.25">
      <c r="A1159" s="117"/>
      <c r="B1159" s="117"/>
      <c r="D1159" s="2" t="str">
        <f t="shared" si="35"/>
        <v/>
      </c>
    </row>
    <row r="1160" spans="1:4" x14ac:dyDescent="0.25">
      <c r="A1160" s="117"/>
      <c r="B1160" s="117"/>
      <c r="D1160" s="2" t="str">
        <f t="shared" si="35"/>
        <v/>
      </c>
    </row>
  </sheetData>
  <customSheetViews>
    <customSheetView guid="{84F0FDFB-72A1-4214-8B2B-A048953E297B}">
      <pageMargins left="0.7" right="0.7" top="0.75" bottom="0.75" header="0.3" footer="0.3"/>
      <pageSetup orientation="portrait" horizontalDpi="4294967293" verticalDpi="0" r:id="rId1"/>
    </customSheetView>
  </customSheetViews>
  <pageMargins left="0.7" right="0.7" top="0.75" bottom="0.75" header="0.3" footer="0.3"/>
  <pageSetup orientation="portrait" horizontalDpi="4294967293" verticalDpi="0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160"/>
  <sheetViews>
    <sheetView workbookViewId="0">
      <selection activeCell="B1" sqref="B1"/>
    </sheetView>
  </sheetViews>
  <sheetFormatPr defaultRowHeight="15" x14ac:dyDescent="0.25"/>
  <cols>
    <col min="2" max="2" width="116.140625" customWidth="1"/>
  </cols>
  <sheetData>
    <row r="1" spans="1:2" x14ac:dyDescent="0.25">
      <c r="A1" t="s">
        <v>335</v>
      </c>
      <c r="B1" t="str">
        <f>IF($A1&lt;&gt;"",CONCATENATE("get-Childitem K:\1_Capture\",$A1," -recurse -include *.jpg | Move-Item -Destination K:\1_Capture\",$A1),"")</f>
        <v>get-Childitem K:\1_Capture\full - Copy -recurse -include *.jpg | Move-Item -Destination K:\1_Capture\full - Copy</v>
      </c>
    </row>
    <row r="2" spans="1:2" x14ac:dyDescent="0.25">
      <c r="A2" t="s">
        <v>334</v>
      </c>
      <c r="B2" t="str">
        <f t="shared" ref="B2:B65" si="0">IF($A2&lt;&gt;"",CONCATENATE("get-Childitem K:\1_Capture\",$A2," -recurse -include *.jpg | Move-Item -Destination K:\1_Capture\",$A2),"")</f>
        <v>get-Childitem K:\1_Capture\full -recurse -include *.jpg | Move-Item -Destination K:\1_Capture\full</v>
      </c>
    </row>
    <row r="3" spans="1:2" x14ac:dyDescent="0.25">
      <c r="A3" t="s">
        <v>304</v>
      </c>
      <c r="B3" t="str">
        <f t="shared" si="0"/>
        <v/>
      </c>
    </row>
    <row r="4" spans="1:2" x14ac:dyDescent="0.25">
      <c r="A4" t="s">
        <v>304</v>
      </c>
      <c r="B4" t="str">
        <f t="shared" si="0"/>
        <v/>
      </c>
    </row>
    <row r="5" spans="1:2" x14ac:dyDescent="0.25">
      <c r="A5" t="s">
        <v>304</v>
      </c>
      <c r="B5" t="str">
        <f t="shared" si="0"/>
        <v/>
      </c>
    </row>
    <row r="6" spans="1:2" x14ac:dyDescent="0.25">
      <c r="A6" t="s">
        <v>304</v>
      </c>
      <c r="B6" t="str">
        <f t="shared" si="0"/>
        <v/>
      </c>
    </row>
    <row r="7" spans="1:2" x14ac:dyDescent="0.25">
      <c r="A7" t="s">
        <v>304</v>
      </c>
      <c r="B7" t="str">
        <f t="shared" si="0"/>
        <v/>
      </c>
    </row>
    <row r="8" spans="1:2" x14ac:dyDescent="0.25">
      <c r="A8" t="s">
        <v>304</v>
      </c>
      <c r="B8" t="str">
        <f t="shared" si="0"/>
        <v/>
      </c>
    </row>
    <row r="9" spans="1:2" x14ac:dyDescent="0.25">
      <c r="A9" t="s">
        <v>304</v>
      </c>
      <c r="B9" t="str">
        <f t="shared" si="0"/>
        <v/>
      </c>
    </row>
    <row r="10" spans="1:2" x14ac:dyDescent="0.25">
      <c r="A10" t="s">
        <v>304</v>
      </c>
      <c r="B10" t="str">
        <f t="shared" si="0"/>
        <v/>
      </c>
    </row>
    <row r="11" spans="1:2" x14ac:dyDescent="0.25">
      <c r="A11" t="s">
        <v>304</v>
      </c>
      <c r="B11" t="str">
        <f t="shared" si="0"/>
        <v/>
      </c>
    </row>
    <row r="12" spans="1:2" x14ac:dyDescent="0.25">
      <c r="A12" t="s">
        <v>304</v>
      </c>
      <c r="B12" t="str">
        <f t="shared" si="0"/>
        <v/>
      </c>
    </row>
    <row r="13" spans="1:2" x14ac:dyDescent="0.25">
      <c r="A13" t="s">
        <v>304</v>
      </c>
      <c r="B13" t="str">
        <f t="shared" si="0"/>
        <v/>
      </c>
    </row>
    <row r="14" spans="1:2" x14ac:dyDescent="0.25">
      <c r="A14" t="s">
        <v>304</v>
      </c>
      <c r="B14" t="str">
        <f t="shared" si="0"/>
        <v/>
      </c>
    </row>
    <row r="15" spans="1:2" x14ac:dyDescent="0.25">
      <c r="A15" t="s">
        <v>304</v>
      </c>
      <c r="B15" t="str">
        <f t="shared" si="0"/>
        <v/>
      </c>
    </row>
    <row r="16" spans="1:2" x14ac:dyDescent="0.25">
      <c r="A16" t="s">
        <v>304</v>
      </c>
      <c r="B16" t="str">
        <f t="shared" si="0"/>
        <v/>
      </c>
    </row>
    <row r="17" spans="1:2" x14ac:dyDescent="0.25">
      <c r="A17" t="s">
        <v>304</v>
      </c>
      <c r="B17" t="str">
        <f t="shared" si="0"/>
        <v/>
      </c>
    </row>
    <row r="18" spans="1:2" x14ac:dyDescent="0.25">
      <c r="A18" t="s">
        <v>304</v>
      </c>
      <c r="B18" t="str">
        <f t="shared" si="0"/>
        <v/>
      </c>
    </row>
    <row r="19" spans="1:2" x14ac:dyDescent="0.25">
      <c r="A19" t="s">
        <v>304</v>
      </c>
      <c r="B19" t="str">
        <f t="shared" si="0"/>
        <v/>
      </c>
    </row>
    <row r="20" spans="1:2" x14ac:dyDescent="0.25">
      <c r="A20" t="s">
        <v>304</v>
      </c>
      <c r="B20" t="str">
        <f t="shared" si="0"/>
        <v/>
      </c>
    </row>
    <row r="21" spans="1:2" x14ac:dyDescent="0.25">
      <c r="A21" t="s">
        <v>304</v>
      </c>
      <c r="B21" t="str">
        <f t="shared" si="0"/>
        <v/>
      </c>
    </row>
    <row r="22" spans="1:2" x14ac:dyDescent="0.25">
      <c r="A22" t="s">
        <v>304</v>
      </c>
      <c r="B22" t="str">
        <f t="shared" si="0"/>
        <v/>
      </c>
    </row>
    <row r="23" spans="1:2" x14ac:dyDescent="0.25">
      <c r="A23" t="s">
        <v>304</v>
      </c>
      <c r="B23" t="str">
        <f t="shared" si="0"/>
        <v/>
      </c>
    </row>
    <row r="24" spans="1:2" x14ac:dyDescent="0.25">
      <c r="A24" t="s">
        <v>304</v>
      </c>
      <c r="B24" t="str">
        <f t="shared" si="0"/>
        <v/>
      </c>
    </row>
    <row r="25" spans="1:2" x14ac:dyDescent="0.25">
      <c r="A25" t="s">
        <v>304</v>
      </c>
      <c r="B25" t="str">
        <f t="shared" si="0"/>
        <v/>
      </c>
    </row>
    <row r="26" spans="1:2" x14ac:dyDescent="0.25">
      <c r="A26" t="s">
        <v>304</v>
      </c>
      <c r="B26" t="str">
        <f t="shared" si="0"/>
        <v/>
      </c>
    </row>
    <row r="27" spans="1:2" x14ac:dyDescent="0.25">
      <c r="A27" t="s">
        <v>304</v>
      </c>
      <c r="B27" t="str">
        <f t="shared" si="0"/>
        <v/>
      </c>
    </row>
    <row r="28" spans="1:2" x14ac:dyDescent="0.25">
      <c r="A28" t="s">
        <v>304</v>
      </c>
      <c r="B28" t="str">
        <f t="shared" si="0"/>
        <v/>
      </c>
    </row>
    <row r="29" spans="1:2" x14ac:dyDescent="0.25">
      <c r="A29" t="s">
        <v>304</v>
      </c>
      <c r="B29" t="str">
        <f t="shared" si="0"/>
        <v/>
      </c>
    </row>
    <row r="30" spans="1:2" x14ac:dyDescent="0.25">
      <c r="A30" t="s">
        <v>304</v>
      </c>
      <c r="B30" t="str">
        <f t="shared" si="0"/>
        <v/>
      </c>
    </row>
    <row r="31" spans="1:2" x14ac:dyDescent="0.25">
      <c r="A31" t="s">
        <v>304</v>
      </c>
      <c r="B31" t="str">
        <f t="shared" si="0"/>
        <v/>
      </c>
    </row>
    <row r="32" spans="1:2" x14ac:dyDescent="0.25">
      <c r="A32" t="s">
        <v>304</v>
      </c>
      <c r="B32" t="str">
        <f t="shared" si="0"/>
        <v/>
      </c>
    </row>
    <row r="33" spans="1:2" x14ac:dyDescent="0.25">
      <c r="A33" t="s">
        <v>304</v>
      </c>
      <c r="B33" t="str">
        <f t="shared" si="0"/>
        <v/>
      </c>
    </row>
    <row r="34" spans="1:2" x14ac:dyDescent="0.25">
      <c r="A34" t="s">
        <v>304</v>
      </c>
      <c r="B34" t="str">
        <f t="shared" si="0"/>
        <v/>
      </c>
    </row>
    <row r="35" spans="1:2" x14ac:dyDescent="0.25">
      <c r="A35" t="s">
        <v>304</v>
      </c>
      <c r="B35" t="str">
        <f t="shared" si="0"/>
        <v/>
      </c>
    </row>
    <row r="36" spans="1:2" x14ac:dyDescent="0.25">
      <c r="A36" t="s">
        <v>304</v>
      </c>
      <c r="B36" t="str">
        <f t="shared" si="0"/>
        <v/>
      </c>
    </row>
    <row r="37" spans="1:2" x14ac:dyDescent="0.25">
      <c r="A37" t="s">
        <v>304</v>
      </c>
      <c r="B37" t="str">
        <f t="shared" si="0"/>
        <v/>
      </c>
    </row>
    <row r="38" spans="1:2" x14ac:dyDescent="0.25">
      <c r="A38" t="s">
        <v>304</v>
      </c>
      <c r="B38" t="str">
        <f t="shared" si="0"/>
        <v/>
      </c>
    </row>
    <row r="39" spans="1:2" x14ac:dyDescent="0.25">
      <c r="A39" t="s">
        <v>304</v>
      </c>
      <c r="B39" t="str">
        <f t="shared" si="0"/>
        <v/>
      </c>
    </row>
    <row r="40" spans="1:2" x14ac:dyDescent="0.25">
      <c r="A40" t="s">
        <v>304</v>
      </c>
      <c r="B40" t="str">
        <f t="shared" si="0"/>
        <v/>
      </c>
    </row>
    <row r="41" spans="1:2" x14ac:dyDescent="0.25">
      <c r="A41" t="s">
        <v>304</v>
      </c>
      <c r="B41" t="str">
        <f t="shared" si="0"/>
        <v/>
      </c>
    </row>
    <row r="42" spans="1:2" x14ac:dyDescent="0.25">
      <c r="A42" t="s">
        <v>304</v>
      </c>
      <c r="B42" t="str">
        <f t="shared" si="0"/>
        <v/>
      </c>
    </row>
    <row r="43" spans="1:2" x14ac:dyDescent="0.25">
      <c r="A43" t="s">
        <v>304</v>
      </c>
      <c r="B43" t="str">
        <f t="shared" si="0"/>
        <v/>
      </c>
    </row>
    <row r="44" spans="1:2" x14ac:dyDescent="0.25">
      <c r="A44" t="s">
        <v>304</v>
      </c>
      <c r="B44" t="str">
        <f t="shared" si="0"/>
        <v/>
      </c>
    </row>
    <row r="45" spans="1:2" x14ac:dyDescent="0.25">
      <c r="A45" t="s">
        <v>304</v>
      </c>
      <c r="B45" t="str">
        <f t="shared" si="0"/>
        <v/>
      </c>
    </row>
    <row r="46" spans="1:2" x14ac:dyDescent="0.25">
      <c r="A46" t="s">
        <v>304</v>
      </c>
      <c r="B46" t="str">
        <f t="shared" si="0"/>
        <v/>
      </c>
    </row>
    <row r="47" spans="1:2" x14ac:dyDescent="0.25">
      <c r="A47" t="s">
        <v>304</v>
      </c>
      <c r="B47" t="str">
        <f t="shared" si="0"/>
        <v/>
      </c>
    </row>
    <row r="48" spans="1:2" x14ac:dyDescent="0.25">
      <c r="A48" t="s">
        <v>304</v>
      </c>
      <c r="B48" t="str">
        <f t="shared" si="0"/>
        <v/>
      </c>
    </row>
    <row r="49" spans="1:2" x14ac:dyDescent="0.25">
      <c r="A49" t="s">
        <v>304</v>
      </c>
      <c r="B49" t="str">
        <f t="shared" si="0"/>
        <v/>
      </c>
    </row>
    <row r="50" spans="1:2" x14ac:dyDescent="0.25">
      <c r="A50" t="s">
        <v>304</v>
      </c>
      <c r="B50" t="str">
        <f t="shared" si="0"/>
        <v/>
      </c>
    </row>
    <row r="51" spans="1:2" x14ac:dyDescent="0.25">
      <c r="A51" t="s">
        <v>304</v>
      </c>
      <c r="B51" t="str">
        <f t="shared" si="0"/>
        <v/>
      </c>
    </row>
    <row r="52" spans="1:2" x14ac:dyDescent="0.25">
      <c r="A52" t="s">
        <v>304</v>
      </c>
      <c r="B52" t="str">
        <f t="shared" si="0"/>
        <v/>
      </c>
    </row>
    <row r="53" spans="1:2" x14ac:dyDescent="0.25">
      <c r="A53" t="s">
        <v>304</v>
      </c>
      <c r="B53" t="str">
        <f t="shared" si="0"/>
        <v/>
      </c>
    </row>
    <row r="54" spans="1:2" x14ac:dyDescent="0.25">
      <c r="A54" t="s">
        <v>304</v>
      </c>
      <c r="B54" t="str">
        <f t="shared" si="0"/>
        <v/>
      </c>
    </row>
    <row r="55" spans="1:2" x14ac:dyDescent="0.25">
      <c r="A55" t="s">
        <v>304</v>
      </c>
      <c r="B55" t="str">
        <f t="shared" si="0"/>
        <v/>
      </c>
    </row>
    <row r="56" spans="1:2" x14ac:dyDescent="0.25">
      <c r="A56" t="s">
        <v>304</v>
      </c>
      <c r="B56" t="str">
        <f t="shared" si="0"/>
        <v/>
      </c>
    </row>
    <row r="57" spans="1:2" x14ac:dyDescent="0.25">
      <c r="A57" t="s">
        <v>304</v>
      </c>
      <c r="B57" t="str">
        <f t="shared" si="0"/>
        <v/>
      </c>
    </row>
    <row r="58" spans="1:2" x14ac:dyDescent="0.25">
      <c r="A58" t="s">
        <v>304</v>
      </c>
      <c r="B58" t="str">
        <f t="shared" si="0"/>
        <v/>
      </c>
    </row>
    <row r="59" spans="1:2" x14ac:dyDescent="0.25">
      <c r="A59" t="s">
        <v>304</v>
      </c>
      <c r="B59" t="str">
        <f t="shared" si="0"/>
        <v/>
      </c>
    </row>
    <row r="60" spans="1:2" x14ac:dyDescent="0.25">
      <c r="A60" t="s">
        <v>304</v>
      </c>
      <c r="B60" t="str">
        <f t="shared" si="0"/>
        <v/>
      </c>
    </row>
    <row r="61" spans="1:2" x14ac:dyDescent="0.25">
      <c r="A61" t="s">
        <v>304</v>
      </c>
      <c r="B61" t="str">
        <f t="shared" si="0"/>
        <v/>
      </c>
    </row>
    <row r="62" spans="1:2" x14ac:dyDescent="0.25">
      <c r="A62" t="s">
        <v>304</v>
      </c>
      <c r="B62" t="str">
        <f t="shared" si="0"/>
        <v/>
      </c>
    </row>
    <row r="63" spans="1:2" x14ac:dyDescent="0.25">
      <c r="A63" t="s">
        <v>304</v>
      </c>
      <c r="B63" t="str">
        <f t="shared" si="0"/>
        <v/>
      </c>
    </row>
    <row r="64" spans="1:2" x14ac:dyDescent="0.25">
      <c r="A64" t="s">
        <v>304</v>
      </c>
      <c r="B64" t="str">
        <f t="shared" si="0"/>
        <v/>
      </c>
    </row>
    <row r="65" spans="1:2" x14ac:dyDescent="0.25">
      <c r="A65" t="s">
        <v>304</v>
      </c>
      <c r="B65" t="str">
        <f t="shared" si="0"/>
        <v/>
      </c>
    </row>
    <row r="66" spans="1:2" x14ac:dyDescent="0.25">
      <c r="A66" t="s">
        <v>304</v>
      </c>
      <c r="B66" t="str">
        <f t="shared" ref="B66:B129" si="1">IF($A66&lt;&gt;"",CONCATENATE("get-Childitem K:\1_Capture\",$A66," -recurse -include *.jpg | Move-Item -Destination K:\1_Capture\",$A66),"")</f>
        <v/>
      </c>
    </row>
    <row r="67" spans="1:2" x14ac:dyDescent="0.25">
      <c r="A67" t="s">
        <v>304</v>
      </c>
      <c r="B67" t="str">
        <f t="shared" si="1"/>
        <v/>
      </c>
    </row>
    <row r="68" spans="1:2" x14ac:dyDescent="0.25">
      <c r="A68" t="s">
        <v>304</v>
      </c>
      <c r="B68" t="str">
        <f t="shared" si="1"/>
        <v/>
      </c>
    </row>
    <row r="69" spans="1:2" x14ac:dyDescent="0.25">
      <c r="A69" t="s">
        <v>304</v>
      </c>
      <c r="B69" t="str">
        <f t="shared" si="1"/>
        <v/>
      </c>
    </row>
    <row r="70" spans="1:2" x14ac:dyDescent="0.25">
      <c r="A70" t="s">
        <v>304</v>
      </c>
      <c r="B70" t="str">
        <f t="shared" si="1"/>
        <v/>
      </c>
    </row>
    <row r="71" spans="1:2" x14ac:dyDescent="0.25">
      <c r="A71" t="s">
        <v>304</v>
      </c>
      <c r="B71" t="str">
        <f t="shared" si="1"/>
        <v/>
      </c>
    </row>
    <row r="72" spans="1:2" x14ac:dyDescent="0.25">
      <c r="A72" t="s">
        <v>304</v>
      </c>
      <c r="B72" t="str">
        <f t="shared" si="1"/>
        <v/>
      </c>
    </row>
    <row r="73" spans="1:2" x14ac:dyDescent="0.25">
      <c r="A73" t="s">
        <v>304</v>
      </c>
      <c r="B73" t="str">
        <f t="shared" si="1"/>
        <v/>
      </c>
    </row>
    <row r="74" spans="1:2" x14ac:dyDescent="0.25">
      <c r="A74" t="s">
        <v>304</v>
      </c>
      <c r="B74" t="str">
        <f t="shared" si="1"/>
        <v/>
      </c>
    </row>
    <row r="75" spans="1:2" x14ac:dyDescent="0.25">
      <c r="A75" t="s">
        <v>304</v>
      </c>
      <c r="B75" t="str">
        <f t="shared" si="1"/>
        <v/>
      </c>
    </row>
    <row r="76" spans="1:2" x14ac:dyDescent="0.25">
      <c r="A76" t="s">
        <v>304</v>
      </c>
      <c r="B76" t="str">
        <f t="shared" si="1"/>
        <v/>
      </c>
    </row>
    <row r="77" spans="1:2" x14ac:dyDescent="0.25">
      <c r="A77" t="s">
        <v>304</v>
      </c>
      <c r="B77" t="str">
        <f t="shared" si="1"/>
        <v/>
      </c>
    </row>
    <row r="78" spans="1:2" x14ac:dyDescent="0.25">
      <c r="A78" t="s">
        <v>304</v>
      </c>
      <c r="B78" t="str">
        <f t="shared" si="1"/>
        <v/>
      </c>
    </row>
    <row r="79" spans="1:2" x14ac:dyDescent="0.25">
      <c r="A79" t="s">
        <v>304</v>
      </c>
      <c r="B79" t="str">
        <f t="shared" si="1"/>
        <v/>
      </c>
    </row>
    <row r="80" spans="1:2" x14ac:dyDescent="0.25">
      <c r="A80" t="s">
        <v>304</v>
      </c>
      <c r="B80" t="str">
        <f t="shared" si="1"/>
        <v/>
      </c>
    </row>
    <row r="81" spans="1:2" x14ac:dyDescent="0.25">
      <c r="A81" t="s">
        <v>304</v>
      </c>
      <c r="B81" t="str">
        <f t="shared" si="1"/>
        <v/>
      </c>
    </row>
    <row r="82" spans="1:2" x14ac:dyDescent="0.25">
      <c r="A82" t="s">
        <v>304</v>
      </c>
      <c r="B82" t="str">
        <f t="shared" si="1"/>
        <v/>
      </c>
    </row>
    <row r="83" spans="1:2" x14ac:dyDescent="0.25">
      <c r="A83" t="s">
        <v>304</v>
      </c>
      <c r="B83" t="str">
        <f t="shared" si="1"/>
        <v/>
      </c>
    </row>
    <row r="84" spans="1:2" x14ac:dyDescent="0.25">
      <c r="A84" t="s">
        <v>304</v>
      </c>
      <c r="B84" t="str">
        <f t="shared" si="1"/>
        <v/>
      </c>
    </row>
    <row r="85" spans="1:2" x14ac:dyDescent="0.25">
      <c r="A85" t="s">
        <v>304</v>
      </c>
      <c r="B85" t="str">
        <f t="shared" si="1"/>
        <v/>
      </c>
    </row>
    <row r="86" spans="1:2" x14ac:dyDescent="0.25">
      <c r="A86" t="s">
        <v>304</v>
      </c>
      <c r="B86" t="str">
        <f t="shared" si="1"/>
        <v/>
      </c>
    </row>
    <row r="87" spans="1:2" x14ac:dyDescent="0.25">
      <c r="A87" t="s">
        <v>304</v>
      </c>
      <c r="B87" t="str">
        <f t="shared" si="1"/>
        <v/>
      </c>
    </row>
    <row r="88" spans="1:2" x14ac:dyDescent="0.25">
      <c r="A88" t="s">
        <v>304</v>
      </c>
      <c r="B88" t="str">
        <f t="shared" si="1"/>
        <v/>
      </c>
    </row>
    <row r="89" spans="1:2" x14ac:dyDescent="0.25">
      <c r="A89" t="s">
        <v>304</v>
      </c>
      <c r="B89" t="str">
        <f t="shared" si="1"/>
        <v/>
      </c>
    </row>
    <row r="90" spans="1:2" x14ac:dyDescent="0.25">
      <c r="A90" t="s">
        <v>304</v>
      </c>
      <c r="B90" t="str">
        <f t="shared" si="1"/>
        <v/>
      </c>
    </row>
    <row r="91" spans="1:2" x14ac:dyDescent="0.25">
      <c r="A91" t="s">
        <v>304</v>
      </c>
      <c r="B91" t="str">
        <f t="shared" si="1"/>
        <v/>
      </c>
    </row>
    <row r="92" spans="1:2" x14ac:dyDescent="0.25">
      <c r="A92" t="s">
        <v>304</v>
      </c>
      <c r="B92" t="str">
        <f t="shared" si="1"/>
        <v/>
      </c>
    </row>
    <row r="93" spans="1:2" x14ac:dyDescent="0.25">
      <c r="A93" t="s">
        <v>304</v>
      </c>
      <c r="B93" t="str">
        <f t="shared" si="1"/>
        <v/>
      </c>
    </row>
    <row r="94" spans="1:2" x14ac:dyDescent="0.25">
      <c r="A94" t="s">
        <v>304</v>
      </c>
      <c r="B94" t="str">
        <f t="shared" si="1"/>
        <v/>
      </c>
    </row>
    <row r="95" spans="1:2" x14ac:dyDescent="0.25">
      <c r="A95" t="s">
        <v>304</v>
      </c>
      <c r="B95" t="str">
        <f t="shared" si="1"/>
        <v/>
      </c>
    </row>
    <row r="96" spans="1:2" x14ac:dyDescent="0.25">
      <c r="A96" t="s">
        <v>304</v>
      </c>
      <c r="B96" t="str">
        <f t="shared" si="1"/>
        <v/>
      </c>
    </row>
    <row r="97" spans="1:2" x14ac:dyDescent="0.25">
      <c r="A97" t="s">
        <v>304</v>
      </c>
      <c r="B97" t="str">
        <f t="shared" si="1"/>
        <v/>
      </c>
    </row>
    <row r="98" spans="1:2" x14ac:dyDescent="0.25">
      <c r="A98" t="s">
        <v>304</v>
      </c>
      <c r="B98" t="str">
        <f t="shared" si="1"/>
        <v/>
      </c>
    </row>
    <row r="99" spans="1:2" x14ac:dyDescent="0.25">
      <c r="A99" t="s">
        <v>304</v>
      </c>
      <c r="B99" t="str">
        <f t="shared" si="1"/>
        <v/>
      </c>
    </row>
    <row r="100" spans="1:2" x14ac:dyDescent="0.25">
      <c r="A100" t="s">
        <v>304</v>
      </c>
      <c r="B100" t="str">
        <f t="shared" si="1"/>
        <v/>
      </c>
    </row>
    <row r="101" spans="1:2" x14ac:dyDescent="0.25">
      <c r="A101" t="s">
        <v>304</v>
      </c>
      <c r="B101" t="str">
        <f t="shared" si="1"/>
        <v/>
      </c>
    </row>
    <row r="102" spans="1:2" x14ac:dyDescent="0.25">
      <c r="A102" t="s">
        <v>304</v>
      </c>
      <c r="B102" t="str">
        <f t="shared" si="1"/>
        <v/>
      </c>
    </row>
    <row r="103" spans="1:2" x14ac:dyDescent="0.25">
      <c r="A103" t="s">
        <v>304</v>
      </c>
      <c r="B103" t="str">
        <f t="shared" si="1"/>
        <v/>
      </c>
    </row>
    <row r="104" spans="1:2" x14ac:dyDescent="0.25">
      <c r="A104" t="s">
        <v>304</v>
      </c>
      <c r="B104" t="str">
        <f t="shared" si="1"/>
        <v/>
      </c>
    </row>
    <row r="105" spans="1:2" x14ac:dyDescent="0.25">
      <c r="A105" t="s">
        <v>304</v>
      </c>
      <c r="B105" t="str">
        <f t="shared" si="1"/>
        <v/>
      </c>
    </row>
    <row r="106" spans="1:2" x14ac:dyDescent="0.25">
      <c r="A106" t="s">
        <v>304</v>
      </c>
      <c r="B106" t="str">
        <f t="shared" si="1"/>
        <v/>
      </c>
    </row>
    <row r="107" spans="1:2" x14ac:dyDescent="0.25">
      <c r="A107" t="s">
        <v>304</v>
      </c>
      <c r="B107" t="str">
        <f t="shared" si="1"/>
        <v/>
      </c>
    </row>
    <row r="108" spans="1:2" x14ac:dyDescent="0.25">
      <c r="A108" t="s">
        <v>304</v>
      </c>
      <c r="B108" t="str">
        <f t="shared" si="1"/>
        <v/>
      </c>
    </row>
    <row r="109" spans="1:2" x14ac:dyDescent="0.25">
      <c r="A109" t="s">
        <v>304</v>
      </c>
      <c r="B109" t="str">
        <f t="shared" si="1"/>
        <v/>
      </c>
    </row>
    <row r="110" spans="1:2" x14ac:dyDescent="0.25">
      <c r="A110" t="s">
        <v>304</v>
      </c>
      <c r="B110" t="str">
        <f t="shared" si="1"/>
        <v/>
      </c>
    </row>
    <row r="111" spans="1:2" x14ac:dyDescent="0.25">
      <c r="A111" t="s">
        <v>304</v>
      </c>
      <c r="B111" t="str">
        <f t="shared" si="1"/>
        <v/>
      </c>
    </row>
    <row r="112" spans="1:2" x14ac:dyDescent="0.25">
      <c r="A112" t="s">
        <v>304</v>
      </c>
      <c r="B112" t="str">
        <f t="shared" si="1"/>
        <v/>
      </c>
    </row>
    <row r="113" spans="1:2" x14ac:dyDescent="0.25">
      <c r="A113" t="s">
        <v>304</v>
      </c>
      <c r="B113" t="str">
        <f t="shared" si="1"/>
        <v/>
      </c>
    </row>
    <row r="114" spans="1:2" x14ac:dyDescent="0.25">
      <c r="A114" t="s">
        <v>304</v>
      </c>
      <c r="B114" t="str">
        <f t="shared" si="1"/>
        <v/>
      </c>
    </row>
    <row r="115" spans="1:2" x14ac:dyDescent="0.25">
      <c r="A115" t="s">
        <v>304</v>
      </c>
      <c r="B115" t="str">
        <f t="shared" si="1"/>
        <v/>
      </c>
    </row>
    <row r="116" spans="1:2" x14ac:dyDescent="0.25">
      <c r="A116" t="s">
        <v>304</v>
      </c>
      <c r="B116" t="str">
        <f t="shared" si="1"/>
        <v/>
      </c>
    </row>
    <row r="117" spans="1:2" x14ac:dyDescent="0.25">
      <c r="A117" t="s">
        <v>304</v>
      </c>
      <c r="B117" t="str">
        <f t="shared" si="1"/>
        <v/>
      </c>
    </row>
    <row r="118" spans="1:2" x14ac:dyDescent="0.25">
      <c r="A118" t="s">
        <v>304</v>
      </c>
      <c r="B118" t="str">
        <f t="shared" si="1"/>
        <v/>
      </c>
    </row>
    <row r="119" spans="1:2" x14ac:dyDescent="0.25">
      <c r="A119" t="s">
        <v>304</v>
      </c>
      <c r="B119" t="str">
        <f t="shared" si="1"/>
        <v/>
      </c>
    </row>
    <row r="120" spans="1:2" x14ac:dyDescent="0.25">
      <c r="A120" t="s">
        <v>304</v>
      </c>
      <c r="B120" t="str">
        <f t="shared" si="1"/>
        <v/>
      </c>
    </row>
    <row r="121" spans="1:2" x14ac:dyDescent="0.25">
      <c r="A121" t="s">
        <v>304</v>
      </c>
      <c r="B121" t="str">
        <f t="shared" si="1"/>
        <v/>
      </c>
    </row>
    <row r="122" spans="1:2" x14ac:dyDescent="0.25">
      <c r="A122" t="s">
        <v>304</v>
      </c>
      <c r="B122" t="str">
        <f t="shared" si="1"/>
        <v/>
      </c>
    </row>
    <row r="123" spans="1:2" x14ac:dyDescent="0.25">
      <c r="A123" t="s">
        <v>304</v>
      </c>
      <c r="B123" t="str">
        <f t="shared" si="1"/>
        <v/>
      </c>
    </row>
    <row r="124" spans="1:2" x14ac:dyDescent="0.25">
      <c r="A124" t="s">
        <v>304</v>
      </c>
      <c r="B124" t="str">
        <f t="shared" si="1"/>
        <v/>
      </c>
    </row>
    <row r="125" spans="1:2" x14ac:dyDescent="0.25">
      <c r="A125" t="s">
        <v>304</v>
      </c>
      <c r="B125" t="str">
        <f t="shared" si="1"/>
        <v/>
      </c>
    </row>
    <row r="126" spans="1:2" x14ac:dyDescent="0.25">
      <c r="A126" t="s">
        <v>304</v>
      </c>
      <c r="B126" t="str">
        <f t="shared" si="1"/>
        <v/>
      </c>
    </row>
    <row r="127" spans="1:2" x14ac:dyDescent="0.25">
      <c r="A127" t="s">
        <v>304</v>
      </c>
      <c r="B127" t="str">
        <f t="shared" si="1"/>
        <v/>
      </c>
    </row>
    <row r="128" spans="1:2" x14ac:dyDescent="0.25">
      <c r="A128" t="s">
        <v>304</v>
      </c>
      <c r="B128" t="str">
        <f t="shared" si="1"/>
        <v/>
      </c>
    </row>
    <row r="129" spans="1:2" x14ac:dyDescent="0.25">
      <c r="A129" t="s">
        <v>304</v>
      </c>
      <c r="B129" t="str">
        <f t="shared" si="1"/>
        <v/>
      </c>
    </row>
    <row r="130" spans="1:2" x14ac:dyDescent="0.25">
      <c r="A130" t="s">
        <v>304</v>
      </c>
      <c r="B130" t="str">
        <f t="shared" ref="B130:B193" si="2">IF($A130&lt;&gt;"",CONCATENATE("get-Childitem K:\1_Capture\",$A130," -recurse -include *.jpg | Move-Item -Destination K:\1_Capture\",$A130),"")</f>
        <v/>
      </c>
    </row>
    <row r="131" spans="1:2" x14ac:dyDescent="0.25">
      <c r="A131" t="s">
        <v>304</v>
      </c>
      <c r="B131" t="str">
        <f t="shared" si="2"/>
        <v/>
      </c>
    </row>
    <row r="132" spans="1:2" x14ac:dyDescent="0.25">
      <c r="A132" t="s">
        <v>304</v>
      </c>
      <c r="B132" t="str">
        <f t="shared" si="2"/>
        <v/>
      </c>
    </row>
    <row r="133" spans="1:2" x14ac:dyDescent="0.25">
      <c r="A133" t="s">
        <v>304</v>
      </c>
      <c r="B133" t="str">
        <f t="shared" si="2"/>
        <v/>
      </c>
    </row>
    <row r="134" spans="1:2" x14ac:dyDescent="0.25">
      <c r="A134" t="s">
        <v>304</v>
      </c>
      <c r="B134" t="str">
        <f t="shared" si="2"/>
        <v/>
      </c>
    </row>
    <row r="135" spans="1:2" x14ac:dyDescent="0.25">
      <c r="A135" t="s">
        <v>304</v>
      </c>
      <c r="B135" t="str">
        <f t="shared" si="2"/>
        <v/>
      </c>
    </row>
    <row r="136" spans="1:2" x14ac:dyDescent="0.25">
      <c r="A136" t="s">
        <v>304</v>
      </c>
      <c r="B136" t="str">
        <f t="shared" si="2"/>
        <v/>
      </c>
    </row>
    <row r="137" spans="1:2" x14ac:dyDescent="0.25">
      <c r="A137" t="s">
        <v>304</v>
      </c>
      <c r="B137" t="str">
        <f t="shared" si="2"/>
        <v/>
      </c>
    </row>
    <row r="138" spans="1:2" x14ac:dyDescent="0.25">
      <c r="A138" t="s">
        <v>304</v>
      </c>
      <c r="B138" t="str">
        <f t="shared" si="2"/>
        <v/>
      </c>
    </row>
    <row r="139" spans="1:2" x14ac:dyDescent="0.25">
      <c r="A139" t="s">
        <v>304</v>
      </c>
      <c r="B139" t="str">
        <f t="shared" si="2"/>
        <v/>
      </c>
    </row>
    <row r="140" spans="1:2" x14ac:dyDescent="0.25">
      <c r="A140" t="s">
        <v>304</v>
      </c>
      <c r="B140" t="str">
        <f t="shared" si="2"/>
        <v/>
      </c>
    </row>
    <row r="141" spans="1:2" x14ac:dyDescent="0.25">
      <c r="A141" t="s">
        <v>304</v>
      </c>
      <c r="B141" t="str">
        <f t="shared" si="2"/>
        <v/>
      </c>
    </row>
    <row r="142" spans="1:2" x14ac:dyDescent="0.25">
      <c r="A142" t="s">
        <v>304</v>
      </c>
      <c r="B142" t="str">
        <f t="shared" si="2"/>
        <v/>
      </c>
    </row>
    <row r="143" spans="1:2" x14ac:dyDescent="0.25">
      <c r="A143" t="s">
        <v>304</v>
      </c>
      <c r="B143" t="str">
        <f t="shared" si="2"/>
        <v/>
      </c>
    </row>
    <row r="144" spans="1:2" x14ac:dyDescent="0.25">
      <c r="A144" t="s">
        <v>304</v>
      </c>
      <c r="B144" t="str">
        <f t="shared" si="2"/>
        <v/>
      </c>
    </row>
    <row r="145" spans="1:2" x14ac:dyDescent="0.25">
      <c r="A145" t="s">
        <v>304</v>
      </c>
      <c r="B145" t="str">
        <f t="shared" si="2"/>
        <v/>
      </c>
    </row>
    <row r="146" spans="1:2" x14ac:dyDescent="0.25">
      <c r="A146" t="s">
        <v>304</v>
      </c>
      <c r="B146" t="str">
        <f t="shared" si="2"/>
        <v/>
      </c>
    </row>
    <row r="147" spans="1:2" x14ac:dyDescent="0.25">
      <c r="A147" t="s">
        <v>304</v>
      </c>
      <c r="B147" t="str">
        <f t="shared" si="2"/>
        <v/>
      </c>
    </row>
    <row r="148" spans="1:2" x14ac:dyDescent="0.25">
      <c r="A148" t="s">
        <v>304</v>
      </c>
      <c r="B148" t="str">
        <f t="shared" si="2"/>
        <v/>
      </c>
    </row>
    <row r="149" spans="1:2" x14ac:dyDescent="0.25">
      <c r="A149" t="s">
        <v>304</v>
      </c>
      <c r="B149" t="str">
        <f t="shared" si="2"/>
        <v/>
      </c>
    </row>
    <row r="150" spans="1:2" x14ac:dyDescent="0.25">
      <c r="A150" t="s">
        <v>304</v>
      </c>
      <c r="B150" t="str">
        <f t="shared" si="2"/>
        <v/>
      </c>
    </row>
    <row r="151" spans="1:2" x14ac:dyDescent="0.25">
      <c r="A151" t="s">
        <v>304</v>
      </c>
      <c r="B151" t="str">
        <f t="shared" si="2"/>
        <v/>
      </c>
    </row>
    <row r="152" spans="1:2" x14ac:dyDescent="0.25">
      <c r="A152" t="s">
        <v>304</v>
      </c>
      <c r="B152" t="str">
        <f t="shared" si="2"/>
        <v/>
      </c>
    </row>
    <row r="153" spans="1:2" x14ac:dyDescent="0.25">
      <c r="A153" t="s">
        <v>304</v>
      </c>
      <c r="B153" t="str">
        <f t="shared" si="2"/>
        <v/>
      </c>
    </row>
    <row r="154" spans="1:2" x14ac:dyDescent="0.25">
      <c r="A154" t="s">
        <v>304</v>
      </c>
      <c r="B154" t="str">
        <f t="shared" si="2"/>
        <v/>
      </c>
    </row>
    <row r="155" spans="1:2" x14ac:dyDescent="0.25">
      <c r="A155" t="s">
        <v>304</v>
      </c>
      <c r="B155" t="str">
        <f t="shared" si="2"/>
        <v/>
      </c>
    </row>
    <row r="156" spans="1:2" x14ac:dyDescent="0.25">
      <c r="A156" t="s">
        <v>304</v>
      </c>
      <c r="B156" t="str">
        <f t="shared" si="2"/>
        <v/>
      </c>
    </row>
    <row r="157" spans="1:2" x14ac:dyDescent="0.25">
      <c r="A157" t="s">
        <v>304</v>
      </c>
      <c r="B157" t="str">
        <f t="shared" si="2"/>
        <v/>
      </c>
    </row>
    <row r="158" spans="1:2" x14ac:dyDescent="0.25">
      <c r="A158" t="s">
        <v>304</v>
      </c>
      <c r="B158" t="str">
        <f t="shared" si="2"/>
        <v/>
      </c>
    </row>
    <row r="159" spans="1:2" x14ac:dyDescent="0.25">
      <c r="A159" t="s">
        <v>304</v>
      </c>
      <c r="B159" t="str">
        <f t="shared" si="2"/>
        <v/>
      </c>
    </row>
    <row r="160" spans="1:2" x14ac:dyDescent="0.25">
      <c r="A160" t="s">
        <v>304</v>
      </c>
      <c r="B160" t="str">
        <f t="shared" si="2"/>
        <v/>
      </c>
    </row>
    <row r="161" spans="1:2" x14ac:dyDescent="0.25">
      <c r="A161" t="s">
        <v>304</v>
      </c>
      <c r="B161" t="str">
        <f t="shared" si="2"/>
        <v/>
      </c>
    </row>
    <row r="162" spans="1:2" x14ac:dyDescent="0.25">
      <c r="A162" t="s">
        <v>304</v>
      </c>
      <c r="B162" t="str">
        <f t="shared" si="2"/>
        <v/>
      </c>
    </row>
    <row r="163" spans="1:2" x14ac:dyDescent="0.25">
      <c r="A163" t="s">
        <v>304</v>
      </c>
      <c r="B163" t="str">
        <f t="shared" si="2"/>
        <v/>
      </c>
    </row>
    <row r="164" spans="1:2" x14ac:dyDescent="0.25">
      <c r="A164" t="s">
        <v>304</v>
      </c>
      <c r="B164" t="str">
        <f t="shared" si="2"/>
        <v/>
      </c>
    </row>
    <row r="165" spans="1:2" x14ac:dyDescent="0.25">
      <c r="A165" t="s">
        <v>304</v>
      </c>
      <c r="B165" t="str">
        <f t="shared" si="2"/>
        <v/>
      </c>
    </row>
    <row r="166" spans="1:2" x14ac:dyDescent="0.25">
      <c r="A166" t="s">
        <v>304</v>
      </c>
      <c r="B166" t="str">
        <f t="shared" si="2"/>
        <v/>
      </c>
    </row>
    <row r="167" spans="1:2" x14ac:dyDescent="0.25">
      <c r="A167" t="s">
        <v>304</v>
      </c>
      <c r="B167" t="str">
        <f t="shared" si="2"/>
        <v/>
      </c>
    </row>
    <row r="168" spans="1:2" x14ac:dyDescent="0.25">
      <c r="A168" t="s">
        <v>304</v>
      </c>
      <c r="B168" t="str">
        <f t="shared" si="2"/>
        <v/>
      </c>
    </row>
    <row r="169" spans="1:2" x14ac:dyDescent="0.25">
      <c r="A169" t="s">
        <v>304</v>
      </c>
      <c r="B169" t="str">
        <f t="shared" si="2"/>
        <v/>
      </c>
    </row>
    <row r="170" spans="1:2" x14ac:dyDescent="0.25">
      <c r="A170" t="s">
        <v>304</v>
      </c>
      <c r="B170" t="str">
        <f t="shared" si="2"/>
        <v/>
      </c>
    </row>
    <row r="171" spans="1:2" x14ac:dyDescent="0.25">
      <c r="A171" t="s">
        <v>304</v>
      </c>
      <c r="B171" t="str">
        <f t="shared" si="2"/>
        <v/>
      </c>
    </row>
    <row r="172" spans="1:2" x14ac:dyDescent="0.25">
      <c r="A172" t="s">
        <v>304</v>
      </c>
      <c r="B172" t="str">
        <f t="shared" si="2"/>
        <v/>
      </c>
    </row>
    <row r="173" spans="1:2" x14ac:dyDescent="0.25">
      <c r="A173" t="s">
        <v>304</v>
      </c>
      <c r="B173" t="str">
        <f t="shared" si="2"/>
        <v/>
      </c>
    </row>
    <row r="174" spans="1:2" x14ac:dyDescent="0.25">
      <c r="A174" t="s">
        <v>304</v>
      </c>
      <c r="B174" t="str">
        <f t="shared" si="2"/>
        <v/>
      </c>
    </row>
    <row r="175" spans="1:2" x14ac:dyDescent="0.25">
      <c r="A175" t="s">
        <v>304</v>
      </c>
      <c r="B175" t="str">
        <f t="shared" si="2"/>
        <v/>
      </c>
    </row>
    <row r="176" spans="1:2" x14ac:dyDescent="0.25">
      <c r="A176" t="s">
        <v>304</v>
      </c>
      <c r="B176" t="str">
        <f t="shared" si="2"/>
        <v/>
      </c>
    </row>
    <row r="177" spans="1:2" x14ac:dyDescent="0.25">
      <c r="A177" t="s">
        <v>304</v>
      </c>
      <c r="B177" t="str">
        <f t="shared" si="2"/>
        <v/>
      </c>
    </row>
    <row r="178" spans="1:2" x14ac:dyDescent="0.25">
      <c r="A178" t="s">
        <v>304</v>
      </c>
      <c r="B178" t="str">
        <f t="shared" si="2"/>
        <v/>
      </c>
    </row>
    <row r="179" spans="1:2" x14ac:dyDescent="0.25">
      <c r="A179" t="s">
        <v>304</v>
      </c>
      <c r="B179" t="str">
        <f t="shared" si="2"/>
        <v/>
      </c>
    </row>
    <row r="180" spans="1:2" x14ac:dyDescent="0.25">
      <c r="A180" t="s">
        <v>304</v>
      </c>
      <c r="B180" t="str">
        <f t="shared" si="2"/>
        <v/>
      </c>
    </row>
    <row r="181" spans="1:2" x14ac:dyDescent="0.25">
      <c r="A181" t="s">
        <v>304</v>
      </c>
      <c r="B181" t="str">
        <f t="shared" si="2"/>
        <v/>
      </c>
    </row>
    <row r="182" spans="1:2" x14ac:dyDescent="0.25">
      <c r="A182" t="s">
        <v>304</v>
      </c>
      <c r="B182" t="str">
        <f t="shared" si="2"/>
        <v/>
      </c>
    </row>
    <row r="183" spans="1:2" x14ac:dyDescent="0.25">
      <c r="A183" t="s">
        <v>304</v>
      </c>
      <c r="B183" t="str">
        <f t="shared" si="2"/>
        <v/>
      </c>
    </row>
    <row r="184" spans="1:2" x14ac:dyDescent="0.25">
      <c r="A184" t="s">
        <v>304</v>
      </c>
      <c r="B184" t="str">
        <f t="shared" si="2"/>
        <v/>
      </c>
    </row>
    <row r="185" spans="1:2" x14ac:dyDescent="0.25">
      <c r="A185" t="s">
        <v>304</v>
      </c>
      <c r="B185" t="str">
        <f t="shared" si="2"/>
        <v/>
      </c>
    </row>
    <row r="186" spans="1:2" x14ac:dyDescent="0.25">
      <c r="A186" t="s">
        <v>304</v>
      </c>
      <c r="B186" t="str">
        <f t="shared" si="2"/>
        <v/>
      </c>
    </row>
    <row r="187" spans="1:2" x14ac:dyDescent="0.25">
      <c r="A187" t="s">
        <v>304</v>
      </c>
      <c r="B187" t="str">
        <f t="shared" si="2"/>
        <v/>
      </c>
    </row>
    <row r="188" spans="1:2" x14ac:dyDescent="0.25">
      <c r="A188" t="s">
        <v>304</v>
      </c>
      <c r="B188" t="str">
        <f t="shared" si="2"/>
        <v/>
      </c>
    </row>
    <row r="189" spans="1:2" x14ac:dyDescent="0.25">
      <c r="A189" t="s">
        <v>304</v>
      </c>
      <c r="B189" t="str">
        <f t="shared" si="2"/>
        <v/>
      </c>
    </row>
    <row r="190" spans="1:2" x14ac:dyDescent="0.25">
      <c r="A190" t="s">
        <v>304</v>
      </c>
      <c r="B190" t="str">
        <f t="shared" si="2"/>
        <v/>
      </c>
    </row>
    <row r="191" spans="1:2" x14ac:dyDescent="0.25">
      <c r="A191" t="s">
        <v>304</v>
      </c>
      <c r="B191" t="str">
        <f t="shared" si="2"/>
        <v/>
      </c>
    </row>
    <row r="192" spans="1:2" x14ac:dyDescent="0.25">
      <c r="A192" t="s">
        <v>304</v>
      </c>
      <c r="B192" t="str">
        <f t="shared" si="2"/>
        <v/>
      </c>
    </row>
    <row r="193" spans="1:2" x14ac:dyDescent="0.25">
      <c r="A193" t="s">
        <v>304</v>
      </c>
      <c r="B193" t="str">
        <f t="shared" si="2"/>
        <v/>
      </c>
    </row>
    <row r="194" spans="1:2" x14ac:dyDescent="0.25">
      <c r="A194" t="s">
        <v>304</v>
      </c>
      <c r="B194" t="str">
        <f t="shared" ref="B194:B257" si="3">IF($A194&lt;&gt;"",CONCATENATE("get-Childitem K:\1_Capture\",$A194," -recurse -include *.jpg | Move-Item -Destination K:\1_Capture\",$A194),"")</f>
        <v/>
      </c>
    </row>
    <row r="195" spans="1:2" x14ac:dyDescent="0.25">
      <c r="A195" t="s">
        <v>304</v>
      </c>
      <c r="B195" t="str">
        <f t="shared" si="3"/>
        <v/>
      </c>
    </row>
    <row r="196" spans="1:2" x14ac:dyDescent="0.25">
      <c r="A196" t="s">
        <v>304</v>
      </c>
      <c r="B196" t="str">
        <f t="shared" si="3"/>
        <v/>
      </c>
    </row>
    <row r="197" spans="1:2" x14ac:dyDescent="0.25">
      <c r="A197" t="s">
        <v>304</v>
      </c>
      <c r="B197" t="str">
        <f t="shared" si="3"/>
        <v/>
      </c>
    </row>
    <row r="198" spans="1:2" x14ac:dyDescent="0.25">
      <c r="A198" t="s">
        <v>304</v>
      </c>
      <c r="B198" t="str">
        <f t="shared" si="3"/>
        <v/>
      </c>
    </row>
    <row r="199" spans="1:2" x14ac:dyDescent="0.25">
      <c r="A199" t="s">
        <v>304</v>
      </c>
      <c r="B199" t="str">
        <f t="shared" si="3"/>
        <v/>
      </c>
    </row>
    <row r="200" spans="1:2" x14ac:dyDescent="0.25">
      <c r="A200" t="s">
        <v>304</v>
      </c>
      <c r="B200" t="str">
        <f t="shared" si="3"/>
        <v/>
      </c>
    </row>
    <row r="201" spans="1:2" x14ac:dyDescent="0.25">
      <c r="A201" t="s">
        <v>304</v>
      </c>
      <c r="B201" t="str">
        <f t="shared" si="3"/>
        <v/>
      </c>
    </row>
    <row r="202" spans="1:2" x14ac:dyDescent="0.25">
      <c r="A202" t="s">
        <v>304</v>
      </c>
      <c r="B202" t="str">
        <f t="shared" si="3"/>
        <v/>
      </c>
    </row>
    <row r="203" spans="1:2" x14ac:dyDescent="0.25">
      <c r="A203" t="s">
        <v>304</v>
      </c>
      <c r="B203" t="str">
        <f t="shared" si="3"/>
        <v/>
      </c>
    </row>
    <row r="204" spans="1:2" x14ac:dyDescent="0.25">
      <c r="A204" t="s">
        <v>304</v>
      </c>
      <c r="B204" t="str">
        <f t="shared" si="3"/>
        <v/>
      </c>
    </row>
    <row r="205" spans="1:2" x14ac:dyDescent="0.25">
      <c r="A205" t="s">
        <v>304</v>
      </c>
      <c r="B205" t="str">
        <f t="shared" si="3"/>
        <v/>
      </c>
    </row>
    <row r="206" spans="1:2" x14ac:dyDescent="0.25">
      <c r="A206" t="s">
        <v>304</v>
      </c>
      <c r="B206" t="str">
        <f t="shared" si="3"/>
        <v/>
      </c>
    </row>
    <row r="207" spans="1:2" x14ac:dyDescent="0.25">
      <c r="A207" t="s">
        <v>304</v>
      </c>
      <c r="B207" t="str">
        <f t="shared" si="3"/>
        <v/>
      </c>
    </row>
    <row r="208" spans="1:2" x14ac:dyDescent="0.25">
      <c r="A208" t="s">
        <v>304</v>
      </c>
      <c r="B208" t="str">
        <f t="shared" si="3"/>
        <v/>
      </c>
    </row>
    <row r="209" spans="1:2" x14ac:dyDescent="0.25">
      <c r="A209" t="s">
        <v>304</v>
      </c>
      <c r="B209" t="str">
        <f t="shared" si="3"/>
        <v/>
      </c>
    </row>
    <row r="210" spans="1:2" x14ac:dyDescent="0.25">
      <c r="A210" t="s">
        <v>304</v>
      </c>
      <c r="B210" t="str">
        <f t="shared" si="3"/>
        <v/>
      </c>
    </row>
    <row r="211" spans="1:2" x14ac:dyDescent="0.25">
      <c r="A211" t="s">
        <v>304</v>
      </c>
      <c r="B211" t="str">
        <f t="shared" si="3"/>
        <v/>
      </c>
    </row>
    <row r="212" spans="1:2" x14ac:dyDescent="0.25">
      <c r="A212" t="s">
        <v>304</v>
      </c>
      <c r="B212" t="str">
        <f t="shared" si="3"/>
        <v/>
      </c>
    </row>
    <row r="213" spans="1:2" x14ac:dyDescent="0.25">
      <c r="A213" t="s">
        <v>304</v>
      </c>
      <c r="B213" t="str">
        <f t="shared" si="3"/>
        <v/>
      </c>
    </row>
    <row r="214" spans="1:2" x14ac:dyDescent="0.25">
      <c r="A214" t="s">
        <v>304</v>
      </c>
      <c r="B214" t="str">
        <f t="shared" si="3"/>
        <v/>
      </c>
    </row>
    <row r="215" spans="1:2" x14ac:dyDescent="0.25">
      <c r="A215" t="s">
        <v>304</v>
      </c>
      <c r="B215" t="str">
        <f t="shared" si="3"/>
        <v/>
      </c>
    </row>
    <row r="216" spans="1:2" x14ac:dyDescent="0.25">
      <c r="A216" t="s">
        <v>304</v>
      </c>
      <c r="B216" t="str">
        <f t="shared" si="3"/>
        <v/>
      </c>
    </row>
    <row r="217" spans="1:2" x14ac:dyDescent="0.25">
      <c r="A217" t="s">
        <v>304</v>
      </c>
      <c r="B217" t="str">
        <f t="shared" si="3"/>
        <v/>
      </c>
    </row>
    <row r="218" spans="1:2" x14ac:dyDescent="0.25">
      <c r="A218" t="s">
        <v>304</v>
      </c>
      <c r="B218" t="str">
        <f t="shared" si="3"/>
        <v/>
      </c>
    </row>
    <row r="219" spans="1:2" x14ac:dyDescent="0.25">
      <c r="A219" t="s">
        <v>304</v>
      </c>
      <c r="B219" t="str">
        <f t="shared" si="3"/>
        <v/>
      </c>
    </row>
    <row r="220" spans="1:2" x14ac:dyDescent="0.25">
      <c r="A220" t="s">
        <v>304</v>
      </c>
      <c r="B220" t="str">
        <f t="shared" si="3"/>
        <v/>
      </c>
    </row>
    <row r="221" spans="1:2" x14ac:dyDescent="0.25">
      <c r="A221" t="s">
        <v>304</v>
      </c>
      <c r="B221" t="str">
        <f t="shared" si="3"/>
        <v/>
      </c>
    </row>
    <row r="222" spans="1:2" x14ac:dyDescent="0.25">
      <c r="A222" t="s">
        <v>304</v>
      </c>
      <c r="B222" t="str">
        <f t="shared" si="3"/>
        <v/>
      </c>
    </row>
    <row r="223" spans="1:2" x14ac:dyDescent="0.25">
      <c r="A223" t="s">
        <v>304</v>
      </c>
      <c r="B223" t="str">
        <f t="shared" si="3"/>
        <v/>
      </c>
    </row>
    <row r="224" spans="1:2" x14ac:dyDescent="0.25">
      <c r="A224" t="s">
        <v>304</v>
      </c>
      <c r="B224" t="str">
        <f t="shared" si="3"/>
        <v/>
      </c>
    </row>
    <row r="225" spans="1:2" x14ac:dyDescent="0.25">
      <c r="A225" t="s">
        <v>304</v>
      </c>
      <c r="B225" t="str">
        <f t="shared" si="3"/>
        <v/>
      </c>
    </row>
    <row r="226" spans="1:2" x14ac:dyDescent="0.25">
      <c r="A226" t="s">
        <v>304</v>
      </c>
      <c r="B226" t="str">
        <f t="shared" si="3"/>
        <v/>
      </c>
    </row>
    <row r="227" spans="1:2" x14ac:dyDescent="0.25">
      <c r="A227" t="s">
        <v>304</v>
      </c>
      <c r="B227" t="str">
        <f t="shared" si="3"/>
        <v/>
      </c>
    </row>
    <row r="228" spans="1:2" x14ac:dyDescent="0.25">
      <c r="A228" t="s">
        <v>304</v>
      </c>
      <c r="B228" t="str">
        <f t="shared" si="3"/>
        <v/>
      </c>
    </row>
    <row r="229" spans="1:2" x14ac:dyDescent="0.25">
      <c r="A229" t="s">
        <v>304</v>
      </c>
      <c r="B229" t="str">
        <f t="shared" si="3"/>
        <v/>
      </c>
    </row>
    <row r="230" spans="1:2" x14ac:dyDescent="0.25">
      <c r="A230" t="s">
        <v>304</v>
      </c>
      <c r="B230" t="str">
        <f t="shared" si="3"/>
        <v/>
      </c>
    </row>
    <row r="231" spans="1:2" x14ac:dyDescent="0.25">
      <c r="A231" t="s">
        <v>304</v>
      </c>
      <c r="B231" t="str">
        <f t="shared" si="3"/>
        <v/>
      </c>
    </row>
    <row r="232" spans="1:2" x14ac:dyDescent="0.25">
      <c r="A232" t="s">
        <v>304</v>
      </c>
      <c r="B232" t="str">
        <f t="shared" si="3"/>
        <v/>
      </c>
    </row>
    <row r="233" spans="1:2" x14ac:dyDescent="0.25">
      <c r="A233" t="s">
        <v>304</v>
      </c>
      <c r="B233" t="str">
        <f t="shared" si="3"/>
        <v/>
      </c>
    </row>
    <row r="234" spans="1:2" x14ac:dyDescent="0.25">
      <c r="A234" t="s">
        <v>304</v>
      </c>
      <c r="B234" t="str">
        <f t="shared" si="3"/>
        <v/>
      </c>
    </row>
    <row r="235" spans="1:2" x14ac:dyDescent="0.25">
      <c r="A235" t="s">
        <v>304</v>
      </c>
      <c r="B235" t="str">
        <f t="shared" si="3"/>
        <v/>
      </c>
    </row>
    <row r="236" spans="1:2" x14ac:dyDescent="0.25">
      <c r="A236" t="s">
        <v>304</v>
      </c>
      <c r="B236" t="str">
        <f t="shared" si="3"/>
        <v/>
      </c>
    </row>
    <row r="237" spans="1:2" x14ac:dyDescent="0.25">
      <c r="A237" t="s">
        <v>304</v>
      </c>
      <c r="B237" t="str">
        <f t="shared" si="3"/>
        <v/>
      </c>
    </row>
    <row r="238" spans="1:2" x14ac:dyDescent="0.25">
      <c r="A238" t="s">
        <v>304</v>
      </c>
      <c r="B238" t="str">
        <f t="shared" si="3"/>
        <v/>
      </c>
    </row>
    <row r="239" spans="1:2" x14ac:dyDescent="0.25">
      <c r="A239" t="s">
        <v>304</v>
      </c>
      <c r="B239" t="str">
        <f t="shared" si="3"/>
        <v/>
      </c>
    </row>
    <row r="240" spans="1:2" x14ac:dyDescent="0.25">
      <c r="A240" t="s">
        <v>304</v>
      </c>
      <c r="B240" t="str">
        <f t="shared" si="3"/>
        <v/>
      </c>
    </row>
    <row r="241" spans="1:2" x14ac:dyDescent="0.25">
      <c r="A241" t="s">
        <v>304</v>
      </c>
      <c r="B241" t="str">
        <f t="shared" si="3"/>
        <v/>
      </c>
    </row>
    <row r="242" spans="1:2" x14ac:dyDescent="0.25">
      <c r="A242" t="s">
        <v>304</v>
      </c>
      <c r="B242" t="str">
        <f t="shared" si="3"/>
        <v/>
      </c>
    </row>
    <row r="243" spans="1:2" x14ac:dyDescent="0.25">
      <c r="A243" t="s">
        <v>304</v>
      </c>
      <c r="B243" t="str">
        <f t="shared" si="3"/>
        <v/>
      </c>
    </row>
    <row r="244" spans="1:2" x14ac:dyDescent="0.25">
      <c r="A244" t="s">
        <v>304</v>
      </c>
      <c r="B244" t="str">
        <f t="shared" si="3"/>
        <v/>
      </c>
    </row>
    <row r="245" spans="1:2" x14ac:dyDescent="0.25">
      <c r="A245" t="s">
        <v>304</v>
      </c>
      <c r="B245" t="str">
        <f t="shared" si="3"/>
        <v/>
      </c>
    </row>
    <row r="246" spans="1:2" x14ac:dyDescent="0.25">
      <c r="A246" t="s">
        <v>304</v>
      </c>
      <c r="B246" t="str">
        <f t="shared" si="3"/>
        <v/>
      </c>
    </row>
    <row r="247" spans="1:2" x14ac:dyDescent="0.25">
      <c r="A247" t="s">
        <v>304</v>
      </c>
      <c r="B247" t="str">
        <f t="shared" si="3"/>
        <v/>
      </c>
    </row>
    <row r="248" spans="1:2" x14ac:dyDescent="0.25">
      <c r="A248" t="s">
        <v>304</v>
      </c>
      <c r="B248" t="str">
        <f t="shared" si="3"/>
        <v/>
      </c>
    </row>
    <row r="249" spans="1:2" x14ac:dyDescent="0.25">
      <c r="A249" t="s">
        <v>304</v>
      </c>
      <c r="B249" t="str">
        <f t="shared" si="3"/>
        <v/>
      </c>
    </row>
    <row r="250" spans="1:2" x14ac:dyDescent="0.25">
      <c r="A250" t="s">
        <v>304</v>
      </c>
      <c r="B250" t="str">
        <f t="shared" si="3"/>
        <v/>
      </c>
    </row>
    <row r="251" spans="1:2" x14ac:dyDescent="0.25">
      <c r="A251" t="s">
        <v>304</v>
      </c>
      <c r="B251" t="str">
        <f t="shared" si="3"/>
        <v/>
      </c>
    </row>
    <row r="252" spans="1:2" x14ac:dyDescent="0.25">
      <c r="A252" t="s">
        <v>304</v>
      </c>
      <c r="B252" t="str">
        <f t="shared" si="3"/>
        <v/>
      </c>
    </row>
    <row r="253" spans="1:2" x14ac:dyDescent="0.25">
      <c r="A253" t="s">
        <v>304</v>
      </c>
      <c r="B253" t="str">
        <f t="shared" si="3"/>
        <v/>
      </c>
    </row>
    <row r="254" spans="1:2" x14ac:dyDescent="0.25">
      <c r="A254" t="s">
        <v>304</v>
      </c>
      <c r="B254" t="str">
        <f t="shared" si="3"/>
        <v/>
      </c>
    </row>
    <row r="255" spans="1:2" x14ac:dyDescent="0.25">
      <c r="A255" t="s">
        <v>304</v>
      </c>
      <c r="B255" t="str">
        <f t="shared" si="3"/>
        <v/>
      </c>
    </row>
    <row r="256" spans="1:2" x14ac:dyDescent="0.25">
      <c r="A256" t="s">
        <v>304</v>
      </c>
      <c r="B256" t="str">
        <f t="shared" si="3"/>
        <v/>
      </c>
    </row>
    <row r="257" spans="1:2" x14ac:dyDescent="0.25">
      <c r="A257" t="s">
        <v>304</v>
      </c>
      <c r="B257" t="str">
        <f t="shared" si="3"/>
        <v/>
      </c>
    </row>
    <row r="258" spans="1:2" x14ac:dyDescent="0.25">
      <c r="A258" t="s">
        <v>304</v>
      </c>
      <c r="B258" t="str">
        <f t="shared" ref="B258:B321" si="4">IF($A258&lt;&gt;"",CONCATENATE("get-Childitem K:\1_Capture\",$A258," -recurse -include *.jpg | Move-Item -Destination K:\1_Capture\",$A258),"")</f>
        <v/>
      </c>
    </row>
    <row r="259" spans="1:2" x14ac:dyDescent="0.25">
      <c r="A259" t="s">
        <v>304</v>
      </c>
      <c r="B259" t="str">
        <f t="shared" si="4"/>
        <v/>
      </c>
    </row>
    <row r="260" spans="1:2" x14ac:dyDescent="0.25">
      <c r="A260" t="s">
        <v>304</v>
      </c>
      <c r="B260" t="str">
        <f t="shared" si="4"/>
        <v/>
      </c>
    </row>
    <row r="261" spans="1:2" x14ac:dyDescent="0.25">
      <c r="A261" t="s">
        <v>304</v>
      </c>
      <c r="B261" t="str">
        <f t="shared" si="4"/>
        <v/>
      </c>
    </row>
    <row r="262" spans="1:2" x14ac:dyDescent="0.25">
      <c r="A262" t="s">
        <v>304</v>
      </c>
      <c r="B262" t="str">
        <f t="shared" si="4"/>
        <v/>
      </c>
    </row>
    <row r="263" spans="1:2" x14ac:dyDescent="0.25">
      <c r="A263" t="s">
        <v>304</v>
      </c>
      <c r="B263" t="str">
        <f t="shared" si="4"/>
        <v/>
      </c>
    </row>
    <row r="264" spans="1:2" x14ac:dyDescent="0.25">
      <c r="A264" t="s">
        <v>304</v>
      </c>
      <c r="B264" t="str">
        <f t="shared" si="4"/>
        <v/>
      </c>
    </row>
    <row r="265" spans="1:2" x14ac:dyDescent="0.25">
      <c r="A265" t="s">
        <v>304</v>
      </c>
      <c r="B265" t="str">
        <f t="shared" si="4"/>
        <v/>
      </c>
    </row>
    <row r="266" spans="1:2" x14ac:dyDescent="0.25">
      <c r="A266" t="s">
        <v>304</v>
      </c>
      <c r="B266" t="str">
        <f t="shared" si="4"/>
        <v/>
      </c>
    </row>
    <row r="267" spans="1:2" x14ac:dyDescent="0.25">
      <c r="A267" t="s">
        <v>304</v>
      </c>
      <c r="B267" t="str">
        <f t="shared" si="4"/>
        <v/>
      </c>
    </row>
    <row r="268" spans="1:2" x14ac:dyDescent="0.25">
      <c r="A268" t="s">
        <v>304</v>
      </c>
      <c r="B268" t="str">
        <f t="shared" si="4"/>
        <v/>
      </c>
    </row>
    <row r="269" spans="1:2" x14ac:dyDescent="0.25">
      <c r="A269" t="s">
        <v>304</v>
      </c>
      <c r="B269" t="str">
        <f t="shared" si="4"/>
        <v/>
      </c>
    </row>
    <row r="270" spans="1:2" x14ac:dyDescent="0.25">
      <c r="A270" t="s">
        <v>304</v>
      </c>
      <c r="B270" t="str">
        <f t="shared" si="4"/>
        <v/>
      </c>
    </row>
    <row r="271" spans="1:2" x14ac:dyDescent="0.25">
      <c r="A271" t="s">
        <v>304</v>
      </c>
      <c r="B271" t="str">
        <f t="shared" si="4"/>
        <v/>
      </c>
    </row>
    <row r="272" spans="1:2" x14ac:dyDescent="0.25">
      <c r="A272" t="s">
        <v>304</v>
      </c>
      <c r="B272" t="str">
        <f t="shared" si="4"/>
        <v/>
      </c>
    </row>
    <row r="273" spans="1:2" x14ac:dyDescent="0.25">
      <c r="A273" t="s">
        <v>304</v>
      </c>
      <c r="B273" t="str">
        <f t="shared" si="4"/>
        <v/>
      </c>
    </row>
    <row r="274" spans="1:2" x14ac:dyDescent="0.25">
      <c r="A274" t="s">
        <v>304</v>
      </c>
      <c r="B274" t="str">
        <f t="shared" si="4"/>
        <v/>
      </c>
    </row>
    <row r="275" spans="1:2" x14ac:dyDescent="0.25">
      <c r="A275" t="s">
        <v>304</v>
      </c>
      <c r="B275" t="str">
        <f t="shared" si="4"/>
        <v/>
      </c>
    </row>
    <row r="276" spans="1:2" x14ac:dyDescent="0.25">
      <c r="A276" t="s">
        <v>304</v>
      </c>
      <c r="B276" t="str">
        <f t="shared" si="4"/>
        <v/>
      </c>
    </row>
    <row r="277" spans="1:2" x14ac:dyDescent="0.25">
      <c r="A277" t="s">
        <v>304</v>
      </c>
      <c r="B277" t="str">
        <f t="shared" si="4"/>
        <v/>
      </c>
    </row>
    <row r="278" spans="1:2" x14ac:dyDescent="0.25">
      <c r="A278" t="s">
        <v>304</v>
      </c>
      <c r="B278" t="str">
        <f t="shared" si="4"/>
        <v/>
      </c>
    </row>
    <row r="279" spans="1:2" x14ac:dyDescent="0.25">
      <c r="A279" t="s">
        <v>304</v>
      </c>
      <c r="B279" t="str">
        <f t="shared" si="4"/>
        <v/>
      </c>
    </row>
    <row r="280" spans="1:2" x14ac:dyDescent="0.25">
      <c r="A280" t="s">
        <v>304</v>
      </c>
      <c r="B280" t="str">
        <f t="shared" si="4"/>
        <v/>
      </c>
    </row>
    <row r="281" spans="1:2" x14ac:dyDescent="0.25">
      <c r="A281" t="s">
        <v>304</v>
      </c>
      <c r="B281" t="str">
        <f t="shared" si="4"/>
        <v/>
      </c>
    </row>
    <row r="282" spans="1:2" x14ac:dyDescent="0.25">
      <c r="A282" t="s">
        <v>304</v>
      </c>
      <c r="B282" t="str">
        <f t="shared" si="4"/>
        <v/>
      </c>
    </row>
    <row r="283" spans="1:2" x14ac:dyDescent="0.25">
      <c r="A283" t="s">
        <v>304</v>
      </c>
      <c r="B283" t="str">
        <f t="shared" si="4"/>
        <v/>
      </c>
    </row>
    <row r="284" spans="1:2" x14ac:dyDescent="0.25">
      <c r="A284" t="s">
        <v>304</v>
      </c>
      <c r="B284" t="str">
        <f t="shared" si="4"/>
        <v/>
      </c>
    </row>
    <row r="285" spans="1:2" x14ac:dyDescent="0.25">
      <c r="A285" t="s">
        <v>304</v>
      </c>
      <c r="B285" t="str">
        <f t="shared" si="4"/>
        <v/>
      </c>
    </row>
    <row r="286" spans="1:2" x14ac:dyDescent="0.25">
      <c r="A286" t="s">
        <v>304</v>
      </c>
      <c r="B286" t="str">
        <f t="shared" si="4"/>
        <v/>
      </c>
    </row>
    <row r="287" spans="1:2" x14ac:dyDescent="0.25">
      <c r="A287" t="s">
        <v>304</v>
      </c>
      <c r="B287" t="str">
        <f t="shared" si="4"/>
        <v/>
      </c>
    </row>
    <row r="288" spans="1:2" x14ac:dyDescent="0.25">
      <c r="A288" t="s">
        <v>304</v>
      </c>
      <c r="B288" t="str">
        <f t="shared" si="4"/>
        <v/>
      </c>
    </row>
    <row r="289" spans="1:2" x14ac:dyDescent="0.25">
      <c r="A289" t="s">
        <v>304</v>
      </c>
      <c r="B289" t="str">
        <f t="shared" si="4"/>
        <v/>
      </c>
    </row>
    <row r="290" spans="1:2" x14ac:dyDescent="0.25">
      <c r="A290" t="s">
        <v>304</v>
      </c>
      <c r="B290" t="str">
        <f t="shared" si="4"/>
        <v/>
      </c>
    </row>
    <row r="291" spans="1:2" x14ac:dyDescent="0.25">
      <c r="A291" t="s">
        <v>304</v>
      </c>
      <c r="B291" t="str">
        <f t="shared" si="4"/>
        <v/>
      </c>
    </row>
    <row r="292" spans="1:2" x14ac:dyDescent="0.25">
      <c r="A292" t="s">
        <v>304</v>
      </c>
      <c r="B292" t="str">
        <f t="shared" si="4"/>
        <v/>
      </c>
    </row>
    <row r="293" spans="1:2" x14ac:dyDescent="0.25">
      <c r="A293" t="s">
        <v>304</v>
      </c>
      <c r="B293" t="str">
        <f t="shared" si="4"/>
        <v/>
      </c>
    </row>
    <row r="294" spans="1:2" x14ac:dyDescent="0.25">
      <c r="A294" t="s">
        <v>304</v>
      </c>
      <c r="B294" t="str">
        <f t="shared" si="4"/>
        <v/>
      </c>
    </row>
    <row r="295" spans="1:2" x14ac:dyDescent="0.25">
      <c r="A295" t="s">
        <v>304</v>
      </c>
      <c r="B295" t="str">
        <f t="shared" si="4"/>
        <v/>
      </c>
    </row>
    <row r="296" spans="1:2" x14ac:dyDescent="0.25">
      <c r="A296" t="s">
        <v>304</v>
      </c>
      <c r="B296" t="str">
        <f t="shared" si="4"/>
        <v/>
      </c>
    </row>
    <row r="297" spans="1:2" x14ac:dyDescent="0.25">
      <c r="A297" t="s">
        <v>304</v>
      </c>
      <c r="B297" t="str">
        <f t="shared" si="4"/>
        <v/>
      </c>
    </row>
    <row r="298" spans="1:2" x14ac:dyDescent="0.25">
      <c r="A298" t="s">
        <v>304</v>
      </c>
      <c r="B298" t="str">
        <f t="shared" si="4"/>
        <v/>
      </c>
    </row>
    <row r="299" spans="1:2" x14ac:dyDescent="0.25">
      <c r="A299" t="s">
        <v>304</v>
      </c>
      <c r="B299" t="str">
        <f t="shared" si="4"/>
        <v/>
      </c>
    </row>
    <row r="300" spans="1:2" x14ac:dyDescent="0.25">
      <c r="A300" t="s">
        <v>304</v>
      </c>
      <c r="B300" t="str">
        <f t="shared" si="4"/>
        <v/>
      </c>
    </row>
    <row r="301" spans="1:2" x14ac:dyDescent="0.25">
      <c r="A301" t="s">
        <v>304</v>
      </c>
      <c r="B301" t="str">
        <f t="shared" si="4"/>
        <v/>
      </c>
    </row>
    <row r="302" spans="1:2" x14ac:dyDescent="0.25">
      <c r="A302" t="s">
        <v>304</v>
      </c>
      <c r="B302" t="str">
        <f t="shared" si="4"/>
        <v/>
      </c>
    </row>
    <row r="303" spans="1:2" x14ac:dyDescent="0.25">
      <c r="A303" t="s">
        <v>304</v>
      </c>
      <c r="B303" t="str">
        <f t="shared" si="4"/>
        <v/>
      </c>
    </row>
    <row r="304" spans="1:2" x14ac:dyDescent="0.25">
      <c r="A304" t="s">
        <v>304</v>
      </c>
      <c r="B304" t="str">
        <f t="shared" si="4"/>
        <v/>
      </c>
    </row>
    <row r="305" spans="1:2" x14ac:dyDescent="0.25">
      <c r="A305" t="s">
        <v>304</v>
      </c>
      <c r="B305" t="str">
        <f t="shared" si="4"/>
        <v/>
      </c>
    </row>
    <row r="306" spans="1:2" x14ac:dyDescent="0.25">
      <c r="A306" t="s">
        <v>304</v>
      </c>
      <c r="B306" t="str">
        <f t="shared" si="4"/>
        <v/>
      </c>
    </row>
    <row r="307" spans="1:2" x14ac:dyDescent="0.25">
      <c r="A307" t="s">
        <v>304</v>
      </c>
      <c r="B307" t="str">
        <f t="shared" si="4"/>
        <v/>
      </c>
    </row>
    <row r="308" spans="1:2" x14ac:dyDescent="0.25">
      <c r="A308" t="s">
        <v>304</v>
      </c>
      <c r="B308" t="str">
        <f t="shared" si="4"/>
        <v/>
      </c>
    </row>
    <row r="309" spans="1:2" x14ac:dyDescent="0.25">
      <c r="A309" t="s">
        <v>304</v>
      </c>
      <c r="B309" t="str">
        <f t="shared" si="4"/>
        <v/>
      </c>
    </row>
    <row r="310" spans="1:2" x14ac:dyDescent="0.25">
      <c r="A310" t="s">
        <v>304</v>
      </c>
      <c r="B310" t="str">
        <f t="shared" si="4"/>
        <v/>
      </c>
    </row>
    <row r="311" spans="1:2" x14ac:dyDescent="0.25">
      <c r="A311" t="s">
        <v>304</v>
      </c>
      <c r="B311" t="str">
        <f t="shared" si="4"/>
        <v/>
      </c>
    </row>
    <row r="312" spans="1:2" x14ac:dyDescent="0.25">
      <c r="A312" t="s">
        <v>304</v>
      </c>
      <c r="B312" t="str">
        <f t="shared" si="4"/>
        <v/>
      </c>
    </row>
    <row r="313" spans="1:2" x14ac:dyDescent="0.25">
      <c r="A313" t="s">
        <v>304</v>
      </c>
      <c r="B313" t="str">
        <f t="shared" si="4"/>
        <v/>
      </c>
    </row>
    <row r="314" spans="1:2" x14ac:dyDescent="0.25">
      <c r="A314" t="s">
        <v>304</v>
      </c>
      <c r="B314" t="str">
        <f t="shared" si="4"/>
        <v/>
      </c>
    </row>
    <row r="315" spans="1:2" x14ac:dyDescent="0.25">
      <c r="A315" t="s">
        <v>304</v>
      </c>
      <c r="B315" t="str">
        <f t="shared" si="4"/>
        <v/>
      </c>
    </row>
    <row r="316" spans="1:2" x14ac:dyDescent="0.25">
      <c r="A316" t="s">
        <v>304</v>
      </c>
      <c r="B316" t="str">
        <f t="shared" si="4"/>
        <v/>
      </c>
    </row>
    <row r="317" spans="1:2" x14ac:dyDescent="0.25">
      <c r="A317" t="s">
        <v>304</v>
      </c>
      <c r="B317" t="str">
        <f t="shared" si="4"/>
        <v/>
      </c>
    </row>
    <row r="318" spans="1:2" x14ac:dyDescent="0.25">
      <c r="A318" t="s">
        <v>304</v>
      </c>
      <c r="B318" t="str">
        <f t="shared" si="4"/>
        <v/>
      </c>
    </row>
    <row r="319" spans="1:2" x14ac:dyDescent="0.25">
      <c r="A319" t="s">
        <v>304</v>
      </c>
      <c r="B319" t="str">
        <f t="shared" si="4"/>
        <v/>
      </c>
    </row>
    <row r="320" spans="1:2" x14ac:dyDescent="0.25">
      <c r="A320" t="s">
        <v>304</v>
      </c>
      <c r="B320" t="str">
        <f t="shared" si="4"/>
        <v/>
      </c>
    </row>
    <row r="321" spans="1:2" x14ac:dyDescent="0.25">
      <c r="A321" t="s">
        <v>304</v>
      </c>
      <c r="B321" t="str">
        <f t="shared" si="4"/>
        <v/>
      </c>
    </row>
    <row r="322" spans="1:2" x14ac:dyDescent="0.25">
      <c r="A322" t="s">
        <v>304</v>
      </c>
      <c r="B322" t="str">
        <f t="shared" ref="B322:B385" si="5">IF($A322&lt;&gt;"",CONCATENATE("get-Childitem K:\1_Capture\",$A322," -recurse -include *.jpg | Move-Item -Destination K:\1_Capture\",$A322),"")</f>
        <v/>
      </c>
    </row>
    <row r="323" spans="1:2" x14ac:dyDescent="0.25">
      <c r="A323" t="s">
        <v>304</v>
      </c>
      <c r="B323" t="str">
        <f t="shared" si="5"/>
        <v/>
      </c>
    </row>
    <row r="324" spans="1:2" x14ac:dyDescent="0.25">
      <c r="A324" t="s">
        <v>304</v>
      </c>
      <c r="B324" t="str">
        <f t="shared" si="5"/>
        <v/>
      </c>
    </row>
    <row r="325" spans="1:2" x14ac:dyDescent="0.25">
      <c r="A325" t="s">
        <v>304</v>
      </c>
      <c r="B325" t="str">
        <f t="shared" si="5"/>
        <v/>
      </c>
    </row>
    <row r="326" spans="1:2" x14ac:dyDescent="0.25">
      <c r="A326" t="s">
        <v>304</v>
      </c>
      <c r="B326" t="str">
        <f t="shared" si="5"/>
        <v/>
      </c>
    </row>
    <row r="327" spans="1:2" x14ac:dyDescent="0.25">
      <c r="A327" t="s">
        <v>304</v>
      </c>
      <c r="B327" t="str">
        <f t="shared" si="5"/>
        <v/>
      </c>
    </row>
    <row r="328" spans="1:2" x14ac:dyDescent="0.25">
      <c r="A328" t="s">
        <v>304</v>
      </c>
      <c r="B328" t="str">
        <f t="shared" si="5"/>
        <v/>
      </c>
    </row>
    <row r="329" spans="1:2" x14ac:dyDescent="0.25">
      <c r="A329" t="s">
        <v>304</v>
      </c>
      <c r="B329" t="str">
        <f t="shared" si="5"/>
        <v/>
      </c>
    </row>
    <row r="330" spans="1:2" x14ac:dyDescent="0.25">
      <c r="A330" t="s">
        <v>304</v>
      </c>
      <c r="B330" t="str">
        <f t="shared" si="5"/>
        <v/>
      </c>
    </row>
    <row r="331" spans="1:2" x14ac:dyDescent="0.25">
      <c r="A331" t="s">
        <v>304</v>
      </c>
      <c r="B331" t="str">
        <f t="shared" si="5"/>
        <v/>
      </c>
    </row>
    <row r="332" spans="1:2" x14ac:dyDescent="0.25">
      <c r="A332" t="s">
        <v>304</v>
      </c>
      <c r="B332" t="str">
        <f t="shared" si="5"/>
        <v/>
      </c>
    </row>
    <row r="333" spans="1:2" x14ac:dyDescent="0.25">
      <c r="A333" t="s">
        <v>304</v>
      </c>
      <c r="B333" t="str">
        <f t="shared" si="5"/>
        <v/>
      </c>
    </row>
    <row r="334" spans="1:2" x14ac:dyDescent="0.25">
      <c r="A334" t="s">
        <v>304</v>
      </c>
      <c r="B334" t="str">
        <f t="shared" si="5"/>
        <v/>
      </c>
    </row>
    <row r="335" spans="1:2" x14ac:dyDescent="0.25">
      <c r="A335" t="s">
        <v>304</v>
      </c>
      <c r="B335" t="str">
        <f t="shared" si="5"/>
        <v/>
      </c>
    </row>
    <row r="336" spans="1:2" x14ac:dyDescent="0.25">
      <c r="A336" t="s">
        <v>304</v>
      </c>
      <c r="B336" t="str">
        <f t="shared" si="5"/>
        <v/>
      </c>
    </row>
    <row r="337" spans="1:2" x14ac:dyDescent="0.25">
      <c r="A337" t="s">
        <v>304</v>
      </c>
      <c r="B337" t="str">
        <f t="shared" si="5"/>
        <v/>
      </c>
    </row>
    <row r="338" spans="1:2" x14ac:dyDescent="0.25">
      <c r="A338" t="s">
        <v>304</v>
      </c>
      <c r="B338" t="str">
        <f t="shared" si="5"/>
        <v/>
      </c>
    </row>
    <row r="339" spans="1:2" x14ac:dyDescent="0.25">
      <c r="A339" t="s">
        <v>304</v>
      </c>
      <c r="B339" t="str">
        <f t="shared" si="5"/>
        <v/>
      </c>
    </row>
    <row r="340" spans="1:2" x14ac:dyDescent="0.25">
      <c r="A340" t="s">
        <v>304</v>
      </c>
      <c r="B340" t="str">
        <f t="shared" si="5"/>
        <v/>
      </c>
    </row>
    <row r="341" spans="1:2" x14ac:dyDescent="0.25">
      <c r="A341" t="s">
        <v>304</v>
      </c>
      <c r="B341" t="str">
        <f t="shared" si="5"/>
        <v/>
      </c>
    </row>
    <row r="342" spans="1:2" x14ac:dyDescent="0.25">
      <c r="A342" t="s">
        <v>304</v>
      </c>
      <c r="B342" t="str">
        <f t="shared" si="5"/>
        <v/>
      </c>
    </row>
    <row r="343" spans="1:2" x14ac:dyDescent="0.25">
      <c r="A343" t="s">
        <v>304</v>
      </c>
      <c r="B343" t="str">
        <f t="shared" si="5"/>
        <v/>
      </c>
    </row>
    <row r="344" spans="1:2" x14ac:dyDescent="0.25">
      <c r="A344" t="s">
        <v>304</v>
      </c>
      <c r="B344" t="str">
        <f t="shared" si="5"/>
        <v/>
      </c>
    </row>
    <row r="345" spans="1:2" x14ac:dyDescent="0.25">
      <c r="A345" t="s">
        <v>304</v>
      </c>
      <c r="B345" t="str">
        <f t="shared" si="5"/>
        <v/>
      </c>
    </row>
    <row r="346" spans="1:2" x14ac:dyDescent="0.25">
      <c r="A346" t="s">
        <v>304</v>
      </c>
      <c r="B346" t="str">
        <f t="shared" si="5"/>
        <v/>
      </c>
    </row>
    <row r="347" spans="1:2" x14ac:dyDescent="0.25">
      <c r="A347" t="s">
        <v>304</v>
      </c>
      <c r="B347" t="str">
        <f t="shared" si="5"/>
        <v/>
      </c>
    </row>
    <row r="348" spans="1:2" x14ac:dyDescent="0.25">
      <c r="A348" t="s">
        <v>304</v>
      </c>
      <c r="B348" t="str">
        <f t="shared" si="5"/>
        <v/>
      </c>
    </row>
    <row r="349" spans="1:2" x14ac:dyDescent="0.25">
      <c r="A349" t="s">
        <v>304</v>
      </c>
      <c r="B349" t="str">
        <f t="shared" si="5"/>
        <v/>
      </c>
    </row>
    <row r="350" spans="1:2" x14ac:dyDescent="0.25">
      <c r="A350" t="s">
        <v>304</v>
      </c>
      <c r="B350" t="str">
        <f t="shared" si="5"/>
        <v/>
      </c>
    </row>
    <row r="351" spans="1:2" x14ac:dyDescent="0.25">
      <c r="A351" t="s">
        <v>304</v>
      </c>
      <c r="B351" t="str">
        <f t="shared" si="5"/>
        <v/>
      </c>
    </row>
    <row r="352" spans="1:2" x14ac:dyDescent="0.25">
      <c r="A352" t="s">
        <v>304</v>
      </c>
      <c r="B352" t="str">
        <f t="shared" si="5"/>
        <v/>
      </c>
    </row>
    <row r="353" spans="1:2" x14ac:dyDescent="0.25">
      <c r="A353" t="s">
        <v>304</v>
      </c>
      <c r="B353" t="str">
        <f t="shared" si="5"/>
        <v/>
      </c>
    </row>
    <row r="354" spans="1:2" x14ac:dyDescent="0.25">
      <c r="A354" t="s">
        <v>304</v>
      </c>
      <c r="B354" t="str">
        <f t="shared" si="5"/>
        <v/>
      </c>
    </row>
    <row r="355" spans="1:2" x14ac:dyDescent="0.25">
      <c r="A355" t="s">
        <v>304</v>
      </c>
      <c r="B355" t="str">
        <f t="shared" si="5"/>
        <v/>
      </c>
    </row>
    <row r="356" spans="1:2" x14ac:dyDescent="0.25">
      <c r="A356" t="s">
        <v>304</v>
      </c>
      <c r="B356" t="str">
        <f t="shared" si="5"/>
        <v/>
      </c>
    </row>
    <row r="357" spans="1:2" x14ac:dyDescent="0.25">
      <c r="A357" t="s">
        <v>304</v>
      </c>
      <c r="B357" t="str">
        <f t="shared" si="5"/>
        <v/>
      </c>
    </row>
    <row r="358" spans="1:2" x14ac:dyDescent="0.25">
      <c r="A358" t="s">
        <v>304</v>
      </c>
      <c r="B358" t="str">
        <f t="shared" si="5"/>
        <v/>
      </c>
    </row>
    <row r="359" spans="1:2" x14ac:dyDescent="0.25">
      <c r="A359" t="s">
        <v>304</v>
      </c>
      <c r="B359" t="str">
        <f t="shared" si="5"/>
        <v/>
      </c>
    </row>
    <row r="360" spans="1:2" x14ac:dyDescent="0.25">
      <c r="A360" t="s">
        <v>304</v>
      </c>
      <c r="B360" t="str">
        <f t="shared" si="5"/>
        <v/>
      </c>
    </row>
    <row r="361" spans="1:2" x14ac:dyDescent="0.25">
      <c r="A361" t="s">
        <v>304</v>
      </c>
      <c r="B361" t="str">
        <f t="shared" si="5"/>
        <v/>
      </c>
    </row>
    <row r="362" spans="1:2" x14ac:dyDescent="0.25">
      <c r="A362" t="s">
        <v>304</v>
      </c>
      <c r="B362" t="str">
        <f t="shared" si="5"/>
        <v/>
      </c>
    </row>
    <row r="363" spans="1:2" x14ac:dyDescent="0.25">
      <c r="A363" t="s">
        <v>304</v>
      </c>
      <c r="B363" t="str">
        <f t="shared" si="5"/>
        <v/>
      </c>
    </row>
    <row r="364" spans="1:2" x14ac:dyDescent="0.25">
      <c r="A364" t="s">
        <v>304</v>
      </c>
      <c r="B364" t="str">
        <f t="shared" si="5"/>
        <v/>
      </c>
    </row>
    <row r="365" spans="1:2" x14ac:dyDescent="0.25">
      <c r="A365" t="s">
        <v>304</v>
      </c>
      <c r="B365" t="str">
        <f t="shared" si="5"/>
        <v/>
      </c>
    </row>
    <row r="366" spans="1:2" x14ac:dyDescent="0.25">
      <c r="A366" t="s">
        <v>304</v>
      </c>
      <c r="B366" t="str">
        <f t="shared" si="5"/>
        <v/>
      </c>
    </row>
    <row r="367" spans="1:2" x14ac:dyDescent="0.25">
      <c r="A367" t="s">
        <v>304</v>
      </c>
      <c r="B367" t="str">
        <f t="shared" si="5"/>
        <v/>
      </c>
    </row>
    <row r="368" spans="1:2" x14ac:dyDescent="0.25">
      <c r="A368" t="s">
        <v>304</v>
      </c>
      <c r="B368" t="str">
        <f t="shared" si="5"/>
        <v/>
      </c>
    </row>
    <row r="369" spans="1:2" x14ac:dyDescent="0.25">
      <c r="A369" t="s">
        <v>304</v>
      </c>
      <c r="B369" t="str">
        <f t="shared" si="5"/>
        <v/>
      </c>
    </row>
    <row r="370" spans="1:2" x14ac:dyDescent="0.25">
      <c r="A370" t="s">
        <v>304</v>
      </c>
      <c r="B370" t="str">
        <f t="shared" si="5"/>
        <v/>
      </c>
    </row>
    <row r="371" spans="1:2" x14ac:dyDescent="0.25">
      <c r="A371" t="s">
        <v>304</v>
      </c>
      <c r="B371" t="str">
        <f t="shared" si="5"/>
        <v/>
      </c>
    </row>
    <row r="372" spans="1:2" x14ac:dyDescent="0.25">
      <c r="A372" t="s">
        <v>304</v>
      </c>
      <c r="B372" t="str">
        <f t="shared" si="5"/>
        <v/>
      </c>
    </row>
    <row r="373" spans="1:2" x14ac:dyDescent="0.25">
      <c r="A373" t="s">
        <v>304</v>
      </c>
      <c r="B373" t="str">
        <f t="shared" si="5"/>
        <v/>
      </c>
    </row>
    <row r="374" spans="1:2" x14ac:dyDescent="0.25">
      <c r="A374" t="s">
        <v>304</v>
      </c>
      <c r="B374" t="str">
        <f t="shared" si="5"/>
        <v/>
      </c>
    </row>
    <row r="375" spans="1:2" x14ac:dyDescent="0.25">
      <c r="A375" t="s">
        <v>304</v>
      </c>
      <c r="B375" t="str">
        <f t="shared" si="5"/>
        <v/>
      </c>
    </row>
    <row r="376" spans="1:2" x14ac:dyDescent="0.25">
      <c r="A376" t="s">
        <v>304</v>
      </c>
      <c r="B376" t="str">
        <f t="shared" si="5"/>
        <v/>
      </c>
    </row>
    <row r="377" spans="1:2" x14ac:dyDescent="0.25">
      <c r="A377" t="s">
        <v>304</v>
      </c>
      <c r="B377" t="str">
        <f t="shared" si="5"/>
        <v/>
      </c>
    </row>
    <row r="378" spans="1:2" x14ac:dyDescent="0.25">
      <c r="A378" t="s">
        <v>304</v>
      </c>
      <c r="B378" t="str">
        <f t="shared" si="5"/>
        <v/>
      </c>
    </row>
    <row r="379" spans="1:2" x14ac:dyDescent="0.25">
      <c r="A379" t="s">
        <v>304</v>
      </c>
      <c r="B379" t="str">
        <f t="shared" si="5"/>
        <v/>
      </c>
    </row>
    <row r="380" spans="1:2" x14ac:dyDescent="0.25">
      <c r="A380" t="s">
        <v>304</v>
      </c>
      <c r="B380" t="str">
        <f t="shared" si="5"/>
        <v/>
      </c>
    </row>
    <row r="381" spans="1:2" x14ac:dyDescent="0.25">
      <c r="A381" t="s">
        <v>304</v>
      </c>
      <c r="B381" t="str">
        <f t="shared" si="5"/>
        <v/>
      </c>
    </row>
    <row r="382" spans="1:2" x14ac:dyDescent="0.25">
      <c r="A382" t="s">
        <v>304</v>
      </c>
      <c r="B382" t="str">
        <f t="shared" si="5"/>
        <v/>
      </c>
    </row>
    <row r="383" spans="1:2" x14ac:dyDescent="0.25">
      <c r="A383" t="s">
        <v>304</v>
      </c>
      <c r="B383" t="str">
        <f t="shared" si="5"/>
        <v/>
      </c>
    </row>
    <row r="384" spans="1:2" x14ac:dyDescent="0.25">
      <c r="A384" t="s">
        <v>304</v>
      </c>
      <c r="B384" t="str">
        <f t="shared" si="5"/>
        <v/>
      </c>
    </row>
    <row r="385" spans="1:2" x14ac:dyDescent="0.25">
      <c r="A385" t="s">
        <v>304</v>
      </c>
      <c r="B385" t="str">
        <f t="shared" si="5"/>
        <v/>
      </c>
    </row>
    <row r="386" spans="1:2" x14ac:dyDescent="0.25">
      <c r="A386" t="s">
        <v>304</v>
      </c>
      <c r="B386" t="str">
        <f t="shared" ref="B386:B449" si="6">IF($A386&lt;&gt;"",CONCATENATE("get-Childitem K:\1_Capture\",$A386," -recurse -include *.jpg | Move-Item -Destination K:\1_Capture\",$A386),"")</f>
        <v/>
      </c>
    </row>
    <row r="387" spans="1:2" x14ac:dyDescent="0.25">
      <c r="A387" t="s">
        <v>304</v>
      </c>
      <c r="B387" t="str">
        <f t="shared" si="6"/>
        <v/>
      </c>
    </row>
    <row r="388" spans="1:2" x14ac:dyDescent="0.25">
      <c r="A388" t="s">
        <v>304</v>
      </c>
      <c r="B388" t="str">
        <f t="shared" si="6"/>
        <v/>
      </c>
    </row>
    <row r="389" spans="1:2" x14ac:dyDescent="0.25">
      <c r="A389" t="s">
        <v>304</v>
      </c>
      <c r="B389" t="str">
        <f t="shared" si="6"/>
        <v/>
      </c>
    </row>
    <row r="390" spans="1:2" x14ac:dyDescent="0.25">
      <c r="A390" t="s">
        <v>304</v>
      </c>
      <c r="B390" t="str">
        <f t="shared" si="6"/>
        <v/>
      </c>
    </row>
    <row r="391" spans="1:2" x14ac:dyDescent="0.25">
      <c r="A391" t="s">
        <v>304</v>
      </c>
      <c r="B391" t="str">
        <f t="shared" si="6"/>
        <v/>
      </c>
    </row>
    <row r="392" spans="1:2" x14ac:dyDescent="0.25">
      <c r="A392" t="s">
        <v>304</v>
      </c>
      <c r="B392" t="str">
        <f t="shared" si="6"/>
        <v/>
      </c>
    </row>
    <row r="393" spans="1:2" x14ac:dyDescent="0.25">
      <c r="A393" t="s">
        <v>304</v>
      </c>
      <c r="B393" t="str">
        <f t="shared" si="6"/>
        <v/>
      </c>
    </row>
    <row r="394" spans="1:2" x14ac:dyDescent="0.25">
      <c r="A394" t="s">
        <v>304</v>
      </c>
      <c r="B394" t="str">
        <f t="shared" si="6"/>
        <v/>
      </c>
    </row>
    <row r="395" spans="1:2" x14ac:dyDescent="0.25">
      <c r="A395" t="s">
        <v>304</v>
      </c>
      <c r="B395" t="str">
        <f t="shared" si="6"/>
        <v/>
      </c>
    </row>
    <row r="396" spans="1:2" x14ac:dyDescent="0.25">
      <c r="A396" t="s">
        <v>304</v>
      </c>
      <c r="B396" t="str">
        <f t="shared" si="6"/>
        <v/>
      </c>
    </row>
    <row r="397" spans="1:2" x14ac:dyDescent="0.25">
      <c r="A397" t="s">
        <v>304</v>
      </c>
      <c r="B397" t="str">
        <f t="shared" si="6"/>
        <v/>
      </c>
    </row>
    <row r="398" spans="1:2" x14ac:dyDescent="0.25">
      <c r="A398" t="s">
        <v>304</v>
      </c>
      <c r="B398" t="str">
        <f t="shared" si="6"/>
        <v/>
      </c>
    </row>
    <row r="399" spans="1:2" x14ac:dyDescent="0.25">
      <c r="A399" t="s">
        <v>304</v>
      </c>
      <c r="B399" t="str">
        <f t="shared" si="6"/>
        <v/>
      </c>
    </row>
    <row r="400" spans="1:2" x14ac:dyDescent="0.25">
      <c r="A400" t="s">
        <v>304</v>
      </c>
      <c r="B400" t="str">
        <f t="shared" si="6"/>
        <v/>
      </c>
    </row>
    <row r="401" spans="1:2" x14ac:dyDescent="0.25">
      <c r="A401" t="s">
        <v>304</v>
      </c>
      <c r="B401" t="str">
        <f t="shared" si="6"/>
        <v/>
      </c>
    </row>
    <row r="402" spans="1:2" x14ac:dyDescent="0.25">
      <c r="A402" t="s">
        <v>304</v>
      </c>
      <c r="B402" t="str">
        <f t="shared" si="6"/>
        <v/>
      </c>
    </row>
    <row r="403" spans="1:2" x14ac:dyDescent="0.25">
      <c r="A403" t="s">
        <v>304</v>
      </c>
      <c r="B403" t="str">
        <f t="shared" si="6"/>
        <v/>
      </c>
    </row>
    <row r="404" spans="1:2" x14ac:dyDescent="0.25">
      <c r="A404" t="s">
        <v>304</v>
      </c>
      <c r="B404" t="str">
        <f t="shared" si="6"/>
        <v/>
      </c>
    </row>
    <row r="405" spans="1:2" x14ac:dyDescent="0.25">
      <c r="A405" t="s">
        <v>304</v>
      </c>
      <c r="B405" t="str">
        <f t="shared" si="6"/>
        <v/>
      </c>
    </row>
    <row r="406" spans="1:2" x14ac:dyDescent="0.25">
      <c r="A406" t="s">
        <v>304</v>
      </c>
      <c r="B406" t="str">
        <f t="shared" si="6"/>
        <v/>
      </c>
    </row>
    <row r="407" spans="1:2" x14ac:dyDescent="0.25">
      <c r="A407" t="s">
        <v>304</v>
      </c>
      <c r="B407" t="str">
        <f t="shared" si="6"/>
        <v/>
      </c>
    </row>
    <row r="408" spans="1:2" x14ac:dyDescent="0.25">
      <c r="A408" t="s">
        <v>304</v>
      </c>
      <c r="B408" t="str">
        <f t="shared" si="6"/>
        <v/>
      </c>
    </row>
    <row r="409" spans="1:2" x14ac:dyDescent="0.25">
      <c r="A409" t="s">
        <v>304</v>
      </c>
      <c r="B409" t="str">
        <f t="shared" si="6"/>
        <v/>
      </c>
    </row>
    <row r="410" spans="1:2" x14ac:dyDescent="0.25">
      <c r="A410" t="s">
        <v>304</v>
      </c>
      <c r="B410" t="str">
        <f t="shared" si="6"/>
        <v/>
      </c>
    </row>
    <row r="411" spans="1:2" x14ac:dyDescent="0.25">
      <c r="A411" t="s">
        <v>304</v>
      </c>
      <c r="B411" t="str">
        <f t="shared" si="6"/>
        <v/>
      </c>
    </row>
    <row r="412" spans="1:2" x14ac:dyDescent="0.25">
      <c r="A412" t="s">
        <v>304</v>
      </c>
      <c r="B412" t="str">
        <f t="shared" si="6"/>
        <v/>
      </c>
    </row>
    <row r="413" spans="1:2" x14ac:dyDescent="0.25">
      <c r="A413" t="s">
        <v>304</v>
      </c>
      <c r="B413" t="str">
        <f t="shared" si="6"/>
        <v/>
      </c>
    </row>
    <row r="414" spans="1:2" x14ac:dyDescent="0.25">
      <c r="A414" t="s">
        <v>304</v>
      </c>
      <c r="B414" t="str">
        <f t="shared" si="6"/>
        <v/>
      </c>
    </row>
    <row r="415" spans="1:2" x14ac:dyDescent="0.25">
      <c r="A415" t="s">
        <v>304</v>
      </c>
      <c r="B415" t="str">
        <f t="shared" si="6"/>
        <v/>
      </c>
    </row>
    <row r="416" spans="1:2" x14ac:dyDescent="0.25">
      <c r="A416" t="s">
        <v>304</v>
      </c>
      <c r="B416" t="str">
        <f t="shared" si="6"/>
        <v/>
      </c>
    </row>
    <row r="417" spans="1:2" x14ac:dyDescent="0.25">
      <c r="A417" t="s">
        <v>304</v>
      </c>
      <c r="B417" t="str">
        <f t="shared" si="6"/>
        <v/>
      </c>
    </row>
    <row r="418" spans="1:2" x14ac:dyDescent="0.25">
      <c r="A418" t="s">
        <v>304</v>
      </c>
      <c r="B418" t="str">
        <f t="shared" si="6"/>
        <v/>
      </c>
    </row>
    <row r="419" spans="1:2" x14ac:dyDescent="0.25">
      <c r="A419" t="s">
        <v>304</v>
      </c>
      <c r="B419" t="str">
        <f t="shared" si="6"/>
        <v/>
      </c>
    </row>
    <row r="420" spans="1:2" x14ac:dyDescent="0.25">
      <c r="A420" t="s">
        <v>304</v>
      </c>
      <c r="B420" t="str">
        <f t="shared" si="6"/>
        <v/>
      </c>
    </row>
    <row r="421" spans="1:2" x14ac:dyDescent="0.25">
      <c r="A421" t="s">
        <v>304</v>
      </c>
      <c r="B421" t="str">
        <f t="shared" si="6"/>
        <v/>
      </c>
    </row>
    <row r="422" spans="1:2" x14ac:dyDescent="0.25">
      <c r="A422" t="s">
        <v>304</v>
      </c>
      <c r="B422" t="str">
        <f t="shared" si="6"/>
        <v/>
      </c>
    </row>
    <row r="423" spans="1:2" x14ac:dyDescent="0.25">
      <c r="A423" t="s">
        <v>304</v>
      </c>
      <c r="B423" t="str">
        <f t="shared" si="6"/>
        <v/>
      </c>
    </row>
    <row r="424" spans="1:2" x14ac:dyDescent="0.25">
      <c r="A424" t="s">
        <v>304</v>
      </c>
      <c r="B424" t="str">
        <f t="shared" si="6"/>
        <v/>
      </c>
    </row>
    <row r="425" spans="1:2" x14ac:dyDescent="0.25">
      <c r="A425" t="s">
        <v>304</v>
      </c>
      <c r="B425" t="str">
        <f t="shared" si="6"/>
        <v/>
      </c>
    </row>
    <row r="426" spans="1:2" x14ac:dyDescent="0.25">
      <c r="A426" t="s">
        <v>304</v>
      </c>
      <c r="B426" t="str">
        <f t="shared" si="6"/>
        <v/>
      </c>
    </row>
    <row r="427" spans="1:2" x14ac:dyDescent="0.25">
      <c r="A427" t="s">
        <v>304</v>
      </c>
      <c r="B427" t="str">
        <f t="shared" si="6"/>
        <v/>
      </c>
    </row>
    <row r="428" spans="1:2" x14ac:dyDescent="0.25">
      <c r="A428" t="s">
        <v>304</v>
      </c>
      <c r="B428" t="str">
        <f t="shared" si="6"/>
        <v/>
      </c>
    </row>
    <row r="429" spans="1:2" x14ac:dyDescent="0.25">
      <c r="A429" t="s">
        <v>304</v>
      </c>
      <c r="B429" t="str">
        <f t="shared" si="6"/>
        <v/>
      </c>
    </row>
    <row r="430" spans="1:2" x14ac:dyDescent="0.25">
      <c r="A430" t="s">
        <v>304</v>
      </c>
      <c r="B430" t="str">
        <f t="shared" si="6"/>
        <v/>
      </c>
    </row>
    <row r="431" spans="1:2" x14ac:dyDescent="0.25">
      <c r="A431" t="s">
        <v>304</v>
      </c>
      <c r="B431" t="str">
        <f t="shared" si="6"/>
        <v/>
      </c>
    </row>
    <row r="432" spans="1:2" x14ac:dyDescent="0.25">
      <c r="A432" t="s">
        <v>304</v>
      </c>
      <c r="B432" t="str">
        <f t="shared" si="6"/>
        <v/>
      </c>
    </row>
    <row r="433" spans="1:2" x14ac:dyDescent="0.25">
      <c r="A433" t="s">
        <v>304</v>
      </c>
      <c r="B433" t="str">
        <f t="shared" si="6"/>
        <v/>
      </c>
    </row>
    <row r="434" spans="1:2" x14ac:dyDescent="0.25">
      <c r="A434" t="s">
        <v>304</v>
      </c>
      <c r="B434" t="str">
        <f t="shared" si="6"/>
        <v/>
      </c>
    </row>
    <row r="435" spans="1:2" x14ac:dyDescent="0.25">
      <c r="A435" t="s">
        <v>304</v>
      </c>
      <c r="B435" t="str">
        <f t="shared" si="6"/>
        <v/>
      </c>
    </row>
    <row r="436" spans="1:2" x14ac:dyDescent="0.25">
      <c r="A436" t="s">
        <v>304</v>
      </c>
      <c r="B436" t="str">
        <f t="shared" si="6"/>
        <v/>
      </c>
    </row>
    <row r="437" spans="1:2" x14ac:dyDescent="0.25">
      <c r="A437" t="s">
        <v>304</v>
      </c>
      <c r="B437" t="str">
        <f t="shared" si="6"/>
        <v/>
      </c>
    </row>
    <row r="438" spans="1:2" x14ac:dyDescent="0.25">
      <c r="A438" t="s">
        <v>304</v>
      </c>
      <c r="B438" t="str">
        <f t="shared" si="6"/>
        <v/>
      </c>
    </row>
    <row r="439" spans="1:2" x14ac:dyDescent="0.25">
      <c r="A439" t="s">
        <v>304</v>
      </c>
      <c r="B439" t="str">
        <f t="shared" si="6"/>
        <v/>
      </c>
    </row>
    <row r="440" spans="1:2" x14ac:dyDescent="0.25">
      <c r="A440" t="s">
        <v>304</v>
      </c>
      <c r="B440" t="str">
        <f t="shared" si="6"/>
        <v/>
      </c>
    </row>
    <row r="441" spans="1:2" x14ac:dyDescent="0.25">
      <c r="A441" t="s">
        <v>304</v>
      </c>
      <c r="B441" t="str">
        <f t="shared" si="6"/>
        <v/>
      </c>
    </row>
    <row r="442" spans="1:2" x14ac:dyDescent="0.25">
      <c r="A442" t="s">
        <v>304</v>
      </c>
      <c r="B442" t="str">
        <f t="shared" si="6"/>
        <v/>
      </c>
    </row>
    <row r="443" spans="1:2" x14ac:dyDescent="0.25">
      <c r="A443" t="s">
        <v>304</v>
      </c>
      <c r="B443" t="str">
        <f t="shared" si="6"/>
        <v/>
      </c>
    </row>
    <row r="444" spans="1:2" x14ac:dyDescent="0.25">
      <c r="A444" t="s">
        <v>304</v>
      </c>
      <c r="B444" t="str">
        <f t="shared" si="6"/>
        <v/>
      </c>
    </row>
    <row r="445" spans="1:2" x14ac:dyDescent="0.25">
      <c r="A445" t="s">
        <v>304</v>
      </c>
      <c r="B445" t="str">
        <f t="shared" si="6"/>
        <v/>
      </c>
    </row>
    <row r="446" spans="1:2" x14ac:dyDescent="0.25">
      <c r="A446" t="s">
        <v>304</v>
      </c>
      <c r="B446" t="str">
        <f t="shared" si="6"/>
        <v/>
      </c>
    </row>
    <row r="447" spans="1:2" x14ac:dyDescent="0.25">
      <c r="A447" t="s">
        <v>304</v>
      </c>
      <c r="B447" t="str">
        <f t="shared" si="6"/>
        <v/>
      </c>
    </row>
    <row r="448" spans="1:2" x14ac:dyDescent="0.25">
      <c r="A448" t="s">
        <v>304</v>
      </c>
      <c r="B448" t="str">
        <f t="shared" si="6"/>
        <v/>
      </c>
    </row>
    <row r="449" spans="1:2" x14ac:dyDescent="0.25">
      <c r="A449" t="s">
        <v>304</v>
      </c>
      <c r="B449" t="str">
        <f t="shared" si="6"/>
        <v/>
      </c>
    </row>
    <row r="450" spans="1:2" x14ac:dyDescent="0.25">
      <c r="A450" t="s">
        <v>304</v>
      </c>
      <c r="B450" t="str">
        <f t="shared" ref="B450:B513" si="7">IF($A450&lt;&gt;"",CONCATENATE("get-Childitem K:\1_Capture\",$A450," -recurse -include *.jpg | Move-Item -Destination K:\1_Capture\",$A450),"")</f>
        <v/>
      </c>
    </row>
    <row r="451" spans="1:2" x14ac:dyDescent="0.25">
      <c r="A451" t="s">
        <v>304</v>
      </c>
      <c r="B451" t="str">
        <f t="shared" si="7"/>
        <v/>
      </c>
    </row>
    <row r="452" spans="1:2" x14ac:dyDescent="0.25">
      <c r="A452" t="s">
        <v>304</v>
      </c>
      <c r="B452" t="str">
        <f t="shared" si="7"/>
        <v/>
      </c>
    </row>
    <row r="453" spans="1:2" x14ac:dyDescent="0.25">
      <c r="A453" t="s">
        <v>304</v>
      </c>
      <c r="B453" t="str">
        <f t="shared" si="7"/>
        <v/>
      </c>
    </row>
    <row r="454" spans="1:2" x14ac:dyDescent="0.25">
      <c r="A454" t="s">
        <v>304</v>
      </c>
      <c r="B454" t="str">
        <f t="shared" si="7"/>
        <v/>
      </c>
    </row>
    <row r="455" spans="1:2" x14ac:dyDescent="0.25">
      <c r="A455" t="s">
        <v>304</v>
      </c>
      <c r="B455" t="str">
        <f t="shared" si="7"/>
        <v/>
      </c>
    </row>
    <row r="456" spans="1:2" x14ac:dyDescent="0.25">
      <c r="A456" t="s">
        <v>304</v>
      </c>
      <c r="B456" t="str">
        <f t="shared" si="7"/>
        <v/>
      </c>
    </row>
    <row r="457" spans="1:2" x14ac:dyDescent="0.25">
      <c r="A457" t="s">
        <v>304</v>
      </c>
      <c r="B457" t="str">
        <f t="shared" si="7"/>
        <v/>
      </c>
    </row>
    <row r="458" spans="1:2" x14ac:dyDescent="0.25">
      <c r="A458" t="s">
        <v>304</v>
      </c>
      <c r="B458" t="str">
        <f t="shared" si="7"/>
        <v/>
      </c>
    </row>
    <row r="459" spans="1:2" x14ac:dyDescent="0.25">
      <c r="A459" t="s">
        <v>304</v>
      </c>
      <c r="B459" t="str">
        <f t="shared" si="7"/>
        <v/>
      </c>
    </row>
    <row r="460" spans="1:2" x14ac:dyDescent="0.25">
      <c r="A460" t="s">
        <v>304</v>
      </c>
      <c r="B460" t="str">
        <f t="shared" si="7"/>
        <v/>
      </c>
    </row>
    <row r="461" spans="1:2" x14ac:dyDescent="0.25">
      <c r="A461" t="s">
        <v>304</v>
      </c>
      <c r="B461" t="str">
        <f t="shared" si="7"/>
        <v/>
      </c>
    </row>
    <row r="462" spans="1:2" x14ac:dyDescent="0.25">
      <c r="A462" t="s">
        <v>304</v>
      </c>
      <c r="B462" t="str">
        <f t="shared" si="7"/>
        <v/>
      </c>
    </row>
    <row r="463" spans="1:2" x14ac:dyDescent="0.25">
      <c r="A463" t="s">
        <v>304</v>
      </c>
      <c r="B463" t="str">
        <f t="shared" si="7"/>
        <v/>
      </c>
    </row>
    <row r="464" spans="1:2" x14ac:dyDescent="0.25">
      <c r="A464" t="s">
        <v>304</v>
      </c>
      <c r="B464" t="str">
        <f t="shared" si="7"/>
        <v/>
      </c>
    </row>
    <row r="465" spans="1:2" x14ac:dyDescent="0.25">
      <c r="A465" t="s">
        <v>304</v>
      </c>
      <c r="B465" t="str">
        <f t="shared" si="7"/>
        <v/>
      </c>
    </row>
    <row r="466" spans="1:2" x14ac:dyDescent="0.25">
      <c r="A466" t="s">
        <v>304</v>
      </c>
      <c r="B466" t="str">
        <f t="shared" si="7"/>
        <v/>
      </c>
    </row>
    <row r="467" spans="1:2" x14ac:dyDescent="0.25">
      <c r="A467" t="s">
        <v>304</v>
      </c>
      <c r="B467" t="str">
        <f t="shared" si="7"/>
        <v/>
      </c>
    </row>
    <row r="468" spans="1:2" x14ac:dyDescent="0.25">
      <c r="A468" t="s">
        <v>304</v>
      </c>
      <c r="B468" t="str">
        <f t="shared" si="7"/>
        <v/>
      </c>
    </row>
    <row r="469" spans="1:2" x14ac:dyDescent="0.25">
      <c r="A469" t="s">
        <v>304</v>
      </c>
      <c r="B469" t="str">
        <f t="shared" si="7"/>
        <v/>
      </c>
    </row>
    <row r="470" spans="1:2" x14ac:dyDescent="0.25">
      <c r="A470" t="s">
        <v>304</v>
      </c>
      <c r="B470" t="str">
        <f t="shared" si="7"/>
        <v/>
      </c>
    </row>
    <row r="471" spans="1:2" x14ac:dyDescent="0.25">
      <c r="A471" t="s">
        <v>304</v>
      </c>
      <c r="B471" t="str">
        <f t="shared" si="7"/>
        <v/>
      </c>
    </row>
    <row r="472" spans="1:2" x14ac:dyDescent="0.25">
      <c r="A472" t="s">
        <v>304</v>
      </c>
      <c r="B472" t="str">
        <f t="shared" si="7"/>
        <v/>
      </c>
    </row>
    <row r="473" spans="1:2" x14ac:dyDescent="0.25">
      <c r="A473" t="s">
        <v>304</v>
      </c>
      <c r="B473" t="str">
        <f t="shared" si="7"/>
        <v/>
      </c>
    </row>
    <row r="474" spans="1:2" x14ac:dyDescent="0.25">
      <c r="A474" t="s">
        <v>304</v>
      </c>
      <c r="B474" t="str">
        <f t="shared" si="7"/>
        <v/>
      </c>
    </row>
    <row r="475" spans="1:2" x14ac:dyDescent="0.25">
      <c r="A475" t="s">
        <v>304</v>
      </c>
      <c r="B475" t="str">
        <f t="shared" si="7"/>
        <v/>
      </c>
    </row>
    <row r="476" spans="1:2" x14ac:dyDescent="0.25">
      <c r="A476" t="s">
        <v>304</v>
      </c>
      <c r="B476" t="str">
        <f t="shared" si="7"/>
        <v/>
      </c>
    </row>
    <row r="477" spans="1:2" x14ac:dyDescent="0.25">
      <c r="A477" t="s">
        <v>304</v>
      </c>
      <c r="B477" t="str">
        <f t="shared" si="7"/>
        <v/>
      </c>
    </row>
    <row r="478" spans="1:2" x14ac:dyDescent="0.25">
      <c r="A478" t="s">
        <v>304</v>
      </c>
      <c r="B478" t="str">
        <f t="shared" si="7"/>
        <v/>
      </c>
    </row>
    <row r="479" spans="1:2" x14ac:dyDescent="0.25">
      <c r="A479" t="s">
        <v>304</v>
      </c>
      <c r="B479" t="str">
        <f t="shared" si="7"/>
        <v/>
      </c>
    </row>
    <row r="480" spans="1:2" x14ac:dyDescent="0.25">
      <c r="A480" t="s">
        <v>304</v>
      </c>
      <c r="B480" t="str">
        <f t="shared" si="7"/>
        <v/>
      </c>
    </row>
    <row r="481" spans="1:2" x14ac:dyDescent="0.25">
      <c r="A481" t="s">
        <v>304</v>
      </c>
      <c r="B481" t="str">
        <f t="shared" si="7"/>
        <v/>
      </c>
    </row>
    <row r="482" spans="1:2" x14ac:dyDescent="0.25">
      <c r="A482" t="s">
        <v>304</v>
      </c>
      <c r="B482" t="str">
        <f t="shared" si="7"/>
        <v/>
      </c>
    </row>
    <row r="483" spans="1:2" x14ac:dyDescent="0.25">
      <c r="A483" t="s">
        <v>304</v>
      </c>
      <c r="B483" t="str">
        <f t="shared" si="7"/>
        <v/>
      </c>
    </row>
    <row r="484" spans="1:2" x14ac:dyDescent="0.25">
      <c r="A484" t="s">
        <v>304</v>
      </c>
      <c r="B484" t="str">
        <f t="shared" si="7"/>
        <v/>
      </c>
    </row>
    <row r="485" spans="1:2" x14ac:dyDescent="0.25">
      <c r="A485" t="s">
        <v>304</v>
      </c>
      <c r="B485" t="str">
        <f t="shared" si="7"/>
        <v/>
      </c>
    </row>
    <row r="486" spans="1:2" x14ac:dyDescent="0.25">
      <c r="A486" t="s">
        <v>304</v>
      </c>
      <c r="B486" t="str">
        <f t="shared" si="7"/>
        <v/>
      </c>
    </row>
    <row r="487" spans="1:2" x14ac:dyDescent="0.25">
      <c r="A487" t="s">
        <v>304</v>
      </c>
      <c r="B487" t="str">
        <f t="shared" si="7"/>
        <v/>
      </c>
    </row>
    <row r="488" spans="1:2" x14ac:dyDescent="0.25">
      <c r="A488" t="s">
        <v>304</v>
      </c>
      <c r="B488" t="str">
        <f t="shared" si="7"/>
        <v/>
      </c>
    </row>
    <row r="489" spans="1:2" x14ac:dyDescent="0.25">
      <c r="A489" t="s">
        <v>304</v>
      </c>
      <c r="B489" t="str">
        <f t="shared" si="7"/>
        <v/>
      </c>
    </row>
    <row r="490" spans="1:2" x14ac:dyDescent="0.25">
      <c r="A490" t="s">
        <v>304</v>
      </c>
      <c r="B490" t="str">
        <f t="shared" si="7"/>
        <v/>
      </c>
    </row>
    <row r="491" spans="1:2" x14ac:dyDescent="0.25">
      <c r="A491" t="s">
        <v>304</v>
      </c>
      <c r="B491" t="str">
        <f t="shared" si="7"/>
        <v/>
      </c>
    </row>
    <row r="492" spans="1:2" x14ac:dyDescent="0.25">
      <c r="A492" t="s">
        <v>304</v>
      </c>
      <c r="B492" t="str">
        <f t="shared" si="7"/>
        <v/>
      </c>
    </row>
    <row r="493" spans="1:2" x14ac:dyDescent="0.25">
      <c r="A493" t="s">
        <v>304</v>
      </c>
      <c r="B493" t="str">
        <f t="shared" si="7"/>
        <v/>
      </c>
    </row>
    <row r="494" spans="1:2" x14ac:dyDescent="0.25">
      <c r="A494" t="s">
        <v>304</v>
      </c>
      <c r="B494" t="str">
        <f t="shared" si="7"/>
        <v/>
      </c>
    </row>
    <row r="495" spans="1:2" x14ac:dyDescent="0.25">
      <c r="A495" t="s">
        <v>304</v>
      </c>
      <c r="B495" t="str">
        <f t="shared" si="7"/>
        <v/>
      </c>
    </row>
    <row r="496" spans="1:2" x14ac:dyDescent="0.25">
      <c r="A496" t="s">
        <v>304</v>
      </c>
      <c r="B496" t="str">
        <f t="shared" si="7"/>
        <v/>
      </c>
    </row>
    <row r="497" spans="1:2" x14ac:dyDescent="0.25">
      <c r="A497" t="s">
        <v>304</v>
      </c>
      <c r="B497" t="str">
        <f t="shared" si="7"/>
        <v/>
      </c>
    </row>
    <row r="498" spans="1:2" x14ac:dyDescent="0.25">
      <c r="A498" t="s">
        <v>304</v>
      </c>
      <c r="B498" t="str">
        <f t="shared" si="7"/>
        <v/>
      </c>
    </row>
    <row r="499" spans="1:2" x14ac:dyDescent="0.25">
      <c r="A499" t="s">
        <v>304</v>
      </c>
      <c r="B499" t="str">
        <f t="shared" si="7"/>
        <v/>
      </c>
    </row>
    <row r="500" spans="1:2" x14ac:dyDescent="0.25">
      <c r="A500" t="s">
        <v>304</v>
      </c>
      <c r="B500" t="str">
        <f t="shared" si="7"/>
        <v/>
      </c>
    </row>
    <row r="501" spans="1:2" x14ac:dyDescent="0.25">
      <c r="A501" t="s">
        <v>304</v>
      </c>
      <c r="B501" t="str">
        <f t="shared" si="7"/>
        <v/>
      </c>
    </row>
    <row r="502" spans="1:2" x14ac:dyDescent="0.25">
      <c r="A502" t="s">
        <v>304</v>
      </c>
      <c r="B502" t="str">
        <f t="shared" si="7"/>
        <v/>
      </c>
    </row>
    <row r="503" spans="1:2" x14ac:dyDescent="0.25">
      <c r="A503" t="s">
        <v>304</v>
      </c>
      <c r="B503" t="str">
        <f t="shared" si="7"/>
        <v/>
      </c>
    </row>
    <row r="504" spans="1:2" x14ac:dyDescent="0.25">
      <c r="A504" t="s">
        <v>304</v>
      </c>
      <c r="B504" t="str">
        <f t="shared" si="7"/>
        <v/>
      </c>
    </row>
    <row r="505" spans="1:2" x14ac:dyDescent="0.25">
      <c r="A505" t="s">
        <v>304</v>
      </c>
      <c r="B505" t="str">
        <f t="shared" si="7"/>
        <v/>
      </c>
    </row>
    <row r="506" spans="1:2" x14ac:dyDescent="0.25">
      <c r="A506" t="s">
        <v>304</v>
      </c>
      <c r="B506" t="str">
        <f t="shared" si="7"/>
        <v/>
      </c>
    </row>
    <row r="507" spans="1:2" x14ac:dyDescent="0.25">
      <c r="A507" t="s">
        <v>304</v>
      </c>
      <c r="B507" t="str">
        <f t="shared" si="7"/>
        <v/>
      </c>
    </row>
    <row r="508" spans="1:2" x14ac:dyDescent="0.25">
      <c r="A508" t="s">
        <v>304</v>
      </c>
      <c r="B508" t="str">
        <f t="shared" si="7"/>
        <v/>
      </c>
    </row>
    <row r="509" spans="1:2" x14ac:dyDescent="0.25">
      <c r="A509" t="s">
        <v>304</v>
      </c>
      <c r="B509" t="str">
        <f t="shared" si="7"/>
        <v/>
      </c>
    </row>
    <row r="510" spans="1:2" x14ac:dyDescent="0.25">
      <c r="A510" t="s">
        <v>304</v>
      </c>
      <c r="B510" t="str">
        <f t="shared" si="7"/>
        <v/>
      </c>
    </row>
    <row r="511" spans="1:2" x14ac:dyDescent="0.25">
      <c r="A511" t="s">
        <v>304</v>
      </c>
      <c r="B511" t="str">
        <f t="shared" si="7"/>
        <v/>
      </c>
    </row>
    <row r="512" spans="1:2" x14ac:dyDescent="0.25">
      <c r="A512" t="s">
        <v>304</v>
      </c>
      <c r="B512" t="str">
        <f t="shared" si="7"/>
        <v/>
      </c>
    </row>
    <row r="513" spans="1:2" x14ac:dyDescent="0.25">
      <c r="A513" t="s">
        <v>304</v>
      </c>
      <c r="B513" t="str">
        <f t="shared" si="7"/>
        <v/>
      </c>
    </row>
    <row r="514" spans="1:2" x14ac:dyDescent="0.25">
      <c r="A514" t="s">
        <v>304</v>
      </c>
      <c r="B514" t="str">
        <f t="shared" ref="B514:B577" si="8">IF($A514&lt;&gt;"",CONCATENATE("get-Childitem K:\1_Capture\",$A514," -recurse -include *.jpg | Move-Item -Destination K:\1_Capture\",$A514),"")</f>
        <v/>
      </c>
    </row>
    <row r="515" spans="1:2" x14ac:dyDescent="0.25">
      <c r="A515" t="s">
        <v>304</v>
      </c>
      <c r="B515" t="str">
        <f t="shared" si="8"/>
        <v/>
      </c>
    </row>
    <row r="516" spans="1:2" x14ac:dyDescent="0.25">
      <c r="A516" t="s">
        <v>304</v>
      </c>
      <c r="B516" t="str">
        <f t="shared" si="8"/>
        <v/>
      </c>
    </row>
    <row r="517" spans="1:2" x14ac:dyDescent="0.25">
      <c r="A517" t="s">
        <v>304</v>
      </c>
      <c r="B517" t="str">
        <f t="shared" si="8"/>
        <v/>
      </c>
    </row>
    <row r="518" spans="1:2" x14ac:dyDescent="0.25">
      <c r="A518" t="s">
        <v>304</v>
      </c>
      <c r="B518" t="str">
        <f t="shared" si="8"/>
        <v/>
      </c>
    </row>
    <row r="519" spans="1:2" x14ac:dyDescent="0.25">
      <c r="A519" t="s">
        <v>304</v>
      </c>
      <c r="B519" t="str">
        <f t="shared" si="8"/>
        <v/>
      </c>
    </row>
    <row r="520" spans="1:2" x14ac:dyDescent="0.25">
      <c r="A520" t="s">
        <v>304</v>
      </c>
      <c r="B520" t="str">
        <f t="shared" si="8"/>
        <v/>
      </c>
    </row>
    <row r="521" spans="1:2" x14ac:dyDescent="0.25">
      <c r="A521" t="s">
        <v>304</v>
      </c>
      <c r="B521" t="str">
        <f t="shared" si="8"/>
        <v/>
      </c>
    </row>
    <row r="522" spans="1:2" x14ac:dyDescent="0.25">
      <c r="A522" t="s">
        <v>304</v>
      </c>
      <c r="B522" t="str">
        <f t="shared" si="8"/>
        <v/>
      </c>
    </row>
    <row r="523" spans="1:2" x14ac:dyDescent="0.25">
      <c r="A523" t="s">
        <v>304</v>
      </c>
      <c r="B523" t="str">
        <f t="shared" si="8"/>
        <v/>
      </c>
    </row>
    <row r="524" spans="1:2" x14ac:dyDescent="0.25">
      <c r="A524" t="s">
        <v>304</v>
      </c>
      <c r="B524" t="str">
        <f t="shared" si="8"/>
        <v/>
      </c>
    </row>
    <row r="525" spans="1:2" x14ac:dyDescent="0.25">
      <c r="A525" t="s">
        <v>304</v>
      </c>
      <c r="B525" t="str">
        <f t="shared" si="8"/>
        <v/>
      </c>
    </row>
    <row r="526" spans="1:2" x14ac:dyDescent="0.25">
      <c r="A526" t="s">
        <v>304</v>
      </c>
      <c r="B526" t="str">
        <f t="shared" si="8"/>
        <v/>
      </c>
    </row>
    <row r="527" spans="1:2" x14ac:dyDescent="0.25">
      <c r="A527" t="s">
        <v>304</v>
      </c>
      <c r="B527" t="str">
        <f t="shared" si="8"/>
        <v/>
      </c>
    </row>
    <row r="528" spans="1:2" x14ac:dyDescent="0.25">
      <c r="A528" t="s">
        <v>304</v>
      </c>
      <c r="B528" t="str">
        <f t="shared" si="8"/>
        <v/>
      </c>
    </row>
    <row r="529" spans="1:2" x14ac:dyDescent="0.25">
      <c r="A529" t="s">
        <v>304</v>
      </c>
      <c r="B529" t="str">
        <f t="shared" si="8"/>
        <v/>
      </c>
    </row>
    <row r="530" spans="1:2" x14ac:dyDescent="0.25">
      <c r="A530" t="s">
        <v>304</v>
      </c>
      <c r="B530" t="str">
        <f t="shared" si="8"/>
        <v/>
      </c>
    </row>
    <row r="531" spans="1:2" x14ac:dyDescent="0.25">
      <c r="A531" t="s">
        <v>304</v>
      </c>
      <c r="B531" t="str">
        <f t="shared" si="8"/>
        <v/>
      </c>
    </row>
    <row r="532" spans="1:2" x14ac:dyDescent="0.25">
      <c r="A532" t="s">
        <v>304</v>
      </c>
      <c r="B532" t="str">
        <f t="shared" si="8"/>
        <v/>
      </c>
    </row>
    <row r="533" spans="1:2" x14ac:dyDescent="0.25">
      <c r="A533" t="s">
        <v>304</v>
      </c>
      <c r="B533" t="str">
        <f t="shared" si="8"/>
        <v/>
      </c>
    </row>
    <row r="534" spans="1:2" x14ac:dyDescent="0.25">
      <c r="A534" t="s">
        <v>304</v>
      </c>
      <c r="B534" t="str">
        <f t="shared" si="8"/>
        <v/>
      </c>
    </row>
    <row r="535" spans="1:2" x14ac:dyDescent="0.25">
      <c r="A535" t="s">
        <v>304</v>
      </c>
      <c r="B535" t="str">
        <f t="shared" si="8"/>
        <v/>
      </c>
    </row>
    <row r="536" spans="1:2" x14ac:dyDescent="0.25">
      <c r="A536" t="s">
        <v>304</v>
      </c>
      <c r="B536" t="str">
        <f t="shared" si="8"/>
        <v/>
      </c>
    </row>
    <row r="537" spans="1:2" x14ac:dyDescent="0.25">
      <c r="A537" t="s">
        <v>304</v>
      </c>
      <c r="B537" t="str">
        <f t="shared" si="8"/>
        <v/>
      </c>
    </row>
    <row r="538" spans="1:2" x14ac:dyDescent="0.25">
      <c r="A538" t="s">
        <v>304</v>
      </c>
      <c r="B538" t="str">
        <f t="shared" si="8"/>
        <v/>
      </c>
    </row>
    <row r="539" spans="1:2" x14ac:dyDescent="0.25">
      <c r="A539" t="s">
        <v>304</v>
      </c>
      <c r="B539" t="str">
        <f t="shared" si="8"/>
        <v/>
      </c>
    </row>
    <row r="540" spans="1:2" x14ac:dyDescent="0.25">
      <c r="A540" t="s">
        <v>304</v>
      </c>
      <c r="B540" t="str">
        <f t="shared" si="8"/>
        <v/>
      </c>
    </row>
    <row r="541" spans="1:2" x14ac:dyDescent="0.25">
      <c r="A541" t="s">
        <v>304</v>
      </c>
      <c r="B541" t="str">
        <f t="shared" si="8"/>
        <v/>
      </c>
    </row>
    <row r="542" spans="1:2" x14ac:dyDescent="0.25">
      <c r="A542" t="s">
        <v>304</v>
      </c>
      <c r="B542" t="str">
        <f t="shared" si="8"/>
        <v/>
      </c>
    </row>
    <row r="543" spans="1:2" x14ac:dyDescent="0.25">
      <c r="A543" t="s">
        <v>304</v>
      </c>
      <c r="B543" t="str">
        <f t="shared" si="8"/>
        <v/>
      </c>
    </row>
    <row r="544" spans="1:2" x14ac:dyDescent="0.25">
      <c r="A544" t="s">
        <v>304</v>
      </c>
      <c r="B544" t="str">
        <f t="shared" si="8"/>
        <v/>
      </c>
    </row>
    <row r="545" spans="1:2" x14ac:dyDescent="0.25">
      <c r="A545" t="s">
        <v>304</v>
      </c>
      <c r="B545" t="str">
        <f t="shared" si="8"/>
        <v/>
      </c>
    </row>
    <row r="546" spans="1:2" x14ac:dyDescent="0.25">
      <c r="A546" t="s">
        <v>304</v>
      </c>
      <c r="B546" t="str">
        <f t="shared" si="8"/>
        <v/>
      </c>
    </row>
    <row r="547" spans="1:2" x14ac:dyDescent="0.25">
      <c r="A547" t="s">
        <v>304</v>
      </c>
      <c r="B547" t="str">
        <f t="shared" si="8"/>
        <v/>
      </c>
    </row>
    <row r="548" spans="1:2" x14ac:dyDescent="0.25">
      <c r="A548" t="s">
        <v>304</v>
      </c>
      <c r="B548" t="str">
        <f t="shared" si="8"/>
        <v/>
      </c>
    </row>
    <row r="549" spans="1:2" x14ac:dyDescent="0.25">
      <c r="A549" t="s">
        <v>304</v>
      </c>
      <c r="B549" t="str">
        <f t="shared" si="8"/>
        <v/>
      </c>
    </row>
    <row r="550" spans="1:2" x14ac:dyDescent="0.25">
      <c r="A550" t="s">
        <v>304</v>
      </c>
      <c r="B550" t="str">
        <f t="shared" si="8"/>
        <v/>
      </c>
    </row>
    <row r="551" spans="1:2" x14ac:dyDescent="0.25">
      <c r="A551" t="s">
        <v>304</v>
      </c>
      <c r="B551" t="str">
        <f t="shared" si="8"/>
        <v/>
      </c>
    </row>
    <row r="552" spans="1:2" x14ac:dyDescent="0.25">
      <c r="A552" t="s">
        <v>304</v>
      </c>
      <c r="B552" t="str">
        <f t="shared" si="8"/>
        <v/>
      </c>
    </row>
    <row r="553" spans="1:2" x14ac:dyDescent="0.25">
      <c r="A553" t="s">
        <v>304</v>
      </c>
      <c r="B553" t="str">
        <f t="shared" si="8"/>
        <v/>
      </c>
    </row>
    <row r="554" spans="1:2" x14ac:dyDescent="0.25">
      <c r="A554" t="s">
        <v>304</v>
      </c>
      <c r="B554" t="str">
        <f t="shared" si="8"/>
        <v/>
      </c>
    </row>
    <row r="555" spans="1:2" x14ac:dyDescent="0.25">
      <c r="A555" t="s">
        <v>304</v>
      </c>
      <c r="B555" t="str">
        <f t="shared" si="8"/>
        <v/>
      </c>
    </row>
    <row r="556" spans="1:2" x14ac:dyDescent="0.25">
      <c r="A556" t="s">
        <v>304</v>
      </c>
      <c r="B556" t="str">
        <f t="shared" si="8"/>
        <v/>
      </c>
    </row>
    <row r="557" spans="1:2" x14ac:dyDescent="0.25">
      <c r="A557" t="s">
        <v>304</v>
      </c>
      <c r="B557" t="str">
        <f t="shared" si="8"/>
        <v/>
      </c>
    </row>
    <row r="558" spans="1:2" x14ac:dyDescent="0.25">
      <c r="A558" t="s">
        <v>304</v>
      </c>
      <c r="B558" t="str">
        <f t="shared" si="8"/>
        <v/>
      </c>
    </row>
    <row r="559" spans="1:2" x14ac:dyDescent="0.25">
      <c r="A559" t="s">
        <v>304</v>
      </c>
      <c r="B559" t="str">
        <f t="shared" si="8"/>
        <v/>
      </c>
    </row>
    <row r="560" spans="1:2" x14ac:dyDescent="0.25">
      <c r="A560" t="s">
        <v>304</v>
      </c>
      <c r="B560" t="str">
        <f t="shared" si="8"/>
        <v/>
      </c>
    </row>
    <row r="561" spans="1:2" x14ac:dyDescent="0.25">
      <c r="A561" t="s">
        <v>304</v>
      </c>
      <c r="B561" t="str">
        <f t="shared" si="8"/>
        <v/>
      </c>
    </row>
    <row r="562" spans="1:2" x14ac:dyDescent="0.25">
      <c r="A562" t="s">
        <v>304</v>
      </c>
      <c r="B562" t="str">
        <f t="shared" si="8"/>
        <v/>
      </c>
    </row>
    <row r="563" spans="1:2" x14ac:dyDescent="0.25">
      <c r="A563" t="s">
        <v>304</v>
      </c>
      <c r="B563" t="str">
        <f t="shared" si="8"/>
        <v/>
      </c>
    </row>
    <row r="564" spans="1:2" x14ac:dyDescent="0.25">
      <c r="A564" t="s">
        <v>304</v>
      </c>
      <c r="B564" t="str">
        <f t="shared" si="8"/>
        <v/>
      </c>
    </row>
    <row r="565" spans="1:2" x14ac:dyDescent="0.25">
      <c r="A565" t="s">
        <v>304</v>
      </c>
      <c r="B565" t="str">
        <f t="shared" si="8"/>
        <v/>
      </c>
    </row>
    <row r="566" spans="1:2" x14ac:dyDescent="0.25">
      <c r="A566" t="s">
        <v>304</v>
      </c>
      <c r="B566" t="str">
        <f t="shared" si="8"/>
        <v/>
      </c>
    </row>
    <row r="567" spans="1:2" x14ac:dyDescent="0.25">
      <c r="A567" t="s">
        <v>304</v>
      </c>
      <c r="B567" t="str">
        <f t="shared" si="8"/>
        <v/>
      </c>
    </row>
    <row r="568" spans="1:2" x14ac:dyDescent="0.25">
      <c r="A568" t="s">
        <v>304</v>
      </c>
      <c r="B568" t="str">
        <f t="shared" si="8"/>
        <v/>
      </c>
    </row>
    <row r="569" spans="1:2" x14ac:dyDescent="0.25">
      <c r="A569" t="s">
        <v>304</v>
      </c>
      <c r="B569" t="str">
        <f t="shared" si="8"/>
        <v/>
      </c>
    </row>
    <row r="570" spans="1:2" x14ac:dyDescent="0.25">
      <c r="A570" t="s">
        <v>304</v>
      </c>
      <c r="B570" t="str">
        <f t="shared" si="8"/>
        <v/>
      </c>
    </row>
    <row r="571" spans="1:2" x14ac:dyDescent="0.25">
      <c r="A571" t="s">
        <v>304</v>
      </c>
      <c r="B571" t="str">
        <f t="shared" si="8"/>
        <v/>
      </c>
    </row>
    <row r="572" spans="1:2" x14ac:dyDescent="0.25">
      <c r="A572" t="s">
        <v>304</v>
      </c>
      <c r="B572" t="str">
        <f t="shared" si="8"/>
        <v/>
      </c>
    </row>
    <row r="573" spans="1:2" x14ac:dyDescent="0.25">
      <c r="A573" t="s">
        <v>304</v>
      </c>
      <c r="B573" t="str">
        <f t="shared" si="8"/>
        <v/>
      </c>
    </row>
    <row r="574" spans="1:2" x14ac:dyDescent="0.25">
      <c r="A574" t="s">
        <v>304</v>
      </c>
      <c r="B574" t="str">
        <f t="shared" si="8"/>
        <v/>
      </c>
    </row>
    <row r="575" spans="1:2" x14ac:dyDescent="0.25">
      <c r="A575" t="s">
        <v>304</v>
      </c>
      <c r="B575" t="str">
        <f t="shared" si="8"/>
        <v/>
      </c>
    </row>
    <row r="576" spans="1:2" x14ac:dyDescent="0.25">
      <c r="A576" t="s">
        <v>304</v>
      </c>
      <c r="B576" t="str">
        <f t="shared" si="8"/>
        <v/>
      </c>
    </row>
    <row r="577" spans="1:2" x14ac:dyDescent="0.25">
      <c r="A577" t="s">
        <v>304</v>
      </c>
      <c r="B577" t="str">
        <f t="shared" si="8"/>
        <v/>
      </c>
    </row>
    <row r="578" spans="1:2" x14ac:dyDescent="0.25">
      <c r="A578" t="s">
        <v>304</v>
      </c>
      <c r="B578" t="str">
        <f t="shared" ref="B578:B641" si="9">IF($A578&lt;&gt;"",CONCATENATE("get-Childitem K:\1_Capture\",$A578," -recurse -include *.jpg | Move-Item -Destination K:\1_Capture\",$A578),"")</f>
        <v/>
      </c>
    </row>
    <row r="579" spans="1:2" x14ac:dyDescent="0.25">
      <c r="A579" t="s">
        <v>304</v>
      </c>
      <c r="B579" t="str">
        <f t="shared" si="9"/>
        <v/>
      </c>
    </row>
    <row r="580" spans="1:2" x14ac:dyDescent="0.25">
      <c r="A580" t="s">
        <v>304</v>
      </c>
      <c r="B580" t="str">
        <f t="shared" si="9"/>
        <v/>
      </c>
    </row>
    <row r="581" spans="1:2" x14ac:dyDescent="0.25">
      <c r="A581" t="s">
        <v>304</v>
      </c>
      <c r="B581" t="str">
        <f t="shared" si="9"/>
        <v/>
      </c>
    </row>
    <row r="582" spans="1:2" x14ac:dyDescent="0.25">
      <c r="A582" t="s">
        <v>304</v>
      </c>
      <c r="B582" t="str">
        <f t="shared" si="9"/>
        <v/>
      </c>
    </row>
    <row r="583" spans="1:2" x14ac:dyDescent="0.25">
      <c r="A583" t="s">
        <v>304</v>
      </c>
      <c r="B583" t="str">
        <f t="shared" si="9"/>
        <v/>
      </c>
    </row>
    <row r="584" spans="1:2" x14ac:dyDescent="0.25">
      <c r="A584" t="s">
        <v>304</v>
      </c>
      <c r="B584" t="str">
        <f t="shared" si="9"/>
        <v/>
      </c>
    </row>
    <row r="585" spans="1:2" x14ac:dyDescent="0.25">
      <c r="A585" t="s">
        <v>304</v>
      </c>
      <c r="B585" t="str">
        <f t="shared" si="9"/>
        <v/>
      </c>
    </row>
    <row r="586" spans="1:2" x14ac:dyDescent="0.25">
      <c r="A586" t="s">
        <v>304</v>
      </c>
      <c r="B586" t="str">
        <f t="shared" si="9"/>
        <v/>
      </c>
    </row>
    <row r="587" spans="1:2" x14ac:dyDescent="0.25">
      <c r="A587" t="s">
        <v>304</v>
      </c>
      <c r="B587" t="str">
        <f t="shared" si="9"/>
        <v/>
      </c>
    </row>
    <row r="588" spans="1:2" x14ac:dyDescent="0.25">
      <c r="A588" t="s">
        <v>304</v>
      </c>
      <c r="B588" t="str">
        <f t="shared" si="9"/>
        <v/>
      </c>
    </row>
    <row r="589" spans="1:2" x14ac:dyDescent="0.25">
      <c r="A589" t="s">
        <v>304</v>
      </c>
      <c r="B589" t="str">
        <f t="shared" si="9"/>
        <v/>
      </c>
    </row>
    <row r="590" spans="1:2" x14ac:dyDescent="0.25">
      <c r="A590" t="s">
        <v>304</v>
      </c>
      <c r="B590" t="str">
        <f t="shared" si="9"/>
        <v/>
      </c>
    </row>
    <row r="591" spans="1:2" x14ac:dyDescent="0.25">
      <c r="A591" t="s">
        <v>304</v>
      </c>
      <c r="B591" t="str">
        <f t="shared" si="9"/>
        <v/>
      </c>
    </row>
    <row r="592" spans="1:2" x14ac:dyDescent="0.25">
      <c r="A592" t="s">
        <v>304</v>
      </c>
      <c r="B592" t="str">
        <f t="shared" si="9"/>
        <v/>
      </c>
    </row>
    <row r="593" spans="1:2" x14ac:dyDescent="0.25">
      <c r="A593" t="s">
        <v>304</v>
      </c>
      <c r="B593" t="str">
        <f t="shared" si="9"/>
        <v/>
      </c>
    </row>
    <row r="594" spans="1:2" x14ac:dyDescent="0.25">
      <c r="A594" t="s">
        <v>304</v>
      </c>
      <c r="B594" t="str">
        <f t="shared" si="9"/>
        <v/>
      </c>
    </row>
    <row r="595" spans="1:2" x14ac:dyDescent="0.25">
      <c r="A595" t="s">
        <v>304</v>
      </c>
      <c r="B595" t="str">
        <f t="shared" si="9"/>
        <v/>
      </c>
    </row>
    <row r="596" spans="1:2" x14ac:dyDescent="0.25">
      <c r="A596" t="s">
        <v>304</v>
      </c>
      <c r="B596" t="str">
        <f t="shared" si="9"/>
        <v/>
      </c>
    </row>
    <row r="597" spans="1:2" x14ac:dyDescent="0.25">
      <c r="A597" t="s">
        <v>304</v>
      </c>
      <c r="B597" t="str">
        <f t="shared" si="9"/>
        <v/>
      </c>
    </row>
    <row r="598" spans="1:2" x14ac:dyDescent="0.25">
      <c r="A598" t="s">
        <v>304</v>
      </c>
      <c r="B598" t="str">
        <f t="shared" si="9"/>
        <v/>
      </c>
    </row>
    <row r="599" spans="1:2" x14ac:dyDescent="0.25">
      <c r="A599" t="s">
        <v>304</v>
      </c>
      <c r="B599" t="str">
        <f t="shared" si="9"/>
        <v/>
      </c>
    </row>
    <row r="600" spans="1:2" x14ac:dyDescent="0.25">
      <c r="A600" t="s">
        <v>304</v>
      </c>
      <c r="B600" t="str">
        <f t="shared" si="9"/>
        <v/>
      </c>
    </row>
    <row r="601" spans="1:2" x14ac:dyDescent="0.25">
      <c r="A601" t="s">
        <v>304</v>
      </c>
      <c r="B601" t="str">
        <f t="shared" si="9"/>
        <v/>
      </c>
    </row>
    <row r="602" spans="1:2" x14ac:dyDescent="0.25">
      <c r="A602" t="s">
        <v>304</v>
      </c>
      <c r="B602" t="str">
        <f t="shared" si="9"/>
        <v/>
      </c>
    </row>
    <row r="603" spans="1:2" x14ac:dyDescent="0.25">
      <c r="A603" t="s">
        <v>304</v>
      </c>
      <c r="B603" t="str">
        <f t="shared" si="9"/>
        <v/>
      </c>
    </row>
    <row r="604" spans="1:2" x14ac:dyDescent="0.25">
      <c r="A604" t="s">
        <v>304</v>
      </c>
      <c r="B604" t="str">
        <f t="shared" si="9"/>
        <v/>
      </c>
    </row>
    <row r="605" spans="1:2" x14ac:dyDescent="0.25">
      <c r="A605" t="s">
        <v>304</v>
      </c>
      <c r="B605" t="str">
        <f t="shared" si="9"/>
        <v/>
      </c>
    </row>
    <row r="606" spans="1:2" x14ac:dyDescent="0.25">
      <c r="A606" t="s">
        <v>304</v>
      </c>
      <c r="B606" t="str">
        <f t="shared" si="9"/>
        <v/>
      </c>
    </row>
    <row r="607" spans="1:2" x14ac:dyDescent="0.25">
      <c r="A607" t="s">
        <v>304</v>
      </c>
      <c r="B607" t="str">
        <f t="shared" si="9"/>
        <v/>
      </c>
    </row>
    <row r="608" spans="1:2" x14ac:dyDescent="0.25">
      <c r="A608" t="s">
        <v>304</v>
      </c>
      <c r="B608" t="str">
        <f t="shared" si="9"/>
        <v/>
      </c>
    </row>
    <row r="609" spans="1:2" x14ac:dyDescent="0.25">
      <c r="A609" t="s">
        <v>304</v>
      </c>
      <c r="B609" t="str">
        <f t="shared" si="9"/>
        <v/>
      </c>
    </row>
    <row r="610" spans="1:2" x14ac:dyDescent="0.25">
      <c r="A610" t="s">
        <v>304</v>
      </c>
      <c r="B610" t="str">
        <f t="shared" si="9"/>
        <v/>
      </c>
    </row>
    <row r="611" spans="1:2" x14ac:dyDescent="0.25">
      <c r="A611" t="s">
        <v>304</v>
      </c>
      <c r="B611" t="str">
        <f t="shared" si="9"/>
        <v/>
      </c>
    </row>
    <row r="612" spans="1:2" x14ac:dyDescent="0.25">
      <c r="A612" t="s">
        <v>304</v>
      </c>
      <c r="B612" t="str">
        <f t="shared" si="9"/>
        <v/>
      </c>
    </row>
    <row r="613" spans="1:2" x14ac:dyDescent="0.25">
      <c r="A613" t="s">
        <v>304</v>
      </c>
      <c r="B613" t="str">
        <f t="shared" si="9"/>
        <v/>
      </c>
    </row>
    <row r="614" spans="1:2" x14ac:dyDescent="0.25">
      <c r="A614" t="s">
        <v>304</v>
      </c>
      <c r="B614" t="str">
        <f t="shared" si="9"/>
        <v/>
      </c>
    </row>
    <row r="615" spans="1:2" x14ac:dyDescent="0.25">
      <c r="A615" t="s">
        <v>304</v>
      </c>
      <c r="B615" t="str">
        <f t="shared" si="9"/>
        <v/>
      </c>
    </row>
    <row r="616" spans="1:2" x14ac:dyDescent="0.25">
      <c r="A616" t="s">
        <v>304</v>
      </c>
      <c r="B616" t="str">
        <f t="shared" si="9"/>
        <v/>
      </c>
    </row>
    <row r="617" spans="1:2" x14ac:dyDescent="0.25">
      <c r="A617" t="s">
        <v>304</v>
      </c>
      <c r="B617" t="str">
        <f t="shared" si="9"/>
        <v/>
      </c>
    </row>
    <row r="618" spans="1:2" x14ac:dyDescent="0.25">
      <c r="A618" t="s">
        <v>304</v>
      </c>
      <c r="B618" t="str">
        <f t="shared" si="9"/>
        <v/>
      </c>
    </row>
    <row r="619" spans="1:2" x14ac:dyDescent="0.25">
      <c r="A619" t="s">
        <v>304</v>
      </c>
      <c r="B619" t="str">
        <f t="shared" si="9"/>
        <v/>
      </c>
    </row>
    <row r="620" spans="1:2" x14ac:dyDescent="0.25">
      <c r="A620" t="s">
        <v>304</v>
      </c>
      <c r="B620" t="str">
        <f t="shared" si="9"/>
        <v/>
      </c>
    </row>
    <row r="621" spans="1:2" x14ac:dyDescent="0.25">
      <c r="A621" t="s">
        <v>304</v>
      </c>
      <c r="B621" t="str">
        <f t="shared" si="9"/>
        <v/>
      </c>
    </row>
    <row r="622" spans="1:2" x14ac:dyDescent="0.25">
      <c r="A622" t="s">
        <v>304</v>
      </c>
      <c r="B622" t="str">
        <f t="shared" si="9"/>
        <v/>
      </c>
    </row>
    <row r="623" spans="1:2" x14ac:dyDescent="0.25">
      <c r="A623" t="s">
        <v>304</v>
      </c>
      <c r="B623" t="str">
        <f t="shared" si="9"/>
        <v/>
      </c>
    </row>
    <row r="624" spans="1:2" x14ac:dyDescent="0.25">
      <c r="A624" t="s">
        <v>304</v>
      </c>
      <c r="B624" t="str">
        <f t="shared" si="9"/>
        <v/>
      </c>
    </row>
    <row r="625" spans="1:2" x14ac:dyDescent="0.25">
      <c r="A625" t="s">
        <v>304</v>
      </c>
      <c r="B625" t="str">
        <f t="shared" si="9"/>
        <v/>
      </c>
    </row>
    <row r="626" spans="1:2" x14ac:dyDescent="0.25">
      <c r="A626" t="s">
        <v>304</v>
      </c>
      <c r="B626" t="str">
        <f t="shared" si="9"/>
        <v/>
      </c>
    </row>
    <row r="627" spans="1:2" x14ac:dyDescent="0.25">
      <c r="A627" t="s">
        <v>304</v>
      </c>
      <c r="B627" t="str">
        <f t="shared" si="9"/>
        <v/>
      </c>
    </row>
    <row r="628" spans="1:2" x14ac:dyDescent="0.25">
      <c r="A628" t="s">
        <v>304</v>
      </c>
      <c r="B628" t="str">
        <f t="shared" si="9"/>
        <v/>
      </c>
    </row>
    <row r="629" spans="1:2" x14ac:dyDescent="0.25">
      <c r="A629" t="s">
        <v>304</v>
      </c>
      <c r="B629" t="str">
        <f t="shared" si="9"/>
        <v/>
      </c>
    </row>
    <row r="630" spans="1:2" x14ac:dyDescent="0.25">
      <c r="A630" t="s">
        <v>304</v>
      </c>
      <c r="B630" t="str">
        <f t="shared" si="9"/>
        <v/>
      </c>
    </row>
    <row r="631" spans="1:2" x14ac:dyDescent="0.25">
      <c r="A631" t="s">
        <v>304</v>
      </c>
      <c r="B631" t="str">
        <f t="shared" si="9"/>
        <v/>
      </c>
    </row>
    <row r="632" spans="1:2" x14ac:dyDescent="0.25">
      <c r="A632" t="s">
        <v>304</v>
      </c>
      <c r="B632" t="str">
        <f t="shared" si="9"/>
        <v/>
      </c>
    </row>
    <row r="633" spans="1:2" x14ac:dyDescent="0.25">
      <c r="A633" t="s">
        <v>304</v>
      </c>
      <c r="B633" t="str">
        <f t="shared" si="9"/>
        <v/>
      </c>
    </row>
    <row r="634" spans="1:2" x14ac:dyDescent="0.25">
      <c r="A634" t="s">
        <v>304</v>
      </c>
      <c r="B634" t="str">
        <f t="shared" si="9"/>
        <v/>
      </c>
    </row>
    <row r="635" spans="1:2" x14ac:dyDescent="0.25">
      <c r="A635" t="s">
        <v>304</v>
      </c>
      <c r="B635" t="str">
        <f t="shared" si="9"/>
        <v/>
      </c>
    </row>
    <row r="636" spans="1:2" x14ac:dyDescent="0.25">
      <c r="A636" t="s">
        <v>304</v>
      </c>
      <c r="B636" t="str">
        <f t="shared" si="9"/>
        <v/>
      </c>
    </row>
    <row r="637" spans="1:2" x14ac:dyDescent="0.25">
      <c r="A637" t="s">
        <v>304</v>
      </c>
      <c r="B637" t="str">
        <f t="shared" si="9"/>
        <v/>
      </c>
    </row>
    <row r="638" spans="1:2" x14ac:dyDescent="0.25">
      <c r="A638" t="s">
        <v>304</v>
      </c>
      <c r="B638" t="str">
        <f t="shared" si="9"/>
        <v/>
      </c>
    </row>
    <row r="639" spans="1:2" x14ac:dyDescent="0.25">
      <c r="A639" t="s">
        <v>304</v>
      </c>
      <c r="B639" t="str">
        <f t="shared" si="9"/>
        <v/>
      </c>
    </row>
    <row r="640" spans="1:2" x14ac:dyDescent="0.25">
      <c r="A640" t="s">
        <v>304</v>
      </c>
      <c r="B640" t="str">
        <f t="shared" si="9"/>
        <v/>
      </c>
    </row>
    <row r="641" spans="1:2" x14ac:dyDescent="0.25">
      <c r="A641" t="s">
        <v>304</v>
      </c>
      <c r="B641" t="str">
        <f t="shared" si="9"/>
        <v/>
      </c>
    </row>
    <row r="642" spans="1:2" x14ac:dyDescent="0.25">
      <c r="A642" t="s">
        <v>304</v>
      </c>
      <c r="B642" t="str">
        <f t="shared" ref="B642:B705" si="10">IF($A642&lt;&gt;"",CONCATENATE("get-Childitem K:\1_Capture\",$A642," -recurse -include *.jpg | Move-Item -Destination K:\1_Capture\",$A642),"")</f>
        <v/>
      </c>
    </row>
    <row r="643" spans="1:2" x14ac:dyDescent="0.25">
      <c r="A643" t="s">
        <v>304</v>
      </c>
      <c r="B643" t="str">
        <f t="shared" si="10"/>
        <v/>
      </c>
    </row>
    <row r="644" spans="1:2" x14ac:dyDescent="0.25">
      <c r="A644" t="s">
        <v>304</v>
      </c>
      <c r="B644" t="str">
        <f t="shared" si="10"/>
        <v/>
      </c>
    </row>
    <row r="645" spans="1:2" x14ac:dyDescent="0.25">
      <c r="A645" t="s">
        <v>304</v>
      </c>
      <c r="B645" t="str">
        <f t="shared" si="10"/>
        <v/>
      </c>
    </row>
    <row r="646" spans="1:2" x14ac:dyDescent="0.25">
      <c r="A646" t="s">
        <v>304</v>
      </c>
      <c r="B646" t="str">
        <f t="shared" si="10"/>
        <v/>
      </c>
    </row>
    <row r="647" spans="1:2" x14ac:dyDescent="0.25">
      <c r="A647" t="s">
        <v>304</v>
      </c>
      <c r="B647" t="str">
        <f t="shared" si="10"/>
        <v/>
      </c>
    </row>
    <row r="648" spans="1:2" x14ac:dyDescent="0.25">
      <c r="A648" t="s">
        <v>304</v>
      </c>
      <c r="B648" t="str">
        <f t="shared" si="10"/>
        <v/>
      </c>
    </row>
    <row r="649" spans="1:2" x14ac:dyDescent="0.25">
      <c r="A649" t="s">
        <v>304</v>
      </c>
      <c r="B649" t="str">
        <f t="shared" si="10"/>
        <v/>
      </c>
    </row>
    <row r="650" spans="1:2" x14ac:dyDescent="0.25">
      <c r="A650" t="s">
        <v>304</v>
      </c>
      <c r="B650" t="str">
        <f t="shared" si="10"/>
        <v/>
      </c>
    </row>
    <row r="651" spans="1:2" x14ac:dyDescent="0.25">
      <c r="A651" t="s">
        <v>304</v>
      </c>
      <c r="B651" t="str">
        <f t="shared" si="10"/>
        <v/>
      </c>
    </row>
    <row r="652" spans="1:2" x14ac:dyDescent="0.25">
      <c r="A652" t="s">
        <v>304</v>
      </c>
      <c r="B652" t="str">
        <f t="shared" si="10"/>
        <v/>
      </c>
    </row>
    <row r="653" spans="1:2" x14ac:dyDescent="0.25">
      <c r="A653" t="s">
        <v>304</v>
      </c>
      <c r="B653" t="str">
        <f t="shared" si="10"/>
        <v/>
      </c>
    </row>
    <row r="654" spans="1:2" x14ac:dyDescent="0.25">
      <c r="A654" t="s">
        <v>304</v>
      </c>
      <c r="B654" t="str">
        <f t="shared" si="10"/>
        <v/>
      </c>
    </row>
    <row r="655" spans="1:2" x14ac:dyDescent="0.25">
      <c r="A655" t="s">
        <v>304</v>
      </c>
      <c r="B655" t="str">
        <f t="shared" si="10"/>
        <v/>
      </c>
    </row>
    <row r="656" spans="1:2" x14ac:dyDescent="0.25">
      <c r="A656" t="s">
        <v>304</v>
      </c>
      <c r="B656" t="str">
        <f t="shared" si="10"/>
        <v/>
      </c>
    </row>
    <row r="657" spans="1:2" x14ac:dyDescent="0.25">
      <c r="A657" t="s">
        <v>304</v>
      </c>
      <c r="B657" t="str">
        <f t="shared" si="10"/>
        <v/>
      </c>
    </row>
    <row r="658" spans="1:2" x14ac:dyDescent="0.25">
      <c r="A658" t="s">
        <v>304</v>
      </c>
      <c r="B658" t="str">
        <f t="shared" si="10"/>
        <v/>
      </c>
    </row>
    <row r="659" spans="1:2" x14ac:dyDescent="0.25">
      <c r="A659" t="s">
        <v>304</v>
      </c>
      <c r="B659" t="str">
        <f t="shared" si="10"/>
        <v/>
      </c>
    </row>
    <row r="660" spans="1:2" x14ac:dyDescent="0.25">
      <c r="A660" t="s">
        <v>304</v>
      </c>
      <c r="B660" t="str">
        <f t="shared" si="10"/>
        <v/>
      </c>
    </row>
    <row r="661" spans="1:2" x14ac:dyDescent="0.25">
      <c r="A661" t="s">
        <v>304</v>
      </c>
      <c r="B661" t="str">
        <f t="shared" si="10"/>
        <v/>
      </c>
    </row>
    <row r="662" spans="1:2" x14ac:dyDescent="0.25">
      <c r="A662" t="s">
        <v>304</v>
      </c>
      <c r="B662" t="str">
        <f t="shared" si="10"/>
        <v/>
      </c>
    </row>
    <row r="663" spans="1:2" x14ac:dyDescent="0.25">
      <c r="A663" t="s">
        <v>304</v>
      </c>
      <c r="B663" t="str">
        <f t="shared" si="10"/>
        <v/>
      </c>
    </row>
    <row r="664" spans="1:2" x14ac:dyDescent="0.25">
      <c r="A664" t="s">
        <v>304</v>
      </c>
      <c r="B664" t="str">
        <f t="shared" si="10"/>
        <v/>
      </c>
    </row>
    <row r="665" spans="1:2" x14ac:dyDescent="0.25">
      <c r="A665" t="s">
        <v>304</v>
      </c>
      <c r="B665" t="str">
        <f t="shared" si="10"/>
        <v/>
      </c>
    </row>
    <row r="666" spans="1:2" x14ac:dyDescent="0.25">
      <c r="A666" t="s">
        <v>304</v>
      </c>
      <c r="B666" t="str">
        <f t="shared" si="10"/>
        <v/>
      </c>
    </row>
    <row r="667" spans="1:2" x14ac:dyDescent="0.25">
      <c r="A667" t="s">
        <v>304</v>
      </c>
      <c r="B667" t="str">
        <f t="shared" si="10"/>
        <v/>
      </c>
    </row>
    <row r="668" spans="1:2" x14ac:dyDescent="0.25">
      <c r="A668" t="s">
        <v>304</v>
      </c>
      <c r="B668" t="str">
        <f t="shared" si="10"/>
        <v/>
      </c>
    </row>
    <row r="669" spans="1:2" x14ac:dyDescent="0.25">
      <c r="A669" t="s">
        <v>304</v>
      </c>
      <c r="B669" t="str">
        <f t="shared" si="10"/>
        <v/>
      </c>
    </row>
    <row r="670" spans="1:2" x14ac:dyDescent="0.25">
      <c r="A670" t="s">
        <v>304</v>
      </c>
      <c r="B670" t="str">
        <f t="shared" si="10"/>
        <v/>
      </c>
    </row>
    <row r="671" spans="1:2" x14ac:dyDescent="0.25">
      <c r="A671" t="s">
        <v>304</v>
      </c>
      <c r="B671" t="str">
        <f t="shared" si="10"/>
        <v/>
      </c>
    </row>
    <row r="672" spans="1:2" x14ac:dyDescent="0.25">
      <c r="A672" t="s">
        <v>304</v>
      </c>
      <c r="B672" t="str">
        <f t="shared" si="10"/>
        <v/>
      </c>
    </row>
    <row r="673" spans="1:2" x14ac:dyDescent="0.25">
      <c r="A673" t="s">
        <v>304</v>
      </c>
      <c r="B673" t="str">
        <f t="shared" si="10"/>
        <v/>
      </c>
    </row>
    <row r="674" spans="1:2" x14ac:dyDescent="0.25">
      <c r="A674" t="s">
        <v>304</v>
      </c>
      <c r="B674" t="str">
        <f t="shared" si="10"/>
        <v/>
      </c>
    </row>
    <row r="675" spans="1:2" x14ac:dyDescent="0.25">
      <c r="A675" t="s">
        <v>304</v>
      </c>
      <c r="B675" t="str">
        <f t="shared" si="10"/>
        <v/>
      </c>
    </row>
    <row r="676" spans="1:2" x14ac:dyDescent="0.25">
      <c r="A676" t="s">
        <v>304</v>
      </c>
      <c r="B676" t="str">
        <f t="shared" si="10"/>
        <v/>
      </c>
    </row>
    <row r="677" spans="1:2" x14ac:dyDescent="0.25">
      <c r="A677" t="s">
        <v>304</v>
      </c>
      <c r="B677" t="str">
        <f t="shared" si="10"/>
        <v/>
      </c>
    </row>
    <row r="678" spans="1:2" x14ac:dyDescent="0.25">
      <c r="A678" t="s">
        <v>304</v>
      </c>
      <c r="B678" t="str">
        <f t="shared" si="10"/>
        <v/>
      </c>
    </row>
    <row r="679" spans="1:2" x14ac:dyDescent="0.25">
      <c r="A679" t="s">
        <v>304</v>
      </c>
      <c r="B679" t="str">
        <f t="shared" si="10"/>
        <v/>
      </c>
    </row>
    <row r="680" spans="1:2" x14ac:dyDescent="0.25">
      <c r="A680" t="s">
        <v>304</v>
      </c>
      <c r="B680" t="str">
        <f t="shared" si="10"/>
        <v/>
      </c>
    </row>
    <row r="681" spans="1:2" x14ac:dyDescent="0.25">
      <c r="A681" t="s">
        <v>304</v>
      </c>
      <c r="B681" t="str">
        <f t="shared" si="10"/>
        <v/>
      </c>
    </row>
    <row r="682" spans="1:2" x14ac:dyDescent="0.25">
      <c r="A682" t="s">
        <v>304</v>
      </c>
      <c r="B682" t="str">
        <f t="shared" si="10"/>
        <v/>
      </c>
    </row>
    <row r="683" spans="1:2" x14ac:dyDescent="0.25">
      <c r="A683" t="s">
        <v>304</v>
      </c>
      <c r="B683" t="str">
        <f t="shared" si="10"/>
        <v/>
      </c>
    </row>
    <row r="684" spans="1:2" x14ac:dyDescent="0.25">
      <c r="A684" t="s">
        <v>304</v>
      </c>
      <c r="B684" t="str">
        <f t="shared" si="10"/>
        <v/>
      </c>
    </row>
    <row r="685" spans="1:2" x14ac:dyDescent="0.25">
      <c r="A685" t="s">
        <v>304</v>
      </c>
      <c r="B685" t="str">
        <f t="shared" si="10"/>
        <v/>
      </c>
    </row>
    <row r="686" spans="1:2" x14ac:dyDescent="0.25">
      <c r="A686" t="s">
        <v>304</v>
      </c>
      <c r="B686" t="str">
        <f t="shared" si="10"/>
        <v/>
      </c>
    </row>
    <row r="687" spans="1:2" x14ac:dyDescent="0.25">
      <c r="A687" t="s">
        <v>304</v>
      </c>
      <c r="B687" t="str">
        <f t="shared" si="10"/>
        <v/>
      </c>
    </row>
    <row r="688" spans="1:2" x14ac:dyDescent="0.25">
      <c r="A688" t="s">
        <v>304</v>
      </c>
      <c r="B688" t="str">
        <f t="shared" si="10"/>
        <v/>
      </c>
    </row>
    <row r="689" spans="1:2" x14ac:dyDescent="0.25">
      <c r="A689" t="s">
        <v>304</v>
      </c>
      <c r="B689" t="str">
        <f t="shared" si="10"/>
        <v/>
      </c>
    </row>
    <row r="690" spans="1:2" x14ac:dyDescent="0.25">
      <c r="A690" t="s">
        <v>304</v>
      </c>
      <c r="B690" t="str">
        <f t="shared" si="10"/>
        <v/>
      </c>
    </row>
    <row r="691" spans="1:2" x14ac:dyDescent="0.25">
      <c r="A691" t="s">
        <v>304</v>
      </c>
      <c r="B691" t="str">
        <f t="shared" si="10"/>
        <v/>
      </c>
    </row>
    <row r="692" spans="1:2" x14ac:dyDescent="0.25">
      <c r="A692" t="s">
        <v>304</v>
      </c>
      <c r="B692" t="str">
        <f t="shared" si="10"/>
        <v/>
      </c>
    </row>
    <row r="693" spans="1:2" x14ac:dyDescent="0.25">
      <c r="A693" t="s">
        <v>304</v>
      </c>
      <c r="B693" t="str">
        <f t="shared" si="10"/>
        <v/>
      </c>
    </row>
    <row r="694" spans="1:2" x14ac:dyDescent="0.25">
      <c r="A694" t="s">
        <v>304</v>
      </c>
      <c r="B694" t="str">
        <f t="shared" si="10"/>
        <v/>
      </c>
    </row>
    <row r="695" spans="1:2" x14ac:dyDescent="0.25">
      <c r="A695" t="s">
        <v>304</v>
      </c>
      <c r="B695" t="str">
        <f t="shared" si="10"/>
        <v/>
      </c>
    </row>
    <row r="696" spans="1:2" x14ac:dyDescent="0.25">
      <c r="A696" t="s">
        <v>304</v>
      </c>
      <c r="B696" t="str">
        <f t="shared" si="10"/>
        <v/>
      </c>
    </row>
    <row r="697" spans="1:2" x14ac:dyDescent="0.25">
      <c r="A697" t="s">
        <v>304</v>
      </c>
      <c r="B697" t="str">
        <f t="shared" si="10"/>
        <v/>
      </c>
    </row>
    <row r="698" spans="1:2" x14ac:dyDescent="0.25">
      <c r="A698" t="s">
        <v>304</v>
      </c>
      <c r="B698" t="str">
        <f t="shared" si="10"/>
        <v/>
      </c>
    </row>
    <row r="699" spans="1:2" x14ac:dyDescent="0.25">
      <c r="A699" t="s">
        <v>304</v>
      </c>
      <c r="B699" t="str">
        <f t="shared" si="10"/>
        <v/>
      </c>
    </row>
    <row r="700" spans="1:2" x14ac:dyDescent="0.25">
      <c r="A700" t="s">
        <v>304</v>
      </c>
      <c r="B700" t="str">
        <f t="shared" si="10"/>
        <v/>
      </c>
    </row>
    <row r="701" spans="1:2" x14ac:dyDescent="0.25">
      <c r="A701" t="s">
        <v>304</v>
      </c>
      <c r="B701" t="str">
        <f t="shared" si="10"/>
        <v/>
      </c>
    </row>
    <row r="702" spans="1:2" x14ac:dyDescent="0.25">
      <c r="A702" t="s">
        <v>304</v>
      </c>
      <c r="B702" t="str">
        <f t="shared" si="10"/>
        <v/>
      </c>
    </row>
    <row r="703" spans="1:2" x14ac:dyDescent="0.25">
      <c r="A703" t="s">
        <v>304</v>
      </c>
      <c r="B703" t="str">
        <f t="shared" si="10"/>
        <v/>
      </c>
    </row>
    <row r="704" spans="1:2" x14ac:dyDescent="0.25">
      <c r="A704" t="s">
        <v>304</v>
      </c>
      <c r="B704" t="str">
        <f t="shared" si="10"/>
        <v/>
      </c>
    </row>
    <row r="705" spans="1:2" x14ac:dyDescent="0.25">
      <c r="A705" t="s">
        <v>304</v>
      </c>
      <c r="B705" t="str">
        <f t="shared" si="10"/>
        <v/>
      </c>
    </row>
    <row r="706" spans="1:2" x14ac:dyDescent="0.25">
      <c r="A706" t="s">
        <v>304</v>
      </c>
      <c r="B706" t="str">
        <f t="shared" ref="B706:B769" si="11">IF($A706&lt;&gt;"",CONCATENATE("get-Childitem K:\1_Capture\",$A706," -recurse -include *.jpg | Move-Item -Destination K:\1_Capture\",$A706),"")</f>
        <v/>
      </c>
    </row>
    <row r="707" spans="1:2" x14ac:dyDescent="0.25">
      <c r="A707" t="s">
        <v>304</v>
      </c>
      <c r="B707" t="str">
        <f t="shared" si="11"/>
        <v/>
      </c>
    </row>
    <row r="708" spans="1:2" x14ac:dyDescent="0.25">
      <c r="A708" t="s">
        <v>304</v>
      </c>
      <c r="B708" t="str">
        <f t="shared" si="11"/>
        <v/>
      </c>
    </row>
    <row r="709" spans="1:2" x14ac:dyDescent="0.25">
      <c r="A709" t="s">
        <v>304</v>
      </c>
      <c r="B709" t="str">
        <f t="shared" si="11"/>
        <v/>
      </c>
    </row>
    <row r="710" spans="1:2" x14ac:dyDescent="0.25">
      <c r="A710" t="s">
        <v>304</v>
      </c>
      <c r="B710" t="str">
        <f t="shared" si="11"/>
        <v/>
      </c>
    </row>
    <row r="711" spans="1:2" x14ac:dyDescent="0.25">
      <c r="A711" t="s">
        <v>304</v>
      </c>
      <c r="B711" t="str">
        <f t="shared" si="11"/>
        <v/>
      </c>
    </row>
    <row r="712" spans="1:2" x14ac:dyDescent="0.25">
      <c r="A712" t="s">
        <v>304</v>
      </c>
      <c r="B712" t="str">
        <f t="shared" si="11"/>
        <v/>
      </c>
    </row>
    <row r="713" spans="1:2" x14ac:dyDescent="0.25">
      <c r="A713" t="s">
        <v>304</v>
      </c>
      <c r="B713" t="str">
        <f t="shared" si="11"/>
        <v/>
      </c>
    </row>
    <row r="714" spans="1:2" x14ac:dyDescent="0.25">
      <c r="A714" t="s">
        <v>304</v>
      </c>
      <c r="B714" t="str">
        <f t="shared" si="11"/>
        <v/>
      </c>
    </row>
    <row r="715" spans="1:2" x14ac:dyDescent="0.25">
      <c r="A715" t="s">
        <v>304</v>
      </c>
      <c r="B715" t="str">
        <f t="shared" si="11"/>
        <v/>
      </c>
    </row>
    <row r="716" spans="1:2" x14ac:dyDescent="0.25">
      <c r="A716" t="s">
        <v>304</v>
      </c>
      <c r="B716" t="str">
        <f t="shared" si="11"/>
        <v/>
      </c>
    </row>
    <row r="717" spans="1:2" x14ac:dyDescent="0.25">
      <c r="A717" t="s">
        <v>304</v>
      </c>
      <c r="B717" t="str">
        <f t="shared" si="11"/>
        <v/>
      </c>
    </row>
    <row r="718" spans="1:2" x14ac:dyDescent="0.25">
      <c r="A718" t="s">
        <v>304</v>
      </c>
      <c r="B718" t="str">
        <f t="shared" si="11"/>
        <v/>
      </c>
    </row>
    <row r="719" spans="1:2" x14ac:dyDescent="0.25">
      <c r="A719" t="s">
        <v>304</v>
      </c>
      <c r="B719" t="str">
        <f t="shared" si="11"/>
        <v/>
      </c>
    </row>
    <row r="720" spans="1:2" x14ac:dyDescent="0.25">
      <c r="A720" t="s">
        <v>304</v>
      </c>
      <c r="B720" t="str">
        <f t="shared" si="11"/>
        <v/>
      </c>
    </row>
    <row r="721" spans="1:2" x14ac:dyDescent="0.25">
      <c r="A721" t="s">
        <v>304</v>
      </c>
      <c r="B721" t="str">
        <f t="shared" si="11"/>
        <v/>
      </c>
    </row>
    <row r="722" spans="1:2" x14ac:dyDescent="0.25">
      <c r="A722" t="s">
        <v>304</v>
      </c>
      <c r="B722" t="str">
        <f t="shared" si="11"/>
        <v/>
      </c>
    </row>
    <row r="723" spans="1:2" x14ac:dyDescent="0.25">
      <c r="A723" t="s">
        <v>304</v>
      </c>
      <c r="B723" t="str">
        <f t="shared" si="11"/>
        <v/>
      </c>
    </row>
    <row r="724" spans="1:2" x14ac:dyDescent="0.25">
      <c r="A724" t="s">
        <v>304</v>
      </c>
      <c r="B724" t="str">
        <f t="shared" si="11"/>
        <v/>
      </c>
    </row>
    <row r="725" spans="1:2" x14ac:dyDescent="0.25">
      <c r="A725" t="s">
        <v>304</v>
      </c>
      <c r="B725" t="str">
        <f t="shared" si="11"/>
        <v/>
      </c>
    </row>
    <row r="726" spans="1:2" x14ac:dyDescent="0.25">
      <c r="A726" t="s">
        <v>304</v>
      </c>
      <c r="B726" t="str">
        <f t="shared" si="11"/>
        <v/>
      </c>
    </row>
    <row r="727" spans="1:2" x14ac:dyDescent="0.25">
      <c r="A727" t="s">
        <v>304</v>
      </c>
      <c r="B727" t="str">
        <f t="shared" si="11"/>
        <v/>
      </c>
    </row>
    <row r="728" spans="1:2" x14ac:dyDescent="0.25">
      <c r="A728" t="s">
        <v>304</v>
      </c>
      <c r="B728" t="str">
        <f t="shared" si="11"/>
        <v/>
      </c>
    </row>
    <row r="729" spans="1:2" x14ac:dyDescent="0.25">
      <c r="A729" t="s">
        <v>304</v>
      </c>
      <c r="B729" t="str">
        <f t="shared" si="11"/>
        <v/>
      </c>
    </row>
    <row r="730" spans="1:2" x14ac:dyDescent="0.25">
      <c r="A730" t="s">
        <v>304</v>
      </c>
      <c r="B730" t="str">
        <f t="shared" si="11"/>
        <v/>
      </c>
    </row>
    <row r="731" spans="1:2" x14ac:dyDescent="0.25">
      <c r="A731" t="s">
        <v>304</v>
      </c>
      <c r="B731" t="str">
        <f t="shared" si="11"/>
        <v/>
      </c>
    </row>
    <row r="732" spans="1:2" x14ac:dyDescent="0.25">
      <c r="A732" t="s">
        <v>304</v>
      </c>
      <c r="B732" t="str">
        <f t="shared" si="11"/>
        <v/>
      </c>
    </row>
    <row r="733" spans="1:2" x14ac:dyDescent="0.25">
      <c r="A733" t="s">
        <v>304</v>
      </c>
      <c r="B733" t="str">
        <f t="shared" si="11"/>
        <v/>
      </c>
    </row>
    <row r="734" spans="1:2" x14ac:dyDescent="0.25">
      <c r="A734" t="s">
        <v>304</v>
      </c>
      <c r="B734" t="str">
        <f t="shared" si="11"/>
        <v/>
      </c>
    </row>
    <row r="735" spans="1:2" x14ac:dyDescent="0.25">
      <c r="A735" t="s">
        <v>304</v>
      </c>
      <c r="B735" t="str">
        <f t="shared" si="11"/>
        <v/>
      </c>
    </row>
    <row r="736" spans="1:2" x14ac:dyDescent="0.25">
      <c r="A736" t="s">
        <v>304</v>
      </c>
      <c r="B736" t="str">
        <f t="shared" si="11"/>
        <v/>
      </c>
    </row>
    <row r="737" spans="1:2" x14ac:dyDescent="0.25">
      <c r="A737" t="s">
        <v>304</v>
      </c>
      <c r="B737" t="str">
        <f t="shared" si="11"/>
        <v/>
      </c>
    </row>
    <row r="738" spans="1:2" x14ac:dyDescent="0.25">
      <c r="A738" t="s">
        <v>304</v>
      </c>
      <c r="B738" t="str">
        <f t="shared" si="11"/>
        <v/>
      </c>
    </row>
    <row r="739" spans="1:2" x14ac:dyDescent="0.25">
      <c r="A739" t="s">
        <v>304</v>
      </c>
      <c r="B739" t="str">
        <f t="shared" si="11"/>
        <v/>
      </c>
    </row>
    <row r="740" spans="1:2" x14ac:dyDescent="0.25">
      <c r="A740" t="s">
        <v>304</v>
      </c>
      <c r="B740" t="str">
        <f t="shared" si="11"/>
        <v/>
      </c>
    </row>
    <row r="741" spans="1:2" x14ac:dyDescent="0.25">
      <c r="A741" t="s">
        <v>304</v>
      </c>
      <c r="B741" t="str">
        <f t="shared" si="11"/>
        <v/>
      </c>
    </row>
    <row r="742" spans="1:2" x14ac:dyDescent="0.25">
      <c r="A742" t="s">
        <v>304</v>
      </c>
      <c r="B742" t="str">
        <f t="shared" si="11"/>
        <v/>
      </c>
    </row>
    <row r="743" spans="1:2" x14ac:dyDescent="0.25">
      <c r="A743" t="s">
        <v>304</v>
      </c>
      <c r="B743" t="str">
        <f t="shared" si="11"/>
        <v/>
      </c>
    </row>
    <row r="744" spans="1:2" x14ac:dyDescent="0.25">
      <c r="A744" t="s">
        <v>304</v>
      </c>
      <c r="B744" t="str">
        <f t="shared" si="11"/>
        <v/>
      </c>
    </row>
    <row r="745" spans="1:2" x14ac:dyDescent="0.25">
      <c r="A745" t="s">
        <v>304</v>
      </c>
      <c r="B745" t="str">
        <f t="shared" si="11"/>
        <v/>
      </c>
    </row>
    <row r="746" spans="1:2" x14ac:dyDescent="0.25">
      <c r="A746" t="s">
        <v>304</v>
      </c>
      <c r="B746" t="str">
        <f t="shared" si="11"/>
        <v/>
      </c>
    </row>
    <row r="747" spans="1:2" x14ac:dyDescent="0.25">
      <c r="A747" t="s">
        <v>304</v>
      </c>
      <c r="B747" t="str">
        <f t="shared" si="11"/>
        <v/>
      </c>
    </row>
    <row r="748" spans="1:2" x14ac:dyDescent="0.25">
      <c r="A748" t="s">
        <v>304</v>
      </c>
      <c r="B748" t="str">
        <f t="shared" si="11"/>
        <v/>
      </c>
    </row>
    <row r="749" spans="1:2" x14ac:dyDescent="0.25">
      <c r="A749" t="s">
        <v>304</v>
      </c>
      <c r="B749" t="str">
        <f t="shared" si="11"/>
        <v/>
      </c>
    </row>
    <row r="750" spans="1:2" x14ac:dyDescent="0.25">
      <c r="A750" t="s">
        <v>304</v>
      </c>
      <c r="B750" t="str">
        <f t="shared" si="11"/>
        <v/>
      </c>
    </row>
    <row r="751" spans="1:2" x14ac:dyDescent="0.25">
      <c r="A751" t="s">
        <v>304</v>
      </c>
      <c r="B751" t="str">
        <f t="shared" si="11"/>
        <v/>
      </c>
    </row>
    <row r="752" spans="1:2" x14ac:dyDescent="0.25">
      <c r="A752" t="s">
        <v>304</v>
      </c>
      <c r="B752" t="str">
        <f t="shared" si="11"/>
        <v/>
      </c>
    </row>
    <row r="753" spans="1:2" x14ac:dyDescent="0.25">
      <c r="A753" t="s">
        <v>304</v>
      </c>
      <c r="B753" t="str">
        <f t="shared" si="11"/>
        <v/>
      </c>
    </row>
    <row r="754" spans="1:2" x14ac:dyDescent="0.25">
      <c r="A754" t="s">
        <v>304</v>
      </c>
      <c r="B754" t="str">
        <f t="shared" si="11"/>
        <v/>
      </c>
    </row>
    <row r="755" spans="1:2" x14ac:dyDescent="0.25">
      <c r="A755" t="s">
        <v>304</v>
      </c>
      <c r="B755" t="str">
        <f t="shared" si="11"/>
        <v/>
      </c>
    </row>
    <row r="756" spans="1:2" x14ac:dyDescent="0.25">
      <c r="A756" t="s">
        <v>304</v>
      </c>
      <c r="B756" t="str">
        <f t="shared" si="11"/>
        <v/>
      </c>
    </row>
    <row r="757" spans="1:2" x14ac:dyDescent="0.25">
      <c r="A757" t="s">
        <v>304</v>
      </c>
      <c r="B757" t="str">
        <f t="shared" si="11"/>
        <v/>
      </c>
    </row>
    <row r="758" spans="1:2" x14ac:dyDescent="0.25">
      <c r="A758" t="s">
        <v>304</v>
      </c>
      <c r="B758" t="str">
        <f t="shared" si="11"/>
        <v/>
      </c>
    </row>
    <row r="759" spans="1:2" x14ac:dyDescent="0.25">
      <c r="A759" t="s">
        <v>304</v>
      </c>
      <c r="B759" t="str">
        <f t="shared" si="11"/>
        <v/>
      </c>
    </row>
    <row r="760" spans="1:2" x14ac:dyDescent="0.25">
      <c r="A760" t="s">
        <v>304</v>
      </c>
      <c r="B760" t="str">
        <f t="shared" si="11"/>
        <v/>
      </c>
    </row>
    <row r="761" spans="1:2" x14ac:dyDescent="0.25">
      <c r="A761" t="s">
        <v>304</v>
      </c>
      <c r="B761" t="str">
        <f t="shared" si="11"/>
        <v/>
      </c>
    </row>
    <row r="762" spans="1:2" x14ac:dyDescent="0.25">
      <c r="A762" t="s">
        <v>304</v>
      </c>
      <c r="B762" t="str">
        <f t="shared" si="11"/>
        <v/>
      </c>
    </row>
    <row r="763" spans="1:2" x14ac:dyDescent="0.25">
      <c r="A763" t="s">
        <v>304</v>
      </c>
      <c r="B763" t="str">
        <f t="shared" si="11"/>
        <v/>
      </c>
    </row>
    <row r="764" spans="1:2" x14ac:dyDescent="0.25">
      <c r="A764" t="s">
        <v>304</v>
      </c>
      <c r="B764" t="str">
        <f t="shared" si="11"/>
        <v/>
      </c>
    </row>
    <row r="765" spans="1:2" x14ac:dyDescent="0.25">
      <c r="A765" t="s">
        <v>304</v>
      </c>
      <c r="B765" t="str">
        <f t="shared" si="11"/>
        <v/>
      </c>
    </row>
    <row r="766" spans="1:2" x14ac:dyDescent="0.25">
      <c r="A766" t="s">
        <v>304</v>
      </c>
      <c r="B766" t="str">
        <f t="shared" si="11"/>
        <v/>
      </c>
    </row>
    <row r="767" spans="1:2" x14ac:dyDescent="0.25">
      <c r="A767" t="s">
        <v>304</v>
      </c>
      <c r="B767" t="str">
        <f t="shared" si="11"/>
        <v/>
      </c>
    </row>
    <row r="768" spans="1:2" x14ac:dyDescent="0.25">
      <c r="A768" t="s">
        <v>304</v>
      </c>
      <c r="B768" t="str">
        <f t="shared" si="11"/>
        <v/>
      </c>
    </row>
    <row r="769" spans="1:2" x14ac:dyDescent="0.25">
      <c r="A769" t="s">
        <v>304</v>
      </c>
      <c r="B769" t="str">
        <f t="shared" si="11"/>
        <v/>
      </c>
    </row>
    <row r="770" spans="1:2" x14ac:dyDescent="0.25">
      <c r="A770" t="s">
        <v>304</v>
      </c>
      <c r="B770" t="str">
        <f t="shared" ref="B770:B833" si="12">IF($A770&lt;&gt;"",CONCATENATE("get-Childitem K:\1_Capture\",$A770," -recurse -include *.jpg | Move-Item -Destination K:\1_Capture\",$A770),"")</f>
        <v/>
      </c>
    </row>
    <row r="771" spans="1:2" x14ac:dyDescent="0.25">
      <c r="A771" t="s">
        <v>304</v>
      </c>
      <c r="B771" t="str">
        <f t="shared" si="12"/>
        <v/>
      </c>
    </row>
    <row r="772" spans="1:2" x14ac:dyDescent="0.25">
      <c r="A772" t="s">
        <v>304</v>
      </c>
      <c r="B772" t="str">
        <f t="shared" si="12"/>
        <v/>
      </c>
    </row>
    <row r="773" spans="1:2" x14ac:dyDescent="0.25">
      <c r="A773" t="s">
        <v>304</v>
      </c>
      <c r="B773" t="str">
        <f t="shared" si="12"/>
        <v/>
      </c>
    </row>
    <row r="774" spans="1:2" x14ac:dyDescent="0.25">
      <c r="A774" t="s">
        <v>304</v>
      </c>
      <c r="B774" t="str">
        <f t="shared" si="12"/>
        <v/>
      </c>
    </row>
    <row r="775" spans="1:2" x14ac:dyDescent="0.25">
      <c r="A775" t="s">
        <v>304</v>
      </c>
      <c r="B775" t="str">
        <f t="shared" si="12"/>
        <v/>
      </c>
    </row>
    <row r="776" spans="1:2" x14ac:dyDescent="0.25">
      <c r="A776" t="s">
        <v>304</v>
      </c>
      <c r="B776" t="str">
        <f t="shared" si="12"/>
        <v/>
      </c>
    </row>
    <row r="777" spans="1:2" x14ac:dyDescent="0.25">
      <c r="A777" t="s">
        <v>304</v>
      </c>
      <c r="B777" t="str">
        <f t="shared" si="12"/>
        <v/>
      </c>
    </row>
    <row r="778" spans="1:2" x14ac:dyDescent="0.25">
      <c r="A778" t="s">
        <v>304</v>
      </c>
      <c r="B778" t="str">
        <f t="shared" si="12"/>
        <v/>
      </c>
    </row>
    <row r="779" spans="1:2" x14ac:dyDescent="0.25">
      <c r="A779" t="s">
        <v>304</v>
      </c>
      <c r="B779" t="str">
        <f t="shared" si="12"/>
        <v/>
      </c>
    </row>
    <row r="780" spans="1:2" x14ac:dyDescent="0.25">
      <c r="A780" t="s">
        <v>304</v>
      </c>
      <c r="B780" t="str">
        <f t="shared" si="12"/>
        <v/>
      </c>
    </row>
    <row r="781" spans="1:2" x14ac:dyDescent="0.25">
      <c r="A781" t="s">
        <v>304</v>
      </c>
      <c r="B781" t="str">
        <f t="shared" si="12"/>
        <v/>
      </c>
    </row>
    <row r="782" spans="1:2" x14ac:dyDescent="0.25">
      <c r="A782" t="s">
        <v>304</v>
      </c>
      <c r="B782" t="str">
        <f t="shared" si="12"/>
        <v/>
      </c>
    </row>
    <row r="783" spans="1:2" x14ac:dyDescent="0.25">
      <c r="A783" t="s">
        <v>304</v>
      </c>
      <c r="B783" t="str">
        <f t="shared" si="12"/>
        <v/>
      </c>
    </row>
    <row r="784" spans="1:2" x14ac:dyDescent="0.25">
      <c r="A784" t="s">
        <v>304</v>
      </c>
      <c r="B784" t="str">
        <f t="shared" si="12"/>
        <v/>
      </c>
    </row>
    <row r="785" spans="1:2" x14ac:dyDescent="0.25">
      <c r="A785" t="s">
        <v>304</v>
      </c>
      <c r="B785" t="str">
        <f t="shared" si="12"/>
        <v/>
      </c>
    </row>
    <row r="786" spans="1:2" x14ac:dyDescent="0.25">
      <c r="A786" t="s">
        <v>304</v>
      </c>
      <c r="B786" t="str">
        <f t="shared" si="12"/>
        <v/>
      </c>
    </row>
    <row r="787" spans="1:2" x14ac:dyDescent="0.25">
      <c r="A787" t="s">
        <v>304</v>
      </c>
      <c r="B787" t="str">
        <f t="shared" si="12"/>
        <v/>
      </c>
    </row>
    <row r="788" spans="1:2" x14ac:dyDescent="0.25">
      <c r="A788" t="s">
        <v>304</v>
      </c>
      <c r="B788" t="str">
        <f t="shared" si="12"/>
        <v/>
      </c>
    </row>
    <row r="789" spans="1:2" x14ac:dyDescent="0.25">
      <c r="A789" t="s">
        <v>304</v>
      </c>
      <c r="B789" t="str">
        <f t="shared" si="12"/>
        <v/>
      </c>
    </row>
    <row r="790" spans="1:2" x14ac:dyDescent="0.25">
      <c r="A790" t="s">
        <v>304</v>
      </c>
      <c r="B790" t="str">
        <f t="shared" si="12"/>
        <v/>
      </c>
    </row>
    <row r="791" spans="1:2" x14ac:dyDescent="0.25">
      <c r="A791" t="s">
        <v>304</v>
      </c>
      <c r="B791" t="str">
        <f t="shared" si="12"/>
        <v/>
      </c>
    </row>
    <row r="792" spans="1:2" x14ac:dyDescent="0.25">
      <c r="A792" t="s">
        <v>304</v>
      </c>
      <c r="B792" t="str">
        <f t="shared" si="12"/>
        <v/>
      </c>
    </row>
    <row r="793" spans="1:2" x14ac:dyDescent="0.25">
      <c r="A793" t="s">
        <v>304</v>
      </c>
      <c r="B793" t="str">
        <f t="shared" si="12"/>
        <v/>
      </c>
    </row>
    <row r="794" spans="1:2" x14ac:dyDescent="0.25">
      <c r="A794" t="s">
        <v>304</v>
      </c>
      <c r="B794" t="str">
        <f t="shared" si="12"/>
        <v/>
      </c>
    </row>
    <row r="795" spans="1:2" x14ac:dyDescent="0.25">
      <c r="A795" t="s">
        <v>304</v>
      </c>
      <c r="B795" t="str">
        <f t="shared" si="12"/>
        <v/>
      </c>
    </row>
    <row r="796" spans="1:2" x14ac:dyDescent="0.25">
      <c r="A796" t="s">
        <v>304</v>
      </c>
      <c r="B796" t="str">
        <f t="shared" si="12"/>
        <v/>
      </c>
    </row>
    <row r="797" spans="1:2" x14ac:dyDescent="0.25">
      <c r="A797" t="s">
        <v>304</v>
      </c>
      <c r="B797" t="str">
        <f t="shared" si="12"/>
        <v/>
      </c>
    </row>
    <row r="798" spans="1:2" x14ac:dyDescent="0.25">
      <c r="A798" t="s">
        <v>304</v>
      </c>
      <c r="B798" t="str">
        <f t="shared" si="12"/>
        <v/>
      </c>
    </row>
    <row r="799" spans="1:2" x14ac:dyDescent="0.25">
      <c r="A799" t="s">
        <v>304</v>
      </c>
      <c r="B799" t="str">
        <f t="shared" si="12"/>
        <v/>
      </c>
    </row>
    <row r="800" spans="1:2" x14ac:dyDescent="0.25">
      <c r="A800" t="s">
        <v>304</v>
      </c>
      <c r="B800" t="str">
        <f t="shared" si="12"/>
        <v/>
      </c>
    </row>
    <row r="801" spans="1:2" x14ac:dyDescent="0.25">
      <c r="A801" t="s">
        <v>304</v>
      </c>
      <c r="B801" t="str">
        <f t="shared" si="12"/>
        <v/>
      </c>
    </row>
    <row r="802" spans="1:2" x14ac:dyDescent="0.25">
      <c r="A802" t="s">
        <v>304</v>
      </c>
      <c r="B802" t="str">
        <f t="shared" si="12"/>
        <v/>
      </c>
    </row>
    <row r="803" spans="1:2" x14ac:dyDescent="0.25">
      <c r="A803" t="s">
        <v>304</v>
      </c>
      <c r="B803" t="str">
        <f t="shared" si="12"/>
        <v/>
      </c>
    </row>
    <row r="804" spans="1:2" x14ac:dyDescent="0.25">
      <c r="A804" t="s">
        <v>304</v>
      </c>
      <c r="B804" t="str">
        <f t="shared" si="12"/>
        <v/>
      </c>
    </row>
    <row r="805" spans="1:2" x14ac:dyDescent="0.25">
      <c r="A805" t="s">
        <v>304</v>
      </c>
      <c r="B805" t="str">
        <f t="shared" si="12"/>
        <v/>
      </c>
    </row>
    <row r="806" spans="1:2" x14ac:dyDescent="0.25">
      <c r="A806" t="s">
        <v>304</v>
      </c>
      <c r="B806" t="str">
        <f t="shared" si="12"/>
        <v/>
      </c>
    </row>
    <row r="807" spans="1:2" x14ac:dyDescent="0.25">
      <c r="A807" t="s">
        <v>304</v>
      </c>
      <c r="B807" t="str">
        <f t="shared" si="12"/>
        <v/>
      </c>
    </row>
    <row r="808" spans="1:2" x14ac:dyDescent="0.25">
      <c r="A808" t="s">
        <v>304</v>
      </c>
      <c r="B808" t="str">
        <f t="shared" si="12"/>
        <v/>
      </c>
    </row>
    <row r="809" spans="1:2" x14ac:dyDescent="0.25">
      <c r="A809" t="s">
        <v>304</v>
      </c>
      <c r="B809" t="str">
        <f t="shared" si="12"/>
        <v/>
      </c>
    </row>
    <row r="810" spans="1:2" x14ac:dyDescent="0.25">
      <c r="A810" t="s">
        <v>304</v>
      </c>
      <c r="B810" t="str">
        <f t="shared" si="12"/>
        <v/>
      </c>
    </row>
    <row r="811" spans="1:2" x14ac:dyDescent="0.25">
      <c r="A811" t="s">
        <v>304</v>
      </c>
      <c r="B811" t="str">
        <f t="shared" si="12"/>
        <v/>
      </c>
    </row>
    <row r="812" spans="1:2" x14ac:dyDescent="0.25">
      <c r="A812" t="s">
        <v>304</v>
      </c>
      <c r="B812" t="str">
        <f t="shared" si="12"/>
        <v/>
      </c>
    </row>
    <row r="813" spans="1:2" x14ac:dyDescent="0.25">
      <c r="A813" t="s">
        <v>304</v>
      </c>
      <c r="B813" t="str">
        <f t="shared" si="12"/>
        <v/>
      </c>
    </row>
    <row r="814" spans="1:2" x14ac:dyDescent="0.25">
      <c r="A814" t="s">
        <v>304</v>
      </c>
      <c r="B814" t="str">
        <f t="shared" si="12"/>
        <v/>
      </c>
    </row>
    <row r="815" spans="1:2" x14ac:dyDescent="0.25">
      <c r="A815" t="s">
        <v>304</v>
      </c>
      <c r="B815" t="str">
        <f t="shared" si="12"/>
        <v/>
      </c>
    </row>
    <row r="816" spans="1:2" x14ac:dyDescent="0.25">
      <c r="A816" t="s">
        <v>304</v>
      </c>
      <c r="B816" t="str">
        <f t="shared" si="12"/>
        <v/>
      </c>
    </row>
    <row r="817" spans="1:2" x14ac:dyDescent="0.25">
      <c r="A817" t="s">
        <v>304</v>
      </c>
      <c r="B817" t="str">
        <f t="shared" si="12"/>
        <v/>
      </c>
    </row>
    <row r="818" spans="1:2" x14ac:dyDescent="0.25">
      <c r="A818" t="s">
        <v>304</v>
      </c>
      <c r="B818" t="str">
        <f t="shared" si="12"/>
        <v/>
      </c>
    </row>
    <row r="819" spans="1:2" x14ac:dyDescent="0.25">
      <c r="A819" t="s">
        <v>304</v>
      </c>
      <c r="B819" t="str">
        <f t="shared" si="12"/>
        <v/>
      </c>
    </row>
    <row r="820" spans="1:2" x14ac:dyDescent="0.25">
      <c r="A820" t="s">
        <v>304</v>
      </c>
      <c r="B820" t="str">
        <f t="shared" si="12"/>
        <v/>
      </c>
    </row>
    <row r="821" spans="1:2" x14ac:dyDescent="0.25">
      <c r="A821" t="s">
        <v>304</v>
      </c>
      <c r="B821" t="str">
        <f t="shared" si="12"/>
        <v/>
      </c>
    </row>
    <row r="822" spans="1:2" x14ac:dyDescent="0.25">
      <c r="A822" t="s">
        <v>304</v>
      </c>
      <c r="B822" t="str">
        <f t="shared" si="12"/>
        <v/>
      </c>
    </row>
    <row r="823" spans="1:2" x14ac:dyDescent="0.25">
      <c r="A823" t="s">
        <v>304</v>
      </c>
      <c r="B823" t="str">
        <f t="shared" si="12"/>
        <v/>
      </c>
    </row>
    <row r="824" spans="1:2" x14ac:dyDescent="0.25">
      <c r="A824" t="s">
        <v>304</v>
      </c>
      <c r="B824" t="str">
        <f t="shared" si="12"/>
        <v/>
      </c>
    </row>
    <row r="825" spans="1:2" x14ac:dyDescent="0.25">
      <c r="A825" t="s">
        <v>304</v>
      </c>
      <c r="B825" t="str">
        <f t="shared" si="12"/>
        <v/>
      </c>
    </row>
    <row r="826" spans="1:2" x14ac:dyDescent="0.25">
      <c r="A826" t="s">
        <v>304</v>
      </c>
      <c r="B826" t="str">
        <f t="shared" si="12"/>
        <v/>
      </c>
    </row>
    <row r="827" spans="1:2" x14ac:dyDescent="0.25">
      <c r="A827" t="s">
        <v>304</v>
      </c>
      <c r="B827" t="str">
        <f t="shared" si="12"/>
        <v/>
      </c>
    </row>
    <row r="828" spans="1:2" x14ac:dyDescent="0.25">
      <c r="A828" t="s">
        <v>304</v>
      </c>
      <c r="B828" t="str">
        <f t="shared" si="12"/>
        <v/>
      </c>
    </row>
    <row r="829" spans="1:2" x14ac:dyDescent="0.25">
      <c r="A829" t="s">
        <v>304</v>
      </c>
      <c r="B829" t="str">
        <f t="shared" si="12"/>
        <v/>
      </c>
    </row>
    <row r="830" spans="1:2" x14ac:dyDescent="0.25">
      <c r="A830" t="s">
        <v>304</v>
      </c>
      <c r="B830" t="str">
        <f t="shared" si="12"/>
        <v/>
      </c>
    </row>
    <row r="831" spans="1:2" x14ac:dyDescent="0.25">
      <c r="A831" t="s">
        <v>304</v>
      </c>
      <c r="B831" t="str">
        <f t="shared" si="12"/>
        <v/>
      </c>
    </row>
    <row r="832" spans="1:2" x14ac:dyDescent="0.25">
      <c r="A832" t="s">
        <v>304</v>
      </c>
      <c r="B832" t="str">
        <f t="shared" si="12"/>
        <v/>
      </c>
    </row>
    <row r="833" spans="1:2" x14ac:dyDescent="0.25">
      <c r="A833" t="s">
        <v>304</v>
      </c>
      <c r="B833" t="str">
        <f t="shared" si="12"/>
        <v/>
      </c>
    </row>
    <row r="834" spans="1:2" x14ac:dyDescent="0.25">
      <c r="A834" t="s">
        <v>304</v>
      </c>
      <c r="B834" t="str">
        <f t="shared" ref="B834:B897" si="13">IF($A834&lt;&gt;"",CONCATENATE("get-Childitem K:\1_Capture\",$A834," -recurse -include *.jpg | Move-Item -Destination K:\1_Capture\",$A834),"")</f>
        <v/>
      </c>
    </row>
    <row r="835" spans="1:2" x14ac:dyDescent="0.25">
      <c r="A835" t="s">
        <v>304</v>
      </c>
      <c r="B835" t="str">
        <f t="shared" si="13"/>
        <v/>
      </c>
    </row>
    <row r="836" spans="1:2" x14ac:dyDescent="0.25">
      <c r="A836" t="s">
        <v>304</v>
      </c>
      <c r="B836" t="str">
        <f t="shared" si="13"/>
        <v/>
      </c>
    </row>
    <row r="837" spans="1:2" x14ac:dyDescent="0.25">
      <c r="A837" t="s">
        <v>304</v>
      </c>
      <c r="B837" t="str">
        <f t="shared" si="13"/>
        <v/>
      </c>
    </row>
    <row r="838" spans="1:2" x14ac:dyDescent="0.25">
      <c r="A838" t="s">
        <v>304</v>
      </c>
      <c r="B838" t="str">
        <f t="shared" si="13"/>
        <v/>
      </c>
    </row>
    <row r="839" spans="1:2" x14ac:dyDescent="0.25">
      <c r="A839" t="s">
        <v>304</v>
      </c>
      <c r="B839" t="str">
        <f t="shared" si="13"/>
        <v/>
      </c>
    </row>
    <row r="840" spans="1:2" x14ac:dyDescent="0.25">
      <c r="A840" t="s">
        <v>304</v>
      </c>
      <c r="B840" t="str">
        <f t="shared" si="13"/>
        <v/>
      </c>
    </row>
    <row r="841" spans="1:2" x14ac:dyDescent="0.25">
      <c r="A841" t="s">
        <v>304</v>
      </c>
      <c r="B841" t="str">
        <f t="shared" si="13"/>
        <v/>
      </c>
    </row>
    <row r="842" spans="1:2" x14ac:dyDescent="0.25">
      <c r="A842" t="s">
        <v>304</v>
      </c>
      <c r="B842" t="str">
        <f t="shared" si="13"/>
        <v/>
      </c>
    </row>
    <row r="843" spans="1:2" x14ac:dyDescent="0.25">
      <c r="A843" t="s">
        <v>304</v>
      </c>
      <c r="B843" t="str">
        <f t="shared" si="13"/>
        <v/>
      </c>
    </row>
    <row r="844" spans="1:2" x14ac:dyDescent="0.25">
      <c r="A844" t="s">
        <v>304</v>
      </c>
      <c r="B844" t="str">
        <f t="shared" si="13"/>
        <v/>
      </c>
    </row>
    <row r="845" spans="1:2" x14ac:dyDescent="0.25">
      <c r="A845" t="s">
        <v>304</v>
      </c>
      <c r="B845" t="str">
        <f t="shared" si="13"/>
        <v/>
      </c>
    </row>
    <row r="846" spans="1:2" x14ac:dyDescent="0.25">
      <c r="A846" t="s">
        <v>304</v>
      </c>
      <c r="B846" t="str">
        <f t="shared" si="13"/>
        <v/>
      </c>
    </row>
    <row r="847" spans="1:2" x14ac:dyDescent="0.25">
      <c r="A847" t="s">
        <v>304</v>
      </c>
      <c r="B847" t="str">
        <f t="shared" si="13"/>
        <v/>
      </c>
    </row>
    <row r="848" spans="1:2" x14ac:dyDescent="0.25">
      <c r="A848" t="s">
        <v>304</v>
      </c>
      <c r="B848" t="str">
        <f t="shared" si="13"/>
        <v/>
      </c>
    </row>
    <row r="849" spans="1:2" x14ac:dyDescent="0.25">
      <c r="A849" t="s">
        <v>304</v>
      </c>
      <c r="B849" t="str">
        <f t="shared" si="13"/>
        <v/>
      </c>
    </row>
    <row r="850" spans="1:2" x14ac:dyDescent="0.25">
      <c r="A850" t="s">
        <v>304</v>
      </c>
      <c r="B850" t="str">
        <f t="shared" si="13"/>
        <v/>
      </c>
    </row>
    <row r="851" spans="1:2" x14ac:dyDescent="0.25">
      <c r="A851" t="s">
        <v>304</v>
      </c>
      <c r="B851" t="str">
        <f t="shared" si="13"/>
        <v/>
      </c>
    </row>
    <row r="852" spans="1:2" x14ac:dyDescent="0.25">
      <c r="A852" t="s">
        <v>304</v>
      </c>
      <c r="B852" t="str">
        <f t="shared" si="13"/>
        <v/>
      </c>
    </row>
    <row r="853" spans="1:2" x14ac:dyDescent="0.25">
      <c r="A853" t="s">
        <v>304</v>
      </c>
      <c r="B853" t="str">
        <f t="shared" si="13"/>
        <v/>
      </c>
    </row>
    <row r="854" spans="1:2" x14ac:dyDescent="0.25">
      <c r="A854" t="s">
        <v>304</v>
      </c>
      <c r="B854" t="str">
        <f t="shared" si="13"/>
        <v/>
      </c>
    </row>
    <row r="855" spans="1:2" x14ac:dyDescent="0.25">
      <c r="A855" t="s">
        <v>304</v>
      </c>
      <c r="B855" t="str">
        <f t="shared" si="13"/>
        <v/>
      </c>
    </row>
    <row r="856" spans="1:2" x14ac:dyDescent="0.25">
      <c r="A856" t="s">
        <v>304</v>
      </c>
      <c r="B856" t="str">
        <f t="shared" si="13"/>
        <v/>
      </c>
    </row>
    <row r="857" spans="1:2" x14ac:dyDescent="0.25">
      <c r="A857" t="s">
        <v>304</v>
      </c>
      <c r="B857" t="str">
        <f t="shared" si="13"/>
        <v/>
      </c>
    </row>
    <row r="858" spans="1:2" x14ac:dyDescent="0.25">
      <c r="A858" t="s">
        <v>304</v>
      </c>
      <c r="B858" t="str">
        <f t="shared" si="13"/>
        <v/>
      </c>
    </row>
    <row r="859" spans="1:2" x14ac:dyDescent="0.25">
      <c r="A859" t="s">
        <v>304</v>
      </c>
      <c r="B859" t="str">
        <f t="shared" si="13"/>
        <v/>
      </c>
    </row>
    <row r="860" spans="1:2" x14ac:dyDescent="0.25">
      <c r="A860" t="s">
        <v>304</v>
      </c>
      <c r="B860" t="str">
        <f t="shared" si="13"/>
        <v/>
      </c>
    </row>
    <row r="861" spans="1:2" x14ac:dyDescent="0.25">
      <c r="A861" t="s">
        <v>304</v>
      </c>
      <c r="B861" t="str">
        <f t="shared" si="13"/>
        <v/>
      </c>
    </row>
    <row r="862" spans="1:2" x14ac:dyDescent="0.25">
      <c r="A862" t="s">
        <v>304</v>
      </c>
      <c r="B862" t="str">
        <f t="shared" si="13"/>
        <v/>
      </c>
    </row>
    <row r="863" spans="1:2" x14ac:dyDescent="0.25">
      <c r="A863" t="s">
        <v>304</v>
      </c>
      <c r="B863" t="str">
        <f t="shared" si="13"/>
        <v/>
      </c>
    </row>
    <row r="864" spans="1:2" x14ac:dyDescent="0.25">
      <c r="A864" t="s">
        <v>304</v>
      </c>
      <c r="B864" t="str">
        <f t="shared" si="13"/>
        <v/>
      </c>
    </row>
    <row r="865" spans="1:2" x14ac:dyDescent="0.25">
      <c r="A865" t="s">
        <v>304</v>
      </c>
      <c r="B865" t="str">
        <f t="shared" si="13"/>
        <v/>
      </c>
    </row>
    <row r="866" spans="1:2" x14ac:dyDescent="0.25">
      <c r="A866" t="s">
        <v>304</v>
      </c>
      <c r="B866" t="str">
        <f t="shared" si="13"/>
        <v/>
      </c>
    </row>
    <row r="867" spans="1:2" x14ac:dyDescent="0.25">
      <c r="A867" t="s">
        <v>304</v>
      </c>
      <c r="B867" t="str">
        <f t="shared" si="13"/>
        <v/>
      </c>
    </row>
    <row r="868" spans="1:2" x14ac:dyDescent="0.25">
      <c r="A868" t="s">
        <v>304</v>
      </c>
      <c r="B868" t="str">
        <f t="shared" si="13"/>
        <v/>
      </c>
    </row>
    <row r="869" spans="1:2" x14ac:dyDescent="0.25">
      <c r="A869" t="s">
        <v>304</v>
      </c>
      <c r="B869" t="str">
        <f t="shared" si="13"/>
        <v/>
      </c>
    </row>
    <row r="870" spans="1:2" x14ac:dyDescent="0.25">
      <c r="A870" t="s">
        <v>304</v>
      </c>
      <c r="B870" t="str">
        <f t="shared" si="13"/>
        <v/>
      </c>
    </row>
    <row r="871" spans="1:2" x14ac:dyDescent="0.25">
      <c r="A871" t="s">
        <v>304</v>
      </c>
      <c r="B871" t="str">
        <f t="shared" si="13"/>
        <v/>
      </c>
    </row>
    <row r="872" spans="1:2" x14ac:dyDescent="0.25">
      <c r="A872" t="s">
        <v>304</v>
      </c>
      <c r="B872" t="str">
        <f t="shared" si="13"/>
        <v/>
      </c>
    </row>
    <row r="873" spans="1:2" x14ac:dyDescent="0.25">
      <c r="A873" t="s">
        <v>304</v>
      </c>
      <c r="B873" t="str">
        <f t="shared" si="13"/>
        <v/>
      </c>
    </row>
    <row r="874" spans="1:2" x14ac:dyDescent="0.25">
      <c r="A874" t="s">
        <v>304</v>
      </c>
      <c r="B874" t="str">
        <f t="shared" si="13"/>
        <v/>
      </c>
    </row>
    <row r="875" spans="1:2" x14ac:dyDescent="0.25">
      <c r="A875" t="s">
        <v>304</v>
      </c>
      <c r="B875" t="str">
        <f t="shared" si="13"/>
        <v/>
      </c>
    </row>
    <row r="876" spans="1:2" x14ac:dyDescent="0.25">
      <c r="A876" t="s">
        <v>304</v>
      </c>
      <c r="B876" t="str">
        <f t="shared" si="13"/>
        <v/>
      </c>
    </row>
    <row r="877" spans="1:2" x14ac:dyDescent="0.25">
      <c r="A877" t="s">
        <v>304</v>
      </c>
      <c r="B877" t="str">
        <f t="shared" si="13"/>
        <v/>
      </c>
    </row>
    <row r="878" spans="1:2" x14ac:dyDescent="0.25">
      <c r="A878" t="s">
        <v>304</v>
      </c>
      <c r="B878" t="str">
        <f t="shared" si="13"/>
        <v/>
      </c>
    </row>
    <row r="879" spans="1:2" x14ac:dyDescent="0.25">
      <c r="A879" t="s">
        <v>304</v>
      </c>
      <c r="B879" t="str">
        <f t="shared" si="13"/>
        <v/>
      </c>
    </row>
    <row r="880" spans="1:2" x14ac:dyDescent="0.25">
      <c r="A880" t="s">
        <v>304</v>
      </c>
      <c r="B880" t="str">
        <f t="shared" si="13"/>
        <v/>
      </c>
    </row>
    <row r="881" spans="1:2" x14ac:dyDescent="0.25">
      <c r="A881" t="s">
        <v>304</v>
      </c>
      <c r="B881" t="str">
        <f t="shared" si="13"/>
        <v/>
      </c>
    </row>
    <row r="882" spans="1:2" x14ac:dyDescent="0.25">
      <c r="A882" t="s">
        <v>304</v>
      </c>
      <c r="B882" t="str">
        <f t="shared" si="13"/>
        <v/>
      </c>
    </row>
    <row r="883" spans="1:2" x14ac:dyDescent="0.25">
      <c r="A883" t="s">
        <v>304</v>
      </c>
      <c r="B883" t="str">
        <f t="shared" si="13"/>
        <v/>
      </c>
    </row>
    <row r="884" spans="1:2" x14ac:dyDescent="0.25">
      <c r="A884" t="s">
        <v>304</v>
      </c>
      <c r="B884" t="str">
        <f t="shared" si="13"/>
        <v/>
      </c>
    </row>
    <row r="885" spans="1:2" x14ac:dyDescent="0.25">
      <c r="A885" t="s">
        <v>304</v>
      </c>
      <c r="B885" t="str">
        <f t="shared" si="13"/>
        <v/>
      </c>
    </row>
    <row r="886" spans="1:2" x14ac:dyDescent="0.25">
      <c r="A886" t="s">
        <v>304</v>
      </c>
      <c r="B886" t="str">
        <f t="shared" si="13"/>
        <v/>
      </c>
    </row>
    <row r="887" spans="1:2" x14ac:dyDescent="0.25">
      <c r="A887" t="s">
        <v>304</v>
      </c>
      <c r="B887" t="str">
        <f t="shared" si="13"/>
        <v/>
      </c>
    </row>
    <row r="888" spans="1:2" x14ac:dyDescent="0.25">
      <c r="A888" t="s">
        <v>304</v>
      </c>
      <c r="B888" t="str">
        <f t="shared" si="13"/>
        <v/>
      </c>
    </row>
    <row r="889" spans="1:2" x14ac:dyDescent="0.25">
      <c r="A889" t="s">
        <v>304</v>
      </c>
      <c r="B889" t="str">
        <f t="shared" si="13"/>
        <v/>
      </c>
    </row>
    <row r="890" spans="1:2" x14ac:dyDescent="0.25">
      <c r="A890" t="s">
        <v>304</v>
      </c>
      <c r="B890" t="str">
        <f t="shared" si="13"/>
        <v/>
      </c>
    </row>
    <row r="891" spans="1:2" x14ac:dyDescent="0.25">
      <c r="A891" t="s">
        <v>304</v>
      </c>
      <c r="B891" t="str">
        <f t="shared" si="13"/>
        <v/>
      </c>
    </row>
    <row r="892" spans="1:2" x14ac:dyDescent="0.25">
      <c r="A892" t="s">
        <v>304</v>
      </c>
      <c r="B892" t="str">
        <f t="shared" si="13"/>
        <v/>
      </c>
    </row>
    <row r="893" spans="1:2" x14ac:dyDescent="0.25">
      <c r="A893" t="s">
        <v>304</v>
      </c>
      <c r="B893" t="str">
        <f t="shared" si="13"/>
        <v/>
      </c>
    </row>
    <row r="894" spans="1:2" x14ac:dyDescent="0.25">
      <c r="A894" t="s">
        <v>304</v>
      </c>
      <c r="B894" t="str">
        <f t="shared" si="13"/>
        <v/>
      </c>
    </row>
    <row r="895" spans="1:2" x14ac:dyDescent="0.25">
      <c r="A895" t="s">
        <v>304</v>
      </c>
      <c r="B895" t="str">
        <f t="shared" si="13"/>
        <v/>
      </c>
    </row>
    <row r="896" spans="1:2" x14ac:dyDescent="0.25">
      <c r="A896" t="s">
        <v>304</v>
      </c>
      <c r="B896" t="str">
        <f t="shared" si="13"/>
        <v/>
      </c>
    </row>
    <row r="897" spans="1:2" x14ac:dyDescent="0.25">
      <c r="A897" t="s">
        <v>304</v>
      </c>
      <c r="B897" t="str">
        <f t="shared" si="13"/>
        <v/>
      </c>
    </row>
    <row r="898" spans="1:2" x14ac:dyDescent="0.25">
      <c r="A898" t="s">
        <v>304</v>
      </c>
      <c r="B898" t="str">
        <f t="shared" ref="B898:B961" si="14">IF($A898&lt;&gt;"",CONCATENATE("get-Childitem K:\1_Capture\",$A898," -recurse -include *.jpg | Move-Item -Destination K:\1_Capture\",$A898),"")</f>
        <v/>
      </c>
    </row>
    <row r="899" spans="1:2" x14ac:dyDescent="0.25">
      <c r="A899" t="s">
        <v>304</v>
      </c>
      <c r="B899" t="str">
        <f t="shared" si="14"/>
        <v/>
      </c>
    </row>
    <row r="900" spans="1:2" x14ac:dyDescent="0.25">
      <c r="A900" t="s">
        <v>304</v>
      </c>
      <c r="B900" t="str">
        <f t="shared" si="14"/>
        <v/>
      </c>
    </row>
    <row r="901" spans="1:2" x14ac:dyDescent="0.25">
      <c r="A901" t="s">
        <v>304</v>
      </c>
      <c r="B901" t="str">
        <f t="shared" si="14"/>
        <v/>
      </c>
    </row>
    <row r="902" spans="1:2" x14ac:dyDescent="0.25">
      <c r="A902" t="s">
        <v>304</v>
      </c>
      <c r="B902" t="str">
        <f t="shared" si="14"/>
        <v/>
      </c>
    </row>
    <row r="903" spans="1:2" x14ac:dyDescent="0.25">
      <c r="A903" t="s">
        <v>304</v>
      </c>
      <c r="B903" t="str">
        <f t="shared" si="14"/>
        <v/>
      </c>
    </row>
    <row r="904" spans="1:2" x14ac:dyDescent="0.25">
      <c r="A904" t="s">
        <v>304</v>
      </c>
      <c r="B904" t="str">
        <f t="shared" si="14"/>
        <v/>
      </c>
    </row>
    <row r="905" spans="1:2" x14ac:dyDescent="0.25">
      <c r="A905" t="s">
        <v>304</v>
      </c>
      <c r="B905" t="str">
        <f t="shared" si="14"/>
        <v/>
      </c>
    </row>
    <row r="906" spans="1:2" x14ac:dyDescent="0.25">
      <c r="A906" t="s">
        <v>304</v>
      </c>
      <c r="B906" t="str">
        <f t="shared" si="14"/>
        <v/>
      </c>
    </row>
    <row r="907" spans="1:2" x14ac:dyDescent="0.25">
      <c r="A907" t="s">
        <v>304</v>
      </c>
      <c r="B907" t="str">
        <f t="shared" si="14"/>
        <v/>
      </c>
    </row>
    <row r="908" spans="1:2" x14ac:dyDescent="0.25">
      <c r="A908" t="s">
        <v>304</v>
      </c>
      <c r="B908" t="str">
        <f t="shared" si="14"/>
        <v/>
      </c>
    </row>
    <row r="909" spans="1:2" x14ac:dyDescent="0.25">
      <c r="A909" t="s">
        <v>304</v>
      </c>
      <c r="B909" t="str">
        <f t="shared" si="14"/>
        <v/>
      </c>
    </row>
    <row r="910" spans="1:2" x14ac:dyDescent="0.25">
      <c r="A910" t="s">
        <v>304</v>
      </c>
      <c r="B910" t="str">
        <f t="shared" si="14"/>
        <v/>
      </c>
    </row>
    <row r="911" spans="1:2" x14ac:dyDescent="0.25">
      <c r="A911" t="s">
        <v>304</v>
      </c>
      <c r="B911" t="str">
        <f t="shared" si="14"/>
        <v/>
      </c>
    </row>
    <row r="912" spans="1:2" x14ac:dyDescent="0.25">
      <c r="A912" t="s">
        <v>304</v>
      </c>
      <c r="B912" t="str">
        <f t="shared" si="14"/>
        <v/>
      </c>
    </row>
    <row r="913" spans="1:2" x14ac:dyDescent="0.25">
      <c r="A913" t="s">
        <v>304</v>
      </c>
      <c r="B913" t="str">
        <f t="shared" si="14"/>
        <v/>
      </c>
    </row>
    <row r="914" spans="1:2" x14ac:dyDescent="0.25">
      <c r="A914" t="s">
        <v>304</v>
      </c>
      <c r="B914" t="str">
        <f t="shared" si="14"/>
        <v/>
      </c>
    </row>
    <row r="915" spans="1:2" x14ac:dyDescent="0.25">
      <c r="A915" t="s">
        <v>304</v>
      </c>
      <c r="B915" t="str">
        <f t="shared" si="14"/>
        <v/>
      </c>
    </row>
    <row r="916" spans="1:2" x14ac:dyDescent="0.25">
      <c r="A916" t="s">
        <v>304</v>
      </c>
      <c r="B916" t="str">
        <f t="shared" si="14"/>
        <v/>
      </c>
    </row>
    <row r="917" spans="1:2" x14ac:dyDescent="0.25">
      <c r="A917" t="s">
        <v>304</v>
      </c>
      <c r="B917" t="str">
        <f t="shared" si="14"/>
        <v/>
      </c>
    </row>
    <row r="918" spans="1:2" x14ac:dyDescent="0.25">
      <c r="A918" t="s">
        <v>304</v>
      </c>
      <c r="B918" t="str">
        <f t="shared" si="14"/>
        <v/>
      </c>
    </row>
    <row r="919" spans="1:2" x14ac:dyDescent="0.25">
      <c r="A919" t="s">
        <v>304</v>
      </c>
      <c r="B919" t="str">
        <f t="shared" si="14"/>
        <v/>
      </c>
    </row>
    <row r="920" spans="1:2" x14ac:dyDescent="0.25">
      <c r="A920" t="s">
        <v>304</v>
      </c>
      <c r="B920" t="str">
        <f t="shared" si="14"/>
        <v/>
      </c>
    </row>
    <row r="921" spans="1:2" x14ac:dyDescent="0.25">
      <c r="A921" t="s">
        <v>304</v>
      </c>
      <c r="B921" t="str">
        <f t="shared" si="14"/>
        <v/>
      </c>
    </row>
    <row r="922" spans="1:2" x14ac:dyDescent="0.25">
      <c r="A922" t="s">
        <v>304</v>
      </c>
      <c r="B922" t="str">
        <f t="shared" si="14"/>
        <v/>
      </c>
    </row>
    <row r="923" spans="1:2" x14ac:dyDescent="0.25">
      <c r="A923" t="s">
        <v>304</v>
      </c>
      <c r="B923" t="str">
        <f t="shared" si="14"/>
        <v/>
      </c>
    </row>
    <row r="924" spans="1:2" x14ac:dyDescent="0.25">
      <c r="A924" t="s">
        <v>304</v>
      </c>
      <c r="B924" t="str">
        <f t="shared" si="14"/>
        <v/>
      </c>
    </row>
    <row r="925" spans="1:2" x14ac:dyDescent="0.25">
      <c r="A925" t="s">
        <v>304</v>
      </c>
      <c r="B925" t="str">
        <f t="shared" si="14"/>
        <v/>
      </c>
    </row>
    <row r="926" spans="1:2" x14ac:dyDescent="0.25">
      <c r="A926" t="s">
        <v>304</v>
      </c>
      <c r="B926" t="str">
        <f t="shared" si="14"/>
        <v/>
      </c>
    </row>
    <row r="927" spans="1:2" x14ac:dyDescent="0.25">
      <c r="A927" t="s">
        <v>304</v>
      </c>
      <c r="B927" t="str">
        <f t="shared" si="14"/>
        <v/>
      </c>
    </row>
    <row r="928" spans="1:2" x14ac:dyDescent="0.25">
      <c r="A928" t="s">
        <v>304</v>
      </c>
      <c r="B928" t="str">
        <f t="shared" si="14"/>
        <v/>
      </c>
    </row>
    <row r="929" spans="1:2" x14ac:dyDescent="0.25">
      <c r="A929" t="s">
        <v>304</v>
      </c>
      <c r="B929" t="str">
        <f t="shared" si="14"/>
        <v/>
      </c>
    </row>
    <row r="930" spans="1:2" x14ac:dyDescent="0.25">
      <c r="A930" t="s">
        <v>304</v>
      </c>
      <c r="B930" t="str">
        <f t="shared" si="14"/>
        <v/>
      </c>
    </row>
    <row r="931" spans="1:2" x14ac:dyDescent="0.25">
      <c r="A931" t="s">
        <v>304</v>
      </c>
      <c r="B931" t="str">
        <f t="shared" si="14"/>
        <v/>
      </c>
    </row>
    <row r="932" spans="1:2" x14ac:dyDescent="0.25">
      <c r="A932" t="s">
        <v>304</v>
      </c>
      <c r="B932" t="str">
        <f t="shared" si="14"/>
        <v/>
      </c>
    </row>
    <row r="933" spans="1:2" x14ac:dyDescent="0.25">
      <c r="A933" t="s">
        <v>304</v>
      </c>
      <c r="B933" t="str">
        <f t="shared" si="14"/>
        <v/>
      </c>
    </row>
    <row r="934" spans="1:2" x14ac:dyDescent="0.25">
      <c r="A934" t="s">
        <v>304</v>
      </c>
      <c r="B934" t="str">
        <f t="shared" si="14"/>
        <v/>
      </c>
    </row>
    <row r="935" spans="1:2" x14ac:dyDescent="0.25">
      <c r="A935" t="s">
        <v>304</v>
      </c>
      <c r="B935" t="str">
        <f t="shared" si="14"/>
        <v/>
      </c>
    </row>
    <row r="936" spans="1:2" x14ac:dyDescent="0.25">
      <c r="A936" t="s">
        <v>304</v>
      </c>
      <c r="B936" t="str">
        <f t="shared" si="14"/>
        <v/>
      </c>
    </row>
    <row r="937" spans="1:2" x14ac:dyDescent="0.25">
      <c r="A937" t="s">
        <v>304</v>
      </c>
      <c r="B937" t="str">
        <f t="shared" si="14"/>
        <v/>
      </c>
    </row>
    <row r="938" spans="1:2" x14ac:dyDescent="0.25">
      <c r="A938" t="s">
        <v>304</v>
      </c>
      <c r="B938" t="str">
        <f t="shared" si="14"/>
        <v/>
      </c>
    </row>
    <row r="939" spans="1:2" x14ac:dyDescent="0.25">
      <c r="A939" t="s">
        <v>304</v>
      </c>
      <c r="B939" t="str">
        <f t="shared" si="14"/>
        <v/>
      </c>
    </row>
    <row r="940" spans="1:2" x14ac:dyDescent="0.25">
      <c r="A940" t="s">
        <v>304</v>
      </c>
      <c r="B940" t="str">
        <f t="shared" si="14"/>
        <v/>
      </c>
    </row>
    <row r="941" spans="1:2" x14ac:dyDescent="0.25">
      <c r="A941" t="s">
        <v>304</v>
      </c>
      <c r="B941" t="str">
        <f t="shared" si="14"/>
        <v/>
      </c>
    </row>
    <row r="942" spans="1:2" x14ac:dyDescent="0.25">
      <c r="A942" t="s">
        <v>304</v>
      </c>
      <c r="B942" t="str">
        <f t="shared" si="14"/>
        <v/>
      </c>
    </row>
    <row r="943" spans="1:2" x14ac:dyDescent="0.25">
      <c r="A943" t="s">
        <v>304</v>
      </c>
      <c r="B943" t="str">
        <f t="shared" si="14"/>
        <v/>
      </c>
    </row>
    <row r="944" spans="1:2" x14ac:dyDescent="0.25">
      <c r="A944" t="s">
        <v>304</v>
      </c>
      <c r="B944" t="str">
        <f t="shared" si="14"/>
        <v/>
      </c>
    </row>
    <row r="945" spans="1:2" x14ac:dyDescent="0.25">
      <c r="A945" t="s">
        <v>304</v>
      </c>
      <c r="B945" t="str">
        <f t="shared" si="14"/>
        <v/>
      </c>
    </row>
    <row r="946" spans="1:2" x14ac:dyDescent="0.25">
      <c r="A946" t="s">
        <v>304</v>
      </c>
      <c r="B946" t="str">
        <f t="shared" si="14"/>
        <v/>
      </c>
    </row>
    <row r="947" spans="1:2" x14ac:dyDescent="0.25">
      <c r="A947" t="s">
        <v>304</v>
      </c>
      <c r="B947" t="str">
        <f t="shared" si="14"/>
        <v/>
      </c>
    </row>
    <row r="948" spans="1:2" x14ac:dyDescent="0.25">
      <c r="A948" t="s">
        <v>304</v>
      </c>
      <c r="B948" t="str">
        <f t="shared" si="14"/>
        <v/>
      </c>
    </row>
    <row r="949" spans="1:2" x14ac:dyDescent="0.25">
      <c r="A949" t="s">
        <v>304</v>
      </c>
      <c r="B949" t="str">
        <f t="shared" si="14"/>
        <v/>
      </c>
    </row>
    <row r="950" spans="1:2" x14ac:dyDescent="0.25">
      <c r="A950" t="s">
        <v>304</v>
      </c>
      <c r="B950" t="str">
        <f t="shared" si="14"/>
        <v/>
      </c>
    </row>
    <row r="951" spans="1:2" x14ac:dyDescent="0.25">
      <c r="A951" t="s">
        <v>304</v>
      </c>
      <c r="B951" t="str">
        <f t="shared" si="14"/>
        <v/>
      </c>
    </row>
    <row r="952" spans="1:2" x14ac:dyDescent="0.25">
      <c r="A952" t="s">
        <v>304</v>
      </c>
      <c r="B952" t="str">
        <f t="shared" si="14"/>
        <v/>
      </c>
    </row>
    <row r="953" spans="1:2" x14ac:dyDescent="0.25">
      <c r="A953" t="s">
        <v>304</v>
      </c>
      <c r="B953" t="str">
        <f t="shared" si="14"/>
        <v/>
      </c>
    </row>
    <row r="954" spans="1:2" x14ac:dyDescent="0.25">
      <c r="A954" t="s">
        <v>304</v>
      </c>
      <c r="B954" t="str">
        <f t="shared" si="14"/>
        <v/>
      </c>
    </row>
    <row r="955" spans="1:2" x14ac:dyDescent="0.25">
      <c r="A955" t="s">
        <v>304</v>
      </c>
      <c r="B955" t="str">
        <f t="shared" si="14"/>
        <v/>
      </c>
    </row>
    <row r="956" spans="1:2" x14ac:dyDescent="0.25">
      <c r="A956" t="s">
        <v>304</v>
      </c>
      <c r="B956" t="str">
        <f t="shared" si="14"/>
        <v/>
      </c>
    </row>
    <row r="957" spans="1:2" x14ac:dyDescent="0.25">
      <c r="A957" t="s">
        <v>304</v>
      </c>
      <c r="B957" t="str">
        <f t="shared" si="14"/>
        <v/>
      </c>
    </row>
    <row r="958" spans="1:2" x14ac:dyDescent="0.25">
      <c r="A958" t="s">
        <v>304</v>
      </c>
      <c r="B958" t="str">
        <f t="shared" si="14"/>
        <v/>
      </c>
    </row>
    <row r="959" spans="1:2" x14ac:dyDescent="0.25">
      <c r="A959" t="s">
        <v>304</v>
      </c>
      <c r="B959" t="str">
        <f t="shared" si="14"/>
        <v/>
      </c>
    </row>
    <row r="960" spans="1:2" x14ac:dyDescent="0.25">
      <c r="A960" t="s">
        <v>304</v>
      </c>
      <c r="B960" t="str">
        <f t="shared" si="14"/>
        <v/>
      </c>
    </row>
    <row r="961" spans="1:2" x14ac:dyDescent="0.25">
      <c r="A961" t="s">
        <v>304</v>
      </c>
      <c r="B961" t="str">
        <f t="shared" si="14"/>
        <v/>
      </c>
    </row>
    <row r="962" spans="1:2" x14ac:dyDescent="0.25">
      <c r="A962" t="s">
        <v>304</v>
      </c>
      <c r="B962" t="str">
        <f t="shared" ref="B962:B1025" si="15">IF($A962&lt;&gt;"",CONCATENATE("get-Childitem K:\1_Capture\",$A962," -recurse -include *.jpg | Move-Item -Destination K:\1_Capture\",$A962),"")</f>
        <v/>
      </c>
    </row>
    <row r="963" spans="1:2" x14ac:dyDescent="0.25">
      <c r="A963" t="s">
        <v>304</v>
      </c>
      <c r="B963" t="str">
        <f t="shared" si="15"/>
        <v/>
      </c>
    </row>
    <row r="964" spans="1:2" x14ac:dyDescent="0.25">
      <c r="A964" t="s">
        <v>304</v>
      </c>
      <c r="B964" t="str">
        <f t="shared" si="15"/>
        <v/>
      </c>
    </row>
    <row r="965" spans="1:2" x14ac:dyDescent="0.25">
      <c r="A965" t="s">
        <v>304</v>
      </c>
      <c r="B965" t="str">
        <f t="shared" si="15"/>
        <v/>
      </c>
    </row>
    <row r="966" spans="1:2" x14ac:dyDescent="0.25">
      <c r="A966" t="s">
        <v>304</v>
      </c>
      <c r="B966" t="str">
        <f t="shared" si="15"/>
        <v/>
      </c>
    </row>
    <row r="967" spans="1:2" x14ac:dyDescent="0.25">
      <c r="A967" t="s">
        <v>304</v>
      </c>
      <c r="B967" t="str">
        <f t="shared" si="15"/>
        <v/>
      </c>
    </row>
    <row r="968" spans="1:2" x14ac:dyDescent="0.25">
      <c r="A968" t="s">
        <v>304</v>
      </c>
      <c r="B968" t="str">
        <f t="shared" si="15"/>
        <v/>
      </c>
    </row>
    <row r="969" spans="1:2" x14ac:dyDescent="0.25">
      <c r="A969" t="s">
        <v>304</v>
      </c>
      <c r="B969" t="str">
        <f t="shared" si="15"/>
        <v/>
      </c>
    </row>
    <row r="970" spans="1:2" x14ac:dyDescent="0.25">
      <c r="A970" t="s">
        <v>304</v>
      </c>
      <c r="B970" t="str">
        <f t="shared" si="15"/>
        <v/>
      </c>
    </row>
    <row r="971" spans="1:2" x14ac:dyDescent="0.25">
      <c r="A971" t="s">
        <v>304</v>
      </c>
      <c r="B971" t="str">
        <f t="shared" si="15"/>
        <v/>
      </c>
    </row>
    <row r="972" spans="1:2" x14ac:dyDescent="0.25">
      <c r="A972" t="s">
        <v>304</v>
      </c>
      <c r="B972" t="str">
        <f t="shared" si="15"/>
        <v/>
      </c>
    </row>
    <row r="973" spans="1:2" x14ac:dyDescent="0.25">
      <c r="A973" t="s">
        <v>304</v>
      </c>
      <c r="B973" t="str">
        <f t="shared" si="15"/>
        <v/>
      </c>
    </row>
    <row r="974" spans="1:2" x14ac:dyDescent="0.25">
      <c r="A974" t="s">
        <v>304</v>
      </c>
      <c r="B974" t="str">
        <f t="shared" si="15"/>
        <v/>
      </c>
    </row>
    <row r="975" spans="1:2" x14ac:dyDescent="0.25">
      <c r="A975" t="s">
        <v>304</v>
      </c>
      <c r="B975" t="str">
        <f t="shared" si="15"/>
        <v/>
      </c>
    </row>
    <row r="976" spans="1:2" x14ac:dyDescent="0.25">
      <c r="A976" t="s">
        <v>304</v>
      </c>
      <c r="B976" t="str">
        <f t="shared" si="15"/>
        <v/>
      </c>
    </row>
    <row r="977" spans="1:2" x14ac:dyDescent="0.25">
      <c r="A977" t="s">
        <v>304</v>
      </c>
      <c r="B977" t="str">
        <f t="shared" si="15"/>
        <v/>
      </c>
    </row>
    <row r="978" spans="1:2" x14ac:dyDescent="0.25">
      <c r="A978" t="s">
        <v>304</v>
      </c>
      <c r="B978" t="str">
        <f t="shared" si="15"/>
        <v/>
      </c>
    </row>
    <row r="979" spans="1:2" x14ac:dyDescent="0.25">
      <c r="A979" t="s">
        <v>304</v>
      </c>
      <c r="B979" t="str">
        <f t="shared" si="15"/>
        <v/>
      </c>
    </row>
    <row r="980" spans="1:2" x14ac:dyDescent="0.25">
      <c r="A980" t="s">
        <v>304</v>
      </c>
      <c r="B980" t="str">
        <f t="shared" si="15"/>
        <v/>
      </c>
    </row>
    <row r="981" spans="1:2" x14ac:dyDescent="0.25">
      <c r="A981" t="s">
        <v>304</v>
      </c>
      <c r="B981" t="str">
        <f t="shared" si="15"/>
        <v/>
      </c>
    </row>
    <row r="982" spans="1:2" x14ac:dyDescent="0.25">
      <c r="A982" t="s">
        <v>304</v>
      </c>
      <c r="B982" t="str">
        <f t="shared" si="15"/>
        <v/>
      </c>
    </row>
    <row r="983" spans="1:2" x14ac:dyDescent="0.25">
      <c r="A983" t="s">
        <v>304</v>
      </c>
      <c r="B983" t="str">
        <f t="shared" si="15"/>
        <v/>
      </c>
    </row>
    <row r="984" spans="1:2" x14ac:dyDescent="0.25">
      <c r="A984" t="s">
        <v>304</v>
      </c>
      <c r="B984" t="str">
        <f t="shared" si="15"/>
        <v/>
      </c>
    </row>
    <row r="985" spans="1:2" x14ac:dyDescent="0.25">
      <c r="A985" t="s">
        <v>304</v>
      </c>
      <c r="B985" t="str">
        <f t="shared" si="15"/>
        <v/>
      </c>
    </row>
    <row r="986" spans="1:2" x14ac:dyDescent="0.25">
      <c r="A986" t="s">
        <v>304</v>
      </c>
      <c r="B986" t="str">
        <f t="shared" si="15"/>
        <v/>
      </c>
    </row>
    <row r="987" spans="1:2" x14ac:dyDescent="0.25">
      <c r="A987" t="s">
        <v>304</v>
      </c>
      <c r="B987" t="str">
        <f t="shared" si="15"/>
        <v/>
      </c>
    </row>
    <row r="988" spans="1:2" x14ac:dyDescent="0.25">
      <c r="A988" t="s">
        <v>304</v>
      </c>
      <c r="B988" t="str">
        <f t="shared" si="15"/>
        <v/>
      </c>
    </row>
    <row r="989" spans="1:2" x14ac:dyDescent="0.25">
      <c r="A989" t="s">
        <v>304</v>
      </c>
      <c r="B989" t="str">
        <f t="shared" si="15"/>
        <v/>
      </c>
    </row>
    <row r="990" spans="1:2" x14ac:dyDescent="0.25">
      <c r="A990" t="s">
        <v>304</v>
      </c>
      <c r="B990" t="str">
        <f t="shared" si="15"/>
        <v/>
      </c>
    </row>
    <row r="991" spans="1:2" x14ac:dyDescent="0.25">
      <c r="A991" t="s">
        <v>304</v>
      </c>
      <c r="B991" t="str">
        <f t="shared" si="15"/>
        <v/>
      </c>
    </row>
    <row r="992" spans="1:2" x14ac:dyDescent="0.25">
      <c r="A992" t="s">
        <v>304</v>
      </c>
      <c r="B992" t="str">
        <f t="shared" si="15"/>
        <v/>
      </c>
    </row>
    <row r="993" spans="1:2" x14ac:dyDescent="0.25">
      <c r="A993" t="s">
        <v>304</v>
      </c>
      <c r="B993" t="str">
        <f t="shared" si="15"/>
        <v/>
      </c>
    </row>
    <row r="994" spans="1:2" x14ac:dyDescent="0.25">
      <c r="A994" t="s">
        <v>304</v>
      </c>
      <c r="B994" t="str">
        <f t="shared" si="15"/>
        <v/>
      </c>
    </row>
    <row r="995" spans="1:2" x14ac:dyDescent="0.25">
      <c r="A995" t="s">
        <v>304</v>
      </c>
      <c r="B995" t="str">
        <f t="shared" si="15"/>
        <v/>
      </c>
    </row>
    <row r="996" spans="1:2" x14ac:dyDescent="0.25">
      <c r="A996" t="s">
        <v>304</v>
      </c>
      <c r="B996" t="str">
        <f t="shared" si="15"/>
        <v/>
      </c>
    </row>
    <row r="997" spans="1:2" x14ac:dyDescent="0.25">
      <c r="A997" t="s">
        <v>304</v>
      </c>
      <c r="B997" t="str">
        <f t="shared" si="15"/>
        <v/>
      </c>
    </row>
    <row r="998" spans="1:2" x14ac:dyDescent="0.25">
      <c r="A998" t="s">
        <v>304</v>
      </c>
      <c r="B998" t="str">
        <f t="shared" si="15"/>
        <v/>
      </c>
    </row>
    <row r="999" spans="1:2" x14ac:dyDescent="0.25">
      <c r="A999" t="s">
        <v>304</v>
      </c>
      <c r="B999" t="str">
        <f t="shared" si="15"/>
        <v/>
      </c>
    </row>
    <row r="1000" spans="1:2" x14ac:dyDescent="0.25">
      <c r="A1000" t="s">
        <v>304</v>
      </c>
      <c r="B1000" t="str">
        <f t="shared" si="15"/>
        <v/>
      </c>
    </row>
    <row r="1001" spans="1:2" x14ac:dyDescent="0.25">
      <c r="A1001" t="s">
        <v>304</v>
      </c>
      <c r="B1001" t="str">
        <f t="shared" si="15"/>
        <v/>
      </c>
    </row>
    <row r="1002" spans="1:2" x14ac:dyDescent="0.25">
      <c r="A1002" t="s">
        <v>304</v>
      </c>
      <c r="B1002" t="str">
        <f t="shared" si="15"/>
        <v/>
      </c>
    </row>
    <row r="1003" spans="1:2" x14ac:dyDescent="0.25">
      <c r="A1003" t="s">
        <v>304</v>
      </c>
      <c r="B1003" t="str">
        <f t="shared" si="15"/>
        <v/>
      </c>
    </row>
    <row r="1004" spans="1:2" x14ac:dyDescent="0.25">
      <c r="A1004" t="s">
        <v>304</v>
      </c>
      <c r="B1004" t="str">
        <f t="shared" si="15"/>
        <v/>
      </c>
    </row>
    <row r="1005" spans="1:2" x14ac:dyDescent="0.25">
      <c r="A1005" t="s">
        <v>304</v>
      </c>
      <c r="B1005" t="str">
        <f t="shared" si="15"/>
        <v/>
      </c>
    </row>
    <row r="1006" spans="1:2" x14ac:dyDescent="0.25">
      <c r="A1006" t="s">
        <v>304</v>
      </c>
      <c r="B1006" t="str">
        <f t="shared" si="15"/>
        <v/>
      </c>
    </row>
    <row r="1007" spans="1:2" x14ac:dyDescent="0.25">
      <c r="A1007" t="s">
        <v>304</v>
      </c>
      <c r="B1007" t="str">
        <f t="shared" si="15"/>
        <v/>
      </c>
    </row>
    <row r="1008" spans="1:2" x14ac:dyDescent="0.25">
      <c r="A1008" t="s">
        <v>304</v>
      </c>
      <c r="B1008" t="str">
        <f t="shared" si="15"/>
        <v/>
      </c>
    </row>
    <row r="1009" spans="1:2" x14ac:dyDescent="0.25">
      <c r="A1009" t="s">
        <v>304</v>
      </c>
      <c r="B1009" t="str">
        <f t="shared" si="15"/>
        <v/>
      </c>
    </row>
    <row r="1010" spans="1:2" x14ac:dyDescent="0.25">
      <c r="A1010" t="s">
        <v>304</v>
      </c>
      <c r="B1010" t="str">
        <f t="shared" si="15"/>
        <v/>
      </c>
    </row>
    <row r="1011" spans="1:2" x14ac:dyDescent="0.25">
      <c r="A1011" t="s">
        <v>304</v>
      </c>
      <c r="B1011" t="str">
        <f t="shared" si="15"/>
        <v/>
      </c>
    </row>
    <row r="1012" spans="1:2" x14ac:dyDescent="0.25">
      <c r="A1012" t="s">
        <v>304</v>
      </c>
      <c r="B1012" t="str">
        <f t="shared" si="15"/>
        <v/>
      </c>
    </row>
    <row r="1013" spans="1:2" x14ac:dyDescent="0.25">
      <c r="A1013" t="s">
        <v>304</v>
      </c>
      <c r="B1013" t="str">
        <f t="shared" si="15"/>
        <v/>
      </c>
    </row>
    <row r="1014" spans="1:2" x14ac:dyDescent="0.25">
      <c r="A1014" t="s">
        <v>304</v>
      </c>
      <c r="B1014" t="str">
        <f t="shared" si="15"/>
        <v/>
      </c>
    </row>
    <row r="1015" spans="1:2" x14ac:dyDescent="0.25">
      <c r="A1015" t="s">
        <v>304</v>
      </c>
      <c r="B1015" t="str">
        <f t="shared" si="15"/>
        <v/>
      </c>
    </row>
    <row r="1016" spans="1:2" x14ac:dyDescent="0.25">
      <c r="A1016" t="s">
        <v>304</v>
      </c>
      <c r="B1016" t="str">
        <f t="shared" si="15"/>
        <v/>
      </c>
    </row>
    <row r="1017" spans="1:2" x14ac:dyDescent="0.25">
      <c r="A1017" t="s">
        <v>304</v>
      </c>
      <c r="B1017" t="str">
        <f t="shared" si="15"/>
        <v/>
      </c>
    </row>
    <row r="1018" spans="1:2" x14ac:dyDescent="0.25">
      <c r="A1018" t="s">
        <v>304</v>
      </c>
      <c r="B1018" t="str">
        <f t="shared" si="15"/>
        <v/>
      </c>
    </row>
    <row r="1019" spans="1:2" x14ac:dyDescent="0.25">
      <c r="A1019" t="s">
        <v>304</v>
      </c>
      <c r="B1019" t="str">
        <f t="shared" si="15"/>
        <v/>
      </c>
    </row>
    <row r="1020" spans="1:2" x14ac:dyDescent="0.25">
      <c r="A1020" t="s">
        <v>304</v>
      </c>
      <c r="B1020" t="str">
        <f t="shared" si="15"/>
        <v/>
      </c>
    </row>
    <row r="1021" spans="1:2" x14ac:dyDescent="0.25">
      <c r="A1021" t="s">
        <v>304</v>
      </c>
      <c r="B1021" t="str">
        <f t="shared" si="15"/>
        <v/>
      </c>
    </row>
    <row r="1022" spans="1:2" x14ac:dyDescent="0.25">
      <c r="A1022" t="s">
        <v>304</v>
      </c>
      <c r="B1022" t="str">
        <f t="shared" si="15"/>
        <v/>
      </c>
    </row>
    <row r="1023" spans="1:2" x14ac:dyDescent="0.25">
      <c r="A1023" t="s">
        <v>304</v>
      </c>
      <c r="B1023" t="str">
        <f t="shared" si="15"/>
        <v/>
      </c>
    </row>
    <row r="1024" spans="1:2" x14ac:dyDescent="0.25">
      <c r="A1024" t="s">
        <v>304</v>
      </c>
      <c r="B1024" t="str">
        <f t="shared" si="15"/>
        <v/>
      </c>
    </row>
    <row r="1025" spans="1:2" x14ac:dyDescent="0.25">
      <c r="A1025" t="s">
        <v>304</v>
      </c>
      <c r="B1025" t="str">
        <f t="shared" si="15"/>
        <v/>
      </c>
    </row>
    <row r="1026" spans="1:2" x14ac:dyDescent="0.25">
      <c r="A1026" t="s">
        <v>304</v>
      </c>
      <c r="B1026" t="str">
        <f t="shared" ref="B1026:B1089" si="16">IF($A1026&lt;&gt;"",CONCATENATE("get-Childitem K:\1_Capture\",$A1026," -recurse -include *.jpg | Move-Item -Destination K:\1_Capture\",$A1026),"")</f>
        <v/>
      </c>
    </row>
    <row r="1027" spans="1:2" x14ac:dyDescent="0.25">
      <c r="A1027" t="s">
        <v>304</v>
      </c>
      <c r="B1027" t="str">
        <f t="shared" si="16"/>
        <v/>
      </c>
    </row>
    <row r="1028" spans="1:2" x14ac:dyDescent="0.25">
      <c r="A1028" t="s">
        <v>304</v>
      </c>
      <c r="B1028" t="str">
        <f t="shared" si="16"/>
        <v/>
      </c>
    </row>
    <row r="1029" spans="1:2" x14ac:dyDescent="0.25">
      <c r="A1029" t="s">
        <v>304</v>
      </c>
      <c r="B1029" t="str">
        <f t="shared" si="16"/>
        <v/>
      </c>
    </row>
    <row r="1030" spans="1:2" x14ac:dyDescent="0.25">
      <c r="A1030" t="s">
        <v>304</v>
      </c>
      <c r="B1030" t="str">
        <f t="shared" si="16"/>
        <v/>
      </c>
    </row>
    <row r="1031" spans="1:2" x14ac:dyDescent="0.25">
      <c r="A1031" t="s">
        <v>304</v>
      </c>
      <c r="B1031" t="str">
        <f t="shared" si="16"/>
        <v/>
      </c>
    </row>
    <row r="1032" spans="1:2" x14ac:dyDescent="0.25">
      <c r="A1032" t="s">
        <v>304</v>
      </c>
      <c r="B1032" t="str">
        <f t="shared" si="16"/>
        <v/>
      </c>
    </row>
    <row r="1033" spans="1:2" x14ac:dyDescent="0.25">
      <c r="A1033" t="s">
        <v>304</v>
      </c>
      <c r="B1033" t="str">
        <f t="shared" si="16"/>
        <v/>
      </c>
    </row>
    <row r="1034" spans="1:2" x14ac:dyDescent="0.25">
      <c r="A1034" t="s">
        <v>304</v>
      </c>
      <c r="B1034" t="str">
        <f t="shared" si="16"/>
        <v/>
      </c>
    </row>
    <row r="1035" spans="1:2" x14ac:dyDescent="0.25">
      <c r="A1035" t="s">
        <v>304</v>
      </c>
      <c r="B1035" t="str">
        <f t="shared" si="16"/>
        <v/>
      </c>
    </row>
    <row r="1036" spans="1:2" x14ac:dyDescent="0.25">
      <c r="A1036" t="s">
        <v>304</v>
      </c>
      <c r="B1036" t="str">
        <f t="shared" si="16"/>
        <v/>
      </c>
    </row>
    <row r="1037" spans="1:2" x14ac:dyDescent="0.25">
      <c r="A1037" t="s">
        <v>304</v>
      </c>
      <c r="B1037" t="str">
        <f t="shared" si="16"/>
        <v/>
      </c>
    </row>
    <row r="1038" spans="1:2" x14ac:dyDescent="0.25">
      <c r="A1038" t="s">
        <v>304</v>
      </c>
      <c r="B1038" t="str">
        <f t="shared" si="16"/>
        <v/>
      </c>
    </row>
    <row r="1039" spans="1:2" x14ac:dyDescent="0.25">
      <c r="A1039" t="s">
        <v>304</v>
      </c>
      <c r="B1039" t="str">
        <f t="shared" si="16"/>
        <v/>
      </c>
    </row>
    <row r="1040" spans="1:2" x14ac:dyDescent="0.25">
      <c r="A1040" t="s">
        <v>304</v>
      </c>
      <c r="B1040" t="str">
        <f t="shared" si="16"/>
        <v/>
      </c>
    </row>
    <row r="1041" spans="1:2" x14ac:dyDescent="0.25">
      <c r="A1041" t="s">
        <v>304</v>
      </c>
      <c r="B1041" t="str">
        <f t="shared" si="16"/>
        <v/>
      </c>
    </row>
    <row r="1042" spans="1:2" x14ac:dyDescent="0.25">
      <c r="A1042" t="s">
        <v>304</v>
      </c>
      <c r="B1042" t="str">
        <f t="shared" si="16"/>
        <v/>
      </c>
    </row>
    <row r="1043" spans="1:2" x14ac:dyDescent="0.25">
      <c r="A1043" t="s">
        <v>304</v>
      </c>
      <c r="B1043" t="str">
        <f t="shared" si="16"/>
        <v/>
      </c>
    </row>
    <row r="1044" spans="1:2" x14ac:dyDescent="0.25">
      <c r="A1044" t="s">
        <v>304</v>
      </c>
      <c r="B1044" t="str">
        <f t="shared" si="16"/>
        <v/>
      </c>
    </row>
    <row r="1045" spans="1:2" x14ac:dyDescent="0.25">
      <c r="A1045" t="s">
        <v>304</v>
      </c>
      <c r="B1045" t="str">
        <f t="shared" si="16"/>
        <v/>
      </c>
    </row>
    <row r="1046" spans="1:2" x14ac:dyDescent="0.25">
      <c r="A1046" t="s">
        <v>304</v>
      </c>
      <c r="B1046" t="str">
        <f t="shared" si="16"/>
        <v/>
      </c>
    </row>
    <row r="1047" spans="1:2" x14ac:dyDescent="0.25">
      <c r="A1047" t="s">
        <v>304</v>
      </c>
      <c r="B1047" t="str">
        <f t="shared" si="16"/>
        <v/>
      </c>
    </row>
    <row r="1048" spans="1:2" x14ac:dyDescent="0.25">
      <c r="A1048" t="s">
        <v>304</v>
      </c>
      <c r="B1048" t="str">
        <f t="shared" si="16"/>
        <v/>
      </c>
    </row>
    <row r="1049" spans="1:2" x14ac:dyDescent="0.25">
      <c r="A1049" t="s">
        <v>304</v>
      </c>
      <c r="B1049" t="str">
        <f t="shared" si="16"/>
        <v/>
      </c>
    </row>
    <row r="1050" spans="1:2" x14ac:dyDescent="0.25">
      <c r="A1050" t="s">
        <v>304</v>
      </c>
      <c r="B1050" t="str">
        <f t="shared" si="16"/>
        <v/>
      </c>
    </row>
    <row r="1051" spans="1:2" x14ac:dyDescent="0.25">
      <c r="A1051" t="s">
        <v>304</v>
      </c>
      <c r="B1051" t="str">
        <f t="shared" si="16"/>
        <v/>
      </c>
    </row>
    <row r="1052" spans="1:2" x14ac:dyDescent="0.25">
      <c r="A1052" t="s">
        <v>304</v>
      </c>
      <c r="B1052" t="str">
        <f t="shared" si="16"/>
        <v/>
      </c>
    </row>
    <row r="1053" spans="1:2" x14ac:dyDescent="0.25">
      <c r="A1053" t="s">
        <v>304</v>
      </c>
      <c r="B1053" t="str">
        <f t="shared" si="16"/>
        <v/>
      </c>
    </row>
    <row r="1054" spans="1:2" x14ac:dyDescent="0.25">
      <c r="A1054" t="s">
        <v>304</v>
      </c>
      <c r="B1054" t="str">
        <f t="shared" si="16"/>
        <v/>
      </c>
    </row>
    <row r="1055" spans="1:2" x14ac:dyDescent="0.25">
      <c r="A1055" t="s">
        <v>304</v>
      </c>
      <c r="B1055" t="str">
        <f t="shared" si="16"/>
        <v/>
      </c>
    </row>
    <row r="1056" spans="1:2" x14ac:dyDescent="0.25">
      <c r="A1056" t="s">
        <v>304</v>
      </c>
      <c r="B1056" t="str">
        <f t="shared" si="16"/>
        <v/>
      </c>
    </row>
    <row r="1057" spans="1:2" x14ac:dyDescent="0.25">
      <c r="A1057" t="s">
        <v>304</v>
      </c>
      <c r="B1057" t="str">
        <f t="shared" si="16"/>
        <v/>
      </c>
    </row>
    <row r="1058" spans="1:2" x14ac:dyDescent="0.25">
      <c r="A1058" t="s">
        <v>304</v>
      </c>
      <c r="B1058" t="str">
        <f t="shared" si="16"/>
        <v/>
      </c>
    </row>
    <row r="1059" spans="1:2" x14ac:dyDescent="0.25">
      <c r="A1059" t="s">
        <v>304</v>
      </c>
      <c r="B1059" t="str">
        <f t="shared" si="16"/>
        <v/>
      </c>
    </row>
    <row r="1060" spans="1:2" x14ac:dyDescent="0.25">
      <c r="A1060" t="s">
        <v>304</v>
      </c>
      <c r="B1060" t="str">
        <f t="shared" si="16"/>
        <v/>
      </c>
    </row>
    <row r="1061" spans="1:2" x14ac:dyDescent="0.25">
      <c r="A1061" t="s">
        <v>304</v>
      </c>
      <c r="B1061" t="str">
        <f t="shared" si="16"/>
        <v/>
      </c>
    </row>
    <row r="1062" spans="1:2" x14ac:dyDescent="0.25">
      <c r="A1062" t="s">
        <v>304</v>
      </c>
      <c r="B1062" t="str">
        <f t="shared" si="16"/>
        <v/>
      </c>
    </row>
    <row r="1063" spans="1:2" x14ac:dyDescent="0.25">
      <c r="A1063" t="s">
        <v>304</v>
      </c>
      <c r="B1063" t="str">
        <f t="shared" si="16"/>
        <v/>
      </c>
    </row>
    <row r="1064" spans="1:2" x14ac:dyDescent="0.25">
      <c r="A1064" t="s">
        <v>304</v>
      </c>
      <c r="B1064" t="str">
        <f t="shared" si="16"/>
        <v/>
      </c>
    </row>
    <row r="1065" spans="1:2" x14ac:dyDescent="0.25">
      <c r="A1065" t="s">
        <v>304</v>
      </c>
      <c r="B1065" t="str">
        <f t="shared" si="16"/>
        <v/>
      </c>
    </row>
    <row r="1066" spans="1:2" x14ac:dyDescent="0.25">
      <c r="A1066" t="s">
        <v>304</v>
      </c>
      <c r="B1066" t="str">
        <f t="shared" si="16"/>
        <v/>
      </c>
    </row>
    <row r="1067" spans="1:2" x14ac:dyDescent="0.25">
      <c r="A1067" t="s">
        <v>304</v>
      </c>
      <c r="B1067" t="str">
        <f t="shared" si="16"/>
        <v/>
      </c>
    </row>
    <row r="1068" spans="1:2" x14ac:dyDescent="0.25">
      <c r="A1068" t="s">
        <v>304</v>
      </c>
      <c r="B1068" t="str">
        <f t="shared" si="16"/>
        <v/>
      </c>
    </row>
    <row r="1069" spans="1:2" x14ac:dyDescent="0.25">
      <c r="A1069" t="s">
        <v>304</v>
      </c>
      <c r="B1069" t="str">
        <f t="shared" si="16"/>
        <v/>
      </c>
    </row>
    <row r="1070" spans="1:2" x14ac:dyDescent="0.25">
      <c r="A1070" t="s">
        <v>304</v>
      </c>
      <c r="B1070" t="str">
        <f t="shared" si="16"/>
        <v/>
      </c>
    </row>
    <row r="1071" spans="1:2" x14ac:dyDescent="0.25">
      <c r="A1071" t="s">
        <v>304</v>
      </c>
      <c r="B1071" t="str">
        <f t="shared" si="16"/>
        <v/>
      </c>
    </row>
    <row r="1072" spans="1:2" x14ac:dyDescent="0.25">
      <c r="A1072" t="s">
        <v>304</v>
      </c>
      <c r="B1072" t="str">
        <f t="shared" si="16"/>
        <v/>
      </c>
    </row>
    <row r="1073" spans="1:2" x14ac:dyDescent="0.25">
      <c r="A1073" t="s">
        <v>304</v>
      </c>
      <c r="B1073" t="str">
        <f t="shared" si="16"/>
        <v/>
      </c>
    </row>
    <row r="1074" spans="1:2" x14ac:dyDescent="0.25">
      <c r="A1074" t="s">
        <v>304</v>
      </c>
      <c r="B1074" t="str">
        <f t="shared" si="16"/>
        <v/>
      </c>
    </row>
    <row r="1075" spans="1:2" x14ac:dyDescent="0.25">
      <c r="A1075" t="s">
        <v>304</v>
      </c>
      <c r="B1075" t="str">
        <f t="shared" si="16"/>
        <v/>
      </c>
    </row>
    <row r="1076" spans="1:2" x14ac:dyDescent="0.25">
      <c r="A1076" t="s">
        <v>304</v>
      </c>
      <c r="B1076" t="str">
        <f t="shared" si="16"/>
        <v/>
      </c>
    </row>
    <row r="1077" spans="1:2" x14ac:dyDescent="0.25">
      <c r="A1077" t="s">
        <v>304</v>
      </c>
      <c r="B1077" t="str">
        <f t="shared" si="16"/>
        <v/>
      </c>
    </row>
    <row r="1078" spans="1:2" x14ac:dyDescent="0.25">
      <c r="A1078" t="s">
        <v>304</v>
      </c>
      <c r="B1078" t="str">
        <f t="shared" si="16"/>
        <v/>
      </c>
    </row>
    <row r="1079" spans="1:2" x14ac:dyDescent="0.25">
      <c r="A1079" t="s">
        <v>304</v>
      </c>
      <c r="B1079" t="str">
        <f t="shared" si="16"/>
        <v/>
      </c>
    </row>
    <row r="1080" spans="1:2" x14ac:dyDescent="0.25">
      <c r="A1080" t="s">
        <v>304</v>
      </c>
      <c r="B1080" t="str">
        <f t="shared" si="16"/>
        <v/>
      </c>
    </row>
    <row r="1081" spans="1:2" x14ac:dyDescent="0.25">
      <c r="A1081" t="s">
        <v>304</v>
      </c>
      <c r="B1081" t="str">
        <f t="shared" si="16"/>
        <v/>
      </c>
    </row>
    <row r="1082" spans="1:2" x14ac:dyDescent="0.25">
      <c r="A1082" t="s">
        <v>304</v>
      </c>
      <c r="B1082" t="str">
        <f t="shared" si="16"/>
        <v/>
      </c>
    </row>
    <row r="1083" spans="1:2" x14ac:dyDescent="0.25">
      <c r="A1083" t="s">
        <v>304</v>
      </c>
      <c r="B1083" t="str">
        <f t="shared" si="16"/>
        <v/>
      </c>
    </row>
    <row r="1084" spans="1:2" x14ac:dyDescent="0.25">
      <c r="A1084" t="s">
        <v>304</v>
      </c>
      <c r="B1084" t="str">
        <f t="shared" si="16"/>
        <v/>
      </c>
    </row>
    <row r="1085" spans="1:2" x14ac:dyDescent="0.25">
      <c r="A1085" t="s">
        <v>304</v>
      </c>
      <c r="B1085" t="str">
        <f t="shared" si="16"/>
        <v/>
      </c>
    </row>
    <row r="1086" spans="1:2" x14ac:dyDescent="0.25">
      <c r="A1086" t="s">
        <v>304</v>
      </c>
      <c r="B1086" t="str">
        <f t="shared" si="16"/>
        <v/>
      </c>
    </row>
    <row r="1087" spans="1:2" x14ac:dyDescent="0.25">
      <c r="A1087" t="s">
        <v>304</v>
      </c>
      <c r="B1087" t="str">
        <f t="shared" si="16"/>
        <v/>
      </c>
    </row>
    <row r="1088" spans="1:2" x14ac:dyDescent="0.25">
      <c r="A1088" t="s">
        <v>304</v>
      </c>
      <c r="B1088" t="str">
        <f t="shared" si="16"/>
        <v/>
      </c>
    </row>
    <row r="1089" spans="1:2" x14ac:dyDescent="0.25">
      <c r="A1089" t="s">
        <v>304</v>
      </c>
      <c r="B1089" t="str">
        <f t="shared" si="16"/>
        <v/>
      </c>
    </row>
    <row r="1090" spans="1:2" x14ac:dyDescent="0.25">
      <c r="A1090" t="s">
        <v>304</v>
      </c>
      <c r="B1090" t="str">
        <f t="shared" ref="B1090:B1128" si="17">IF($A1090&lt;&gt;"",CONCATENATE("get-Childitem K:\1_Capture\",$A1090," -recurse -include *.jpg | Move-Item -Destination K:\1_Capture\",$A1090),"")</f>
        <v/>
      </c>
    </row>
    <row r="1091" spans="1:2" x14ac:dyDescent="0.25">
      <c r="A1091" t="s">
        <v>304</v>
      </c>
      <c r="B1091" t="str">
        <f t="shared" si="17"/>
        <v/>
      </c>
    </row>
    <row r="1092" spans="1:2" x14ac:dyDescent="0.25">
      <c r="A1092" t="s">
        <v>304</v>
      </c>
      <c r="B1092" t="str">
        <f t="shared" si="17"/>
        <v/>
      </c>
    </row>
    <row r="1093" spans="1:2" x14ac:dyDescent="0.25">
      <c r="A1093" t="s">
        <v>304</v>
      </c>
      <c r="B1093" t="str">
        <f t="shared" si="17"/>
        <v/>
      </c>
    </row>
    <row r="1094" spans="1:2" x14ac:dyDescent="0.25">
      <c r="A1094" t="s">
        <v>304</v>
      </c>
      <c r="B1094" t="str">
        <f t="shared" si="17"/>
        <v/>
      </c>
    </row>
    <row r="1095" spans="1:2" x14ac:dyDescent="0.25">
      <c r="A1095" t="s">
        <v>304</v>
      </c>
      <c r="B1095" t="str">
        <f t="shared" si="17"/>
        <v/>
      </c>
    </row>
    <row r="1096" spans="1:2" x14ac:dyDescent="0.25">
      <c r="A1096" t="s">
        <v>304</v>
      </c>
      <c r="B1096" t="str">
        <f t="shared" si="17"/>
        <v/>
      </c>
    </row>
    <row r="1097" spans="1:2" x14ac:dyDescent="0.25">
      <c r="A1097" t="s">
        <v>304</v>
      </c>
      <c r="B1097" t="str">
        <f t="shared" si="17"/>
        <v/>
      </c>
    </row>
    <row r="1098" spans="1:2" x14ac:dyDescent="0.25">
      <c r="A1098" t="s">
        <v>304</v>
      </c>
      <c r="B1098" t="str">
        <f t="shared" si="17"/>
        <v/>
      </c>
    </row>
    <row r="1099" spans="1:2" x14ac:dyDescent="0.25">
      <c r="A1099" t="s">
        <v>304</v>
      </c>
      <c r="B1099" t="str">
        <f t="shared" si="17"/>
        <v/>
      </c>
    </row>
    <row r="1100" spans="1:2" x14ac:dyDescent="0.25">
      <c r="A1100" t="s">
        <v>304</v>
      </c>
      <c r="B1100" t="str">
        <f t="shared" si="17"/>
        <v/>
      </c>
    </row>
    <row r="1101" spans="1:2" x14ac:dyDescent="0.25">
      <c r="A1101" t="s">
        <v>304</v>
      </c>
      <c r="B1101" t="str">
        <f t="shared" si="17"/>
        <v/>
      </c>
    </row>
    <row r="1102" spans="1:2" x14ac:dyDescent="0.25">
      <c r="A1102" t="s">
        <v>304</v>
      </c>
      <c r="B1102" t="str">
        <f t="shared" si="17"/>
        <v/>
      </c>
    </row>
    <row r="1103" spans="1:2" x14ac:dyDescent="0.25">
      <c r="A1103" t="s">
        <v>304</v>
      </c>
      <c r="B1103" t="str">
        <f t="shared" si="17"/>
        <v/>
      </c>
    </row>
    <row r="1104" spans="1:2" x14ac:dyDescent="0.25">
      <c r="A1104" t="s">
        <v>304</v>
      </c>
      <c r="B1104" t="str">
        <f t="shared" si="17"/>
        <v/>
      </c>
    </row>
    <row r="1105" spans="1:2" x14ac:dyDescent="0.25">
      <c r="A1105" t="s">
        <v>304</v>
      </c>
      <c r="B1105" t="str">
        <f t="shared" si="17"/>
        <v/>
      </c>
    </row>
    <row r="1106" spans="1:2" x14ac:dyDescent="0.25">
      <c r="A1106" t="s">
        <v>304</v>
      </c>
      <c r="B1106" t="str">
        <f t="shared" si="17"/>
        <v/>
      </c>
    </row>
    <row r="1107" spans="1:2" x14ac:dyDescent="0.25">
      <c r="A1107" t="s">
        <v>304</v>
      </c>
      <c r="B1107" t="str">
        <f t="shared" si="17"/>
        <v/>
      </c>
    </row>
    <row r="1108" spans="1:2" x14ac:dyDescent="0.25">
      <c r="A1108" t="s">
        <v>304</v>
      </c>
      <c r="B1108" t="str">
        <f t="shared" si="17"/>
        <v/>
      </c>
    </row>
    <row r="1109" spans="1:2" x14ac:dyDescent="0.25">
      <c r="A1109" t="s">
        <v>304</v>
      </c>
      <c r="B1109" t="str">
        <f t="shared" si="17"/>
        <v/>
      </c>
    </row>
    <row r="1110" spans="1:2" x14ac:dyDescent="0.25">
      <c r="A1110" t="s">
        <v>304</v>
      </c>
      <c r="B1110" t="str">
        <f t="shared" si="17"/>
        <v/>
      </c>
    </row>
    <row r="1111" spans="1:2" x14ac:dyDescent="0.25">
      <c r="A1111" t="s">
        <v>304</v>
      </c>
      <c r="B1111" t="str">
        <f t="shared" si="17"/>
        <v/>
      </c>
    </row>
    <row r="1112" spans="1:2" x14ac:dyDescent="0.25">
      <c r="A1112" t="s">
        <v>304</v>
      </c>
      <c r="B1112" t="str">
        <f t="shared" si="17"/>
        <v/>
      </c>
    </row>
    <row r="1113" spans="1:2" x14ac:dyDescent="0.25">
      <c r="A1113" t="s">
        <v>304</v>
      </c>
      <c r="B1113" t="str">
        <f t="shared" si="17"/>
        <v/>
      </c>
    </row>
    <row r="1114" spans="1:2" x14ac:dyDescent="0.25">
      <c r="A1114" t="s">
        <v>304</v>
      </c>
      <c r="B1114" t="str">
        <f t="shared" si="17"/>
        <v/>
      </c>
    </row>
    <row r="1115" spans="1:2" x14ac:dyDescent="0.25">
      <c r="A1115" t="s">
        <v>304</v>
      </c>
      <c r="B1115" t="str">
        <f t="shared" si="17"/>
        <v/>
      </c>
    </row>
    <row r="1116" spans="1:2" x14ac:dyDescent="0.25">
      <c r="A1116" t="s">
        <v>304</v>
      </c>
      <c r="B1116" t="str">
        <f t="shared" si="17"/>
        <v/>
      </c>
    </row>
    <row r="1117" spans="1:2" x14ac:dyDescent="0.25">
      <c r="A1117" t="s">
        <v>304</v>
      </c>
      <c r="B1117" t="str">
        <f t="shared" si="17"/>
        <v/>
      </c>
    </row>
    <row r="1118" spans="1:2" x14ac:dyDescent="0.25">
      <c r="A1118" t="s">
        <v>304</v>
      </c>
      <c r="B1118" t="str">
        <f t="shared" si="17"/>
        <v/>
      </c>
    </row>
    <row r="1119" spans="1:2" x14ac:dyDescent="0.25">
      <c r="A1119" t="s">
        <v>304</v>
      </c>
      <c r="B1119" t="str">
        <f t="shared" si="17"/>
        <v/>
      </c>
    </row>
    <row r="1120" spans="1:2" x14ac:dyDescent="0.25">
      <c r="A1120" t="s">
        <v>304</v>
      </c>
      <c r="B1120" t="str">
        <f t="shared" si="17"/>
        <v/>
      </c>
    </row>
    <row r="1121" spans="1:2" x14ac:dyDescent="0.25">
      <c r="A1121" t="s">
        <v>304</v>
      </c>
      <c r="B1121" t="str">
        <f t="shared" si="17"/>
        <v/>
      </c>
    </row>
    <row r="1122" spans="1:2" x14ac:dyDescent="0.25">
      <c r="A1122" t="s">
        <v>304</v>
      </c>
      <c r="B1122" t="str">
        <f t="shared" si="17"/>
        <v/>
      </c>
    </row>
    <row r="1123" spans="1:2" x14ac:dyDescent="0.25">
      <c r="A1123" t="s">
        <v>304</v>
      </c>
      <c r="B1123" t="str">
        <f t="shared" si="17"/>
        <v/>
      </c>
    </row>
    <row r="1124" spans="1:2" x14ac:dyDescent="0.25">
      <c r="A1124" t="s">
        <v>304</v>
      </c>
      <c r="B1124" t="str">
        <f t="shared" si="17"/>
        <v/>
      </c>
    </row>
    <row r="1125" spans="1:2" x14ac:dyDescent="0.25">
      <c r="A1125" t="s">
        <v>304</v>
      </c>
      <c r="B1125" t="str">
        <f t="shared" si="17"/>
        <v/>
      </c>
    </row>
    <row r="1126" spans="1:2" x14ac:dyDescent="0.25">
      <c r="A1126" t="s">
        <v>304</v>
      </c>
      <c r="B1126" t="str">
        <f t="shared" si="17"/>
        <v/>
      </c>
    </row>
    <row r="1127" spans="1:2" x14ac:dyDescent="0.25">
      <c r="A1127" t="s">
        <v>304</v>
      </c>
      <c r="B1127" t="str">
        <f t="shared" si="17"/>
        <v/>
      </c>
    </row>
    <row r="1128" spans="1:2" x14ac:dyDescent="0.25">
      <c r="A1128" t="s">
        <v>304</v>
      </c>
      <c r="B1128" t="str">
        <f t="shared" si="17"/>
        <v/>
      </c>
    </row>
    <row r="1129" spans="1:2" x14ac:dyDescent="0.25">
      <c r="A1129" t="s">
        <v>304</v>
      </c>
    </row>
    <row r="1130" spans="1:2" x14ac:dyDescent="0.25">
      <c r="A1130" t="s">
        <v>304</v>
      </c>
    </row>
    <row r="1131" spans="1:2" x14ac:dyDescent="0.25">
      <c r="A1131" t="s">
        <v>304</v>
      </c>
    </row>
    <row r="1132" spans="1:2" x14ac:dyDescent="0.25">
      <c r="A1132" t="s">
        <v>304</v>
      </c>
    </row>
    <row r="1133" spans="1:2" x14ac:dyDescent="0.25">
      <c r="A1133" t="s">
        <v>304</v>
      </c>
    </row>
    <row r="1134" spans="1:2" x14ac:dyDescent="0.25">
      <c r="A1134" t="s">
        <v>304</v>
      </c>
    </row>
    <row r="1135" spans="1:2" x14ac:dyDescent="0.25">
      <c r="A1135" t="s">
        <v>304</v>
      </c>
    </row>
    <row r="1136" spans="1:2" x14ac:dyDescent="0.25">
      <c r="A1136" t="s">
        <v>304</v>
      </c>
    </row>
    <row r="1137" spans="1:1" x14ac:dyDescent="0.25">
      <c r="A1137" t="s">
        <v>304</v>
      </c>
    </row>
    <row r="1138" spans="1:1" x14ac:dyDescent="0.25">
      <c r="A1138" t="s">
        <v>304</v>
      </c>
    </row>
    <row r="1139" spans="1:1" x14ac:dyDescent="0.25">
      <c r="A1139" t="s">
        <v>304</v>
      </c>
    </row>
    <row r="1140" spans="1:1" x14ac:dyDescent="0.25">
      <c r="A1140" t="s">
        <v>304</v>
      </c>
    </row>
    <row r="1141" spans="1:1" x14ac:dyDescent="0.25">
      <c r="A1141" t="s">
        <v>304</v>
      </c>
    </row>
    <row r="1142" spans="1:1" x14ac:dyDescent="0.25">
      <c r="A1142" t="s">
        <v>304</v>
      </c>
    </row>
    <row r="1143" spans="1:1" x14ac:dyDescent="0.25">
      <c r="A1143" t="s">
        <v>304</v>
      </c>
    </row>
    <row r="1144" spans="1:1" x14ac:dyDescent="0.25">
      <c r="A1144" t="s">
        <v>304</v>
      </c>
    </row>
    <row r="1145" spans="1:1" x14ac:dyDescent="0.25">
      <c r="A1145" t="s">
        <v>304</v>
      </c>
    </row>
    <row r="1146" spans="1:1" x14ac:dyDescent="0.25">
      <c r="A1146" t="s">
        <v>304</v>
      </c>
    </row>
    <row r="1147" spans="1:1" x14ac:dyDescent="0.25">
      <c r="A1147" t="s">
        <v>304</v>
      </c>
    </row>
    <row r="1148" spans="1:1" x14ac:dyDescent="0.25">
      <c r="A1148" t="s">
        <v>304</v>
      </c>
    </row>
    <row r="1149" spans="1:1" x14ac:dyDescent="0.25">
      <c r="A1149" t="s">
        <v>304</v>
      </c>
    </row>
    <row r="1150" spans="1:1" x14ac:dyDescent="0.25">
      <c r="A1150" t="s">
        <v>304</v>
      </c>
    </row>
    <row r="1151" spans="1:1" x14ac:dyDescent="0.25">
      <c r="A1151" t="s">
        <v>304</v>
      </c>
    </row>
    <row r="1152" spans="1:1" x14ac:dyDescent="0.25">
      <c r="A1152" t="s">
        <v>304</v>
      </c>
    </row>
    <row r="1153" spans="1:1" x14ac:dyDescent="0.25">
      <c r="A1153" t="s">
        <v>304</v>
      </c>
    </row>
    <row r="1154" spans="1:1" x14ac:dyDescent="0.25">
      <c r="A1154" t="s">
        <v>304</v>
      </c>
    </row>
    <row r="1155" spans="1:1" x14ac:dyDescent="0.25">
      <c r="A1155" t="s">
        <v>304</v>
      </c>
    </row>
    <row r="1156" spans="1:1" x14ac:dyDescent="0.25">
      <c r="A1156" t="s">
        <v>304</v>
      </c>
    </row>
    <row r="1157" spans="1:1" x14ac:dyDescent="0.25">
      <c r="A1157" t="s">
        <v>304</v>
      </c>
    </row>
    <row r="1158" spans="1:1" x14ac:dyDescent="0.25">
      <c r="A1158" t="s">
        <v>304</v>
      </c>
    </row>
    <row r="1159" spans="1:1" x14ac:dyDescent="0.25">
      <c r="A1159" t="s">
        <v>304</v>
      </c>
    </row>
    <row r="1160" spans="1:1" x14ac:dyDescent="0.25">
      <c r="A1160" t="s">
        <v>304</v>
      </c>
    </row>
  </sheetData>
  <sortState ref="A1:A30">
    <sortCondition descending="1" ref="A1"/>
  </sortState>
  <customSheetViews>
    <customSheetView guid="{84F0FDFB-72A1-4214-8B2B-A048953E297B}">
      <pageMargins left="0.7" right="0.7" top="0.75" bottom="0.75" header="0.3" footer="0.3"/>
      <pageSetup orientation="portrait" horizontalDpi="4294967293" verticalDpi="0" r:id="rId1"/>
    </customSheetView>
  </customSheetViews>
  <pageMargins left="0.7" right="0.7" top="0.75" bottom="0.75" header="0.3" footer="0.3"/>
  <pageSetup orientation="portrait" horizontalDpi="4294967293" verticalDpi="0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717"/>
  <sheetViews>
    <sheetView workbookViewId="0">
      <selection activeCell="D2" sqref="D2"/>
    </sheetView>
  </sheetViews>
  <sheetFormatPr defaultRowHeight="15" x14ac:dyDescent="0.25"/>
  <cols>
    <col min="1" max="1" width="35.140625" bestFit="1" customWidth="1"/>
  </cols>
  <sheetData>
    <row r="1" spans="1:3" x14ac:dyDescent="0.25">
      <c r="A1" t="s">
        <v>377</v>
      </c>
      <c r="C1" t="str">
        <f>RIGHT(A1,LEN(A1)-(SEARCH("_",A1,SEARCH("_",A1)+1+SEARCH("_",A1,SEARCH("_",A1)+1))))</f>
        <v>8099-293</v>
      </c>
    </row>
    <row r="2" spans="1:3" x14ac:dyDescent="0.25">
      <c r="A2" t="s">
        <v>378</v>
      </c>
      <c r="C2" t="str">
        <f t="shared" ref="C2:C45" si="0">RIGHT(A2,LEN(A2)-(SEARCH("_",A2,SEARCH("_",A2)+1+SEARCH("_",A2,SEARCH("_",A2)+1))))</f>
        <v>8099-294</v>
      </c>
    </row>
    <row r="3" spans="1:3" x14ac:dyDescent="0.25">
      <c r="A3" t="s">
        <v>379</v>
      </c>
      <c r="C3" t="str">
        <f t="shared" si="0"/>
        <v>8099-295</v>
      </c>
    </row>
    <row r="4" spans="1:3" x14ac:dyDescent="0.25">
      <c r="A4" t="s">
        <v>380</v>
      </c>
      <c r="C4" t="str">
        <f t="shared" si="0"/>
        <v>8099-296</v>
      </c>
    </row>
    <row r="5" spans="1:3" x14ac:dyDescent="0.25">
      <c r="A5" t="s">
        <v>381</v>
      </c>
      <c r="C5" t="str">
        <f t="shared" si="0"/>
        <v>8099-297</v>
      </c>
    </row>
    <row r="6" spans="1:3" x14ac:dyDescent="0.25">
      <c r="A6" t="s">
        <v>382</v>
      </c>
      <c r="C6" t="str">
        <f t="shared" si="0"/>
        <v>8099-298</v>
      </c>
    </row>
    <row r="7" spans="1:3" x14ac:dyDescent="0.25">
      <c r="A7" t="s">
        <v>383</v>
      </c>
      <c r="C7" t="str">
        <f t="shared" si="0"/>
        <v>8099-299</v>
      </c>
    </row>
    <row r="8" spans="1:3" x14ac:dyDescent="0.25">
      <c r="A8" t="s">
        <v>384</v>
      </c>
      <c r="C8" t="str">
        <f t="shared" si="0"/>
        <v>8099-300</v>
      </c>
    </row>
    <row r="9" spans="1:3" x14ac:dyDescent="0.25">
      <c r="A9" t="s">
        <v>385</v>
      </c>
      <c r="C9" t="str">
        <f t="shared" si="0"/>
        <v>8099-301</v>
      </c>
    </row>
    <row r="10" spans="1:3" x14ac:dyDescent="0.25">
      <c r="A10" t="s">
        <v>386</v>
      </c>
      <c r="C10" t="str">
        <f t="shared" si="0"/>
        <v>8099-302</v>
      </c>
    </row>
    <row r="11" spans="1:3" x14ac:dyDescent="0.25">
      <c r="A11" t="s">
        <v>387</v>
      </c>
      <c r="C11" t="str">
        <f t="shared" si="0"/>
        <v>8099-302B</v>
      </c>
    </row>
    <row r="12" spans="1:3" x14ac:dyDescent="0.25">
      <c r="A12" t="s">
        <v>388</v>
      </c>
      <c r="C12" t="str">
        <f t="shared" si="0"/>
        <v>8099-303</v>
      </c>
    </row>
    <row r="13" spans="1:3" x14ac:dyDescent="0.25">
      <c r="A13" t="s">
        <v>389</v>
      </c>
      <c r="C13" t="str">
        <f t="shared" si="0"/>
        <v>8099-304</v>
      </c>
    </row>
    <row r="14" spans="1:3" x14ac:dyDescent="0.25">
      <c r="A14" t="s">
        <v>390</v>
      </c>
      <c r="C14" t="str">
        <f t="shared" si="0"/>
        <v>8099-305</v>
      </c>
    </row>
    <row r="15" spans="1:3" x14ac:dyDescent="0.25">
      <c r="A15" t="s">
        <v>391</v>
      </c>
      <c r="C15" t="str">
        <f t="shared" si="0"/>
        <v>8099-306</v>
      </c>
    </row>
    <row r="16" spans="1:3" x14ac:dyDescent="0.25">
      <c r="A16" t="s">
        <v>392</v>
      </c>
      <c r="C16" t="str">
        <f t="shared" si="0"/>
        <v>8099-307</v>
      </c>
    </row>
    <row r="17" spans="1:3" x14ac:dyDescent="0.25">
      <c r="A17" t="s">
        <v>393</v>
      </c>
      <c r="C17" t="str">
        <f t="shared" si="0"/>
        <v>8099-308</v>
      </c>
    </row>
    <row r="18" spans="1:3" x14ac:dyDescent="0.25">
      <c r="A18" t="s">
        <v>394</v>
      </c>
      <c r="C18" t="str">
        <f t="shared" si="0"/>
        <v>8099-309</v>
      </c>
    </row>
    <row r="19" spans="1:3" x14ac:dyDescent="0.25">
      <c r="A19" t="s">
        <v>395</v>
      </c>
      <c r="C19" t="str">
        <f t="shared" si="0"/>
        <v>280-1</v>
      </c>
    </row>
    <row r="20" spans="1:3" x14ac:dyDescent="0.25">
      <c r="A20" t="s">
        <v>396</v>
      </c>
      <c r="C20" t="str">
        <f t="shared" si="0"/>
        <v>280-2</v>
      </c>
    </row>
    <row r="21" spans="1:3" x14ac:dyDescent="0.25">
      <c r="A21" t="s">
        <v>397</v>
      </c>
      <c r="C21" t="str">
        <f t="shared" si="0"/>
        <v>280-</v>
      </c>
    </row>
    <row r="22" spans="1:3" x14ac:dyDescent="0.25">
      <c r="A22" t="s">
        <v>398</v>
      </c>
      <c r="C22" t="str">
        <f t="shared" si="0"/>
        <v>280-4</v>
      </c>
    </row>
    <row r="23" spans="1:3" x14ac:dyDescent="0.25">
      <c r="A23" t="s">
        <v>399</v>
      </c>
      <c r="C23" t="str">
        <f t="shared" si="0"/>
        <v>280-5</v>
      </c>
    </row>
    <row r="24" spans="1:3" x14ac:dyDescent="0.25">
      <c r="A24" t="s">
        <v>400</v>
      </c>
      <c r="C24" t="str">
        <f t="shared" si="0"/>
        <v>280-6</v>
      </c>
    </row>
    <row r="25" spans="1:3" x14ac:dyDescent="0.25">
      <c r="A25" t="s">
        <v>401</v>
      </c>
      <c r="C25" t="str">
        <f t="shared" si="0"/>
        <v>280-7</v>
      </c>
    </row>
    <row r="26" spans="1:3" x14ac:dyDescent="0.25">
      <c r="A26" t="s">
        <v>402</v>
      </c>
      <c r="C26" t="str">
        <f t="shared" si="0"/>
        <v>280-8</v>
      </c>
    </row>
    <row r="27" spans="1:3" x14ac:dyDescent="0.25">
      <c r="A27" t="s">
        <v>403</v>
      </c>
      <c r="C27" t="str">
        <f t="shared" si="0"/>
        <v>280-9</v>
      </c>
    </row>
    <row r="28" spans="1:3" x14ac:dyDescent="0.25">
      <c r="A28" t="s">
        <v>404</v>
      </c>
      <c r="C28" t="str">
        <f t="shared" si="0"/>
        <v>280-10</v>
      </c>
    </row>
    <row r="29" spans="1:3" x14ac:dyDescent="0.25">
      <c r="A29" t="s">
        <v>405</v>
      </c>
      <c r="C29" t="str">
        <f t="shared" si="0"/>
        <v>280-11</v>
      </c>
    </row>
    <row r="30" spans="1:3" x14ac:dyDescent="0.25">
      <c r="A30" t="s">
        <v>406</v>
      </c>
      <c r="C30" t="str">
        <f t="shared" si="0"/>
        <v>280-12</v>
      </c>
    </row>
    <row r="31" spans="1:3" x14ac:dyDescent="0.25">
      <c r="A31" t="s">
        <v>407</v>
      </c>
      <c r="C31" t="str">
        <f t="shared" si="0"/>
        <v>280-13</v>
      </c>
    </row>
    <row r="32" spans="1:3" x14ac:dyDescent="0.25">
      <c r="A32" t="s">
        <v>408</v>
      </c>
      <c r="C32" t="str">
        <f t="shared" si="0"/>
        <v>280-14</v>
      </c>
    </row>
    <row r="33" spans="1:3" x14ac:dyDescent="0.25">
      <c r="A33" t="s">
        <v>409</v>
      </c>
      <c r="C33" t="str">
        <f t="shared" si="0"/>
        <v>280-15</v>
      </c>
    </row>
    <row r="34" spans="1:3" x14ac:dyDescent="0.25">
      <c r="A34" t="s">
        <v>410</v>
      </c>
      <c r="C34" t="str">
        <f t="shared" si="0"/>
        <v>280-16</v>
      </c>
    </row>
    <row r="35" spans="1:3" x14ac:dyDescent="0.25">
      <c r="A35" t="s">
        <v>411</v>
      </c>
      <c r="C35" t="str">
        <f t="shared" si="0"/>
        <v>280-17</v>
      </c>
    </row>
    <row r="36" spans="1:3" x14ac:dyDescent="0.25">
      <c r="A36" t="s">
        <v>412</v>
      </c>
      <c r="C36" t="str">
        <f t="shared" si="0"/>
        <v>280-18</v>
      </c>
    </row>
    <row r="37" spans="1:3" x14ac:dyDescent="0.25">
      <c r="A37" t="s">
        <v>413</v>
      </c>
      <c r="C37" t="str">
        <f t="shared" si="0"/>
        <v>280-19</v>
      </c>
    </row>
    <row r="38" spans="1:3" x14ac:dyDescent="0.25">
      <c r="A38" t="s">
        <v>414</v>
      </c>
      <c r="C38" t="str">
        <f t="shared" si="0"/>
        <v>280-20</v>
      </c>
    </row>
    <row r="39" spans="1:3" x14ac:dyDescent="0.25">
      <c r="A39" t="s">
        <v>415</v>
      </c>
      <c r="C39" t="str">
        <f t="shared" si="0"/>
        <v>280-21</v>
      </c>
    </row>
    <row r="40" spans="1:3" x14ac:dyDescent="0.25">
      <c r="A40" t="s">
        <v>416</v>
      </c>
      <c r="C40" t="str">
        <f t="shared" si="0"/>
        <v>280-22</v>
      </c>
    </row>
    <row r="41" spans="1:3" x14ac:dyDescent="0.25">
      <c r="A41" t="s">
        <v>417</v>
      </c>
      <c r="C41" t="str">
        <f t="shared" si="0"/>
        <v>280-23</v>
      </c>
    </row>
    <row r="42" spans="1:3" x14ac:dyDescent="0.25">
      <c r="A42" t="s">
        <v>418</v>
      </c>
      <c r="C42" t="str">
        <f t="shared" si="0"/>
        <v>280-24</v>
      </c>
    </row>
    <row r="43" spans="1:3" x14ac:dyDescent="0.25">
      <c r="A43" t="s">
        <v>419</v>
      </c>
      <c r="C43" t="str">
        <f t="shared" si="0"/>
        <v>280-25</v>
      </c>
    </row>
    <row r="44" spans="1:3" x14ac:dyDescent="0.25">
      <c r="A44" t="s">
        <v>420</v>
      </c>
      <c r="C44" t="str">
        <f t="shared" si="0"/>
        <v>crinoind-a</v>
      </c>
    </row>
    <row r="45" spans="1:3" x14ac:dyDescent="0.25">
      <c r="A45" t="s">
        <v>421</v>
      </c>
      <c r="C45" t="str">
        <f t="shared" si="0"/>
        <v>crinodia-b</v>
      </c>
    </row>
    <row r="46" spans="1:3" x14ac:dyDescent="0.25">
      <c r="A46" t="s">
        <v>304</v>
      </c>
    </row>
    <row r="47" spans="1:3" x14ac:dyDescent="0.25">
      <c r="A47" t="s">
        <v>304</v>
      </c>
    </row>
    <row r="48" spans="1:3" x14ac:dyDescent="0.25">
      <c r="A48" t="s">
        <v>304</v>
      </c>
    </row>
    <row r="49" spans="1:1" x14ac:dyDescent="0.25">
      <c r="A49" t="s">
        <v>304</v>
      </c>
    </row>
    <row r="50" spans="1:1" x14ac:dyDescent="0.25">
      <c r="A50" t="s">
        <v>304</v>
      </c>
    </row>
    <row r="51" spans="1:1" x14ac:dyDescent="0.25">
      <c r="A51" t="s">
        <v>304</v>
      </c>
    </row>
    <row r="52" spans="1:1" x14ac:dyDescent="0.25">
      <c r="A52" t="s">
        <v>304</v>
      </c>
    </row>
    <row r="53" spans="1:1" x14ac:dyDescent="0.25">
      <c r="A53" t="s">
        <v>304</v>
      </c>
    </row>
    <row r="54" spans="1:1" x14ac:dyDescent="0.25">
      <c r="A54" t="s">
        <v>304</v>
      </c>
    </row>
    <row r="55" spans="1:1" x14ac:dyDescent="0.25">
      <c r="A55" t="s">
        <v>304</v>
      </c>
    </row>
    <row r="56" spans="1:1" x14ac:dyDescent="0.25">
      <c r="A56" t="s">
        <v>304</v>
      </c>
    </row>
    <row r="57" spans="1:1" x14ac:dyDescent="0.25">
      <c r="A57" t="s">
        <v>304</v>
      </c>
    </row>
    <row r="58" spans="1:1" x14ac:dyDescent="0.25">
      <c r="A58" t="s">
        <v>304</v>
      </c>
    </row>
    <row r="59" spans="1:1" x14ac:dyDescent="0.25">
      <c r="A59" t="s">
        <v>304</v>
      </c>
    </row>
    <row r="60" spans="1:1" x14ac:dyDescent="0.25">
      <c r="A60" t="s">
        <v>304</v>
      </c>
    </row>
    <row r="61" spans="1:1" x14ac:dyDescent="0.25">
      <c r="A61" t="s">
        <v>304</v>
      </c>
    </row>
    <row r="62" spans="1:1" x14ac:dyDescent="0.25">
      <c r="A62" t="s">
        <v>304</v>
      </c>
    </row>
    <row r="63" spans="1:1" x14ac:dyDescent="0.25">
      <c r="A63" t="s">
        <v>304</v>
      </c>
    </row>
    <row r="64" spans="1:1" x14ac:dyDescent="0.25">
      <c r="A64" t="s">
        <v>304</v>
      </c>
    </row>
    <row r="65" spans="1:1" x14ac:dyDescent="0.25">
      <c r="A65" t="s">
        <v>304</v>
      </c>
    </row>
    <row r="66" spans="1:1" x14ac:dyDescent="0.25">
      <c r="A66" t="s">
        <v>304</v>
      </c>
    </row>
    <row r="67" spans="1:1" x14ac:dyDescent="0.25">
      <c r="A67" t="s">
        <v>304</v>
      </c>
    </row>
    <row r="68" spans="1:1" x14ac:dyDescent="0.25">
      <c r="A68" t="s">
        <v>304</v>
      </c>
    </row>
    <row r="69" spans="1:1" x14ac:dyDescent="0.25">
      <c r="A69" t="s">
        <v>304</v>
      </c>
    </row>
    <row r="70" spans="1:1" x14ac:dyDescent="0.25">
      <c r="A70" t="s">
        <v>304</v>
      </c>
    </row>
    <row r="71" spans="1:1" x14ac:dyDescent="0.25">
      <c r="A71" t="s">
        <v>304</v>
      </c>
    </row>
    <row r="72" spans="1:1" x14ac:dyDescent="0.25">
      <c r="A72" t="s">
        <v>304</v>
      </c>
    </row>
    <row r="73" spans="1:1" x14ac:dyDescent="0.25">
      <c r="A73" t="s">
        <v>304</v>
      </c>
    </row>
    <row r="74" spans="1:1" x14ac:dyDescent="0.25">
      <c r="A74" t="s">
        <v>304</v>
      </c>
    </row>
    <row r="75" spans="1:1" x14ac:dyDescent="0.25">
      <c r="A75" t="s">
        <v>304</v>
      </c>
    </row>
    <row r="76" spans="1:1" x14ac:dyDescent="0.25">
      <c r="A76" t="s">
        <v>304</v>
      </c>
    </row>
    <row r="77" spans="1:1" x14ac:dyDescent="0.25">
      <c r="A77" t="s">
        <v>304</v>
      </c>
    </row>
    <row r="78" spans="1:1" x14ac:dyDescent="0.25">
      <c r="A78" t="s">
        <v>304</v>
      </c>
    </row>
    <row r="79" spans="1:1" x14ac:dyDescent="0.25">
      <c r="A79" t="s">
        <v>304</v>
      </c>
    </row>
    <row r="80" spans="1:1" x14ac:dyDescent="0.25">
      <c r="A80" t="s">
        <v>304</v>
      </c>
    </row>
    <row r="81" spans="1:1" x14ac:dyDescent="0.25">
      <c r="A81" t="s">
        <v>304</v>
      </c>
    </row>
    <row r="82" spans="1:1" x14ac:dyDescent="0.25">
      <c r="A82" t="s">
        <v>304</v>
      </c>
    </row>
    <row r="83" spans="1:1" x14ac:dyDescent="0.25">
      <c r="A83" t="s">
        <v>304</v>
      </c>
    </row>
    <row r="84" spans="1:1" x14ac:dyDescent="0.25">
      <c r="A84" t="s">
        <v>304</v>
      </c>
    </row>
    <row r="85" spans="1:1" x14ac:dyDescent="0.25">
      <c r="A85" t="s">
        <v>304</v>
      </c>
    </row>
    <row r="86" spans="1:1" x14ac:dyDescent="0.25">
      <c r="A86" t="s">
        <v>304</v>
      </c>
    </row>
    <row r="87" spans="1:1" x14ac:dyDescent="0.25">
      <c r="A87" t="s">
        <v>304</v>
      </c>
    </row>
    <row r="88" spans="1:1" x14ac:dyDescent="0.25">
      <c r="A88" t="s">
        <v>304</v>
      </c>
    </row>
    <row r="89" spans="1:1" x14ac:dyDescent="0.25">
      <c r="A89" t="s">
        <v>304</v>
      </c>
    </row>
    <row r="90" spans="1:1" x14ac:dyDescent="0.25">
      <c r="A90" t="s">
        <v>304</v>
      </c>
    </row>
    <row r="91" spans="1:1" x14ac:dyDescent="0.25">
      <c r="A91" t="s">
        <v>304</v>
      </c>
    </row>
    <row r="92" spans="1:1" x14ac:dyDescent="0.25">
      <c r="A92" t="s">
        <v>304</v>
      </c>
    </row>
    <row r="93" spans="1:1" x14ac:dyDescent="0.25">
      <c r="A93" t="s">
        <v>304</v>
      </c>
    </row>
    <row r="94" spans="1:1" x14ac:dyDescent="0.25">
      <c r="A94" t="s">
        <v>304</v>
      </c>
    </row>
    <row r="95" spans="1:1" x14ac:dyDescent="0.25">
      <c r="A95" t="s">
        <v>304</v>
      </c>
    </row>
    <row r="96" spans="1:1" x14ac:dyDescent="0.25">
      <c r="A96" t="s">
        <v>304</v>
      </c>
    </row>
    <row r="97" spans="1:1" x14ac:dyDescent="0.25">
      <c r="A97" t="s">
        <v>304</v>
      </c>
    </row>
    <row r="98" spans="1:1" x14ac:dyDescent="0.25">
      <c r="A98" t="s">
        <v>304</v>
      </c>
    </row>
    <row r="99" spans="1:1" x14ac:dyDescent="0.25">
      <c r="A99" t="s">
        <v>304</v>
      </c>
    </row>
    <row r="100" spans="1:1" x14ac:dyDescent="0.25">
      <c r="A100" t="s">
        <v>304</v>
      </c>
    </row>
    <row r="101" spans="1:1" x14ac:dyDescent="0.25">
      <c r="A101" t="s">
        <v>304</v>
      </c>
    </row>
    <row r="102" spans="1:1" x14ac:dyDescent="0.25">
      <c r="A102" t="s">
        <v>304</v>
      </c>
    </row>
    <row r="103" spans="1:1" x14ac:dyDescent="0.25">
      <c r="A103" t="s">
        <v>304</v>
      </c>
    </row>
    <row r="104" spans="1:1" x14ac:dyDescent="0.25">
      <c r="A104" t="s">
        <v>304</v>
      </c>
    </row>
    <row r="105" spans="1:1" x14ac:dyDescent="0.25">
      <c r="A105" t="s">
        <v>304</v>
      </c>
    </row>
    <row r="106" spans="1:1" x14ac:dyDescent="0.25">
      <c r="A106" t="s">
        <v>304</v>
      </c>
    </row>
    <row r="107" spans="1:1" x14ac:dyDescent="0.25">
      <c r="A107" t="s">
        <v>304</v>
      </c>
    </row>
    <row r="108" spans="1:1" x14ac:dyDescent="0.25">
      <c r="A108" t="s">
        <v>304</v>
      </c>
    </row>
    <row r="109" spans="1:1" x14ac:dyDescent="0.25">
      <c r="A109" t="s">
        <v>304</v>
      </c>
    </row>
    <row r="110" spans="1:1" x14ac:dyDescent="0.25">
      <c r="A110" t="s">
        <v>304</v>
      </c>
    </row>
    <row r="111" spans="1:1" x14ac:dyDescent="0.25">
      <c r="A111" t="s">
        <v>304</v>
      </c>
    </row>
    <row r="112" spans="1:1" x14ac:dyDescent="0.25">
      <c r="A112" t="s">
        <v>304</v>
      </c>
    </row>
    <row r="113" spans="1:1" x14ac:dyDescent="0.25">
      <c r="A113" t="s">
        <v>304</v>
      </c>
    </row>
    <row r="114" spans="1:1" x14ac:dyDescent="0.25">
      <c r="A114" t="s">
        <v>304</v>
      </c>
    </row>
    <row r="115" spans="1:1" x14ac:dyDescent="0.25">
      <c r="A115" t="s">
        <v>304</v>
      </c>
    </row>
    <row r="116" spans="1:1" x14ac:dyDescent="0.25">
      <c r="A116" t="s">
        <v>304</v>
      </c>
    </row>
    <row r="117" spans="1:1" x14ac:dyDescent="0.25">
      <c r="A117" t="s">
        <v>304</v>
      </c>
    </row>
    <row r="118" spans="1:1" x14ac:dyDescent="0.25">
      <c r="A118" t="s">
        <v>304</v>
      </c>
    </row>
    <row r="119" spans="1:1" x14ac:dyDescent="0.25">
      <c r="A119" t="s">
        <v>304</v>
      </c>
    </row>
    <row r="120" spans="1:1" x14ac:dyDescent="0.25">
      <c r="A120" t="s">
        <v>304</v>
      </c>
    </row>
    <row r="121" spans="1:1" x14ac:dyDescent="0.25">
      <c r="A121" t="s">
        <v>304</v>
      </c>
    </row>
    <row r="122" spans="1:1" x14ac:dyDescent="0.25">
      <c r="A122" t="s">
        <v>304</v>
      </c>
    </row>
    <row r="123" spans="1:1" x14ac:dyDescent="0.25">
      <c r="A123" t="s">
        <v>304</v>
      </c>
    </row>
    <row r="124" spans="1:1" x14ac:dyDescent="0.25">
      <c r="A124" t="s">
        <v>304</v>
      </c>
    </row>
    <row r="125" spans="1:1" x14ac:dyDescent="0.25">
      <c r="A125" t="s">
        <v>304</v>
      </c>
    </row>
    <row r="126" spans="1:1" x14ac:dyDescent="0.25">
      <c r="A126" t="s">
        <v>304</v>
      </c>
    </row>
    <row r="127" spans="1:1" x14ac:dyDescent="0.25">
      <c r="A127" t="s">
        <v>304</v>
      </c>
    </row>
    <row r="128" spans="1:1" x14ac:dyDescent="0.25">
      <c r="A128" t="s">
        <v>304</v>
      </c>
    </row>
    <row r="129" spans="1:1" x14ac:dyDescent="0.25">
      <c r="A129" t="s">
        <v>304</v>
      </c>
    </row>
    <row r="130" spans="1:1" x14ac:dyDescent="0.25">
      <c r="A130" t="s">
        <v>304</v>
      </c>
    </row>
    <row r="131" spans="1:1" x14ac:dyDescent="0.25">
      <c r="A131" t="s">
        <v>304</v>
      </c>
    </row>
    <row r="132" spans="1:1" x14ac:dyDescent="0.25">
      <c r="A132" t="s">
        <v>304</v>
      </c>
    </row>
    <row r="133" spans="1:1" x14ac:dyDescent="0.25">
      <c r="A133" t="s">
        <v>304</v>
      </c>
    </row>
    <row r="134" spans="1:1" x14ac:dyDescent="0.25">
      <c r="A134" t="s">
        <v>304</v>
      </c>
    </row>
    <row r="135" spans="1:1" x14ac:dyDescent="0.25">
      <c r="A135" t="s">
        <v>304</v>
      </c>
    </row>
    <row r="136" spans="1:1" x14ac:dyDescent="0.25">
      <c r="A136" t="s">
        <v>304</v>
      </c>
    </row>
    <row r="137" spans="1:1" x14ac:dyDescent="0.25">
      <c r="A137" t="s">
        <v>304</v>
      </c>
    </row>
    <row r="138" spans="1:1" x14ac:dyDescent="0.25">
      <c r="A138" t="s">
        <v>304</v>
      </c>
    </row>
    <row r="139" spans="1:1" x14ac:dyDescent="0.25">
      <c r="A139" t="s">
        <v>304</v>
      </c>
    </row>
    <row r="140" spans="1:1" x14ac:dyDescent="0.25">
      <c r="A140" t="s">
        <v>304</v>
      </c>
    </row>
    <row r="141" spans="1:1" x14ac:dyDescent="0.25">
      <c r="A141" t="s">
        <v>304</v>
      </c>
    </row>
    <row r="142" spans="1:1" x14ac:dyDescent="0.25">
      <c r="A142" t="s">
        <v>304</v>
      </c>
    </row>
    <row r="143" spans="1:1" x14ac:dyDescent="0.25">
      <c r="A143" t="s">
        <v>304</v>
      </c>
    </row>
    <row r="144" spans="1:1" x14ac:dyDescent="0.25">
      <c r="A144" t="s">
        <v>304</v>
      </c>
    </row>
    <row r="145" spans="1:1" x14ac:dyDescent="0.25">
      <c r="A145" t="s">
        <v>304</v>
      </c>
    </row>
    <row r="146" spans="1:1" x14ac:dyDescent="0.25">
      <c r="A146" t="s">
        <v>304</v>
      </c>
    </row>
    <row r="147" spans="1:1" x14ac:dyDescent="0.25">
      <c r="A147" t="s">
        <v>304</v>
      </c>
    </row>
    <row r="148" spans="1:1" x14ac:dyDescent="0.25">
      <c r="A148" t="s">
        <v>304</v>
      </c>
    </row>
    <row r="149" spans="1:1" x14ac:dyDescent="0.25">
      <c r="A149" t="s">
        <v>304</v>
      </c>
    </row>
    <row r="150" spans="1:1" x14ac:dyDescent="0.25">
      <c r="A150" t="s">
        <v>304</v>
      </c>
    </row>
    <row r="151" spans="1:1" x14ac:dyDescent="0.25">
      <c r="A151" t="s">
        <v>304</v>
      </c>
    </row>
    <row r="152" spans="1:1" x14ac:dyDescent="0.25">
      <c r="A152" t="s">
        <v>304</v>
      </c>
    </row>
    <row r="153" spans="1:1" x14ac:dyDescent="0.25">
      <c r="A153" t="s">
        <v>304</v>
      </c>
    </row>
    <row r="154" spans="1:1" x14ac:dyDescent="0.25">
      <c r="A154" t="s">
        <v>304</v>
      </c>
    </row>
    <row r="155" spans="1:1" x14ac:dyDescent="0.25">
      <c r="A155" t="s">
        <v>304</v>
      </c>
    </row>
    <row r="156" spans="1:1" x14ac:dyDescent="0.25">
      <c r="A156" t="s">
        <v>304</v>
      </c>
    </row>
    <row r="157" spans="1:1" x14ac:dyDescent="0.25">
      <c r="A157" t="s">
        <v>304</v>
      </c>
    </row>
    <row r="158" spans="1:1" x14ac:dyDescent="0.25">
      <c r="A158" t="s">
        <v>304</v>
      </c>
    </row>
    <row r="159" spans="1:1" x14ac:dyDescent="0.25">
      <c r="A159" t="s">
        <v>304</v>
      </c>
    </row>
    <row r="160" spans="1:1" x14ac:dyDescent="0.25">
      <c r="A160" t="s">
        <v>304</v>
      </c>
    </row>
    <row r="161" spans="1:1" x14ac:dyDescent="0.25">
      <c r="A161" t="s">
        <v>304</v>
      </c>
    </row>
    <row r="162" spans="1:1" x14ac:dyDescent="0.25">
      <c r="A162" t="s">
        <v>304</v>
      </c>
    </row>
    <row r="163" spans="1:1" x14ac:dyDescent="0.25">
      <c r="A163" t="s">
        <v>304</v>
      </c>
    </row>
    <row r="164" spans="1:1" x14ac:dyDescent="0.25">
      <c r="A164" t="s">
        <v>304</v>
      </c>
    </row>
    <row r="165" spans="1:1" x14ac:dyDescent="0.25">
      <c r="A165" t="s">
        <v>304</v>
      </c>
    </row>
    <row r="166" spans="1:1" x14ac:dyDescent="0.25">
      <c r="A166" t="s">
        <v>304</v>
      </c>
    </row>
    <row r="167" spans="1:1" x14ac:dyDescent="0.25">
      <c r="A167" t="s">
        <v>304</v>
      </c>
    </row>
    <row r="168" spans="1:1" x14ac:dyDescent="0.25">
      <c r="A168" t="s">
        <v>304</v>
      </c>
    </row>
    <row r="169" spans="1:1" x14ac:dyDescent="0.25">
      <c r="A169" t="s">
        <v>304</v>
      </c>
    </row>
    <row r="170" spans="1:1" x14ac:dyDescent="0.25">
      <c r="A170" t="s">
        <v>304</v>
      </c>
    </row>
    <row r="171" spans="1:1" x14ac:dyDescent="0.25">
      <c r="A171" t="s">
        <v>304</v>
      </c>
    </row>
    <row r="172" spans="1:1" x14ac:dyDescent="0.25">
      <c r="A172" t="s">
        <v>304</v>
      </c>
    </row>
    <row r="173" spans="1:1" x14ac:dyDescent="0.25">
      <c r="A173" t="s">
        <v>304</v>
      </c>
    </row>
    <row r="174" spans="1:1" x14ac:dyDescent="0.25">
      <c r="A174" t="s">
        <v>304</v>
      </c>
    </row>
    <row r="175" spans="1:1" x14ac:dyDescent="0.25">
      <c r="A175" t="s">
        <v>304</v>
      </c>
    </row>
    <row r="176" spans="1:1" x14ac:dyDescent="0.25">
      <c r="A176" t="s">
        <v>304</v>
      </c>
    </row>
    <row r="177" spans="1:1" x14ac:dyDescent="0.25">
      <c r="A177" t="s">
        <v>304</v>
      </c>
    </row>
    <row r="178" spans="1:1" x14ac:dyDescent="0.25">
      <c r="A178" t="s">
        <v>304</v>
      </c>
    </row>
    <row r="179" spans="1:1" x14ac:dyDescent="0.25">
      <c r="A179" t="s">
        <v>304</v>
      </c>
    </row>
    <row r="180" spans="1:1" x14ac:dyDescent="0.25">
      <c r="A180" t="s">
        <v>304</v>
      </c>
    </row>
    <row r="181" spans="1:1" x14ac:dyDescent="0.25">
      <c r="A181" t="s">
        <v>304</v>
      </c>
    </row>
    <row r="182" spans="1:1" x14ac:dyDescent="0.25">
      <c r="A182" t="s">
        <v>304</v>
      </c>
    </row>
    <row r="183" spans="1:1" x14ac:dyDescent="0.25">
      <c r="A183" t="s">
        <v>304</v>
      </c>
    </row>
    <row r="184" spans="1:1" x14ac:dyDescent="0.25">
      <c r="A184" t="s">
        <v>304</v>
      </c>
    </row>
    <row r="185" spans="1:1" x14ac:dyDescent="0.25">
      <c r="A185" t="s">
        <v>304</v>
      </c>
    </row>
    <row r="186" spans="1:1" x14ac:dyDescent="0.25">
      <c r="A186" t="s">
        <v>304</v>
      </c>
    </row>
    <row r="187" spans="1:1" x14ac:dyDescent="0.25">
      <c r="A187" t="s">
        <v>304</v>
      </c>
    </row>
    <row r="188" spans="1:1" x14ac:dyDescent="0.25">
      <c r="A188" t="s">
        <v>304</v>
      </c>
    </row>
    <row r="189" spans="1:1" x14ac:dyDescent="0.25">
      <c r="A189" t="s">
        <v>304</v>
      </c>
    </row>
    <row r="190" spans="1:1" x14ac:dyDescent="0.25">
      <c r="A190" t="s">
        <v>304</v>
      </c>
    </row>
    <row r="191" spans="1:1" x14ac:dyDescent="0.25">
      <c r="A191" t="s">
        <v>304</v>
      </c>
    </row>
    <row r="192" spans="1:1" x14ac:dyDescent="0.25">
      <c r="A192" t="s">
        <v>304</v>
      </c>
    </row>
    <row r="193" spans="1:1" x14ac:dyDescent="0.25">
      <c r="A193" t="s">
        <v>304</v>
      </c>
    </row>
    <row r="194" spans="1:1" x14ac:dyDescent="0.25">
      <c r="A194" t="s">
        <v>304</v>
      </c>
    </row>
    <row r="195" spans="1:1" x14ac:dyDescent="0.25">
      <c r="A195" t="s">
        <v>304</v>
      </c>
    </row>
    <row r="196" spans="1:1" x14ac:dyDescent="0.25">
      <c r="A196" t="s">
        <v>304</v>
      </c>
    </row>
    <row r="197" spans="1:1" x14ac:dyDescent="0.25">
      <c r="A197" t="s">
        <v>304</v>
      </c>
    </row>
    <row r="198" spans="1:1" x14ac:dyDescent="0.25">
      <c r="A198" t="s">
        <v>304</v>
      </c>
    </row>
    <row r="199" spans="1:1" x14ac:dyDescent="0.25">
      <c r="A199" t="s">
        <v>304</v>
      </c>
    </row>
    <row r="200" spans="1:1" x14ac:dyDescent="0.25">
      <c r="A200" t="s">
        <v>304</v>
      </c>
    </row>
    <row r="201" spans="1:1" x14ac:dyDescent="0.25">
      <c r="A201" t="s">
        <v>304</v>
      </c>
    </row>
    <row r="202" spans="1:1" x14ac:dyDescent="0.25">
      <c r="A202" t="s">
        <v>304</v>
      </c>
    </row>
    <row r="203" spans="1:1" x14ac:dyDescent="0.25">
      <c r="A203" t="s">
        <v>304</v>
      </c>
    </row>
    <row r="204" spans="1:1" x14ac:dyDescent="0.25">
      <c r="A204" t="s">
        <v>304</v>
      </c>
    </row>
    <row r="205" spans="1:1" x14ac:dyDescent="0.25">
      <c r="A205" t="s">
        <v>304</v>
      </c>
    </row>
    <row r="206" spans="1:1" x14ac:dyDescent="0.25">
      <c r="A206" t="s">
        <v>304</v>
      </c>
    </row>
    <row r="207" spans="1:1" x14ac:dyDescent="0.25">
      <c r="A207" t="s">
        <v>304</v>
      </c>
    </row>
    <row r="208" spans="1:1" x14ac:dyDescent="0.25">
      <c r="A208" t="s">
        <v>304</v>
      </c>
    </row>
    <row r="209" spans="1:1" x14ac:dyDescent="0.25">
      <c r="A209" t="s">
        <v>304</v>
      </c>
    </row>
    <row r="210" spans="1:1" x14ac:dyDescent="0.25">
      <c r="A210" t="s">
        <v>304</v>
      </c>
    </row>
    <row r="211" spans="1:1" x14ac:dyDescent="0.25">
      <c r="A211" t="s">
        <v>304</v>
      </c>
    </row>
    <row r="212" spans="1:1" x14ac:dyDescent="0.25">
      <c r="A212" t="s">
        <v>304</v>
      </c>
    </row>
    <row r="213" spans="1:1" x14ac:dyDescent="0.25">
      <c r="A213" t="s">
        <v>304</v>
      </c>
    </row>
    <row r="214" spans="1:1" x14ac:dyDescent="0.25">
      <c r="A214" t="s">
        <v>304</v>
      </c>
    </row>
    <row r="215" spans="1:1" x14ac:dyDescent="0.25">
      <c r="A215" t="s">
        <v>304</v>
      </c>
    </row>
    <row r="216" spans="1:1" x14ac:dyDescent="0.25">
      <c r="A216" t="s">
        <v>304</v>
      </c>
    </row>
    <row r="217" spans="1:1" x14ac:dyDescent="0.25">
      <c r="A217" t="s">
        <v>304</v>
      </c>
    </row>
    <row r="218" spans="1:1" x14ac:dyDescent="0.25">
      <c r="A218" t="s">
        <v>304</v>
      </c>
    </row>
    <row r="219" spans="1:1" x14ac:dyDescent="0.25">
      <c r="A219" t="s">
        <v>304</v>
      </c>
    </row>
    <row r="220" spans="1:1" x14ac:dyDescent="0.25">
      <c r="A220" t="s">
        <v>304</v>
      </c>
    </row>
    <row r="221" spans="1:1" x14ac:dyDescent="0.25">
      <c r="A221" t="s">
        <v>304</v>
      </c>
    </row>
    <row r="222" spans="1:1" x14ac:dyDescent="0.25">
      <c r="A222" t="s">
        <v>304</v>
      </c>
    </row>
    <row r="223" spans="1:1" x14ac:dyDescent="0.25">
      <c r="A223" t="s">
        <v>304</v>
      </c>
    </row>
    <row r="224" spans="1:1" x14ac:dyDescent="0.25">
      <c r="A224" t="s">
        <v>304</v>
      </c>
    </row>
    <row r="225" spans="1:1" x14ac:dyDescent="0.25">
      <c r="A225" t="s">
        <v>304</v>
      </c>
    </row>
    <row r="226" spans="1:1" x14ac:dyDescent="0.25">
      <c r="A226" t="s">
        <v>304</v>
      </c>
    </row>
    <row r="227" spans="1:1" x14ac:dyDescent="0.25">
      <c r="A227" t="s">
        <v>304</v>
      </c>
    </row>
    <row r="228" spans="1:1" x14ac:dyDescent="0.25">
      <c r="A228" t="s">
        <v>304</v>
      </c>
    </row>
    <row r="229" spans="1:1" x14ac:dyDescent="0.25">
      <c r="A229" t="s">
        <v>304</v>
      </c>
    </row>
    <row r="230" spans="1:1" x14ac:dyDescent="0.25">
      <c r="A230" t="s">
        <v>304</v>
      </c>
    </row>
    <row r="231" spans="1:1" x14ac:dyDescent="0.25">
      <c r="A231" t="s">
        <v>304</v>
      </c>
    </row>
    <row r="232" spans="1:1" x14ac:dyDescent="0.25">
      <c r="A232" t="s">
        <v>304</v>
      </c>
    </row>
    <row r="233" spans="1:1" x14ac:dyDescent="0.25">
      <c r="A233" t="s">
        <v>304</v>
      </c>
    </row>
    <row r="234" spans="1:1" x14ac:dyDescent="0.25">
      <c r="A234" t="s">
        <v>304</v>
      </c>
    </row>
    <row r="235" spans="1:1" x14ac:dyDescent="0.25">
      <c r="A235" t="s">
        <v>304</v>
      </c>
    </row>
    <row r="236" spans="1:1" x14ac:dyDescent="0.25">
      <c r="A236" t="s">
        <v>304</v>
      </c>
    </row>
    <row r="237" spans="1:1" x14ac:dyDescent="0.25">
      <c r="A237" t="s">
        <v>304</v>
      </c>
    </row>
    <row r="238" spans="1:1" x14ac:dyDescent="0.25">
      <c r="A238" t="s">
        <v>304</v>
      </c>
    </row>
    <row r="239" spans="1:1" x14ac:dyDescent="0.25">
      <c r="A239" t="s">
        <v>304</v>
      </c>
    </row>
    <row r="240" spans="1:1" x14ac:dyDescent="0.25">
      <c r="A240" t="s">
        <v>304</v>
      </c>
    </row>
    <row r="241" spans="1:1" x14ac:dyDescent="0.25">
      <c r="A241" t="s">
        <v>304</v>
      </c>
    </row>
    <row r="242" spans="1:1" x14ac:dyDescent="0.25">
      <c r="A242" t="s">
        <v>304</v>
      </c>
    </row>
    <row r="243" spans="1:1" x14ac:dyDescent="0.25">
      <c r="A243" t="s">
        <v>304</v>
      </c>
    </row>
    <row r="244" spans="1:1" x14ac:dyDescent="0.25">
      <c r="A244" t="s">
        <v>304</v>
      </c>
    </row>
    <row r="245" spans="1:1" x14ac:dyDescent="0.25">
      <c r="A245" t="s">
        <v>304</v>
      </c>
    </row>
    <row r="246" spans="1:1" x14ac:dyDescent="0.25">
      <c r="A246" t="s">
        <v>304</v>
      </c>
    </row>
    <row r="247" spans="1:1" x14ac:dyDescent="0.25">
      <c r="A247" t="s">
        <v>304</v>
      </c>
    </row>
    <row r="248" spans="1:1" x14ac:dyDescent="0.25">
      <c r="A248" t="s">
        <v>304</v>
      </c>
    </row>
    <row r="249" spans="1:1" x14ac:dyDescent="0.25">
      <c r="A249" t="s">
        <v>304</v>
      </c>
    </row>
    <row r="250" spans="1:1" x14ac:dyDescent="0.25">
      <c r="A250" t="s">
        <v>304</v>
      </c>
    </row>
    <row r="251" spans="1:1" x14ac:dyDescent="0.25">
      <c r="A251" t="s">
        <v>304</v>
      </c>
    </row>
    <row r="252" spans="1:1" x14ac:dyDescent="0.25">
      <c r="A252" t="s">
        <v>304</v>
      </c>
    </row>
    <row r="253" spans="1:1" x14ac:dyDescent="0.25">
      <c r="A253" t="s">
        <v>304</v>
      </c>
    </row>
    <row r="254" spans="1:1" x14ac:dyDescent="0.25">
      <c r="A254" t="s">
        <v>304</v>
      </c>
    </row>
    <row r="255" spans="1:1" x14ac:dyDescent="0.25">
      <c r="A255" t="s">
        <v>304</v>
      </c>
    </row>
    <row r="256" spans="1:1" x14ac:dyDescent="0.25">
      <c r="A256" t="s">
        <v>304</v>
      </c>
    </row>
    <row r="257" spans="1:1" x14ac:dyDescent="0.25">
      <c r="A257" t="s">
        <v>304</v>
      </c>
    </row>
    <row r="258" spans="1:1" x14ac:dyDescent="0.25">
      <c r="A258" t="s">
        <v>304</v>
      </c>
    </row>
    <row r="259" spans="1:1" x14ac:dyDescent="0.25">
      <c r="A259" t="s">
        <v>304</v>
      </c>
    </row>
    <row r="260" spans="1:1" x14ac:dyDescent="0.25">
      <c r="A260" t="s">
        <v>304</v>
      </c>
    </row>
    <row r="261" spans="1:1" x14ac:dyDescent="0.25">
      <c r="A261" t="s">
        <v>304</v>
      </c>
    </row>
    <row r="262" spans="1:1" x14ac:dyDescent="0.25">
      <c r="A262" t="s">
        <v>304</v>
      </c>
    </row>
    <row r="263" spans="1:1" x14ac:dyDescent="0.25">
      <c r="A263" t="s">
        <v>304</v>
      </c>
    </row>
    <row r="264" spans="1:1" x14ac:dyDescent="0.25">
      <c r="A264" t="s">
        <v>304</v>
      </c>
    </row>
    <row r="265" spans="1:1" x14ac:dyDescent="0.25">
      <c r="A265" t="s">
        <v>304</v>
      </c>
    </row>
    <row r="266" spans="1:1" x14ac:dyDescent="0.25">
      <c r="A266" t="s">
        <v>304</v>
      </c>
    </row>
    <row r="267" spans="1:1" x14ac:dyDescent="0.25">
      <c r="A267" t="s">
        <v>304</v>
      </c>
    </row>
    <row r="268" spans="1:1" x14ac:dyDescent="0.25">
      <c r="A268" t="s">
        <v>304</v>
      </c>
    </row>
    <row r="269" spans="1:1" x14ac:dyDescent="0.25">
      <c r="A269" t="s">
        <v>304</v>
      </c>
    </row>
    <row r="270" spans="1:1" x14ac:dyDescent="0.25">
      <c r="A270" t="s">
        <v>304</v>
      </c>
    </row>
    <row r="271" spans="1:1" x14ac:dyDescent="0.25">
      <c r="A271" t="s">
        <v>304</v>
      </c>
    </row>
    <row r="272" spans="1:1" x14ac:dyDescent="0.25">
      <c r="A272" t="s">
        <v>304</v>
      </c>
    </row>
    <row r="273" spans="1:1" x14ac:dyDescent="0.25">
      <c r="A273" t="s">
        <v>304</v>
      </c>
    </row>
    <row r="274" spans="1:1" x14ac:dyDescent="0.25">
      <c r="A274" t="s">
        <v>304</v>
      </c>
    </row>
    <row r="275" spans="1:1" x14ac:dyDescent="0.25">
      <c r="A275" t="s">
        <v>304</v>
      </c>
    </row>
    <row r="276" spans="1:1" x14ac:dyDescent="0.25">
      <c r="A276" t="s">
        <v>304</v>
      </c>
    </row>
    <row r="277" spans="1:1" x14ac:dyDescent="0.25">
      <c r="A277" t="s">
        <v>304</v>
      </c>
    </row>
    <row r="278" spans="1:1" x14ac:dyDescent="0.25">
      <c r="A278" t="s">
        <v>304</v>
      </c>
    </row>
    <row r="279" spans="1:1" x14ac:dyDescent="0.25">
      <c r="A279" t="s">
        <v>304</v>
      </c>
    </row>
    <row r="280" spans="1:1" x14ac:dyDescent="0.25">
      <c r="A280" t="s">
        <v>304</v>
      </c>
    </row>
    <row r="281" spans="1:1" x14ac:dyDescent="0.25">
      <c r="A281" t="s">
        <v>304</v>
      </c>
    </row>
    <row r="282" spans="1:1" x14ac:dyDescent="0.25">
      <c r="A282" t="s">
        <v>304</v>
      </c>
    </row>
    <row r="283" spans="1:1" x14ac:dyDescent="0.25">
      <c r="A283" t="s">
        <v>304</v>
      </c>
    </row>
    <row r="284" spans="1:1" x14ac:dyDescent="0.25">
      <c r="A284" t="s">
        <v>304</v>
      </c>
    </row>
    <row r="285" spans="1:1" x14ac:dyDescent="0.25">
      <c r="A285" t="s">
        <v>304</v>
      </c>
    </row>
    <row r="286" spans="1:1" x14ac:dyDescent="0.25">
      <c r="A286" t="s">
        <v>304</v>
      </c>
    </row>
    <row r="287" spans="1:1" x14ac:dyDescent="0.25">
      <c r="A287" t="s">
        <v>304</v>
      </c>
    </row>
    <row r="288" spans="1:1" x14ac:dyDescent="0.25">
      <c r="A288" t="s">
        <v>304</v>
      </c>
    </row>
    <row r="289" spans="1:1" x14ac:dyDescent="0.25">
      <c r="A289" t="s">
        <v>304</v>
      </c>
    </row>
    <row r="290" spans="1:1" x14ac:dyDescent="0.25">
      <c r="A290" t="s">
        <v>304</v>
      </c>
    </row>
    <row r="291" spans="1:1" x14ac:dyDescent="0.25">
      <c r="A291" t="s">
        <v>304</v>
      </c>
    </row>
    <row r="292" spans="1:1" x14ac:dyDescent="0.25">
      <c r="A292" t="s">
        <v>304</v>
      </c>
    </row>
    <row r="293" spans="1:1" x14ac:dyDescent="0.25">
      <c r="A293" t="s">
        <v>304</v>
      </c>
    </row>
    <row r="294" spans="1:1" x14ac:dyDescent="0.25">
      <c r="A294" t="s">
        <v>304</v>
      </c>
    </row>
    <row r="295" spans="1:1" x14ac:dyDescent="0.25">
      <c r="A295" t="s">
        <v>304</v>
      </c>
    </row>
    <row r="296" spans="1:1" x14ac:dyDescent="0.25">
      <c r="A296" t="s">
        <v>304</v>
      </c>
    </row>
    <row r="297" spans="1:1" x14ac:dyDescent="0.25">
      <c r="A297" t="s">
        <v>304</v>
      </c>
    </row>
    <row r="298" spans="1:1" x14ac:dyDescent="0.25">
      <c r="A298" t="s">
        <v>304</v>
      </c>
    </row>
    <row r="299" spans="1:1" x14ac:dyDescent="0.25">
      <c r="A299" t="s">
        <v>304</v>
      </c>
    </row>
    <row r="300" spans="1:1" x14ac:dyDescent="0.25">
      <c r="A300" t="s">
        <v>304</v>
      </c>
    </row>
    <row r="301" spans="1:1" x14ac:dyDescent="0.25">
      <c r="A301" t="s">
        <v>304</v>
      </c>
    </row>
    <row r="302" spans="1:1" x14ac:dyDescent="0.25">
      <c r="A302" t="s">
        <v>304</v>
      </c>
    </row>
    <row r="303" spans="1:1" x14ac:dyDescent="0.25">
      <c r="A303" t="s">
        <v>304</v>
      </c>
    </row>
    <row r="304" spans="1:1" x14ac:dyDescent="0.25">
      <c r="A304" t="s">
        <v>304</v>
      </c>
    </row>
    <row r="305" spans="1:1" x14ac:dyDescent="0.25">
      <c r="A305" t="s">
        <v>304</v>
      </c>
    </row>
    <row r="306" spans="1:1" x14ac:dyDescent="0.25">
      <c r="A306" t="s">
        <v>304</v>
      </c>
    </row>
    <row r="307" spans="1:1" x14ac:dyDescent="0.25">
      <c r="A307" t="s">
        <v>304</v>
      </c>
    </row>
    <row r="308" spans="1:1" x14ac:dyDescent="0.25">
      <c r="A308" t="s">
        <v>304</v>
      </c>
    </row>
    <row r="309" spans="1:1" x14ac:dyDescent="0.25">
      <c r="A309" t="s">
        <v>304</v>
      </c>
    </row>
    <row r="310" spans="1:1" x14ac:dyDescent="0.25">
      <c r="A310" t="s">
        <v>304</v>
      </c>
    </row>
    <row r="311" spans="1:1" x14ac:dyDescent="0.25">
      <c r="A311" t="s">
        <v>304</v>
      </c>
    </row>
    <row r="312" spans="1:1" x14ac:dyDescent="0.25">
      <c r="A312" t="s">
        <v>304</v>
      </c>
    </row>
    <row r="313" spans="1:1" x14ac:dyDescent="0.25">
      <c r="A313" t="s">
        <v>304</v>
      </c>
    </row>
    <row r="314" spans="1:1" x14ac:dyDescent="0.25">
      <c r="A314" t="s">
        <v>304</v>
      </c>
    </row>
    <row r="315" spans="1:1" x14ac:dyDescent="0.25">
      <c r="A315" t="s">
        <v>304</v>
      </c>
    </row>
    <row r="316" spans="1:1" x14ac:dyDescent="0.25">
      <c r="A316" t="s">
        <v>304</v>
      </c>
    </row>
    <row r="317" spans="1:1" x14ac:dyDescent="0.25">
      <c r="A317" t="s">
        <v>304</v>
      </c>
    </row>
    <row r="318" spans="1:1" x14ac:dyDescent="0.25">
      <c r="A318" t="s">
        <v>304</v>
      </c>
    </row>
    <row r="319" spans="1:1" x14ac:dyDescent="0.25">
      <c r="A319" t="s">
        <v>304</v>
      </c>
    </row>
    <row r="320" spans="1:1" x14ac:dyDescent="0.25">
      <c r="A320" t="s">
        <v>304</v>
      </c>
    </row>
    <row r="321" spans="1:1" x14ac:dyDescent="0.25">
      <c r="A321" t="s">
        <v>304</v>
      </c>
    </row>
    <row r="322" spans="1:1" x14ac:dyDescent="0.25">
      <c r="A322" t="s">
        <v>304</v>
      </c>
    </row>
    <row r="323" spans="1:1" x14ac:dyDescent="0.25">
      <c r="A323" t="s">
        <v>304</v>
      </c>
    </row>
    <row r="324" spans="1:1" x14ac:dyDescent="0.25">
      <c r="A324" t="s">
        <v>304</v>
      </c>
    </row>
    <row r="325" spans="1:1" x14ac:dyDescent="0.25">
      <c r="A325" t="s">
        <v>304</v>
      </c>
    </row>
    <row r="326" spans="1:1" x14ac:dyDescent="0.25">
      <c r="A326" t="s">
        <v>304</v>
      </c>
    </row>
    <row r="327" spans="1:1" x14ac:dyDescent="0.25">
      <c r="A327" t="s">
        <v>304</v>
      </c>
    </row>
    <row r="328" spans="1:1" x14ac:dyDescent="0.25">
      <c r="A328" t="s">
        <v>304</v>
      </c>
    </row>
    <row r="329" spans="1:1" x14ac:dyDescent="0.25">
      <c r="A329" t="s">
        <v>304</v>
      </c>
    </row>
    <row r="330" spans="1:1" x14ac:dyDescent="0.25">
      <c r="A330" t="s">
        <v>304</v>
      </c>
    </row>
    <row r="331" spans="1:1" x14ac:dyDescent="0.25">
      <c r="A331" t="s">
        <v>304</v>
      </c>
    </row>
    <row r="332" spans="1:1" x14ac:dyDescent="0.25">
      <c r="A332" t="s">
        <v>304</v>
      </c>
    </row>
    <row r="333" spans="1:1" x14ac:dyDescent="0.25">
      <c r="A333" t="s">
        <v>304</v>
      </c>
    </row>
    <row r="334" spans="1:1" x14ac:dyDescent="0.25">
      <c r="A334" t="s">
        <v>304</v>
      </c>
    </row>
    <row r="335" spans="1:1" x14ac:dyDescent="0.25">
      <c r="A335" t="s">
        <v>304</v>
      </c>
    </row>
    <row r="336" spans="1:1" x14ac:dyDescent="0.25">
      <c r="A336" t="s">
        <v>304</v>
      </c>
    </row>
    <row r="337" spans="1:1" x14ac:dyDescent="0.25">
      <c r="A337" t="s">
        <v>304</v>
      </c>
    </row>
    <row r="338" spans="1:1" x14ac:dyDescent="0.25">
      <c r="A338" t="s">
        <v>304</v>
      </c>
    </row>
    <row r="339" spans="1:1" x14ac:dyDescent="0.25">
      <c r="A339" t="s">
        <v>304</v>
      </c>
    </row>
    <row r="340" spans="1:1" x14ac:dyDescent="0.25">
      <c r="A340" t="s">
        <v>304</v>
      </c>
    </row>
    <row r="341" spans="1:1" x14ac:dyDescent="0.25">
      <c r="A341" t="s">
        <v>304</v>
      </c>
    </row>
    <row r="342" spans="1:1" x14ac:dyDescent="0.25">
      <c r="A342" t="s">
        <v>304</v>
      </c>
    </row>
    <row r="343" spans="1:1" x14ac:dyDescent="0.25">
      <c r="A343" t="s">
        <v>304</v>
      </c>
    </row>
    <row r="344" spans="1:1" x14ac:dyDescent="0.25">
      <c r="A344" t="s">
        <v>304</v>
      </c>
    </row>
    <row r="345" spans="1:1" x14ac:dyDescent="0.25">
      <c r="A345" t="s">
        <v>304</v>
      </c>
    </row>
    <row r="346" spans="1:1" x14ac:dyDescent="0.25">
      <c r="A346" t="s">
        <v>304</v>
      </c>
    </row>
    <row r="347" spans="1:1" x14ac:dyDescent="0.25">
      <c r="A347" t="s">
        <v>304</v>
      </c>
    </row>
    <row r="348" spans="1:1" x14ac:dyDescent="0.25">
      <c r="A348" t="s">
        <v>304</v>
      </c>
    </row>
    <row r="349" spans="1:1" x14ac:dyDescent="0.25">
      <c r="A349" t="s">
        <v>304</v>
      </c>
    </row>
    <row r="350" spans="1:1" x14ac:dyDescent="0.25">
      <c r="A350" t="s">
        <v>304</v>
      </c>
    </row>
    <row r="351" spans="1:1" x14ac:dyDescent="0.25">
      <c r="A351" t="s">
        <v>304</v>
      </c>
    </row>
    <row r="352" spans="1:1" x14ac:dyDescent="0.25">
      <c r="A352" t="s">
        <v>304</v>
      </c>
    </row>
    <row r="353" spans="1:1" x14ac:dyDescent="0.25">
      <c r="A353" t="s">
        <v>304</v>
      </c>
    </row>
    <row r="354" spans="1:1" x14ac:dyDescent="0.25">
      <c r="A354" t="s">
        <v>304</v>
      </c>
    </row>
    <row r="355" spans="1:1" x14ac:dyDescent="0.25">
      <c r="A355" t="s">
        <v>304</v>
      </c>
    </row>
    <row r="356" spans="1:1" x14ac:dyDescent="0.25">
      <c r="A356" t="s">
        <v>304</v>
      </c>
    </row>
    <row r="357" spans="1:1" x14ac:dyDescent="0.25">
      <c r="A357" t="s">
        <v>304</v>
      </c>
    </row>
    <row r="358" spans="1:1" x14ac:dyDescent="0.25">
      <c r="A358" t="s">
        <v>304</v>
      </c>
    </row>
    <row r="359" spans="1:1" x14ac:dyDescent="0.25">
      <c r="A359" t="s">
        <v>304</v>
      </c>
    </row>
    <row r="360" spans="1:1" x14ac:dyDescent="0.25">
      <c r="A360" t="s">
        <v>304</v>
      </c>
    </row>
    <row r="361" spans="1:1" x14ac:dyDescent="0.25">
      <c r="A361" t="s">
        <v>304</v>
      </c>
    </row>
    <row r="362" spans="1:1" x14ac:dyDescent="0.25">
      <c r="A362" t="s">
        <v>304</v>
      </c>
    </row>
    <row r="363" spans="1:1" x14ac:dyDescent="0.25">
      <c r="A363" t="s">
        <v>304</v>
      </c>
    </row>
    <row r="364" spans="1:1" x14ac:dyDescent="0.25">
      <c r="A364" t="s">
        <v>304</v>
      </c>
    </row>
    <row r="365" spans="1:1" x14ac:dyDescent="0.25">
      <c r="A365" t="s">
        <v>304</v>
      </c>
    </row>
    <row r="366" spans="1:1" x14ac:dyDescent="0.25">
      <c r="A366" t="s">
        <v>304</v>
      </c>
    </row>
    <row r="367" spans="1:1" x14ac:dyDescent="0.25">
      <c r="A367" t="s">
        <v>304</v>
      </c>
    </row>
    <row r="368" spans="1:1" x14ac:dyDescent="0.25">
      <c r="A368" t="s">
        <v>304</v>
      </c>
    </row>
    <row r="369" spans="1:1" x14ac:dyDescent="0.25">
      <c r="A369" t="s">
        <v>304</v>
      </c>
    </row>
    <row r="370" spans="1:1" x14ac:dyDescent="0.25">
      <c r="A370" t="s">
        <v>304</v>
      </c>
    </row>
    <row r="371" spans="1:1" x14ac:dyDescent="0.25">
      <c r="A371" t="s">
        <v>304</v>
      </c>
    </row>
    <row r="372" spans="1:1" x14ac:dyDescent="0.25">
      <c r="A372" t="s">
        <v>304</v>
      </c>
    </row>
    <row r="373" spans="1:1" x14ac:dyDescent="0.25">
      <c r="A373" t="s">
        <v>304</v>
      </c>
    </row>
    <row r="374" spans="1:1" x14ac:dyDescent="0.25">
      <c r="A374" t="s">
        <v>304</v>
      </c>
    </row>
    <row r="375" spans="1:1" x14ac:dyDescent="0.25">
      <c r="A375" t="s">
        <v>304</v>
      </c>
    </row>
    <row r="376" spans="1:1" x14ac:dyDescent="0.25">
      <c r="A376" t="s">
        <v>304</v>
      </c>
    </row>
    <row r="377" spans="1:1" x14ac:dyDescent="0.25">
      <c r="A377" t="s">
        <v>304</v>
      </c>
    </row>
    <row r="378" spans="1:1" x14ac:dyDescent="0.25">
      <c r="A378" t="s">
        <v>304</v>
      </c>
    </row>
    <row r="379" spans="1:1" x14ac:dyDescent="0.25">
      <c r="A379" t="s">
        <v>304</v>
      </c>
    </row>
    <row r="380" spans="1:1" x14ac:dyDescent="0.25">
      <c r="A380" t="s">
        <v>304</v>
      </c>
    </row>
    <row r="381" spans="1:1" x14ac:dyDescent="0.25">
      <c r="A381" t="s">
        <v>304</v>
      </c>
    </row>
    <row r="382" spans="1:1" x14ac:dyDescent="0.25">
      <c r="A382" t="s">
        <v>304</v>
      </c>
    </row>
    <row r="383" spans="1:1" x14ac:dyDescent="0.25">
      <c r="A383" t="s">
        <v>304</v>
      </c>
    </row>
    <row r="384" spans="1:1" x14ac:dyDescent="0.25">
      <c r="A384" t="s">
        <v>304</v>
      </c>
    </row>
    <row r="385" spans="1:1" x14ac:dyDescent="0.25">
      <c r="A385" t="s">
        <v>304</v>
      </c>
    </row>
    <row r="386" spans="1:1" x14ac:dyDescent="0.25">
      <c r="A386" t="s">
        <v>304</v>
      </c>
    </row>
    <row r="387" spans="1:1" x14ac:dyDescent="0.25">
      <c r="A387" t="s">
        <v>304</v>
      </c>
    </row>
    <row r="388" spans="1:1" x14ac:dyDescent="0.25">
      <c r="A388" t="s">
        <v>304</v>
      </c>
    </row>
    <row r="389" spans="1:1" x14ac:dyDescent="0.25">
      <c r="A389" t="s">
        <v>304</v>
      </c>
    </row>
    <row r="390" spans="1:1" x14ac:dyDescent="0.25">
      <c r="A390" t="s">
        <v>304</v>
      </c>
    </row>
    <row r="391" spans="1:1" x14ac:dyDescent="0.25">
      <c r="A391" t="s">
        <v>304</v>
      </c>
    </row>
    <row r="392" spans="1:1" x14ac:dyDescent="0.25">
      <c r="A392" t="s">
        <v>304</v>
      </c>
    </row>
    <row r="393" spans="1:1" x14ac:dyDescent="0.25">
      <c r="A393" t="s">
        <v>304</v>
      </c>
    </row>
    <row r="394" spans="1:1" x14ac:dyDescent="0.25">
      <c r="A394" t="s">
        <v>304</v>
      </c>
    </row>
    <row r="395" spans="1:1" x14ac:dyDescent="0.25">
      <c r="A395" t="s">
        <v>304</v>
      </c>
    </row>
    <row r="396" spans="1:1" x14ac:dyDescent="0.25">
      <c r="A396" t="s">
        <v>304</v>
      </c>
    </row>
    <row r="397" spans="1:1" x14ac:dyDescent="0.25">
      <c r="A397" t="s">
        <v>304</v>
      </c>
    </row>
    <row r="398" spans="1:1" x14ac:dyDescent="0.25">
      <c r="A398" t="s">
        <v>304</v>
      </c>
    </row>
    <row r="399" spans="1:1" x14ac:dyDescent="0.25">
      <c r="A399" t="s">
        <v>304</v>
      </c>
    </row>
    <row r="400" spans="1:1" x14ac:dyDescent="0.25">
      <c r="A400" t="s">
        <v>304</v>
      </c>
    </row>
    <row r="401" spans="1:1" x14ac:dyDescent="0.25">
      <c r="A401" t="s">
        <v>304</v>
      </c>
    </row>
    <row r="402" spans="1:1" x14ac:dyDescent="0.25">
      <c r="A402" t="s">
        <v>304</v>
      </c>
    </row>
    <row r="403" spans="1:1" x14ac:dyDescent="0.25">
      <c r="A403" t="s">
        <v>304</v>
      </c>
    </row>
    <row r="404" spans="1:1" x14ac:dyDescent="0.25">
      <c r="A404" t="s">
        <v>304</v>
      </c>
    </row>
    <row r="405" spans="1:1" x14ac:dyDescent="0.25">
      <c r="A405" t="s">
        <v>304</v>
      </c>
    </row>
    <row r="406" spans="1:1" x14ac:dyDescent="0.25">
      <c r="A406" t="s">
        <v>304</v>
      </c>
    </row>
    <row r="407" spans="1:1" x14ac:dyDescent="0.25">
      <c r="A407" t="s">
        <v>304</v>
      </c>
    </row>
    <row r="408" spans="1:1" x14ac:dyDescent="0.25">
      <c r="A408" t="s">
        <v>304</v>
      </c>
    </row>
    <row r="409" spans="1:1" x14ac:dyDescent="0.25">
      <c r="A409" t="s">
        <v>304</v>
      </c>
    </row>
    <row r="410" spans="1:1" x14ac:dyDescent="0.25">
      <c r="A410" t="s">
        <v>304</v>
      </c>
    </row>
    <row r="411" spans="1:1" x14ac:dyDescent="0.25">
      <c r="A411" t="s">
        <v>304</v>
      </c>
    </row>
    <row r="412" spans="1:1" x14ac:dyDescent="0.25">
      <c r="A412" t="s">
        <v>304</v>
      </c>
    </row>
    <row r="413" spans="1:1" x14ac:dyDescent="0.25">
      <c r="A413" t="s">
        <v>304</v>
      </c>
    </row>
    <row r="414" spans="1:1" x14ac:dyDescent="0.25">
      <c r="A414" t="s">
        <v>304</v>
      </c>
    </row>
    <row r="415" spans="1:1" x14ac:dyDescent="0.25">
      <c r="A415" t="s">
        <v>304</v>
      </c>
    </row>
    <row r="416" spans="1:1" x14ac:dyDescent="0.25">
      <c r="A416" t="s">
        <v>304</v>
      </c>
    </row>
    <row r="417" spans="1:1" x14ac:dyDescent="0.25">
      <c r="A417" t="s">
        <v>304</v>
      </c>
    </row>
    <row r="418" spans="1:1" x14ac:dyDescent="0.25">
      <c r="A418" t="s">
        <v>304</v>
      </c>
    </row>
    <row r="419" spans="1:1" x14ac:dyDescent="0.25">
      <c r="A419" t="s">
        <v>304</v>
      </c>
    </row>
    <row r="420" spans="1:1" x14ac:dyDescent="0.25">
      <c r="A420" t="s">
        <v>304</v>
      </c>
    </row>
    <row r="421" spans="1:1" x14ac:dyDescent="0.25">
      <c r="A421" t="s">
        <v>304</v>
      </c>
    </row>
    <row r="422" spans="1:1" x14ac:dyDescent="0.25">
      <c r="A422" t="s">
        <v>304</v>
      </c>
    </row>
    <row r="423" spans="1:1" x14ac:dyDescent="0.25">
      <c r="A423" t="s">
        <v>304</v>
      </c>
    </row>
    <row r="424" spans="1:1" x14ac:dyDescent="0.25">
      <c r="A424" t="s">
        <v>304</v>
      </c>
    </row>
    <row r="425" spans="1:1" x14ac:dyDescent="0.25">
      <c r="A425" t="s">
        <v>304</v>
      </c>
    </row>
    <row r="426" spans="1:1" x14ac:dyDescent="0.25">
      <c r="A426" t="s">
        <v>304</v>
      </c>
    </row>
    <row r="427" spans="1:1" x14ac:dyDescent="0.25">
      <c r="A427" t="s">
        <v>304</v>
      </c>
    </row>
    <row r="428" spans="1:1" x14ac:dyDescent="0.25">
      <c r="A428" t="s">
        <v>304</v>
      </c>
    </row>
    <row r="429" spans="1:1" x14ac:dyDescent="0.25">
      <c r="A429" t="s">
        <v>304</v>
      </c>
    </row>
    <row r="430" spans="1:1" x14ac:dyDescent="0.25">
      <c r="A430" t="s">
        <v>304</v>
      </c>
    </row>
    <row r="431" spans="1:1" x14ac:dyDescent="0.25">
      <c r="A431" t="s">
        <v>304</v>
      </c>
    </row>
    <row r="432" spans="1:1" x14ac:dyDescent="0.25">
      <c r="A432" t="s">
        <v>304</v>
      </c>
    </row>
    <row r="433" spans="1:1" x14ac:dyDescent="0.25">
      <c r="A433" t="s">
        <v>304</v>
      </c>
    </row>
    <row r="434" spans="1:1" x14ac:dyDescent="0.25">
      <c r="A434" t="s">
        <v>304</v>
      </c>
    </row>
    <row r="435" spans="1:1" x14ac:dyDescent="0.25">
      <c r="A435" t="s">
        <v>304</v>
      </c>
    </row>
    <row r="436" spans="1:1" x14ac:dyDescent="0.25">
      <c r="A436" t="s">
        <v>304</v>
      </c>
    </row>
    <row r="437" spans="1:1" x14ac:dyDescent="0.25">
      <c r="A437" t="s">
        <v>304</v>
      </c>
    </row>
    <row r="438" spans="1:1" x14ac:dyDescent="0.25">
      <c r="A438" t="s">
        <v>304</v>
      </c>
    </row>
    <row r="439" spans="1:1" x14ac:dyDescent="0.25">
      <c r="A439" t="s">
        <v>304</v>
      </c>
    </row>
    <row r="440" spans="1:1" x14ac:dyDescent="0.25">
      <c r="A440" t="s">
        <v>304</v>
      </c>
    </row>
    <row r="441" spans="1:1" x14ac:dyDescent="0.25">
      <c r="A441" t="s">
        <v>304</v>
      </c>
    </row>
    <row r="442" spans="1:1" x14ac:dyDescent="0.25">
      <c r="A442" t="s">
        <v>304</v>
      </c>
    </row>
    <row r="443" spans="1:1" x14ac:dyDescent="0.25">
      <c r="A443" t="s">
        <v>304</v>
      </c>
    </row>
    <row r="444" spans="1:1" x14ac:dyDescent="0.25">
      <c r="A444" t="s">
        <v>304</v>
      </c>
    </row>
    <row r="445" spans="1:1" x14ac:dyDescent="0.25">
      <c r="A445" t="s">
        <v>304</v>
      </c>
    </row>
    <row r="446" spans="1:1" x14ac:dyDescent="0.25">
      <c r="A446" t="s">
        <v>304</v>
      </c>
    </row>
    <row r="447" spans="1:1" x14ac:dyDescent="0.25">
      <c r="A447" t="s">
        <v>304</v>
      </c>
    </row>
    <row r="448" spans="1:1" x14ac:dyDescent="0.25">
      <c r="A448" t="s">
        <v>304</v>
      </c>
    </row>
    <row r="449" spans="1:1" x14ac:dyDescent="0.25">
      <c r="A449" t="s">
        <v>304</v>
      </c>
    </row>
    <row r="450" spans="1:1" x14ac:dyDescent="0.25">
      <c r="A450" t="s">
        <v>304</v>
      </c>
    </row>
    <row r="451" spans="1:1" x14ac:dyDescent="0.25">
      <c r="A451" t="s">
        <v>304</v>
      </c>
    </row>
    <row r="452" spans="1:1" x14ac:dyDescent="0.25">
      <c r="A452" t="s">
        <v>304</v>
      </c>
    </row>
    <row r="453" spans="1:1" x14ac:dyDescent="0.25">
      <c r="A453" t="s">
        <v>304</v>
      </c>
    </row>
    <row r="454" spans="1:1" x14ac:dyDescent="0.25">
      <c r="A454" t="s">
        <v>304</v>
      </c>
    </row>
    <row r="455" spans="1:1" x14ac:dyDescent="0.25">
      <c r="A455" t="s">
        <v>304</v>
      </c>
    </row>
    <row r="456" spans="1:1" x14ac:dyDescent="0.25">
      <c r="A456" t="s">
        <v>304</v>
      </c>
    </row>
    <row r="457" spans="1:1" x14ac:dyDescent="0.25">
      <c r="A457" t="s">
        <v>304</v>
      </c>
    </row>
    <row r="458" spans="1:1" x14ac:dyDescent="0.25">
      <c r="A458" t="s">
        <v>304</v>
      </c>
    </row>
    <row r="459" spans="1:1" x14ac:dyDescent="0.25">
      <c r="A459" t="s">
        <v>304</v>
      </c>
    </row>
    <row r="460" spans="1:1" x14ac:dyDescent="0.25">
      <c r="A460" t="s">
        <v>304</v>
      </c>
    </row>
    <row r="461" spans="1:1" x14ac:dyDescent="0.25">
      <c r="A461" t="s">
        <v>304</v>
      </c>
    </row>
    <row r="462" spans="1:1" x14ac:dyDescent="0.25">
      <c r="A462" t="s">
        <v>304</v>
      </c>
    </row>
    <row r="463" spans="1:1" x14ac:dyDescent="0.25">
      <c r="A463" t="s">
        <v>304</v>
      </c>
    </row>
    <row r="464" spans="1:1" x14ac:dyDescent="0.25">
      <c r="A464" t="s">
        <v>304</v>
      </c>
    </row>
    <row r="465" spans="1:1" x14ac:dyDescent="0.25">
      <c r="A465" t="s">
        <v>304</v>
      </c>
    </row>
    <row r="466" spans="1:1" x14ac:dyDescent="0.25">
      <c r="A466" t="s">
        <v>304</v>
      </c>
    </row>
    <row r="467" spans="1:1" x14ac:dyDescent="0.25">
      <c r="A467" t="s">
        <v>304</v>
      </c>
    </row>
    <row r="468" spans="1:1" x14ac:dyDescent="0.25">
      <c r="A468" t="s">
        <v>304</v>
      </c>
    </row>
    <row r="469" spans="1:1" x14ac:dyDescent="0.25">
      <c r="A469" t="s">
        <v>304</v>
      </c>
    </row>
    <row r="470" spans="1:1" x14ac:dyDescent="0.25">
      <c r="A470" t="s">
        <v>304</v>
      </c>
    </row>
    <row r="471" spans="1:1" x14ac:dyDescent="0.25">
      <c r="A471" t="s">
        <v>304</v>
      </c>
    </row>
    <row r="472" spans="1:1" x14ac:dyDescent="0.25">
      <c r="A472" t="s">
        <v>304</v>
      </c>
    </row>
    <row r="473" spans="1:1" x14ac:dyDescent="0.25">
      <c r="A473" t="s">
        <v>304</v>
      </c>
    </row>
    <row r="474" spans="1:1" x14ac:dyDescent="0.25">
      <c r="A474" t="s">
        <v>304</v>
      </c>
    </row>
    <row r="475" spans="1:1" x14ac:dyDescent="0.25">
      <c r="A475" t="s">
        <v>304</v>
      </c>
    </row>
    <row r="476" spans="1:1" x14ac:dyDescent="0.25">
      <c r="A476" t="s">
        <v>304</v>
      </c>
    </row>
    <row r="477" spans="1:1" x14ac:dyDescent="0.25">
      <c r="A477" t="s">
        <v>304</v>
      </c>
    </row>
    <row r="478" spans="1:1" x14ac:dyDescent="0.25">
      <c r="A478" t="s">
        <v>304</v>
      </c>
    </row>
    <row r="479" spans="1:1" x14ac:dyDescent="0.25">
      <c r="A479" t="s">
        <v>304</v>
      </c>
    </row>
    <row r="480" spans="1:1" x14ac:dyDescent="0.25">
      <c r="A480" t="s">
        <v>304</v>
      </c>
    </row>
    <row r="481" spans="1:1" x14ac:dyDescent="0.25">
      <c r="A481" t="s">
        <v>304</v>
      </c>
    </row>
    <row r="482" spans="1:1" x14ac:dyDescent="0.25">
      <c r="A482" t="s">
        <v>304</v>
      </c>
    </row>
    <row r="483" spans="1:1" x14ac:dyDescent="0.25">
      <c r="A483" t="s">
        <v>304</v>
      </c>
    </row>
    <row r="484" spans="1:1" x14ac:dyDescent="0.25">
      <c r="A484" t="s">
        <v>304</v>
      </c>
    </row>
    <row r="485" spans="1:1" x14ac:dyDescent="0.25">
      <c r="A485" t="s">
        <v>304</v>
      </c>
    </row>
    <row r="486" spans="1:1" x14ac:dyDescent="0.25">
      <c r="A486" t="s">
        <v>304</v>
      </c>
    </row>
    <row r="487" spans="1:1" x14ac:dyDescent="0.25">
      <c r="A487" t="s">
        <v>304</v>
      </c>
    </row>
    <row r="488" spans="1:1" x14ac:dyDescent="0.25">
      <c r="A488" t="s">
        <v>304</v>
      </c>
    </row>
    <row r="489" spans="1:1" x14ac:dyDescent="0.25">
      <c r="A489" t="s">
        <v>304</v>
      </c>
    </row>
    <row r="490" spans="1:1" x14ac:dyDescent="0.25">
      <c r="A490" t="s">
        <v>304</v>
      </c>
    </row>
    <row r="491" spans="1:1" x14ac:dyDescent="0.25">
      <c r="A491" t="s">
        <v>304</v>
      </c>
    </row>
    <row r="492" spans="1:1" x14ac:dyDescent="0.25">
      <c r="A492" t="s">
        <v>304</v>
      </c>
    </row>
    <row r="493" spans="1:1" x14ac:dyDescent="0.25">
      <c r="A493" t="s">
        <v>304</v>
      </c>
    </row>
    <row r="494" spans="1:1" x14ac:dyDescent="0.25">
      <c r="A494" t="s">
        <v>304</v>
      </c>
    </row>
    <row r="495" spans="1:1" x14ac:dyDescent="0.25">
      <c r="A495" t="s">
        <v>304</v>
      </c>
    </row>
    <row r="496" spans="1:1" x14ac:dyDescent="0.25">
      <c r="A496" t="s">
        <v>304</v>
      </c>
    </row>
    <row r="497" spans="1:1" x14ac:dyDescent="0.25">
      <c r="A497" t="s">
        <v>304</v>
      </c>
    </row>
    <row r="498" spans="1:1" x14ac:dyDescent="0.25">
      <c r="A498" t="s">
        <v>304</v>
      </c>
    </row>
    <row r="499" spans="1:1" x14ac:dyDescent="0.25">
      <c r="A499" t="s">
        <v>304</v>
      </c>
    </row>
    <row r="500" spans="1:1" x14ac:dyDescent="0.25">
      <c r="A500" t="s">
        <v>304</v>
      </c>
    </row>
    <row r="501" spans="1:1" x14ac:dyDescent="0.25">
      <c r="A501" t="s">
        <v>304</v>
      </c>
    </row>
    <row r="502" spans="1:1" x14ac:dyDescent="0.25">
      <c r="A502" t="s">
        <v>304</v>
      </c>
    </row>
    <row r="503" spans="1:1" x14ac:dyDescent="0.25">
      <c r="A503" t="s">
        <v>304</v>
      </c>
    </row>
    <row r="504" spans="1:1" x14ac:dyDescent="0.25">
      <c r="A504" t="s">
        <v>304</v>
      </c>
    </row>
    <row r="505" spans="1:1" x14ac:dyDescent="0.25">
      <c r="A505" t="s">
        <v>304</v>
      </c>
    </row>
    <row r="506" spans="1:1" x14ac:dyDescent="0.25">
      <c r="A506" t="s">
        <v>304</v>
      </c>
    </row>
    <row r="507" spans="1:1" x14ac:dyDescent="0.25">
      <c r="A507" t="s">
        <v>304</v>
      </c>
    </row>
    <row r="508" spans="1:1" x14ac:dyDescent="0.25">
      <c r="A508" t="s">
        <v>304</v>
      </c>
    </row>
    <row r="509" spans="1:1" x14ac:dyDescent="0.25">
      <c r="A509" t="s">
        <v>304</v>
      </c>
    </row>
    <row r="510" spans="1:1" x14ac:dyDescent="0.25">
      <c r="A510" t="s">
        <v>304</v>
      </c>
    </row>
    <row r="511" spans="1:1" x14ac:dyDescent="0.25">
      <c r="A511" t="s">
        <v>304</v>
      </c>
    </row>
    <row r="512" spans="1:1" x14ac:dyDescent="0.25">
      <c r="A512" t="s">
        <v>304</v>
      </c>
    </row>
    <row r="513" spans="1:1" x14ac:dyDescent="0.25">
      <c r="A513" t="s">
        <v>304</v>
      </c>
    </row>
    <row r="514" spans="1:1" x14ac:dyDescent="0.25">
      <c r="A514" t="s">
        <v>304</v>
      </c>
    </row>
    <row r="515" spans="1:1" x14ac:dyDescent="0.25">
      <c r="A515" t="s">
        <v>304</v>
      </c>
    </row>
    <row r="516" spans="1:1" x14ac:dyDescent="0.25">
      <c r="A516" t="s">
        <v>304</v>
      </c>
    </row>
    <row r="517" spans="1:1" x14ac:dyDescent="0.25">
      <c r="A517" t="s">
        <v>304</v>
      </c>
    </row>
    <row r="518" spans="1:1" x14ac:dyDescent="0.25">
      <c r="A518" t="s">
        <v>304</v>
      </c>
    </row>
    <row r="519" spans="1:1" x14ac:dyDescent="0.25">
      <c r="A519" t="s">
        <v>304</v>
      </c>
    </row>
    <row r="520" spans="1:1" x14ac:dyDescent="0.25">
      <c r="A520" t="s">
        <v>304</v>
      </c>
    </row>
    <row r="521" spans="1:1" x14ac:dyDescent="0.25">
      <c r="A521" t="s">
        <v>304</v>
      </c>
    </row>
    <row r="522" spans="1:1" x14ac:dyDescent="0.25">
      <c r="A522" t="s">
        <v>304</v>
      </c>
    </row>
    <row r="523" spans="1:1" x14ac:dyDescent="0.25">
      <c r="A523" t="s">
        <v>304</v>
      </c>
    </row>
    <row r="524" spans="1:1" x14ac:dyDescent="0.25">
      <c r="A524" t="s">
        <v>304</v>
      </c>
    </row>
    <row r="525" spans="1:1" x14ac:dyDescent="0.25">
      <c r="A525" t="s">
        <v>304</v>
      </c>
    </row>
    <row r="526" spans="1:1" x14ac:dyDescent="0.25">
      <c r="A526" t="s">
        <v>304</v>
      </c>
    </row>
    <row r="527" spans="1:1" x14ac:dyDescent="0.25">
      <c r="A527" t="s">
        <v>304</v>
      </c>
    </row>
    <row r="528" spans="1:1" x14ac:dyDescent="0.25">
      <c r="A528" t="s">
        <v>304</v>
      </c>
    </row>
    <row r="529" spans="1:1" x14ac:dyDescent="0.25">
      <c r="A529" t="s">
        <v>304</v>
      </c>
    </row>
    <row r="530" spans="1:1" x14ac:dyDescent="0.25">
      <c r="A530" t="s">
        <v>304</v>
      </c>
    </row>
    <row r="531" spans="1:1" x14ac:dyDescent="0.25">
      <c r="A531" t="s">
        <v>304</v>
      </c>
    </row>
    <row r="532" spans="1:1" x14ac:dyDescent="0.25">
      <c r="A532" t="s">
        <v>304</v>
      </c>
    </row>
    <row r="533" spans="1:1" x14ac:dyDescent="0.25">
      <c r="A533" t="s">
        <v>304</v>
      </c>
    </row>
    <row r="534" spans="1:1" x14ac:dyDescent="0.25">
      <c r="A534" t="s">
        <v>304</v>
      </c>
    </row>
    <row r="535" spans="1:1" x14ac:dyDescent="0.25">
      <c r="A535" t="s">
        <v>304</v>
      </c>
    </row>
    <row r="536" spans="1:1" x14ac:dyDescent="0.25">
      <c r="A536" t="s">
        <v>304</v>
      </c>
    </row>
    <row r="537" spans="1:1" x14ac:dyDescent="0.25">
      <c r="A537" t="s">
        <v>304</v>
      </c>
    </row>
    <row r="538" spans="1:1" x14ac:dyDescent="0.25">
      <c r="A538" t="s">
        <v>304</v>
      </c>
    </row>
    <row r="539" spans="1:1" x14ac:dyDescent="0.25">
      <c r="A539" t="s">
        <v>304</v>
      </c>
    </row>
    <row r="540" spans="1:1" x14ac:dyDescent="0.25">
      <c r="A540" t="s">
        <v>304</v>
      </c>
    </row>
    <row r="541" spans="1:1" x14ac:dyDescent="0.25">
      <c r="A541" t="s">
        <v>304</v>
      </c>
    </row>
    <row r="542" spans="1:1" x14ac:dyDescent="0.25">
      <c r="A542" t="s">
        <v>304</v>
      </c>
    </row>
    <row r="543" spans="1:1" x14ac:dyDescent="0.25">
      <c r="A543" t="s">
        <v>304</v>
      </c>
    </row>
    <row r="544" spans="1:1" x14ac:dyDescent="0.25">
      <c r="A544" t="s">
        <v>304</v>
      </c>
    </row>
    <row r="545" spans="1:1" x14ac:dyDescent="0.25">
      <c r="A545" t="s">
        <v>304</v>
      </c>
    </row>
    <row r="546" spans="1:1" x14ac:dyDescent="0.25">
      <c r="A546" t="s">
        <v>304</v>
      </c>
    </row>
    <row r="547" spans="1:1" x14ac:dyDescent="0.25">
      <c r="A547" t="s">
        <v>304</v>
      </c>
    </row>
    <row r="548" spans="1:1" x14ac:dyDescent="0.25">
      <c r="A548" t="s">
        <v>304</v>
      </c>
    </row>
    <row r="549" spans="1:1" x14ac:dyDescent="0.25">
      <c r="A549" t="s">
        <v>304</v>
      </c>
    </row>
    <row r="550" spans="1:1" x14ac:dyDescent="0.25">
      <c r="A550" t="s">
        <v>304</v>
      </c>
    </row>
    <row r="551" spans="1:1" x14ac:dyDescent="0.25">
      <c r="A551" t="s">
        <v>304</v>
      </c>
    </row>
    <row r="552" spans="1:1" x14ac:dyDescent="0.25">
      <c r="A552" t="s">
        <v>304</v>
      </c>
    </row>
    <row r="553" spans="1:1" x14ac:dyDescent="0.25">
      <c r="A553" t="s">
        <v>304</v>
      </c>
    </row>
    <row r="554" spans="1:1" x14ac:dyDescent="0.25">
      <c r="A554" t="s">
        <v>304</v>
      </c>
    </row>
    <row r="555" spans="1:1" x14ac:dyDescent="0.25">
      <c r="A555" t="s">
        <v>304</v>
      </c>
    </row>
    <row r="556" spans="1:1" x14ac:dyDescent="0.25">
      <c r="A556" t="s">
        <v>304</v>
      </c>
    </row>
    <row r="557" spans="1:1" x14ac:dyDescent="0.25">
      <c r="A557" t="s">
        <v>304</v>
      </c>
    </row>
    <row r="558" spans="1:1" x14ac:dyDescent="0.25">
      <c r="A558" t="s">
        <v>304</v>
      </c>
    </row>
    <row r="559" spans="1:1" x14ac:dyDescent="0.25">
      <c r="A559" t="s">
        <v>304</v>
      </c>
    </row>
    <row r="560" spans="1:1" x14ac:dyDescent="0.25">
      <c r="A560" t="s">
        <v>304</v>
      </c>
    </row>
    <row r="561" spans="1:1" x14ac:dyDescent="0.25">
      <c r="A561" t="s">
        <v>304</v>
      </c>
    </row>
    <row r="562" spans="1:1" x14ac:dyDescent="0.25">
      <c r="A562" t="s">
        <v>304</v>
      </c>
    </row>
    <row r="563" spans="1:1" x14ac:dyDescent="0.25">
      <c r="A563" t="s">
        <v>304</v>
      </c>
    </row>
    <row r="564" spans="1:1" x14ac:dyDescent="0.25">
      <c r="A564" t="s">
        <v>304</v>
      </c>
    </row>
    <row r="565" spans="1:1" x14ac:dyDescent="0.25">
      <c r="A565" t="s">
        <v>304</v>
      </c>
    </row>
    <row r="566" spans="1:1" x14ac:dyDescent="0.25">
      <c r="A566" t="s">
        <v>304</v>
      </c>
    </row>
    <row r="567" spans="1:1" x14ac:dyDescent="0.25">
      <c r="A567" t="s">
        <v>304</v>
      </c>
    </row>
    <row r="568" spans="1:1" x14ac:dyDescent="0.25">
      <c r="A568" t="s">
        <v>304</v>
      </c>
    </row>
    <row r="569" spans="1:1" x14ac:dyDescent="0.25">
      <c r="A569" t="s">
        <v>304</v>
      </c>
    </row>
    <row r="570" spans="1:1" x14ac:dyDescent="0.25">
      <c r="A570" t="s">
        <v>304</v>
      </c>
    </row>
    <row r="571" spans="1:1" x14ac:dyDescent="0.25">
      <c r="A571" t="s">
        <v>304</v>
      </c>
    </row>
    <row r="572" spans="1:1" x14ac:dyDescent="0.25">
      <c r="A572" t="s">
        <v>304</v>
      </c>
    </row>
    <row r="573" spans="1:1" x14ac:dyDescent="0.25">
      <c r="A573" t="s">
        <v>304</v>
      </c>
    </row>
    <row r="574" spans="1:1" x14ac:dyDescent="0.25">
      <c r="A574" t="s">
        <v>304</v>
      </c>
    </row>
    <row r="575" spans="1:1" x14ac:dyDescent="0.25">
      <c r="A575" t="s">
        <v>304</v>
      </c>
    </row>
    <row r="576" spans="1:1" x14ac:dyDescent="0.25">
      <c r="A576" t="s">
        <v>304</v>
      </c>
    </row>
    <row r="577" spans="1:1" x14ac:dyDescent="0.25">
      <c r="A577" t="s">
        <v>304</v>
      </c>
    </row>
    <row r="578" spans="1:1" x14ac:dyDescent="0.25">
      <c r="A578" t="s">
        <v>304</v>
      </c>
    </row>
    <row r="579" spans="1:1" x14ac:dyDescent="0.25">
      <c r="A579" t="s">
        <v>304</v>
      </c>
    </row>
    <row r="580" spans="1:1" x14ac:dyDescent="0.25">
      <c r="A580" t="s">
        <v>304</v>
      </c>
    </row>
    <row r="581" spans="1:1" x14ac:dyDescent="0.25">
      <c r="A581" t="s">
        <v>304</v>
      </c>
    </row>
    <row r="582" spans="1:1" x14ac:dyDescent="0.25">
      <c r="A582" t="s">
        <v>304</v>
      </c>
    </row>
    <row r="583" spans="1:1" x14ac:dyDescent="0.25">
      <c r="A583" t="s">
        <v>304</v>
      </c>
    </row>
    <row r="584" spans="1:1" x14ac:dyDescent="0.25">
      <c r="A584" t="s">
        <v>304</v>
      </c>
    </row>
    <row r="585" spans="1:1" x14ac:dyDescent="0.25">
      <c r="A585" t="s">
        <v>304</v>
      </c>
    </row>
    <row r="586" spans="1:1" x14ac:dyDescent="0.25">
      <c r="A586" t="s">
        <v>304</v>
      </c>
    </row>
    <row r="587" spans="1:1" x14ac:dyDescent="0.25">
      <c r="A587" t="s">
        <v>304</v>
      </c>
    </row>
    <row r="588" spans="1:1" x14ac:dyDescent="0.25">
      <c r="A588" t="s">
        <v>304</v>
      </c>
    </row>
    <row r="589" spans="1:1" x14ac:dyDescent="0.25">
      <c r="A589" t="s">
        <v>304</v>
      </c>
    </row>
    <row r="590" spans="1:1" x14ac:dyDescent="0.25">
      <c r="A590" t="s">
        <v>304</v>
      </c>
    </row>
    <row r="591" spans="1:1" x14ac:dyDescent="0.25">
      <c r="A591" t="s">
        <v>304</v>
      </c>
    </row>
    <row r="592" spans="1:1" x14ac:dyDescent="0.25">
      <c r="A592" t="s">
        <v>304</v>
      </c>
    </row>
    <row r="593" spans="1:1" x14ac:dyDescent="0.25">
      <c r="A593" t="s">
        <v>304</v>
      </c>
    </row>
    <row r="594" spans="1:1" x14ac:dyDescent="0.25">
      <c r="A594" t="s">
        <v>304</v>
      </c>
    </row>
    <row r="595" spans="1:1" x14ac:dyDescent="0.25">
      <c r="A595" t="s">
        <v>304</v>
      </c>
    </row>
    <row r="596" spans="1:1" x14ac:dyDescent="0.25">
      <c r="A596" t="s">
        <v>304</v>
      </c>
    </row>
    <row r="597" spans="1:1" x14ac:dyDescent="0.25">
      <c r="A597" t="s">
        <v>304</v>
      </c>
    </row>
    <row r="598" spans="1:1" x14ac:dyDescent="0.25">
      <c r="A598" t="s">
        <v>304</v>
      </c>
    </row>
    <row r="599" spans="1:1" x14ac:dyDescent="0.25">
      <c r="A599" t="s">
        <v>304</v>
      </c>
    </row>
    <row r="600" spans="1:1" x14ac:dyDescent="0.25">
      <c r="A600" t="s">
        <v>304</v>
      </c>
    </row>
    <row r="601" spans="1:1" x14ac:dyDescent="0.25">
      <c r="A601" t="s">
        <v>304</v>
      </c>
    </row>
    <row r="602" spans="1:1" x14ac:dyDescent="0.25">
      <c r="A602" t="s">
        <v>304</v>
      </c>
    </row>
    <row r="603" spans="1:1" x14ac:dyDescent="0.25">
      <c r="A603" t="s">
        <v>304</v>
      </c>
    </row>
    <row r="604" spans="1:1" x14ac:dyDescent="0.25">
      <c r="A604" t="s">
        <v>304</v>
      </c>
    </row>
    <row r="605" spans="1:1" x14ac:dyDescent="0.25">
      <c r="A605" t="s">
        <v>304</v>
      </c>
    </row>
    <row r="606" spans="1:1" x14ac:dyDescent="0.25">
      <c r="A606" t="s">
        <v>304</v>
      </c>
    </row>
    <row r="607" spans="1:1" x14ac:dyDescent="0.25">
      <c r="A607" t="s">
        <v>304</v>
      </c>
    </row>
    <row r="608" spans="1:1" x14ac:dyDescent="0.25">
      <c r="A608" t="s">
        <v>304</v>
      </c>
    </row>
    <row r="609" spans="1:1" x14ac:dyDescent="0.25">
      <c r="A609" t="s">
        <v>304</v>
      </c>
    </row>
    <row r="610" spans="1:1" x14ac:dyDescent="0.25">
      <c r="A610" t="s">
        <v>304</v>
      </c>
    </row>
    <row r="611" spans="1:1" x14ac:dyDescent="0.25">
      <c r="A611" t="s">
        <v>304</v>
      </c>
    </row>
    <row r="612" spans="1:1" x14ac:dyDescent="0.25">
      <c r="A612" t="s">
        <v>304</v>
      </c>
    </row>
    <row r="613" spans="1:1" x14ac:dyDescent="0.25">
      <c r="A613" t="s">
        <v>304</v>
      </c>
    </row>
    <row r="614" spans="1:1" x14ac:dyDescent="0.25">
      <c r="A614" t="s">
        <v>304</v>
      </c>
    </row>
    <row r="615" spans="1:1" x14ac:dyDescent="0.25">
      <c r="A615" t="s">
        <v>304</v>
      </c>
    </row>
    <row r="616" spans="1:1" x14ac:dyDescent="0.25">
      <c r="A616" t="s">
        <v>304</v>
      </c>
    </row>
    <row r="617" spans="1:1" x14ac:dyDescent="0.25">
      <c r="A617" t="s">
        <v>304</v>
      </c>
    </row>
    <row r="618" spans="1:1" x14ac:dyDescent="0.25">
      <c r="A618" t="s">
        <v>304</v>
      </c>
    </row>
    <row r="619" spans="1:1" x14ac:dyDescent="0.25">
      <c r="A619" t="s">
        <v>304</v>
      </c>
    </row>
    <row r="620" spans="1:1" x14ac:dyDescent="0.25">
      <c r="A620" t="s">
        <v>304</v>
      </c>
    </row>
    <row r="621" spans="1:1" x14ac:dyDescent="0.25">
      <c r="A621" t="s">
        <v>304</v>
      </c>
    </row>
    <row r="622" spans="1:1" x14ac:dyDescent="0.25">
      <c r="A622" t="s">
        <v>304</v>
      </c>
    </row>
    <row r="623" spans="1:1" x14ac:dyDescent="0.25">
      <c r="A623" t="s">
        <v>304</v>
      </c>
    </row>
    <row r="624" spans="1:1" x14ac:dyDescent="0.25">
      <c r="A624" t="s">
        <v>304</v>
      </c>
    </row>
    <row r="625" spans="1:1" x14ac:dyDescent="0.25">
      <c r="A625" t="s">
        <v>304</v>
      </c>
    </row>
    <row r="626" spans="1:1" x14ac:dyDescent="0.25">
      <c r="A626" t="s">
        <v>304</v>
      </c>
    </row>
    <row r="627" spans="1:1" x14ac:dyDescent="0.25">
      <c r="A627" t="s">
        <v>304</v>
      </c>
    </row>
    <row r="628" spans="1:1" x14ac:dyDescent="0.25">
      <c r="A628" t="s">
        <v>304</v>
      </c>
    </row>
    <row r="629" spans="1:1" x14ac:dyDescent="0.25">
      <c r="A629" t="s">
        <v>304</v>
      </c>
    </row>
    <row r="630" spans="1:1" x14ac:dyDescent="0.25">
      <c r="A630" t="s">
        <v>304</v>
      </c>
    </row>
    <row r="631" spans="1:1" x14ac:dyDescent="0.25">
      <c r="A631" t="s">
        <v>304</v>
      </c>
    </row>
    <row r="632" spans="1:1" x14ac:dyDescent="0.25">
      <c r="A632" t="s">
        <v>304</v>
      </c>
    </row>
    <row r="633" spans="1:1" x14ac:dyDescent="0.25">
      <c r="A633" t="s">
        <v>304</v>
      </c>
    </row>
    <row r="634" spans="1:1" x14ac:dyDescent="0.25">
      <c r="A634" t="s">
        <v>304</v>
      </c>
    </row>
    <row r="635" spans="1:1" x14ac:dyDescent="0.25">
      <c r="A635" t="s">
        <v>304</v>
      </c>
    </row>
    <row r="636" spans="1:1" x14ac:dyDescent="0.25">
      <c r="A636" t="s">
        <v>304</v>
      </c>
    </row>
    <row r="637" spans="1:1" x14ac:dyDescent="0.25">
      <c r="A637" t="s">
        <v>304</v>
      </c>
    </row>
    <row r="638" spans="1:1" x14ac:dyDescent="0.25">
      <c r="A638" t="s">
        <v>304</v>
      </c>
    </row>
    <row r="639" spans="1:1" x14ac:dyDescent="0.25">
      <c r="A639" t="s">
        <v>304</v>
      </c>
    </row>
    <row r="640" spans="1:1" x14ac:dyDescent="0.25">
      <c r="A640" t="s">
        <v>304</v>
      </c>
    </row>
    <row r="641" spans="1:1" x14ac:dyDescent="0.25">
      <c r="A641" t="s">
        <v>304</v>
      </c>
    </row>
    <row r="642" spans="1:1" x14ac:dyDescent="0.25">
      <c r="A642" t="s">
        <v>304</v>
      </c>
    </row>
    <row r="643" spans="1:1" x14ac:dyDescent="0.25">
      <c r="A643" t="s">
        <v>304</v>
      </c>
    </row>
    <row r="644" spans="1:1" x14ac:dyDescent="0.25">
      <c r="A644" t="s">
        <v>304</v>
      </c>
    </row>
    <row r="645" spans="1:1" x14ac:dyDescent="0.25">
      <c r="A645" t="s">
        <v>304</v>
      </c>
    </row>
    <row r="646" spans="1:1" x14ac:dyDescent="0.25">
      <c r="A646" t="s">
        <v>304</v>
      </c>
    </row>
    <row r="647" spans="1:1" x14ac:dyDescent="0.25">
      <c r="A647" t="s">
        <v>304</v>
      </c>
    </row>
    <row r="648" spans="1:1" x14ac:dyDescent="0.25">
      <c r="A648" t="s">
        <v>304</v>
      </c>
    </row>
    <row r="649" spans="1:1" x14ac:dyDescent="0.25">
      <c r="A649" t="s">
        <v>304</v>
      </c>
    </row>
    <row r="650" spans="1:1" x14ac:dyDescent="0.25">
      <c r="A650" t="s">
        <v>304</v>
      </c>
    </row>
    <row r="651" spans="1:1" x14ac:dyDescent="0.25">
      <c r="A651" t="s">
        <v>304</v>
      </c>
    </row>
    <row r="652" spans="1:1" x14ac:dyDescent="0.25">
      <c r="A652" t="s">
        <v>304</v>
      </c>
    </row>
    <row r="653" spans="1:1" x14ac:dyDescent="0.25">
      <c r="A653" t="s">
        <v>304</v>
      </c>
    </row>
    <row r="654" spans="1:1" x14ac:dyDescent="0.25">
      <c r="A654" t="s">
        <v>304</v>
      </c>
    </row>
    <row r="655" spans="1:1" x14ac:dyDescent="0.25">
      <c r="A655" t="s">
        <v>304</v>
      </c>
    </row>
    <row r="656" spans="1:1" x14ac:dyDescent="0.25">
      <c r="A656" t="s">
        <v>304</v>
      </c>
    </row>
    <row r="657" spans="1:1" x14ac:dyDescent="0.25">
      <c r="A657" t="s">
        <v>304</v>
      </c>
    </row>
    <row r="658" spans="1:1" x14ac:dyDescent="0.25">
      <c r="A658" t="s">
        <v>304</v>
      </c>
    </row>
    <row r="659" spans="1:1" x14ac:dyDescent="0.25">
      <c r="A659" t="s">
        <v>304</v>
      </c>
    </row>
    <row r="660" spans="1:1" x14ac:dyDescent="0.25">
      <c r="A660" t="s">
        <v>304</v>
      </c>
    </row>
    <row r="661" spans="1:1" x14ac:dyDescent="0.25">
      <c r="A661" t="s">
        <v>304</v>
      </c>
    </row>
    <row r="662" spans="1:1" x14ac:dyDescent="0.25">
      <c r="A662" t="s">
        <v>304</v>
      </c>
    </row>
    <row r="663" spans="1:1" x14ac:dyDescent="0.25">
      <c r="A663" t="s">
        <v>304</v>
      </c>
    </row>
    <row r="664" spans="1:1" x14ac:dyDescent="0.25">
      <c r="A664" t="s">
        <v>304</v>
      </c>
    </row>
    <row r="665" spans="1:1" x14ac:dyDescent="0.25">
      <c r="A665" t="s">
        <v>304</v>
      </c>
    </row>
    <row r="666" spans="1:1" x14ac:dyDescent="0.25">
      <c r="A666" t="s">
        <v>304</v>
      </c>
    </row>
    <row r="667" spans="1:1" x14ac:dyDescent="0.25">
      <c r="A667" t="s">
        <v>304</v>
      </c>
    </row>
    <row r="668" spans="1:1" x14ac:dyDescent="0.25">
      <c r="A668" t="s">
        <v>304</v>
      </c>
    </row>
    <row r="669" spans="1:1" x14ac:dyDescent="0.25">
      <c r="A669" t="s">
        <v>304</v>
      </c>
    </row>
    <row r="670" spans="1:1" x14ac:dyDescent="0.25">
      <c r="A670" t="s">
        <v>304</v>
      </c>
    </row>
    <row r="671" spans="1:1" x14ac:dyDescent="0.25">
      <c r="A671" t="s">
        <v>304</v>
      </c>
    </row>
    <row r="672" spans="1:1" x14ac:dyDescent="0.25">
      <c r="A672" t="s">
        <v>304</v>
      </c>
    </row>
    <row r="673" spans="1:1" x14ac:dyDescent="0.25">
      <c r="A673" t="s">
        <v>304</v>
      </c>
    </row>
    <row r="674" spans="1:1" x14ac:dyDescent="0.25">
      <c r="A674" t="s">
        <v>304</v>
      </c>
    </row>
    <row r="675" spans="1:1" x14ac:dyDescent="0.25">
      <c r="A675" t="s">
        <v>304</v>
      </c>
    </row>
    <row r="676" spans="1:1" x14ac:dyDescent="0.25">
      <c r="A676" t="s">
        <v>304</v>
      </c>
    </row>
    <row r="677" spans="1:1" x14ac:dyDescent="0.25">
      <c r="A677" t="s">
        <v>304</v>
      </c>
    </row>
    <row r="678" spans="1:1" x14ac:dyDescent="0.25">
      <c r="A678" t="s">
        <v>304</v>
      </c>
    </row>
    <row r="679" spans="1:1" x14ac:dyDescent="0.25">
      <c r="A679" t="s">
        <v>304</v>
      </c>
    </row>
    <row r="680" spans="1:1" x14ac:dyDescent="0.25">
      <c r="A680" t="s">
        <v>304</v>
      </c>
    </row>
    <row r="681" spans="1:1" x14ac:dyDescent="0.25">
      <c r="A681" t="s">
        <v>304</v>
      </c>
    </row>
    <row r="682" spans="1:1" x14ac:dyDescent="0.25">
      <c r="A682" t="s">
        <v>304</v>
      </c>
    </row>
    <row r="683" spans="1:1" x14ac:dyDescent="0.25">
      <c r="A683" t="s">
        <v>304</v>
      </c>
    </row>
    <row r="684" spans="1:1" x14ac:dyDescent="0.25">
      <c r="A684" t="s">
        <v>304</v>
      </c>
    </row>
    <row r="685" spans="1:1" x14ac:dyDescent="0.25">
      <c r="A685" t="s">
        <v>304</v>
      </c>
    </row>
    <row r="686" spans="1:1" x14ac:dyDescent="0.25">
      <c r="A686" t="s">
        <v>304</v>
      </c>
    </row>
    <row r="687" spans="1:1" x14ac:dyDescent="0.25">
      <c r="A687" t="s">
        <v>304</v>
      </c>
    </row>
    <row r="688" spans="1:1" x14ac:dyDescent="0.25">
      <c r="A688" t="s">
        <v>304</v>
      </c>
    </row>
    <row r="689" spans="1:1" x14ac:dyDescent="0.25">
      <c r="A689" t="s">
        <v>304</v>
      </c>
    </row>
    <row r="690" spans="1:1" x14ac:dyDescent="0.25">
      <c r="A690" t="s">
        <v>304</v>
      </c>
    </row>
    <row r="691" spans="1:1" x14ac:dyDescent="0.25">
      <c r="A691" t="s">
        <v>304</v>
      </c>
    </row>
    <row r="692" spans="1:1" x14ac:dyDescent="0.25">
      <c r="A692" t="s">
        <v>304</v>
      </c>
    </row>
    <row r="693" spans="1:1" x14ac:dyDescent="0.25">
      <c r="A693" t="s">
        <v>304</v>
      </c>
    </row>
    <row r="694" spans="1:1" x14ac:dyDescent="0.25">
      <c r="A694" t="s">
        <v>304</v>
      </c>
    </row>
    <row r="695" spans="1:1" x14ac:dyDescent="0.25">
      <c r="A695" t="s">
        <v>304</v>
      </c>
    </row>
    <row r="696" spans="1:1" x14ac:dyDescent="0.25">
      <c r="A696" t="s">
        <v>304</v>
      </c>
    </row>
    <row r="697" spans="1:1" x14ac:dyDescent="0.25">
      <c r="A697" t="s">
        <v>304</v>
      </c>
    </row>
    <row r="698" spans="1:1" x14ac:dyDescent="0.25">
      <c r="A698" t="s">
        <v>304</v>
      </c>
    </row>
    <row r="699" spans="1:1" x14ac:dyDescent="0.25">
      <c r="A699" t="s">
        <v>304</v>
      </c>
    </row>
    <row r="700" spans="1:1" x14ac:dyDescent="0.25">
      <c r="A700" t="s">
        <v>304</v>
      </c>
    </row>
    <row r="701" spans="1:1" x14ac:dyDescent="0.25">
      <c r="A701" t="s">
        <v>304</v>
      </c>
    </row>
    <row r="702" spans="1:1" x14ac:dyDescent="0.25">
      <c r="A702" t="s">
        <v>304</v>
      </c>
    </row>
    <row r="703" spans="1:1" x14ac:dyDescent="0.25">
      <c r="A703" t="s">
        <v>304</v>
      </c>
    </row>
    <row r="704" spans="1:1" x14ac:dyDescent="0.25">
      <c r="A704" t="s">
        <v>304</v>
      </c>
    </row>
    <row r="705" spans="1:1" x14ac:dyDescent="0.25">
      <c r="A705" t="s">
        <v>304</v>
      </c>
    </row>
    <row r="706" spans="1:1" x14ac:dyDescent="0.25">
      <c r="A706" t="s">
        <v>304</v>
      </c>
    </row>
    <row r="707" spans="1:1" x14ac:dyDescent="0.25">
      <c r="A707" t="s">
        <v>304</v>
      </c>
    </row>
    <row r="708" spans="1:1" x14ac:dyDescent="0.25">
      <c r="A708" t="s">
        <v>304</v>
      </c>
    </row>
    <row r="709" spans="1:1" x14ac:dyDescent="0.25">
      <c r="A709" t="s">
        <v>304</v>
      </c>
    </row>
    <row r="710" spans="1:1" x14ac:dyDescent="0.25">
      <c r="A710" t="s">
        <v>304</v>
      </c>
    </row>
    <row r="711" spans="1:1" x14ac:dyDescent="0.25">
      <c r="A711" t="s">
        <v>304</v>
      </c>
    </row>
    <row r="712" spans="1:1" x14ac:dyDescent="0.25">
      <c r="A712" t="s">
        <v>304</v>
      </c>
    </row>
    <row r="713" spans="1:1" x14ac:dyDescent="0.25">
      <c r="A713" t="s">
        <v>304</v>
      </c>
    </row>
    <row r="714" spans="1:1" x14ac:dyDescent="0.25">
      <c r="A714" t="s">
        <v>304</v>
      </c>
    </row>
    <row r="715" spans="1:1" x14ac:dyDescent="0.25">
      <c r="A715" t="s">
        <v>304</v>
      </c>
    </row>
    <row r="716" spans="1:1" x14ac:dyDescent="0.25">
      <c r="A716" t="s">
        <v>304</v>
      </c>
    </row>
    <row r="717" spans="1:1" x14ac:dyDescent="0.25">
      <c r="A717" t="s">
        <v>304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11</vt:i4>
      </vt:variant>
    </vt:vector>
  </HeadingPairs>
  <TitlesOfParts>
    <vt:vector size="28" baseType="lpstr">
      <vt:lpstr>Program Page</vt:lpstr>
      <vt:lpstr>Sheet1</vt:lpstr>
      <vt:lpstr>Custom Well</vt:lpstr>
      <vt:lpstr>Slide Measurements</vt:lpstr>
      <vt:lpstr>Base Data</vt:lpstr>
      <vt:lpstr>Transpose Calculations</vt:lpstr>
      <vt:lpstr>Expanded Base Data</vt:lpstr>
      <vt:lpstr>All Projects Calculations</vt:lpstr>
      <vt:lpstr>DropDown Lists</vt:lpstr>
      <vt:lpstr>Code List</vt:lpstr>
      <vt:lpstr>Code Comparison</vt:lpstr>
      <vt:lpstr>Project Generation</vt:lpstr>
      <vt:lpstr>Queue Generation</vt:lpstr>
      <vt:lpstr>Queue to txt File</vt:lpstr>
      <vt:lpstr>Grab Folder Names</vt:lpstr>
      <vt:lpstr>Create Shell Script</vt:lpstr>
      <vt:lpstr>IUPC List</vt:lpstr>
      <vt:lpstr>BaseHolesX</vt:lpstr>
      <vt:lpstr>BaseHolesY</vt:lpstr>
      <vt:lpstr>BoxRows</vt:lpstr>
      <vt:lpstr>CellDesignations</vt:lpstr>
      <vt:lpstr>Custom_Focus</vt:lpstr>
      <vt:lpstr>IUPC_Number</vt:lpstr>
      <vt:lpstr>ProjectNames</vt:lpstr>
      <vt:lpstr>Queue_Generation</vt:lpstr>
      <vt:lpstr>QueueFileList</vt:lpstr>
      <vt:lpstr>QueueFileListCorrect</vt:lpstr>
      <vt:lpstr>TrayLayout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Z</dc:creator>
  <cp:lastModifiedBy>Alex Z</cp:lastModifiedBy>
  <dcterms:created xsi:type="dcterms:W3CDTF">2017-01-27T23:00:30Z</dcterms:created>
  <dcterms:modified xsi:type="dcterms:W3CDTF">2017-06-16T16:07:53Z</dcterms:modified>
</cp:coreProperties>
</file>